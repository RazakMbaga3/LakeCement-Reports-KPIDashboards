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ublic\QC DATA\MINING QUALITY REPORT\PILE QUALITY REPORT-2026\"/>
    </mc:Choice>
  </mc:AlternateContent>
  <xr:revisionPtr revIDLastSave="0" documentId="13_ncr:1_{5957BA42-28D8-43D5-B2BB-CD3A3C7FF302}" xr6:coauthVersionLast="47" xr6:coauthVersionMax="47" xr10:uidLastSave="{00000000-0000-0000-0000-000000000000}"/>
  <bookViews>
    <workbookView xWindow="-120" yWindow="-120" windowWidth="20730" windowHeight="11160" firstSheet="16" activeTab="19" xr2:uid="{00000000-000D-0000-FFFF-FFFF00000000}"/>
  </bookViews>
  <sheets>
    <sheet name="01.05.2026" sheetId="127" r:id="rId1"/>
    <sheet name="02.05.2026" sheetId="128" r:id="rId2"/>
    <sheet name="03.05.2026" sheetId="129" r:id="rId3"/>
    <sheet name="04.05.2026" sheetId="130" r:id="rId4"/>
    <sheet name="05.05.2026" sheetId="131" r:id="rId5"/>
    <sheet name="06.05.2026" sheetId="132" r:id="rId6"/>
    <sheet name="07.05.2026" sheetId="133" r:id="rId7"/>
    <sheet name="08.05.2026" sheetId="134" r:id="rId8"/>
    <sheet name="09.05.2026" sheetId="135" r:id="rId9"/>
    <sheet name="10.05.2026" sheetId="136" r:id="rId10"/>
    <sheet name="11.05.2026" sheetId="137" r:id="rId11"/>
    <sheet name="12.05.2026" sheetId="138" r:id="rId12"/>
    <sheet name="13.05.2026" sheetId="139" r:id="rId13"/>
    <sheet name="14.05.2026" sheetId="140" r:id="rId14"/>
    <sheet name="15.05.2026" sheetId="141" r:id="rId15"/>
    <sheet name="16.05.2026" sheetId="142" r:id="rId16"/>
    <sheet name="17.05.2026" sheetId="143" r:id="rId17"/>
    <sheet name="18.05.2026" sheetId="144" r:id="rId18"/>
    <sheet name="19.05.2026" sheetId="145" r:id="rId19"/>
    <sheet name="20.05.2026" sheetId="146" r:id="rId20"/>
    <sheet name="LST CEMENT MILL" sheetId="45" r:id="rId21"/>
    <sheet name="LIMESTONE QTY" sheetId="71" r:id="rId2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8" i="146" l="1"/>
  <c r="G18" i="146"/>
  <c r="G14" i="146"/>
  <c r="J14" i="146"/>
  <c r="G15" i="146"/>
  <c r="J15" i="146"/>
  <c r="I20" i="146" l="1"/>
  <c r="H20" i="146"/>
  <c r="F20" i="146"/>
  <c r="E20" i="146"/>
  <c r="J19" i="146"/>
  <c r="G19" i="146"/>
  <c r="J17" i="146"/>
  <c r="G17" i="146"/>
  <c r="J16" i="146"/>
  <c r="G16" i="146"/>
  <c r="J13" i="146"/>
  <c r="G13" i="146"/>
  <c r="J12" i="146"/>
  <c r="G12" i="146"/>
  <c r="J11" i="146"/>
  <c r="G11" i="146"/>
  <c r="J10" i="146"/>
  <c r="G10" i="146"/>
  <c r="J9" i="146"/>
  <c r="G9" i="146"/>
  <c r="J8" i="146"/>
  <c r="G8" i="146"/>
  <c r="J7" i="146"/>
  <c r="G7" i="146"/>
  <c r="J6" i="146"/>
  <c r="G6" i="146"/>
  <c r="R5" i="146"/>
  <c r="U5" i="146" s="1"/>
  <c r="J5" i="146"/>
  <c r="G5" i="146"/>
  <c r="J4" i="146"/>
  <c r="G4" i="146"/>
  <c r="J3" i="146"/>
  <c r="G3" i="146"/>
  <c r="J2" i="146"/>
  <c r="J20" i="146" s="1"/>
  <c r="G2" i="146"/>
  <c r="A2" i="146"/>
  <c r="G13" i="145"/>
  <c r="J13" i="145"/>
  <c r="G14" i="145"/>
  <c r="J14" i="145"/>
  <c r="G15" i="145"/>
  <c r="J15" i="145"/>
  <c r="G20" i="146" l="1"/>
  <c r="V5" i="146"/>
  <c r="S5" i="146"/>
  <c r="W5" i="146"/>
  <c r="T5" i="146"/>
  <c r="J7" i="145"/>
  <c r="J8" i="145"/>
  <c r="J9" i="145"/>
  <c r="J10" i="145"/>
  <c r="J11" i="145"/>
  <c r="J12" i="145"/>
  <c r="J16" i="145"/>
  <c r="J17" i="145"/>
  <c r="I18" i="145"/>
  <c r="H18" i="145"/>
  <c r="F18" i="145"/>
  <c r="E18" i="145"/>
  <c r="G17" i="145"/>
  <c r="G16" i="145"/>
  <c r="G12" i="145"/>
  <c r="G11" i="145"/>
  <c r="G10" i="145"/>
  <c r="G9" i="145"/>
  <c r="G8" i="145"/>
  <c r="G7" i="145"/>
  <c r="J6" i="145"/>
  <c r="G6" i="145"/>
  <c r="R5" i="145"/>
  <c r="U5" i="145" s="1"/>
  <c r="J5" i="145"/>
  <c r="G5" i="145"/>
  <c r="J4" i="145"/>
  <c r="G4" i="145"/>
  <c r="J3" i="145"/>
  <c r="G3" i="145"/>
  <c r="J2" i="145"/>
  <c r="G2" i="145"/>
  <c r="A2" i="145"/>
  <c r="J16" i="144"/>
  <c r="G16" i="144"/>
  <c r="E16" i="144"/>
  <c r="H16" i="144"/>
  <c r="F16" i="144"/>
  <c r="J14" i="144"/>
  <c r="J15" i="144"/>
  <c r="G14" i="144"/>
  <c r="G15" i="144"/>
  <c r="I16" i="144"/>
  <c r="J9" i="144"/>
  <c r="G9" i="144"/>
  <c r="J13" i="144"/>
  <c r="G13" i="144"/>
  <c r="J18" i="143"/>
  <c r="G18" i="143"/>
  <c r="G18" i="145" l="1"/>
  <c r="J18" i="145"/>
  <c r="V5" i="145"/>
  <c r="S5" i="145"/>
  <c r="W5" i="145"/>
  <c r="T5" i="145"/>
  <c r="G3" i="144"/>
  <c r="G4" i="144"/>
  <c r="G5" i="144"/>
  <c r="G6" i="144"/>
  <c r="G7" i="144"/>
  <c r="G8" i="144"/>
  <c r="G10" i="144"/>
  <c r="G11" i="144"/>
  <c r="G12" i="144"/>
  <c r="J8" i="144"/>
  <c r="J12" i="144"/>
  <c r="J7" i="144"/>
  <c r="J6" i="144"/>
  <c r="R5" i="144"/>
  <c r="W5" i="144" s="1"/>
  <c r="J5" i="144"/>
  <c r="J4" i="144"/>
  <c r="J3" i="144"/>
  <c r="J2" i="144"/>
  <c r="G2" i="144"/>
  <c r="A2" i="144"/>
  <c r="J14" i="143"/>
  <c r="J15" i="143"/>
  <c r="J16" i="143"/>
  <c r="J17" i="143"/>
  <c r="G13" i="143"/>
  <c r="G14" i="143"/>
  <c r="G15" i="143"/>
  <c r="G16" i="143"/>
  <c r="G17" i="143"/>
  <c r="T5" i="144" l="1"/>
  <c r="U5" i="144"/>
  <c r="V5" i="144"/>
  <c r="S5" i="144"/>
  <c r="I20" i="143"/>
  <c r="H20" i="143"/>
  <c r="F20" i="143"/>
  <c r="E20" i="143"/>
  <c r="J13" i="143"/>
  <c r="J12" i="143"/>
  <c r="G12" i="143"/>
  <c r="J11" i="143"/>
  <c r="G11" i="143"/>
  <c r="J10" i="143"/>
  <c r="G10" i="143"/>
  <c r="J9" i="143"/>
  <c r="G9" i="143"/>
  <c r="J8" i="143"/>
  <c r="G8" i="143"/>
  <c r="J7" i="143"/>
  <c r="G7" i="143"/>
  <c r="J6" i="143"/>
  <c r="G6" i="143"/>
  <c r="R5" i="143"/>
  <c r="V5" i="143" s="1"/>
  <c r="J5" i="143"/>
  <c r="G5" i="143"/>
  <c r="J4" i="143"/>
  <c r="G4" i="143"/>
  <c r="J3" i="143"/>
  <c r="G3" i="143"/>
  <c r="J2" i="143"/>
  <c r="G2" i="143"/>
  <c r="A2" i="143"/>
  <c r="G8" i="142"/>
  <c r="J8" i="142"/>
  <c r="G9" i="142"/>
  <c r="J9" i="142"/>
  <c r="G10" i="142"/>
  <c r="J10" i="142"/>
  <c r="G11" i="142"/>
  <c r="J11" i="142"/>
  <c r="G12" i="142"/>
  <c r="J12" i="142"/>
  <c r="S5" i="143" l="1"/>
  <c r="U5" i="143"/>
  <c r="W5" i="143"/>
  <c r="T5" i="143"/>
  <c r="J20" i="143"/>
  <c r="G20" i="143"/>
  <c r="I18" i="142"/>
  <c r="H18" i="142"/>
  <c r="F18" i="142"/>
  <c r="E18" i="142"/>
  <c r="J17" i="142"/>
  <c r="G17" i="142"/>
  <c r="J16" i="142"/>
  <c r="G16" i="142"/>
  <c r="J15" i="142"/>
  <c r="G15" i="142"/>
  <c r="J14" i="142"/>
  <c r="G14" i="142"/>
  <c r="J13" i="142"/>
  <c r="G13" i="142"/>
  <c r="J7" i="142"/>
  <c r="G7" i="142"/>
  <c r="J6" i="142"/>
  <c r="G6" i="142"/>
  <c r="R5" i="142"/>
  <c r="T5" i="142" s="1"/>
  <c r="J5" i="142"/>
  <c r="G5" i="142"/>
  <c r="J4" i="142"/>
  <c r="G4" i="142"/>
  <c r="J3" i="142"/>
  <c r="G3" i="142"/>
  <c r="J2" i="142"/>
  <c r="G2" i="142"/>
  <c r="A2" i="142"/>
  <c r="J7" i="141"/>
  <c r="G7" i="141"/>
  <c r="J6" i="141"/>
  <c r="G6" i="141"/>
  <c r="G18" i="142" l="1"/>
  <c r="U5" i="142"/>
  <c r="J18" i="142"/>
  <c r="V5" i="142"/>
  <c r="S5" i="142"/>
  <c r="W5" i="142"/>
  <c r="I16" i="141"/>
  <c r="H16" i="141"/>
  <c r="F16" i="141"/>
  <c r="E16" i="141"/>
  <c r="J15" i="141"/>
  <c r="G15" i="141"/>
  <c r="J14" i="141"/>
  <c r="G14" i="141"/>
  <c r="J13" i="141"/>
  <c r="G13" i="141"/>
  <c r="J12" i="141"/>
  <c r="G12" i="141"/>
  <c r="J11" i="141"/>
  <c r="G11" i="141"/>
  <c r="J10" i="141"/>
  <c r="G10" i="141"/>
  <c r="J9" i="141"/>
  <c r="G9" i="141"/>
  <c r="J8" i="141"/>
  <c r="G8" i="141"/>
  <c r="R5" i="141"/>
  <c r="U5" i="141" s="1"/>
  <c r="J5" i="141"/>
  <c r="G5" i="141"/>
  <c r="J4" i="141"/>
  <c r="G4" i="141"/>
  <c r="J3" i="141"/>
  <c r="G3" i="141"/>
  <c r="J2" i="141"/>
  <c r="G2" i="141"/>
  <c r="A2" i="141"/>
  <c r="I14" i="140"/>
  <c r="H14" i="140"/>
  <c r="F14" i="140"/>
  <c r="E14" i="140"/>
  <c r="J13" i="140"/>
  <c r="G13" i="140"/>
  <c r="J12" i="140"/>
  <c r="G12" i="140"/>
  <c r="J11" i="140"/>
  <c r="G11" i="140"/>
  <c r="J10" i="140"/>
  <c r="G10" i="140"/>
  <c r="J9" i="140"/>
  <c r="G9" i="140"/>
  <c r="J8" i="140"/>
  <c r="G8" i="140"/>
  <c r="J7" i="140"/>
  <c r="G7" i="140"/>
  <c r="J6" i="140"/>
  <c r="G6" i="140"/>
  <c r="R5" i="140"/>
  <c r="V5" i="140" s="1"/>
  <c r="J5" i="140"/>
  <c r="G5" i="140"/>
  <c r="J4" i="140"/>
  <c r="G4" i="140"/>
  <c r="J3" i="140"/>
  <c r="G3" i="140"/>
  <c r="J2" i="140"/>
  <c r="G2" i="140"/>
  <c r="A2" i="140"/>
  <c r="I17" i="139"/>
  <c r="H17" i="139"/>
  <c r="F17" i="139"/>
  <c r="E17" i="139"/>
  <c r="J16" i="139"/>
  <c r="G16" i="139"/>
  <c r="J15" i="139"/>
  <c r="G15" i="139"/>
  <c r="J14" i="139"/>
  <c r="G14" i="139"/>
  <c r="J13" i="139"/>
  <c r="G13" i="139"/>
  <c r="J12" i="139"/>
  <c r="G12" i="139"/>
  <c r="J11" i="139"/>
  <c r="G11" i="139"/>
  <c r="J10" i="139"/>
  <c r="G10" i="139"/>
  <c r="J9" i="139"/>
  <c r="G9" i="139"/>
  <c r="J8" i="139"/>
  <c r="G8" i="139"/>
  <c r="J7" i="139"/>
  <c r="G7" i="139"/>
  <c r="J6" i="139"/>
  <c r="G6" i="139"/>
  <c r="R5" i="139"/>
  <c r="W5" i="139" s="1"/>
  <c r="J5" i="139"/>
  <c r="G5" i="139"/>
  <c r="J4" i="139"/>
  <c r="G4" i="139"/>
  <c r="J3" i="139"/>
  <c r="G3" i="139"/>
  <c r="J2" i="139"/>
  <c r="G2" i="139"/>
  <c r="A2" i="139"/>
  <c r="G7" i="138"/>
  <c r="G8" i="138"/>
  <c r="G9" i="138"/>
  <c r="G10" i="138"/>
  <c r="G3" i="138"/>
  <c r="G4" i="138"/>
  <c r="J16" i="141" l="1"/>
  <c r="G16" i="141"/>
  <c r="V5" i="141"/>
  <c r="S5" i="141"/>
  <c r="W5" i="141"/>
  <c r="T5" i="141"/>
  <c r="J14" i="140"/>
  <c r="G14" i="140"/>
  <c r="U5" i="140"/>
  <c r="W5" i="140"/>
  <c r="S5" i="140"/>
  <c r="T5" i="140"/>
  <c r="T5" i="139"/>
  <c r="U5" i="139"/>
  <c r="J17" i="139"/>
  <c r="G17" i="139"/>
  <c r="V5" i="139"/>
  <c r="S5" i="139"/>
  <c r="J3" i="138"/>
  <c r="J4" i="138"/>
  <c r="J5" i="138"/>
  <c r="J6" i="138"/>
  <c r="J7" i="138"/>
  <c r="J8" i="138"/>
  <c r="J9" i="138"/>
  <c r="J10" i="138"/>
  <c r="J11" i="138"/>
  <c r="J12" i="138"/>
  <c r="I17" i="138"/>
  <c r="H17" i="138"/>
  <c r="F17" i="138"/>
  <c r="E17" i="138"/>
  <c r="J16" i="138"/>
  <c r="G16" i="138"/>
  <c r="J15" i="138"/>
  <c r="G15" i="138"/>
  <c r="J14" i="138"/>
  <c r="G14" i="138"/>
  <c r="J13" i="138"/>
  <c r="G13" i="138"/>
  <c r="G12" i="138"/>
  <c r="G11" i="138"/>
  <c r="G6" i="138"/>
  <c r="R5" i="138"/>
  <c r="T5" i="138" s="1"/>
  <c r="G5" i="138"/>
  <c r="J2" i="138"/>
  <c r="G2" i="138"/>
  <c r="A2" i="138"/>
  <c r="G3" i="137"/>
  <c r="G4" i="137"/>
  <c r="G5" i="137"/>
  <c r="G6" i="137"/>
  <c r="G7" i="137"/>
  <c r="G8" i="137"/>
  <c r="G9" i="137"/>
  <c r="G10" i="137"/>
  <c r="G11" i="137"/>
  <c r="J3" i="137"/>
  <c r="J4" i="137"/>
  <c r="J5" i="137"/>
  <c r="J6" i="137"/>
  <c r="J7" i="137"/>
  <c r="J8" i="137"/>
  <c r="J9" i="137"/>
  <c r="J10" i="137"/>
  <c r="J11" i="137"/>
  <c r="R5" i="137"/>
  <c r="W5" i="137" s="1"/>
  <c r="I12" i="137"/>
  <c r="H12" i="137"/>
  <c r="F12" i="137"/>
  <c r="E12" i="137"/>
  <c r="J2" i="137"/>
  <c r="G2" i="137"/>
  <c r="A2" i="137"/>
  <c r="J8" i="136"/>
  <c r="G6" i="136"/>
  <c r="G8" i="136"/>
  <c r="G9" i="136"/>
  <c r="U5" i="138" l="1"/>
  <c r="J17" i="138"/>
  <c r="G17" i="138"/>
  <c r="V5" i="138"/>
  <c r="S5" i="138"/>
  <c r="W5" i="138"/>
  <c r="J12" i="137"/>
  <c r="U5" i="137"/>
  <c r="T5" i="137"/>
  <c r="G12" i="137"/>
  <c r="V5" i="137"/>
  <c r="S5" i="137"/>
  <c r="I17" i="136"/>
  <c r="H17" i="136"/>
  <c r="F17" i="136"/>
  <c r="E17" i="136"/>
  <c r="J16" i="136"/>
  <c r="G16" i="136"/>
  <c r="J15" i="136"/>
  <c r="G15" i="136"/>
  <c r="J14" i="136"/>
  <c r="G14" i="136"/>
  <c r="J13" i="136"/>
  <c r="G13" i="136"/>
  <c r="J12" i="136"/>
  <c r="G12" i="136"/>
  <c r="J11" i="136"/>
  <c r="G11" i="136"/>
  <c r="J10" i="136"/>
  <c r="G10" i="136"/>
  <c r="J9" i="136"/>
  <c r="R5" i="136"/>
  <c r="U5" i="136" s="1"/>
  <c r="J5" i="136"/>
  <c r="G5" i="136"/>
  <c r="J4" i="136"/>
  <c r="G4" i="136"/>
  <c r="J2" i="136"/>
  <c r="G2" i="136"/>
  <c r="A2" i="136"/>
  <c r="I10" i="71"/>
  <c r="J9" i="135"/>
  <c r="G13" i="135"/>
  <c r="J13" i="135"/>
  <c r="G14" i="135"/>
  <c r="J14" i="135"/>
  <c r="G15" i="135"/>
  <c r="G16" i="135"/>
  <c r="G17" i="135"/>
  <c r="G10" i="135"/>
  <c r="G11" i="135"/>
  <c r="G12" i="135"/>
  <c r="J10" i="135"/>
  <c r="J11" i="135"/>
  <c r="J12" i="135"/>
  <c r="J17" i="136" l="1"/>
  <c r="S5" i="136"/>
  <c r="T5" i="136"/>
  <c r="W5" i="136"/>
  <c r="G17" i="136"/>
  <c r="V5" i="136"/>
  <c r="I18" i="135"/>
  <c r="H18" i="135"/>
  <c r="F18" i="135"/>
  <c r="E18" i="135"/>
  <c r="J17" i="135"/>
  <c r="J16" i="135"/>
  <c r="J15" i="135"/>
  <c r="G9" i="135"/>
  <c r="J8" i="135"/>
  <c r="G8" i="135"/>
  <c r="J7" i="135"/>
  <c r="G7" i="135"/>
  <c r="J6" i="135"/>
  <c r="G6" i="135"/>
  <c r="R5" i="135"/>
  <c r="U5" i="135" s="1"/>
  <c r="J5" i="135"/>
  <c r="G5" i="135"/>
  <c r="J4" i="135"/>
  <c r="G4" i="135"/>
  <c r="J3" i="135"/>
  <c r="G3" i="135"/>
  <c r="J2" i="135"/>
  <c r="G2" i="135"/>
  <c r="A2" i="135"/>
  <c r="I22" i="134"/>
  <c r="F22" i="134"/>
  <c r="H22" i="134"/>
  <c r="E22" i="134"/>
  <c r="J19" i="134"/>
  <c r="J20" i="134"/>
  <c r="J21" i="134"/>
  <c r="G19" i="134"/>
  <c r="G20" i="134"/>
  <c r="G21" i="134"/>
  <c r="J18" i="135" l="1"/>
  <c r="G18" i="135"/>
  <c r="S5" i="135"/>
  <c r="T5" i="135"/>
  <c r="W5" i="135"/>
  <c r="V5" i="135"/>
  <c r="J7" i="134"/>
  <c r="G7" i="134"/>
  <c r="J9" i="134"/>
  <c r="J10" i="134"/>
  <c r="J11" i="134"/>
  <c r="J12" i="134"/>
  <c r="J13" i="134"/>
  <c r="J14" i="134"/>
  <c r="J15" i="134"/>
  <c r="J16" i="134"/>
  <c r="J17" i="134"/>
  <c r="J18" i="134"/>
  <c r="G9" i="134"/>
  <c r="G10" i="134"/>
  <c r="G11" i="134"/>
  <c r="G12" i="134"/>
  <c r="G13" i="134"/>
  <c r="G14" i="134"/>
  <c r="G15" i="134"/>
  <c r="G16" i="134"/>
  <c r="G17" i="134"/>
  <c r="G18" i="134"/>
  <c r="J8" i="134" l="1"/>
  <c r="G8" i="134"/>
  <c r="J6" i="134"/>
  <c r="G6" i="134"/>
  <c r="R5" i="134"/>
  <c r="V5" i="134" s="1"/>
  <c r="J5" i="134"/>
  <c r="G5" i="134"/>
  <c r="J4" i="134"/>
  <c r="G4" i="134"/>
  <c r="J3" i="134"/>
  <c r="G3" i="134"/>
  <c r="J2" i="134"/>
  <c r="G2" i="134"/>
  <c r="A2" i="134"/>
  <c r="H10" i="133"/>
  <c r="G13" i="133"/>
  <c r="J13" i="133"/>
  <c r="G22" i="134" l="1"/>
  <c r="J22" i="134"/>
  <c r="S5" i="134"/>
  <c r="W5" i="134"/>
  <c r="T5" i="134"/>
  <c r="U5" i="134"/>
  <c r="G7" i="133"/>
  <c r="G8" i="133"/>
  <c r="G9" i="133"/>
  <c r="G10" i="133"/>
  <c r="G11" i="133"/>
  <c r="J4" i="133"/>
  <c r="J5" i="133"/>
  <c r="J6" i="133"/>
  <c r="J7" i="133"/>
  <c r="J8" i="133"/>
  <c r="J9" i="133"/>
  <c r="J10" i="133"/>
  <c r="J11" i="133"/>
  <c r="I14" i="133"/>
  <c r="H14" i="133"/>
  <c r="F14" i="133"/>
  <c r="E14" i="133"/>
  <c r="J12" i="133"/>
  <c r="G12" i="133"/>
  <c r="G6" i="133"/>
  <c r="R5" i="133"/>
  <c r="W5" i="133" s="1"/>
  <c r="G5" i="133"/>
  <c r="G4" i="133"/>
  <c r="J3" i="133"/>
  <c r="G3" i="133"/>
  <c r="J2" i="133"/>
  <c r="G2" i="133"/>
  <c r="A2" i="133"/>
  <c r="I17" i="132"/>
  <c r="H17" i="132"/>
  <c r="J6" i="132"/>
  <c r="J8" i="132"/>
  <c r="J9" i="132"/>
  <c r="J10" i="132"/>
  <c r="J11" i="132"/>
  <c r="J12" i="132"/>
  <c r="J13" i="132"/>
  <c r="J14" i="132"/>
  <c r="J15" i="132"/>
  <c r="J16" i="132"/>
  <c r="G6" i="132"/>
  <c r="G8" i="132"/>
  <c r="G9" i="132"/>
  <c r="G10" i="132"/>
  <c r="G11" i="132"/>
  <c r="G12" i="132"/>
  <c r="G13" i="132"/>
  <c r="G14" i="132"/>
  <c r="G15" i="132"/>
  <c r="G16" i="132"/>
  <c r="T5" i="133" l="1"/>
  <c r="U5" i="133"/>
  <c r="J14" i="133"/>
  <c r="G14" i="133"/>
  <c r="V5" i="133"/>
  <c r="S5" i="133"/>
  <c r="F17" i="132"/>
  <c r="E17" i="132"/>
  <c r="R5" i="132"/>
  <c r="W5" i="132" s="1"/>
  <c r="J5" i="132"/>
  <c r="G5" i="132"/>
  <c r="J4" i="132"/>
  <c r="G4" i="132"/>
  <c r="J3" i="132"/>
  <c r="G3" i="132"/>
  <c r="J2" i="132"/>
  <c r="G2" i="132"/>
  <c r="A2" i="132"/>
  <c r="I17" i="131"/>
  <c r="H17" i="131"/>
  <c r="F17" i="131"/>
  <c r="E17" i="131"/>
  <c r="J16" i="131"/>
  <c r="G16" i="131"/>
  <c r="J15" i="131"/>
  <c r="G15" i="131"/>
  <c r="J14" i="131"/>
  <c r="G14" i="131"/>
  <c r="J13" i="131"/>
  <c r="G13" i="131"/>
  <c r="J12" i="131"/>
  <c r="G12" i="131"/>
  <c r="J11" i="131"/>
  <c r="G11" i="131"/>
  <c r="J8" i="131"/>
  <c r="G8" i="131"/>
  <c r="J7" i="131"/>
  <c r="G7" i="131"/>
  <c r="J6" i="131"/>
  <c r="G6" i="131"/>
  <c r="R5" i="131"/>
  <c r="U5" i="131" s="1"/>
  <c r="J5" i="131"/>
  <c r="G5" i="131"/>
  <c r="J4" i="131"/>
  <c r="G4" i="131"/>
  <c r="J3" i="131"/>
  <c r="G3" i="131"/>
  <c r="J2" i="131"/>
  <c r="G2" i="131"/>
  <c r="A2" i="131"/>
  <c r="I18" i="130"/>
  <c r="H18" i="130"/>
  <c r="F18" i="130"/>
  <c r="E18" i="130"/>
  <c r="J17" i="130"/>
  <c r="G17" i="130"/>
  <c r="J16" i="130"/>
  <c r="G16" i="130"/>
  <c r="J15" i="130"/>
  <c r="G15" i="130"/>
  <c r="J14" i="130"/>
  <c r="G14" i="130"/>
  <c r="J13" i="130"/>
  <c r="G13" i="130"/>
  <c r="J12" i="130"/>
  <c r="G12" i="130"/>
  <c r="J11" i="130"/>
  <c r="G11" i="130"/>
  <c r="J10" i="130"/>
  <c r="G10" i="130"/>
  <c r="J9" i="130"/>
  <c r="G9" i="130"/>
  <c r="J8" i="130"/>
  <c r="G8" i="130"/>
  <c r="J7" i="130"/>
  <c r="G7" i="130"/>
  <c r="J6" i="130"/>
  <c r="G6" i="130"/>
  <c r="R5" i="130"/>
  <c r="V5" i="130" s="1"/>
  <c r="J5" i="130"/>
  <c r="G5" i="130"/>
  <c r="J4" i="130"/>
  <c r="G4" i="130"/>
  <c r="J3" i="130"/>
  <c r="G3" i="130"/>
  <c r="J2" i="130"/>
  <c r="G2" i="130"/>
  <c r="A2" i="130"/>
  <c r="G18" i="129"/>
  <c r="J18" i="129"/>
  <c r="F19" i="129"/>
  <c r="H19" i="129"/>
  <c r="I19" i="129"/>
  <c r="E19" i="129"/>
  <c r="J17" i="129"/>
  <c r="G17" i="129"/>
  <c r="J16" i="129"/>
  <c r="G16" i="129"/>
  <c r="J15" i="129"/>
  <c r="G15" i="129"/>
  <c r="J14" i="129"/>
  <c r="G14" i="129"/>
  <c r="J13" i="129"/>
  <c r="G13" i="129"/>
  <c r="J12" i="129"/>
  <c r="G12" i="129"/>
  <c r="J11" i="129"/>
  <c r="G11" i="129"/>
  <c r="J10" i="129"/>
  <c r="G10" i="129"/>
  <c r="J9" i="129"/>
  <c r="G9" i="129"/>
  <c r="J8" i="129"/>
  <c r="G8" i="129"/>
  <c r="J7" i="129"/>
  <c r="G7" i="129"/>
  <c r="J6" i="129"/>
  <c r="G6" i="129"/>
  <c r="R5" i="129"/>
  <c r="U5" i="129" s="1"/>
  <c r="J5" i="129"/>
  <c r="G5" i="129"/>
  <c r="J4" i="129"/>
  <c r="G4" i="129"/>
  <c r="J3" i="129"/>
  <c r="G3" i="129"/>
  <c r="J2" i="129"/>
  <c r="G2" i="129"/>
  <c r="A2" i="129"/>
  <c r="I9" i="128"/>
  <c r="H9" i="128"/>
  <c r="F9" i="128"/>
  <c r="E9" i="128"/>
  <c r="G8" i="128"/>
  <c r="J6" i="128"/>
  <c r="G6" i="128"/>
  <c r="R5" i="128"/>
  <c r="U5" i="128" s="1"/>
  <c r="J5" i="128"/>
  <c r="G5" i="128"/>
  <c r="J4" i="128"/>
  <c r="G4" i="128"/>
  <c r="J3" i="128"/>
  <c r="G3" i="128"/>
  <c r="J2" i="128"/>
  <c r="G2" i="128"/>
  <c r="A2" i="128"/>
  <c r="G17" i="132" l="1"/>
  <c r="J17" i="132"/>
  <c r="U5" i="132"/>
  <c r="T5" i="132"/>
  <c r="V5" i="132"/>
  <c r="S5" i="132"/>
  <c r="J17" i="131"/>
  <c r="G17" i="131"/>
  <c r="S5" i="131"/>
  <c r="W5" i="131"/>
  <c r="V5" i="131"/>
  <c r="T5" i="131"/>
  <c r="J18" i="130"/>
  <c r="G18" i="130"/>
  <c r="U5" i="130"/>
  <c r="W5" i="130"/>
  <c r="S5" i="130"/>
  <c r="T5" i="130"/>
  <c r="J19" i="129"/>
  <c r="G19" i="129"/>
  <c r="J9" i="128"/>
  <c r="S5" i="129"/>
  <c r="W5" i="129"/>
  <c r="T5" i="129"/>
  <c r="V5" i="129"/>
  <c r="G9" i="128"/>
  <c r="V5" i="128"/>
  <c r="S5" i="128"/>
  <c r="W5" i="128"/>
  <c r="T5" i="128"/>
  <c r="D34" i="45" l="1"/>
  <c r="C34" i="45"/>
  <c r="I18" i="127"/>
  <c r="H18" i="127"/>
  <c r="F18" i="127"/>
  <c r="E18" i="127"/>
  <c r="J16" i="127"/>
  <c r="G16" i="127"/>
  <c r="J15" i="127"/>
  <c r="G15" i="127"/>
  <c r="J14" i="127"/>
  <c r="G14" i="127"/>
  <c r="J13" i="127"/>
  <c r="G13" i="127"/>
  <c r="J12" i="127"/>
  <c r="G12" i="127"/>
  <c r="J11" i="127"/>
  <c r="G11" i="127"/>
  <c r="J10" i="127"/>
  <c r="G10" i="127"/>
  <c r="J9" i="127"/>
  <c r="G9" i="127"/>
  <c r="J8" i="127"/>
  <c r="G8" i="127"/>
  <c r="J6" i="127"/>
  <c r="G6" i="127"/>
  <c r="R5" i="127"/>
  <c r="W5" i="127" s="1"/>
  <c r="J5" i="127"/>
  <c r="G5" i="127"/>
  <c r="J4" i="127"/>
  <c r="G4" i="127"/>
  <c r="J2" i="127"/>
  <c r="G2" i="127"/>
  <c r="A2" i="127"/>
  <c r="C35" i="45" l="1"/>
  <c r="J18" i="127"/>
  <c r="T5" i="127"/>
  <c r="U5" i="127"/>
  <c r="G18" i="127"/>
  <c r="V5" i="127"/>
  <c r="S5" i="127"/>
  <c r="A4" i="71" l="1"/>
  <c r="A5" i="71"/>
  <c r="A6" i="71"/>
  <c r="A7" i="71"/>
  <c r="A8" i="71"/>
  <c r="A9" i="71"/>
  <c r="A10" i="71"/>
  <c r="A11" i="71"/>
  <c r="A12" i="71"/>
  <c r="A13" i="71"/>
  <c r="A14" i="71"/>
  <c r="A15" i="71"/>
  <c r="A16" i="71"/>
  <c r="A17" i="71"/>
  <c r="A18" i="71"/>
  <c r="A19" i="71"/>
  <c r="A20" i="71"/>
  <c r="A21" i="71"/>
  <c r="A22" i="71"/>
  <c r="A23" i="71"/>
  <c r="A24" i="71"/>
  <c r="A25" i="71"/>
  <c r="A26" i="71"/>
  <c r="A27" i="71"/>
  <c r="A28" i="71"/>
  <c r="A29" i="71"/>
  <c r="A30" i="71"/>
  <c r="A31" i="71"/>
  <c r="A32" i="71"/>
  <c r="A3" i="71"/>
  <c r="G26" i="71" l="1"/>
  <c r="H26" i="71" s="1"/>
  <c r="G27" i="71"/>
  <c r="I27" i="71" s="1"/>
  <c r="K26" i="71" l="1"/>
  <c r="L27" i="71"/>
  <c r="K27" i="71"/>
  <c r="J27" i="71"/>
  <c r="H27" i="71"/>
  <c r="M27" i="71" s="1"/>
  <c r="I26" i="71"/>
  <c r="M26" i="71" s="1"/>
  <c r="J26" i="71"/>
  <c r="L26" i="71"/>
  <c r="C33" i="71" l="1"/>
  <c r="B33" i="71"/>
  <c r="D33" i="71"/>
  <c r="E33" i="71"/>
  <c r="F33" i="71"/>
  <c r="G29" i="71"/>
  <c r="H29" i="71" s="1"/>
  <c r="K29" i="71" l="1"/>
  <c r="I29" i="71"/>
  <c r="J29" i="71"/>
  <c r="L29" i="71"/>
  <c r="M29" i="71" l="1"/>
  <c r="G20" i="71"/>
  <c r="H20" i="71" s="1"/>
  <c r="G21" i="71"/>
  <c r="K21" i="71" s="1"/>
  <c r="G22" i="71"/>
  <c r="J22" i="71" s="1"/>
  <c r="G23" i="71"/>
  <c r="J23" i="71" s="1"/>
  <c r="G24" i="71"/>
  <c r="J24" i="71" s="1"/>
  <c r="G25" i="71"/>
  <c r="J25" i="71" s="1"/>
  <c r="G28" i="71"/>
  <c r="J28" i="71" s="1"/>
  <c r="G30" i="71"/>
  <c r="H30" i="71" s="1"/>
  <c r="G31" i="71"/>
  <c r="H31" i="71" s="1"/>
  <c r="G32" i="71"/>
  <c r="H32" i="71" s="1"/>
  <c r="K32" i="71" l="1"/>
  <c r="J20" i="71"/>
  <c r="J21" i="71"/>
  <c r="I20" i="71"/>
  <c r="K20" i="71"/>
  <c r="L20" i="71"/>
  <c r="I32" i="71"/>
  <c r="J32" i="71"/>
  <c r="L32" i="71"/>
  <c r="I31" i="71"/>
  <c r="K31" i="71"/>
  <c r="J31" i="71"/>
  <c r="L31" i="71"/>
  <c r="K30" i="71"/>
  <c r="J30" i="71"/>
  <c r="I30" i="71"/>
  <c r="L30" i="71"/>
  <c r="L28" i="71"/>
  <c r="H28" i="71"/>
  <c r="I28" i="71"/>
  <c r="K28" i="71"/>
  <c r="L25" i="71"/>
  <c r="K25" i="71"/>
  <c r="I25" i="71"/>
  <c r="H25" i="71"/>
  <c r="L24" i="71"/>
  <c r="H24" i="71"/>
  <c r="I24" i="71"/>
  <c r="K24" i="71"/>
  <c r="K23" i="71"/>
  <c r="I23" i="71"/>
  <c r="L23" i="71"/>
  <c r="H23" i="71"/>
  <c r="L22" i="71"/>
  <c r="K22" i="71"/>
  <c r="I22" i="71"/>
  <c r="H22" i="71"/>
  <c r="L21" i="71"/>
  <c r="H21" i="71"/>
  <c r="I21" i="71"/>
  <c r="M32" i="71" l="1"/>
  <c r="M31" i="71"/>
  <c r="M30" i="71"/>
  <c r="M22" i="71"/>
  <c r="M23" i="71"/>
  <c r="M25" i="71"/>
  <c r="M20" i="71"/>
  <c r="M28" i="71"/>
  <c r="M24" i="71"/>
  <c r="M21" i="71"/>
  <c r="G8" i="71" l="1"/>
  <c r="H8" i="71" s="1"/>
  <c r="K8" i="71" l="1"/>
  <c r="J8" i="71"/>
  <c r="I8" i="71"/>
  <c r="L8" i="71"/>
  <c r="M8" i="71" l="1"/>
  <c r="G4" i="71"/>
  <c r="L4" i="71" s="1"/>
  <c r="G5" i="71"/>
  <c r="L5" i="71" s="1"/>
  <c r="G6" i="71"/>
  <c r="G7" i="71"/>
  <c r="L7" i="71" s="1"/>
  <c r="G9" i="71"/>
  <c r="G10" i="71"/>
  <c r="L10" i="71" s="1"/>
  <c r="G11" i="71"/>
  <c r="L11" i="71" s="1"/>
  <c r="G12" i="71"/>
  <c r="L12" i="71" s="1"/>
  <c r="G13" i="71"/>
  <c r="L13" i="71" s="1"/>
  <c r="G14" i="71"/>
  <c r="L14" i="71" s="1"/>
  <c r="G15" i="71"/>
  <c r="L15" i="71" s="1"/>
  <c r="G16" i="71"/>
  <c r="L16" i="71" s="1"/>
  <c r="G17" i="71"/>
  <c r="L17" i="71" s="1"/>
  <c r="G18" i="71"/>
  <c r="L18" i="71" s="1"/>
  <c r="G19" i="71"/>
  <c r="L19" i="71" s="1"/>
  <c r="G3" i="71"/>
  <c r="L3" i="71" s="1"/>
  <c r="L9" i="71" l="1"/>
  <c r="G33" i="71"/>
  <c r="L6" i="71"/>
  <c r="L33" i="71" s="1"/>
  <c r="H4" i="71"/>
  <c r="J5" i="71"/>
  <c r="H5" i="71"/>
  <c r="I5" i="71"/>
  <c r="K5" i="71"/>
  <c r="H6" i="71"/>
  <c r="K6" i="71"/>
  <c r="J7" i="71"/>
  <c r="H7" i="71"/>
  <c r="I7" i="71"/>
  <c r="K7" i="71"/>
  <c r="J9" i="71"/>
  <c r="H9" i="71"/>
  <c r="I9" i="71"/>
  <c r="K9" i="71"/>
  <c r="H10" i="71"/>
  <c r="K10" i="71"/>
  <c r="J11" i="71"/>
  <c r="H11" i="71"/>
  <c r="I11" i="71"/>
  <c r="K11" i="71"/>
  <c r="H12" i="71"/>
  <c r="K12" i="71"/>
  <c r="J13" i="71"/>
  <c r="H13" i="71"/>
  <c r="I13" i="71"/>
  <c r="K13" i="71"/>
  <c r="H14" i="71"/>
  <c r="K14" i="71"/>
  <c r="J15" i="71"/>
  <c r="H15" i="71"/>
  <c r="I15" i="71"/>
  <c r="K15" i="71"/>
  <c r="H16" i="71"/>
  <c r="K16" i="71"/>
  <c r="J17" i="71"/>
  <c r="H17" i="71"/>
  <c r="I17" i="71"/>
  <c r="K17" i="71"/>
  <c r="H18" i="71"/>
  <c r="K18" i="71"/>
  <c r="J19" i="71"/>
  <c r="H19" i="71"/>
  <c r="I19" i="71"/>
  <c r="K19" i="71"/>
  <c r="M5" i="71" l="1"/>
  <c r="M17" i="71"/>
  <c r="M15" i="71"/>
  <c r="M11" i="71"/>
  <c r="M19" i="71"/>
  <c r="M13" i="71"/>
  <c r="M9" i="71"/>
  <c r="M7" i="71"/>
  <c r="K4" i="71"/>
  <c r="J18" i="71"/>
  <c r="J16" i="71"/>
  <c r="J14" i="71"/>
  <c r="J12" i="71"/>
  <c r="J10" i="71"/>
  <c r="J6" i="71"/>
  <c r="J4" i="71"/>
  <c r="I18" i="71"/>
  <c r="I16" i="71"/>
  <c r="I14" i="71"/>
  <c r="I12" i="71"/>
  <c r="I6" i="71"/>
  <c r="I4" i="71"/>
  <c r="M18" i="71" l="1"/>
  <c r="M10" i="71"/>
  <c r="M16" i="71"/>
  <c r="M6" i="71"/>
  <c r="M12" i="71"/>
  <c r="M4" i="71"/>
  <c r="M14" i="71"/>
  <c r="H3" i="71" l="1"/>
  <c r="H33" i="71" s="1"/>
  <c r="J3" i="71" l="1"/>
  <c r="J33" i="71" s="1"/>
  <c r="K3" i="71"/>
  <c r="K33" i="71" s="1"/>
  <c r="I3" i="71"/>
  <c r="I33" i="71" s="1"/>
  <c r="M3" i="71" l="1"/>
  <c r="M33" i="71" s="1"/>
</calcChain>
</file>

<file path=xl/sharedStrings.xml><?xml version="1.0" encoding="utf-8"?>
<sst xmlns="http://schemas.openxmlformats.org/spreadsheetml/2006/main" count="671" uniqueCount="95">
  <si>
    <t>HG</t>
  </si>
  <si>
    <t>LG</t>
  </si>
  <si>
    <t>Date</t>
  </si>
  <si>
    <t>Total</t>
  </si>
  <si>
    <t>%</t>
  </si>
  <si>
    <t xml:space="preserve">Time </t>
  </si>
  <si>
    <t>% Cao</t>
  </si>
  <si>
    <t>WB Weight</t>
  </si>
  <si>
    <t>Qty</t>
  </si>
  <si>
    <t>No of Trips as per WB</t>
  </si>
  <si>
    <t xml:space="preserve">Diff in No of Trips </t>
  </si>
  <si>
    <t>TOTAL</t>
  </si>
  <si>
    <t>Diff in Weight</t>
  </si>
  <si>
    <t>DATE</t>
  </si>
  <si>
    <t>% MgO</t>
  </si>
  <si>
    <t>HG-MgO</t>
  </si>
  <si>
    <t>LG-MgO</t>
  </si>
  <si>
    <t>CLAY</t>
  </si>
  <si>
    <t>Clay</t>
  </si>
  <si>
    <t>Tons</t>
  </si>
  <si>
    <t>QTY</t>
  </si>
  <si>
    <t>No of Trips as per Shift Chemist.</t>
  </si>
  <si>
    <t>QC Chemist. Weights</t>
  </si>
  <si>
    <t>Shift Chemist. Names</t>
  </si>
  <si>
    <t>MINES TO CEMENT MILL</t>
  </si>
  <si>
    <t>STOCK TO CEMENT MILL</t>
  </si>
  <si>
    <t>01.05.2026</t>
  </si>
  <si>
    <t>03.05.2026</t>
  </si>
  <si>
    <t>02.05.2026</t>
  </si>
  <si>
    <t>1 TO 5</t>
  </si>
  <si>
    <t>24.TO 2.00</t>
  </si>
  <si>
    <t>CEMENT MILL</t>
  </si>
  <si>
    <t>ELLY &amp; DIONIZ</t>
  </si>
  <si>
    <t>KAIMU &amp; SAID B</t>
  </si>
  <si>
    <t>04.05.2026</t>
  </si>
  <si>
    <t>9.3 TO 11</t>
  </si>
  <si>
    <t>12 TO 14</t>
  </si>
  <si>
    <t>15 TO 17</t>
  </si>
  <si>
    <t>18.40 TO 19.30</t>
  </si>
  <si>
    <t>ABDUL &amp; BINGORA</t>
  </si>
  <si>
    <t>05.05.2026</t>
  </si>
  <si>
    <t>10.40 TO 12</t>
  </si>
  <si>
    <t>17 TO 19</t>
  </si>
  <si>
    <t>06.05.2026</t>
  </si>
  <si>
    <t>12TO 14</t>
  </si>
  <si>
    <t>ELLY &amp; TEDDY</t>
  </si>
  <si>
    <t>07.05.2026</t>
  </si>
  <si>
    <t>01 TO 3</t>
  </si>
  <si>
    <t>4 TO 6</t>
  </si>
  <si>
    <t>ABDUL &amp; ELLY</t>
  </si>
  <si>
    <t>SAID &amp; KAIMU</t>
  </si>
  <si>
    <t>08.05.2026</t>
  </si>
  <si>
    <t>CORRECTION PILE</t>
  </si>
  <si>
    <t>4.00 TO 5.00</t>
  </si>
  <si>
    <t>09.05.2026</t>
  </si>
  <si>
    <t>2 TO 05</t>
  </si>
  <si>
    <t>21 TO 01</t>
  </si>
  <si>
    <t>ELLY</t>
  </si>
  <si>
    <t>ELLY &amp; DIONIZE</t>
  </si>
  <si>
    <t>10.05.2026</t>
  </si>
  <si>
    <t>1.00 TO 3.00</t>
  </si>
  <si>
    <t>3.00 TO 5.00</t>
  </si>
  <si>
    <t>C/MILL LIMESTONE</t>
  </si>
  <si>
    <t>ELLY &amp; ABDUL</t>
  </si>
  <si>
    <t>11.05.2026</t>
  </si>
  <si>
    <t>0.00 TO 2.00</t>
  </si>
  <si>
    <t>2.00 TO 3.30</t>
  </si>
  <si>
    <t>16.30 TO 18.00</t>
  </si>
  <si>
    <t>12.05.2026</t>
  </si>
  <si>
    <t>6.48-7</t>
  </si>
  <si>
    <t>9 TO 11</t>
  </si>
  <si>
    <t>14.30 TO 16</t>
  </si>
  <si>
    <t>22 to 24</t>
  </si>
  <si>
    <t>BINGOLA &amp; ABDUL</t>
  </si>
  <si>
    <t>13.05.2026</t>
  </si>
  <si>
    <t>14.05.2026</t>
  </si>
  <si>
    <t>5.00 TO 7.00</t>
  </si>
  <si>
    <t>21.30 TO 23.00</t>
  </si>
  <si>
    <t>9.00 TO 10.45</t>
  </si>
  <si>
    <t>15.05.2026</t>
  </si>
  <si>
    <t>2.30 TO 4.30</t>
  </si>
  <si>
    <t>9.30 TO 10.45</t>
  </si>
  <si>
    <t>16.05.2026</t>
  </si>
  <si>
    <t>6 to 7.30</t>
  </si>
  <si>
    <t>17.05.2026</t>
  </si>
  <si>
    <t>18.05.2026</t>
  </si>
  <si>
    <t>10.00 TO 12.00</t>
  </si>
  <si>
    <t>14.00 TO 17.00</t>
  </si>
  <si>
    <t>3.50 TO 4.25</t>
  </si>
  <si>
    <t>19.05.2026</t>
  </si>
  <si>
    <t>17.3-19.00</t>
  </si>
  <si>
    <t>SAID B &amp; KAIMU</t>
  </si>
  <si>
    <t>20.05.2026</t>
  </si>
  <si>
    <t>21.00 TO 23.00</t>
  </si>
  <si>
    <t>ELLY &amp;DIONIZ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</si>
</sst>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]d\ mmm\ yyyy;@" x16r2:formatCode16="[$-en-TZ,1]d\ mmm\ yyyy;@"/>
  </numFmts>
  <fonts count="19">
    <font>
      <sz val="11"/>
      <color theme="1"/>
      <name val="Calibri"/>
      <family val="2"/>
      <scheme val="minor"/>
    </font>
    <font>
      <sz val="8"/>
      <name val="Arial"/>
      <family val="2"/>
    </font>
    <font>
      <sz val="8"/>
      <color theme="1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20"/>
      <color theme="1"/>
      <name val="Calibri"/>
      <family val="2"/>
      <scheme val="minor"/>
    </font>
    <font>
      <sz val="10"/>
      <name val="Arial"/>
      <family val="2"/>
    </font>
    <font>
      <b/>
      <sz val="12"/>
      <color theme="1"/>
      <name val="Calibri"/>
      <charset val="134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B050"/>
      <name val="Calibri"/>
      <family val="2"/>
      <scheme val="minor"/>
    </font>
    <font>
      <sz val="8"/>
      <color rgb="FF00B05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92D050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9">
    <xf numFmtId="0" fontId="0" fillId="0" borderId="0"/>
    <xf numFmtId="0" fontId="3" fillId="0" borderId="0"/>
    <xf numFmtId="0" fontId="4" fillId="0" borderId="0"/>
    <xf numFmtId="0" fontId="7" fillId="0" borderId="0"/>
    <xf numFmtId="0" fontId="3" fillId="0" borderId="0"/>
    <xf numFmtId="0" fontId="9" fillId="0" borderId="0"/>
    <xf numFmtId="0" fontId="10" fillId="0" borderId="0"/>
    <xf numFmtId="0" fontId="11" fillId="0" borderId="0"/>
    <xf numFmtId="0" fontId="13" fillId="0" borderId="0"/>
  </cellStyleXfs>
  <cellXfs count="12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3" borderId="8" xfId="0" applyFill="1" applyBorder="1" applyAlignment="1">
      <alignment horizontal="center"/>
    </xf>
    <xf numFmtId="2" fontId="0" fillId="2" borderId="8" xfId="0" applyNumberFormat="1" applyFill="1" applyBorder="1" applyAlignment="1">
      <alignment horizontal="center"/>
    </xf>
    <xf numFmtId="0" fontId="5" fillId="0" borderId="6" xfId="0" applyFont="1" applyBorder="1" applyAlignment="1">
      <alignment horizontal="center" vertical="center"/>
    </xf>
    <xf numFmtId="2" fontId="0" fillId="0" borderId="0" xfId="0" applyNumberFormat="1"/>
    <xf numFmtId="2" fontId="1" fillId="4" borderId="10" xfId="6" applyNumberFormat="1" applyFont="1" applyFill="1" applyBorder="1" applyAlignment="1">
      <alignment horizontal="center" vertical="center"/>
    </xf>
    <xf numFmtId="2" fontId="0" fillId="3" borderId="8" xfId="0" applyNumberFormat="1" applyFill="1" applyBorder="1" applyAlignment="1">
      <alignment horizontal="center"/>
    </xf>
    <xf numFmtId="0" fontId="1" fillId="0" borderId="1" xfId="6" applyFont="1" applyBorder="1" applyAlignment="1">
      <alignment horizontal="center" vertical="center"/>
    </xf>
    <xf numFmtId="2" fontId="5" fillId="0" borderId="6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2" fontId="1" fillId="0" borderId="1" xfId="0" applyNumberFormat="1" applyFont="1" applyBorder="1" applyAlignment="1">
      <alignment horizontal="center"/>
    </xf>
    <xf numFmtId="0" fontId="1" fillId="0" borderId="1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2" fontId="1" fillId="4" borderId="1" xfId="6" applyNumberFormat="1" applyFont="1" applyFill="1" applyBorder="1" applyAlignment="1">
      <alignment horizontal="center" vertical="center"/>
    </xf>
    <xf numFmtId="2" fontId="0" fillId="2" borderId="2" xfId="0" applyNumberFormat="1" applyFill="1" applyBorder="1" applyAlignment="1">
      <alignment horizontal="center"/>
    </xf>
    <xf numFmtId="2" fontId="0" fillId="2" borderId="3" xfId="0" applyNumberFormat="1" applyFill="1" applyBorder="1" applyAlignment="1">
      <alignment horizontal="center"/>
    </xf>
    <xf numFmtId="2" fontId="0" fillId="2" borderId="9" xfId="0" applyNumberFormat="1" applyFill="1" applyBorder="1" applyAlignment="1">
      <alignment horizontal="center"/>
    </xf>
    <xf numFmtId="0" fontId="0" fillId="0" borderId="5" xfId="0" applyBorder="1"/>
    <xf numFmtId="0" fontId="5" fillId="0" borderId="7" xfId="0" applyFont="1" applyBorder="1" applyAlignment="1">
      <alignment vertical="center" wrapText="1"/>
    </xf>
    <xf numFmtId="0" fontId="0" fillId="3" borderId="2" xfId="0" applyFill="1" applyBorder="1" applyAlignment="1">
      <alignment horizontal="center"/>
    </xf>
    <xf numFmtId="164" fontId="8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2" fontId="8" fillId="0" borderId="1" xfId="6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14" fontId="8" fillId="0" borderId="12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wrapText="1"/>
    </xf>
    <xf numFmtId="2" fontId="0" fillId="4" borderId="1" xfId="0" applyNumberFormat="1" applyFill="1" applyBorder="1" applyAlignment="1">
      <alignment horizontal="center" wrapText="1"/>
    </xf>
    <xf numFmtId="2" fontId="0" fillId="4" borderId="1" xfId="0" applyNumberFormat="1" applyFill="1" applyBorder="1" applyAlignment="1">
      <alignment horizontal="center" vertical="center" wrapText="1"/>
    </xf>
    <xf numFmtId="2" fontId="0" fillId="4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2" fontId="0" fillId="4" borderId="1" xfId="0" applyNumberFormat="1" applyFill="1" applyBorder="1" applyAlignment="1">
      <alignment horizontal="center" vertical="center"/>
    </xf>
    <xf numFmtId="0" fontId="0" fillId="3" borderId="16" xfId="0" applyFill="1" applyBorder="1" applyAlignment="1">
      <alignment horizontal="center"/>
    </xf>
    <xf numFmtId="2" fontId="0" fillId="3" borderId="17" xfId="0" applyNumberFormat="1" applyFill="1" applyBorder="1" applyAlignment="1">
      <alignment horizontal="center"/>
    </xf>
    <xf numFmtId="0" fontId="6" fillId="0" borderId="18" xfId="0" applyFont="1" applyBorder="1" applyAlignment="1">
      <alignment vertical="center"/>
    </xf>
    <xf numFmtId="2" fontId="1" fillId="0" borderId="11" xfId="0" applyNumberFormat="1" applyFont="1" applyBorder="1" applyAlignment="1">
      <alignment horizontal="center"/>
    </xf>
    <xf numFmtId="2" fontId="2" fillId="0" borderId="11" xfId="0" applyNumberFormat="1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0" fillId="3" borderId="22" xfId="0" applyFill="1" applyBorder="1" applyAlignment="1">
      <alignment horizontal="center"/>
    </xf>
    <xf numFmtId="2" fontId="0" fillId="3" borderId="22" xfId="0" applyNumberFormat="1" applyFill="1" applyBorder="1" applyAlignment="1">
      <alignment horizontal="center"/>
    </xf>
    <xf numFmtId="2" fontId="0" fillId="3" borderId="21" xfId="0" applyNumberFormat="1" applyFill="1" applyBorder="1" applyAlignment="1">
      <alignment horizontal="center"/>
    </xf>
    <xf numFmtId="2" fontId="0" fillId="3" borderId="23" xfId="0" applyNumberFormat="1" applyFill="1" applyBorder="1" applyAlignment="1">
      <alignment horizontal="center"/>
    </xf>
    <xf numFmtId="2" fontId="0" fillId="2" borderId="19" xfId="0" applyNumberFormat="1" applyFill="1" applyBorder="1" applyAlignment="1">
      <alignment horizontal="center"/>
    </xf>
    <xf numFmtId="2" fontId="0" fillId="2" borderId="21" xfId="0" applyNumberFormat="1" applyFill="1" applyBorder="1" applyAlignment="1">
      <alignment horizontal="center"/>
    </xf>
    <xf numFmtId="2" fontId="0" fillId="2" borderId="20" xfId="0" applyNumberFormat="1" applyFill="1" applyBorder="1" applyAlignment="1">
      <alignment horizontal="center"/>
    </xf>
    <xf numFmtId="0" fontId="14" fillId="0" borderId="5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2" fontId="15" fillId="0" borderId="1" xfId="0" applyNumberFormat="1" applyFont="1" applyBorder="1" applyAlignment="1" applyProtection="1">
      <alignment horizontal="center"/>
      <protection locked="0"/>
    </xf>
    <xf numFmtId="2" fontId="16" fillId="0" borderId="1" xfId="0" applyNumberFormat="1" applyFont="1" applyBorder="1" applyAlignment="1" applyProtection="1">
      <alignment horizontal="center"/>
      <protection locked="0"/>
    </xf>
    <xf numFmtId="0" fontId="6" fillId="0" borderId="14" xfId="0" applyFont="1" applyBorder="1" applyAlignment="1">
      <alignment vertical="center"/>
    </xf>
    <xf numFmtId="0" fontId="5" fillId="0" borderId="13" xfId="0" applyFont="1" applyBorder="1" applyAlignment="1">
      <alignment horizontal="center" vertical="center" wrapText="1"/>
    </xf>
    <xf numFmtId="0" fontId="0" fillId="3" borderId="22" xfId="0" applyFill="1" applyBorder="1" applyAlignment="1">
      <alignment horizontal="center"/>
    </xf>
    <xf numFmtId="0" fontId="0" fillId="3" borderId="22" xfId="0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2" fontId="15" fillId="0" borderId="28" xfId="0" applyNumberFormat="1" applyFont="1" applyBorder="1" applyAlignment="1" applyProtection="1">
      <alignment horizontal="center"/>
      <protection locked="0"/>
    </xf>
    <xf numFmtId="2" fontId="2" fillId="0" borderId="28" xfId="0" applyNumberFormat="1" applyFont="1" applyBorder="1" applyAlignment="1">
      <alignment horizontal="center"/>
    </xf>
    <xf numFmtId="2" fontId="16" fillId="0" borderId="28" xfId="0" applyNumberFormat="1" applyFont="1" applyBorder="1" applyAlignment="1" applyProtection="1">
      <alignment horizontal="center"/>
      <protection locked="0"/>
    </xf>
    <xf numFmtId="0" fontId="1" fillId="0" borderId="28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0" fillId="3" borderId="30" xfId="0" applyFill="1" applyBorder="1" applyAlignment="1">
      <alignment horizontal="center"/>
    </xf>
    <xf numFmtId="2" fontId="0" fillId="3" borderId="31" xfId="0" applyNumberFormat="1" applyFill="1" applyBorder="1" applyAlignment="1">
      <alignment horizontal="center"/>
    </xf>
    <xf numFmtId="2" fontId="17" fillId="5" borderId="1" xfId="0" applyNumberFormat="1" applyFont="1" applyFill="1" applyBorder="1" applyAlignment="1" applyProtection="1">
      <alignment horizontal="center"/>
      <protection locked="0"/>
    </xf>
    <xf numFmtId="2" fontId="18" fillId="5" borderId="1" xfId="0" applyNumberFormat="1" applyFont="1" applyFill="1" applyBorder="1" applyAlignment="1">
      <alignment horizontal="center"/>
    </xf>
    <xf numFmtId="2" fontId="1" fillId="6" borderId="1" xfId="6" applyNumberFormat="1" applyFont="1" applyFill="1" applyBorder="1" applyAlignment="1">
      <alignment horizontal="center" vertical="center"/>
    </xf>
    <xf numFmtId="2" fontId="1" fillId="5" borderId="1" xfId="6" applyNumberFormat="1" applyFont="1" applyFill="1" applyBorder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 applyAlignment="1">
      <alignment horizontal="center"/>
    </xf>
    <xf numFmtId="0" fontId="6" fillId="0" borderId="0" xfId="0" applyFont="1" applyBorder="1" applyAlignment="1">
      <alignment vertical="center"/>
    </xf>
    <xf numFmtId="0" fontId="1" fillId="0" borderId="1" xfId="0" applyFont="1" applyBorder="1" applyAlignment="1">
      <alignment horizontal="center"/>
    </xf>
    <xf numFmtId="2" fontId="1" fillId="0" borderId="32" xfId="0" applyNumberFormat="1" applyFont="1" applyBorder="1" applyAlignment="1">
      <alignment horizontal="center"/>
    </xf>
    <xf numFmtId="2" fontId="2" fillId="0" borderId="32" xfId="0" applyNumberFormat="1" applyFont="1" applyBorder="1" applyAlignment="1">
      <alignment horizontal="center"/>
    </xf>
    <xf numFmtId="0" fontId="1" fillId="0" borderId="32" xfId="0" applyFont="1" applyBorder="1" applyAlignment="1">
      <alignment horizontal="center" vertical="center"/>
    </xf>
    <xf numFmtId="2" fontId="1" fillId="4" borderId="32" xfId="6" applyNumberFormat="1" applyFont="1" applyFill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0" fontId="0" fillId="3" borderId="22" xfId="0" applyFill="1" applyBorder="1" applyAlignment="1">
      <alignment horizontal="center"/>
    </xf>
    <xf numFmtId="2" fontId="2" fillId="4" borderId="1" xfId="0" applyNumberFormat="1" applyFont="1" applyFill="1" applyBorder="1" applyAlignment="1">
      <alignment horizontal="center"/>
    </xf>
    <xf numFmtId="0" fontId="5" fillId="0" borderId="29" xfId="0" applyFont="1" applyBorder="1" applyAlignment="1">
      <alignment horizontal="center" vertical="center" wrapText="1"/>
    </xf>
    <xf numFmtId="0" fontId="0" fillId="3" borderId="22" xfId="0" applyFill="1" applyBorder="1" applyAlignment="1">
      <alignment horizontal="center"/>
    </xf>
    <xf numFmtId="0" fontId="6" fillId="0" borderId="0" xfId="0" applyFont="1" applyAlignment="1">
      <alignment vertical="center"/>
    </xf>
    <xf numFmtId="0" fontId="6" fillId="0" borderId="29" xfId="0" applyFont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2" fontId="1" fillId="7" borderId="1" xfId="6" applyNumberFormat="1" applyFont="1" applyFill="1" applyBorder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6" fillId="0" borderId="15" xfId="0" applyFont="1" applyBorder="1" applyAlignment="1">
      <alignment vertical="center"/>
    </xf>
    <xf numFmtId="0" fontId="0" fillId="3" borderId="22" xfId="0" applyFill="1" applyBorder="1" applyAlignment="1">
      <alignment horizontal="center"/>
    </xf>
    <xf numFmtId="0" fontId="1" fillId="6" borderId="1" xfId="0" applyFont="1" applyFill="1" applyBorder="1" applyAlignment="1">
      <alignment horizontal="center" vertical="center"/>
    </xf>
    <xf numFmtId="2" fontId="6" fillId="0" borderId="0" xfId="0" applyNumberFormat="1" applyFont="1" applyAlignment="1">
      <alignment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 applyAlignment="1">
      <alignment horizontal="center"/>
    </xf>
    <xf numFmtId="2" fontId="6" fillId="0" borderId="0" xfId="0" applyNumberFormat="1" applyFont="1" applyBorder="1" applyAlignment="1">
      <alignment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 applyAlignment="1">
      <alignment horizontal="center"/>
    </xf>
    <xf numFmtId="0" fontId="1" fillId="0" borderId="32" xfId="0" applyFont="1" applyBorder="1" applyAlignment="1">
      <alignment horizontal="center"/>
    </xf>
    <xf numFmtId="2" fontId="2" fillId="4" borderId="32" xfId="0" applyNumberFormat="1" applyFont="1" applyFill="1" applyBorder="1" applyAlignment="1">
      <alignment horizontal="center"/>
    </xf>
    <xf numFmtId="0" fontId="5" fillId="0" borderId="20" xfId="0" applyFont="1" applyBorder="1" applyAlignment="1">
      <alignment vertical="center" wrapText="1"/>
    </xf>
    <xf numFmtId="2" fontId="5" fillId="0" borderId="7" xfId="0" applyNumberFormat="1" applyFont="1" applyBorder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0" fillId="3" borderId="22" xfId="0" applyFill="1" applyBorder="1" applyAlignment="1">
      <alignment horizontal="center"/>
    </xf>
    <xf numFmtId="0" fontId="0" fillId="3" borderId="20" xfId="0" applyFill="1" applyBorder="1" applyAlignment="1">
      <alignment horizontal="center"/>
    </xf>
    <xf numFmtId="0" fontId="0" fillId="4" borderId="24" xfId="0" applyFill="1" applyBorder="1" applyAlignment="1">
      <alignment horizontal="center"/>
    </xf>
    <xf numFmtId="0" fontId="0" fillId="4" borderId="25" xfId="0" applyFill="1" applyBorder="1" applyAlignment="1">
      <alignment horizontal="center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0" fillId="4" borderId="22" xfId="0" applyFill="1" applyBorder="1" applyAlignment="1">
      <alignment horizontal="center"/>
    </xf>
    <xf numFmtId="0" fontId="0" fillId="4" borderId="21" xfId="0" applyFill="1" applyBorder="1" applyAlignment="1">
      <alignment horizontal="center"/>
    </xf>
    <xf numFmtId="0" fontId="0" fillId="4" borderId="20" xfId="0" applyFill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2" fontId="8" fillId="0" borderId="10" xfId="6" applyNumberFormat="1" applyFont="1" applyBorder="1" applyAlignment="1">
      <alignment horizontal="center" vertical="center"/>
    </xf>
    <xf numFmtId="2" fontId="8" fillId="0" borderId="26" xfId="6" applyNumberFormat="1" applyFont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9">
    <cellStyle name="Normal" xfId="0" builtinId="0"/>
    <cellStyle name="Normal 2" xfId="2" xr:uid="{DBE17A66-0E14-4F3A-807E-C4CCB49E8181}"/>
    <cellStyle name="Normal 2 2" xfId="4" xr:uid="{14504457-085A-4A79-8C38-48ECEF047D7F}"/>
    <cellStyle name="Normal 3" xfId="1" xr:uid="{00000000-0005-0000-0000-00002F000000}"/>
    <cellStyle name="Normal 4" xfId="3" xr:uid="{240340E8-1BDE-4FBB-9010-AE3180E55D6B}"/>
    <cellStyle name="Normal 5" xfId="5" xr:uid="{72A38242-8F53-4BB1-B7D7-8078CB2F7C00}"/>
    <cellStyle name="Normal 6" xfId="6" xr:uid="{9282C7C0-833D-43A0-8480-5CDAF72CC356}"/>
    <cellStyle name="Normal 7" xfId="7" xr:uid="{BE8D43E0-53EA-4A83-A061-29F915B0DA68}"/>
    <cellStyle name="Normal 8" xfId="8" xr:uid="{39937C4B-B46A-4FE8-BD05-6D1DB57D15ED}"/>
  </cellStyles>
  <dxfs count="5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9999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3F224-85EA-44AF-BC91-AF293045D3B5}">
  <dimension ref="A1:W19"/>
  <sheetViews>
    <sheetView workbookViewId="0">
      <selection activeCell="F13" sqref="F13"/>
    </sheetView>
  </sheetViews>
  <sheetFormatPr defaultColWidth="8.28515625" defaultRowHeight="15"/>
  <cols>
    <col min="1" max="1" width="9" customWidth="1"/>
    <col min="2" max="2" width="12" bestFit="1" customWidth="1"/>
    <col min="5" max="5" width="9.85546875" customWidth="1"/>
    <col min="6" max="6" width="8.85546875" customWidth="1"/>
    <col min="7" max="7" width="9.140625" customWidth="1"/>
    <col min="8" max="8" width="9.5703125" customWidth="1"/>
    <col min="11" max="11" width="19.28515625" customWidth="1"/>
    <col min="12" max="12" width="18" bestFit="1" customWidth="1"/>
    <col min="15" max="15" width="9.28515625" customWidth="1"/>
  </cols>
  <sheetData>
    <row r="1" spans="1:23" ht="78" customHeight="1" thickBot="1">
      <c r="A1" s="50" t="s">
        <v>2</v>
      </c>
      <c r="B1" s="51" t="s">
        <v>5</v>
      </c>
      <c r="C1" s="51" t="s">
        <v>6</v>
      </c>
      <c r="D1" s="51" t="s">
        <v>14</v>
      </c>
      <c r="E1" s="51" t="s">
        <v>21</v>
      </c>
      <c r="F1" s="51" t="s">
        <v>9</v>
      </c>
      <c r="G1" s="51" t="s">
        <v>10</v>
      </c>
      <c r="H1" s="51" t="s">
        <v>22</v>
      </c>
      <c r="I1" s="51" t="s">
        <v>7</v>
      </c>
      <c r="J1" s="51" t="s">
        <v>12</v>
      </c>
      <c r="K1" s="52" t="s">
        <v>23</v>
      </c>
      <c r="L1" s="39"/>
    </row>
    <row r="2" spans="1:23" ht="16.5" customHeight="1" thickBot="1">
      <c r="A2" s="28" t="str">
        <f>N2</f>
        <v>01.05.2026</v>
      </c>
      <c r="B2" s="53">
        <v>24</v>
      </c>
      <c r="C2" s="54">
        <v>45.61</v>
      </c>
      <c r="D2" s="54">
        <v>0.88</v>
      </c>
      <c r="E2" s="1">
        <v>13</v>
      </c>
      <c r="F2" s="1">
        <v>13</v>
      </c>
      <c r="G2" s="8">
        <f t="shared" ref="G2:G16" si="0">E2-F2</f>
        <v>0</v>
      </c>
      <c r="H2" s="1">
        <v>240.56</v>
      </c>
      <c r="I2" s="15">
        <v>240.56</v>
      </c>
      <c r="J2" s="6">
        <f>H2-I2</f>
        <v>0</v>
      </c>
      <c r="K2" s="115"/>
      <c r="L2" s="55"/>
      <c r="M2" s="43" t="s">
        <v>13</v>
      </c>
      <c r="N2" s="111" t="s">
        <v>26</v>
      </c>
      <c r="O2" s="112"/>
      <c r="P2" s="113"/>
      <c r="Q2" s="114"/>
      <c r="R2" s="114"/>
      <c r="S2" s="114"/>
      <c r="T2" s="114"/>
      <c r="U2" s="114"/>
      <c r="V2" s="114"/>
      <c r="W2" s="114"/>
    </row>
    <row r="3" spans="1:23" ht="15.75" customHeight="1" thickBot="1">
      <c r="A3" s="13"/>
      <c r="B3" s="53">
        <v>1</v>
      </c>
      <c r="C3" s="54">
        <v>47.36</v>
      </c>
      <c r="D3" s="54">
        <v>1.26</v>
      </c>
      <c r="E3" s="1">
        <v>4</v>
      </c>
      <c r="F3" s="1">
        <v>5</v>
      </c>
      <c r="G3" s="8">
        <v>1</v>
      </c>
      <c r="H3" s="1">
        <v>75.319999999999993</v>
      </c>
      <c r="I3" s="15">
        <v>96.7</v>
      </c>
      <c r="J3" s="6">
        <v>21.38</v>
      </c>
      <c r="K3" s="116"/>
      <c r="L3" s="55"/>
      <c r="M3" s="44" t="s">
        <v>20</v>
      </c>
      <c r="N3" s="45"/>
      <c r="O3" s="45"/>
      <c r="P3" s="45"/>
      <c r="Q3" s="45"/>
      <c r="R3" s="46"/>
      <c r="S3" s="47" t="s">
        <v>4</v>
      </c>
      <c r="T3" s="48"/>
      <c r="U3" s="48"/>
      <c r="V3" s="48"/>
      <c r="W3" s="49"/>
    </row>
    <row r="4" spans="1:23" ht="15.75" customHeight="1">
      <c r="A4" s="13"/>
      <c r="B4" s="53">
        <v>1</v>
      </c>
      <c r="C4" s="68">
        <v>12.9</v>
      </c>
      <c r="D4" s="54">
        <v>0.49</v>
      </c>
      <c r="E4" s="1">
        <v>2</v>
      </c>
      <c r="F4" s="1">
        <v>2</v>
      </c>
      <c r="G4" s="8">
        <f t="shared" si="0"/>
        <v>0</v>
      </c>
      <c r="H4" s="1">
        <v>38.46</v>
      </c>
      <c r="I4" s="70">
        <v>38.46</v>
      </c>
      <c r="J4" s="6">
        <f t="shared" ref="J4:J16" si="1">H4-I4</f>
        <v>0</v>
      </c>
      <c r="K4" s="116"/>
      <c r="L4" s="118" t="s">
        <v>17</v>
      </c>
      <c r="M4" s="37" t="s">
        <v>0</v>
      </c>
      <c r="N4" s="21" t="s">
        <v>1</v>
      </c>
      <c r="O4" s="21" t="s">
        <v>15</v>
      </c>
      <c r="P4" s="21" t="s">
        <v>16</v>
      </c>
      <c r="Q4" s="21" t="s">
        <v>17</v>
      </c>
      <c r="R4" s="21" t="s">
        <v>3</v>
      </c>
      <c r="S4" s="16" t="s">
        <v>0</v>
      </c>
      <c r="T4" s="16" t="s">
        <v>1</v>
      </c>
      <c r="U4" s="16" t="s">
        <v>15</v>
      </c>
      <c r="V4" s="16" t="s">
        <v>16</v>
      </c>
      <c r="W4" s="17" t="s">
        <v>17</v>
      </c>
    </row>
    <row r="5" spans="1:23" ht="15.75" customHeight="1" thickBot="1">
      <c r="A5" s="13"/>
      <c r="B5" s="11">
        <v>10</v>
      </c>
      <c r="C5" s="69">
        <v>15.63</v>
      </c>
      <c r="D5" s="14">
        <v>0.32</v>
      </c>
      <c r="E5" s="1">
        <v>3</v>
      </c>
      <c r="F5" s="1">
        <v>3</v>
      </c>
      <c r="G5" s="8">
        <f t="shared" si="0"/>
        <v>0</v>
      </c>
      <c r="H5" s="1">
        <v>56.94</v>
      </c>
      <c r="I5" s="70">
        <v>56.94</v>
      </c>
      <c r="J5" s="6">
        <f t="shared" si="1"/>
        <v>0</v>
      </c>
      <c r="K5" s="116"/>
      <c r="L5" s="119"/>
      <c r="M5" s="38">
        <v>1933.12</v>
      </c>
      <c r="N5" s="2">
        <v>661.04</v>
      </c>
      <c r="O5" s="2">
        <v>0</v>
      </c>
      <c r="P5" s="2">
        <v>0</v>
      </c>
      <c r="Q5" s="2">
        <v>348.26</v>
      </c>
      <c r="R5" s="7">
        <f>SUM(M5:Q5)</f>
        <v>2942.42</v>
      </c>
      <c r="S5" s="3">
        <f>(M5/R5)*100</f>
        <v>65.698302757594078</v>
      </c>
      <c r="T5" s="3">
        <f>(N5/R5)*100</f>
        <v>22.465861433785793</v>
      </c>
      <c r="U5" s="3">
        <f>(O5/R5)*100</f>
        <v>0</v>
      </c>
      <c r="V5" s="3">
        <f>(P5/R5)*100</f>
        <v>0</v>
      </c>
      <c r="W5" s="18">
        <f>(Q5/R5)*100</f>
        <v>11.835835808620116</v>
      </c>
    </row>
    <row r="6" spans="1:23" ht="15.75" customHeight="1">
      <c r="A6" s="13"/>
      <c r="B6" s="11">
        <v>2</v>
      </c>
      <c r="C6" s="14">
        <v>49.71</v>
      </c>
      <c r="D6" s="14">
        <v>1.0900000000000001</v>
      </c>
      <c r="E6" s="1">
        <v>10</v>
      </c>
      <c r="F6" s="1">
        <v>8</v>
      </c>
      <c r="G6" s="8">
        <f t="shared" si="0"/>
        <v>2</v>
      </c>
      <c r="H6" s="1">
        <v>207.04</v>
      </c>
      <c r="I6" s="15">
        <v>165.36</v>
      </c>
      <c r="J6" s="6">
        <f t="shared" si="1"/>
        <v>41.679999999999978</v>
      </c>
      <c r="K6" s="116"/>
      <c r="L6" s="39"/>
      <c r="M6" s="5"/>
      <c r="N6" s="5"/>
    </row>
    <row r="7" spans="1:23" ht="15.75" customHeight="1">
      <c r="A7" s="13"/>
      <c r="B7" s="40">
        <v>3</v>
      </c>
      <c r="C7" s="14">
        <v>49.94</v>
      </c>
      <c r="D7" s="41">
        <v>1</v>
      </c>
      <c r="E7" s="12">
        <v>9</v>
      </c>
      <c r="F7" s="1">
        <v>10</v>
      </c>
      <c r="G7" s="8">
        <v>1</v>
      </c>
      <c r="H7" s="1">
        <v>170.1</v>
      </c>
      <c r="I7" s="15">
        <v>192</v>
      </c>
      <c r="J7" s="6">
        <v>21.9</v>
      </c>
      <c r="K7" s="116"/>
      <c r="L7" s="39"/>
      <c r="M7" s="5"/>
      <c r="N7" s="5"/>
    </row>
    <row r="8" spans="1:23" ht="15.75" customHeight="1">
      <c r="A8" s="13"/>
      <c r="B8" s="40">
        <v>4</v>
      </c>
      <c r="C8" s="14">
        <v>49.6</v>
      </c>
      <c r="D8" s="41">
        <v>1.1000000000000001</v>
      </c>
      <c r="E8" s="12">
        <v>11</v>
      </c>
      <c r="F8" s="1">
        <v>11</v>
      </c>
      <c r="G8" s="8">
        <f t="shared" si="0"/>
        <v>0</v>
      </c>
      <c r="H8" s="1">
        <v>202.78</v>
      </c>
      <c r="I8" s="15">
        <v>202.78</v>
      </c>
      <c r="J8" s="6">
        <f t="shared" si="1"/>
        <v>0</v>
      </c>
      <c r="K8" s="116"/>
      <c r="L8" s="39"/>
      <c r="M8" s="5"/>
      <c r="N8" s="5"/>
    </row>
    <row r="9" spans="1:23" ht="15.75" customHeight="1" thickBot="1">
      <c r="A9" s="13"/>
      <c r="B9" s="40">
        <v>5</v>
      </c>
      <c r="C9" s="14">
        <v>48.94</v>
      </c>
      <c r="D9" s="41">
        <v>1.21</v>
      </c>
      <c r="E9" s="12">
        <v>11</v>
      </c>
      <c r="F9" s="1">
        <v>11</v>
      </c>
      <c r="G9" s="8">
        <f t="shared" si="0"/>
        <v>0</v>
      </c>
      <c r="H9" s="1">
        <v>201.48</v>
      </c>
      <c r="I9" s="15">
        <v>201.48</v>
      </c>
      <c r="J9" s="6">
        <f t="shared" si="1"/>
        <v>0</v>
      </c>
      <c r="K9" s="117"/>
      <c r="L9" s="10"/>
      <c r="M9" s="5"/>
      <c r="N9" s="5"/>
    </row>
    <row r="10" spans="1:23" ht="15.75" customHeight="1">
      <c r="A10" s="13"/>
      <c r="B10" s="40">
        <v>6</v>
      </c>
      <c r="C10" s="14">
        <v>48.99</v>
      </c>
      <c r="D10" s="41">
        <v>1.1299999999999999</v>
      </c>
      <c r="E10" s="12">
        <v>10</v>
      </c>
      <c r="F10" s="1">
        <v>10</v>
      </c>
      <c r="G10" s="8">
        <f t="shared" si="0"/>
        <v>0</v>
      </c>
      <c r="H10" s="1">
        <v>193</v>
      </c>
      <c r="I10" s="15">
        <v>193</v>
      </c>
      <c r="J10" s="6">
        <f t="shared" si="1"/>
        <v>0</v>
      </c>
      <c r="K10" s="115"/>
      <c r="L10" s="10"/>
      <c r="M10" s="5"/>
      <c r="N10" s="5"/>
    </row>
    <row r="11" spans="1:23" ht="15.75" customHeight="1">
      <c r="A11" s="13"/>
      <c r="B11" s="40">
        <v>10.5</v>
      </c>
      <c r="C11" s="14">
        <v>50.42</v>
      </c>
      <c r="D11" s="41">
        <v>1.1000000000000001</v>
      </c>
      <c r="E11" s="12">
        <v>17</v>
      </c>
      <c r="F11" s="1">
        <v>17</v>
      </c>
      <c r="G11" s="8">
        <f t="shared" si="0"/>
        <v>0</v>
      </c>
      <c r="H11" s="1">
        <v>364.16</v>
      </c>
      <c r="I11" s="15">
        <v>364.16</v>
      </c>
      <c r="J11" s="6">
        <f t="shared" si="1"/>
        <v>0</v>
      </c>
      <c r="K11" s="116"/>
      <c r="L11" s="10"/>
      <c r="M11" s="5"/>
      <c r="N11" s="5"/>
    </row>
    <row r="12" spans="1:23">
      <c r="A12" s="13"/>
      <c r="B12" s="40">
        <v>12</v>
      </c>
      <c r="C12" s="14">
        <v>49.5</v>
      </c>
      <c r="D12" s="41">
        <v>1.01</v>
      </c>
      <c r="E12" s="12">
        <v>13</v>
      </c>
      <c r="F12" s="1">
        <v>13</v>
      </c>
      <c r="G12" s="8">
        <f t="shared" si="0"/>
        <v>0</v>
      </c>
      <c r="H12" s="1">
        <v>277.08</v>
      </c>
      <c r="I12" s="15">
        <v>277.08</v>
      </c>
      <c r="J12" s="6">
        <f t="shared" si="1"/>
        <v>0</v>
      </c>
      <c r="K12" s="116"/>
      <c r="L12" s="10"/>
      <c r="M12" s="5"/>
      <c r="N12" s="5"/>
    </row>
    <row r="13" spans="1:23">
      <c r="A13" s="13"/>
      <c r="B13" s="40">
        <v>14</v>
      </c>
      <c r="C13" s="14">
        <v>40</v>
      </c>
      <c r="D13" s="41">
        <v>1</v>
      </c>
      <c r="E13" s="12">
        <v>4</v>
      </c>
      <c r="F13" s="1">
        <v>4</v>
      </c>
      <c r="G13" s="8">
        <f t="shared" si="0"/>
        <v>0</v>
      </c>
      <c r="H13" s="1">
        <v>88.38</v>
      </c>
      <c r="I13" s="70">
        <v>88.38</v>
      </c>
      <c r="J13" s="6">
        <f t="shared" si="1"/>
        <v>0</v>
      </c>
      <c r="K13" s="116"/>
      <c r="L13" s="10"/>
      <c r="M13" s="5"/>
      <c r="N13" s="5"/>
    </row>
    <row r="14" spans="1:23">
      <c r="A14" s="13"/>
      <c r="B14" s="40">
        <v>15</v>
      </c>
      <c r="C14" s="14">
        <v>37.24</v>
      </c>
      <c r="D14" s="41">
        <v>1.08</v>
      </c>
      <c r="E14" s="12">
        <v>7</v>
      </c>
      <c r="F14" s="1">
        <v>7</v>
      </c>
      <c r="G14" s="8">
        <f t="shared" si="0"/>
        <v>0</v>
      </c>
      <c r="H14" s="1">
        <v>159.12</v>
      </c>
      <c r="I14" s="70">
        <v>159.12</v>
      </c>
      <c r="J14" s="6">
        <f t="shared" si="1"/>
        <v>0</v>
      </c>
      <c r="K14" s="116"/>
      <c r="L14" s="10"/>
      <c r="M14" s="5"/>
      <c r="N14" s="5"/>
    </row>
    <row r="15" spans="1:23">
      <c r="A15" s="13"/>
      <c r="B15" s="53">
        <v>16</v>
      </c>
      <c r="C15" s="14">
        <v>41.23</v>
      </c>
      <c r="D15" s="54">
        <v>1.2</v>
      </c>
      <c r="E15" s="1">
        <v>5</v>
      </c>
      <c r="F15" s="1">
        <v>5</v>
      </c>
      <c r="G15" s="8">
        <f t="shared" si="0"/>
        <v>0</v>
      </c>
      <c r="H15" s="1">
        <v>126.4</v>
      </c>
      <c r="I15" s="70">
        <v>126.4</v>
      </c>
      <c r="J15" s="6">
        <f t="shared" si="1"/>
        <v>0</v>
      </c>
      <c r="K15" s="116"/>
      <c r="L15" s="10"/>
      <c r="M15" s="5"/>
      <c r="N15" s="5"/>
    </row>
    <row r="16" spans="1:23" ht="15.75" thickBot="1">
      <c r="A16" s="13"/>
      <c r="B16" s="53">
        <v>23</v>
      </c>
      <c r="C16" s="14">
        <v>44.35</v>
      </c>
      <c r="D16" s="54">
        <v>2</v>
      </c>
      <c r="E16" s="1">
        <v>14</v>
      </c>
      <c r="F16" s="1">
        <v>14</v>
      </c>
      <c r="G16" s="8">
        <f t="shared" si="0"/>
        <v>0</v>
      </c>
      <c r="H16" s="1">
        <v>287.14</v>
      </c>
      <c r="I16" s="70">
        <v>287.14</v>
      </c>
      <c r="J16" s="6">
        <f t="shared" si="1"/>
        <v>0</v>
      </c>
      <c r="K16" s="117"/>
      <c r="L16" s="10"/>
      <c r="M16" s="5"/>
      <c r="N16" s="5"/>
    </row>
    <row r="17" spans="1:14" ht="16.5" thickBot="1">
      <c r="A17" s="13"/>
      <c r="B17" s="53">
        <v>9.3000000000000007</v>
      </c>
      <c r="C17" s="14">
        <v>18.670000000000002</v>
      </c>
      <c r="D17" s="54">
        <v>0.47</v>
      </c>
      <c r="E17" s="1">
        <v>10</v>
      </c>
      <c r="F17" s="1">
        <v>13</v>
      </c>
      <c r="G17" s="8">
        <v>3</v>
      </c>
      <c r="H17" s="1">
        <v>195.92</v>
      </c>
      <c r="I17" s="70">
        <v>252.86</v>
      </c>
      <c r="J17" s="6">
        <v>56.94</v>
      </c>
      <c r="K17" s="56"/>
      <c r="L17" s="64" t="s">
        <v>17</v>
      </c>
      <c r="M17" s="5"/>
      <c r="N17" s="5"/>
    </row>
    <row r="18" spans="1:14" ht="16.5" thickBot="1">
      <c r="A18" s="19"/>
      <c r="B18" s="42" t="s">
        <v>3</v>
      </c>
      <c r="C18" s="42"/>
      <c r="D18" s="42"/>
      <c r="E18" s="4">
        <f t="shared" ref="E18:J18" si="2">SUM(E2:E17)</f>
        <v>143</v>
      </c>
      <c r="F18" s="4">
        <f t="shared" si="2"/>
        <v>146</v>
      </c>
      <c r="G18" s="4">
        <f t="shared" si="2"/>
        <v>7</v>
      </c>
      <c r="H18" s="9">
        <f t="shared" si="2"/>
        <v>2883.8799999999997</v>
      </c>
      <c r="I18" s="9">
        <f t="shared" si="2"/>
        <v>2942.42</v>
      </c>
      <c r="J18" s="9">
        <f t="shared" si="2"/>
        <v>141.89999999999998</v>
      </c>
      <c r="K18" s="20"/>
      <c r="L18" s="39"/>
    </row>
    <row r="19" spans="1:14">
      <c r="I19" s="5"/>
      <c r="L19" s="10"/>
    </row>
  </sheetData>
  <mergeCells count="5">
    <mergeCell ref="N2:O2"/>
    <mergeCell ref="P2:W2"/>
    <mergeCell ref="K2:K9"/>
    <mergeCell ref="K10:K16"/>
    <mergeCell ref="L4:L5"/>
  </mergeCells>
  <conditionalFormatting sqref="C2:C17">
    <cfRule type="cellIs" dxfId="55" priority="2" operator="lessThan">
      <formula>44.99</formula>
    </cfRule>
  </conditionalFormatting>
  <conditionalFormatting sqref="D2:D17">
    <cfRule type="cellIs" dxfId="54" priority="1" operator="greaterThan">
      <formula>2.99</formula>
    </cfRule>
  </conditionalFormatting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EF163-EA11-4021-B895-0D2702DD94D5}">
  <dimension ref="A1:W10"/>
  <sheetViews>
    <sheetView workbookViewId="0">
      <selection activeCell="M5" sqref="M5:Q5"/>
    </sheetView>
  </sheetViews>
  <sheetFormatPr defaultColWidth="8.28515625" defaultRowHeight="15"/>
  <cols>
    <col min="1" max="1" width="9" customWidth="1"/>
    <col min="2" max="2" width="12" bestFit="1" customWidth="1"/>
    <col min="5" max="5" width="9.85546875" customWidth="1"/>
    <col min="6" max="6" width="8.85546875" customWidth="1"/>
    <col min="7" max="7" width="9.140625" customWidth="1"/>
    <col min="8" max="8" width="9.5703125" customWidth="1"/>
    <col min="11" max="11" width="19.28515625" customWidth="1"/>
    <col min="12" max="12" width="18" bestFit="1" customWidth="1"/>
    <col min="15" max="15" width="9.28515625" customWidth="1"/>
  </cols>
  <sheetData>
    <row r="1" spans="1:23" ht="78" customHeight="1" thickBot="1">
      <c r="A1" s="50" t="s">
        <v>2</v>
      </c>
      <c r="B1" s="51" t="s">
        <v>5</v>
      </c>
      <c r="C1" s="51" t="s">
        <v>6</v>
      </c>
      <c r="D1" s="51" t="s">
        <v>14</v>
      </c>
      <c r="E1" s="51" t="s">
        <v>21</v>
      </c>
      <c r="F1" s="51" t="s">
        <v>9</v>
      </c>
      <c r="G1" s="51" t="s">
        <v>10</v>
      </c>
      <c r="H1" s="51" t="s">
        <v>22</v>
      </c>
      <c r="I1" s="51" t="s">
        <v>7</v>
      </c>
      <c r="J1" s="51" t="s">
        <v>12</v>
      </c>
      <c r="K1" s="52" t="s">
        <v>23</v>
      </c>
      <c r="L1" s="39"/>
    </row>
    <row r="2" spans="1:23" ht="16.5" customHeight="1" thickBot="1">
      <c r="A2" s="28" t="str">
        <f>N2</f>
        <v>02.05.2026</v>
      </c>
      <c r="B2" s="53">
        <v>24</v>
      </c>
      <c r="C2" s="54">
        <v>46.39</v>
      </c>
      <c r="D2" s="54">
        <v>1.3</v>
      </c>
      <c r="E2" s="1">
        <v>5</v>
      </c>
      <c r="F2" s="1">
        <v>5</v>
      </c>
      <c r="G2" s="8">
        <f t="shared" ref="G2:G8" si="0">E2-F2</f>
        <v>0</v>
      </c>
      <c r="H2" s="1">
        <v>107.62</v>
      </c>
      <c r="I2" s="15">
        <v>107.62</v>
      </c>
      <c r="J2" s="6">
        <f>H2-I2</f>
        <v>0</v>
      </c>
      <c r="K2" s="115" t="s">
        <v>32</v>
      </c>
      <c r="L2" s="55"/>
      <c r="M2" s="57" t="s">
        <v>13</v>
      </c>
      <c r="N2" s="111" t="s">
        <v>28</v>
      </c>
      <c r="O2" s="112"/>
      <c r="P2" s="113"/>
      <c r="Q2" s="114"/>
      <c r="R2" s="114"/>
      <c r="S2" s="114"/>
      <c r="T2" s="114"/>
      <c r="U2" s="114"/>
      <c r="V2" s="114"/>
      <c r="W2" s="114"/>
    </row>
    <row r="3" spans="1:23" ht="15.75" customHeight="1" thickBot="1">
      <c r="A3" s="13"/>
      <c r="B3" s="53" t="s">
        <v>29</v>
      </c>
      <c r="C3" s="54">
        <v>48.75</v>
      </c>
      <c r="D3" s="54">
        <v>0.91</v>
      </c>
      <c r="E3" s="1">
        <v>16</v>
      </c>
      <c r="F3" s="1">
        <v>16</v>
      </c>
      <c r="G3" s="8">
        <f t="shared" si="0"/>
        <v>0</v>
      </c>
      <c r="H3" s="1">
        <v>341.02</v>
      </c>
      <c r="I3" s="15">
        <v>341.02</v>
      </c>
      <c r="J3" s="6">
        <f t="shared" ref="J3:J6" si="1">H3-I3</f>
        <v>0</v>
      </c>
      <c r="K3" s="116"/>
      <c r="L3" s="55"/>
      <c r="M3" s="44" t="s">
        <v>20</v>
      </c>
      <c r="N3" s="45"/>
      <c r="O3" s="45"/>
      <c r="P3" s="45"/>
      <c r="Q3" s="45"/>
      <c r="R3" s="46"/>
      <c r="S3" s="47" t="s">
        <v>4</v>
      </c>
      <c r="T3" s="48"/>
      <c r="U3" s="48"/>
      <c r="V3" s="48"/>
      <c r="W3" s="49"/>
    </row>
    <row r="4" spans="1:23" ht="15.75" customHeight="1">
      <c r="A4" s="13"/>
      <c r="B4" s="53">
        <v>21</v>
      </c>
      <c r="C4" s="54">
        <v>2.52</v>
      </c>
      <c r="D4" s="54">
        <v>0.49</v>
      </c>
      <c r="E4" s="1">
        <v>5</v>
      </c>
      <c r="F4" s="1">
        <v>5</v>
      </c>
      <c r="G4" s="8">
        <f t="shared" si="0"/>
        <v>0</v>
      </c>
      <c r="H4" s="1">
        <v>102.22</v>
      </c>
      <c r="I4" s="15">
        <v>102.22</v>
      </c>
      <c r="J4" s="6">
        <f t="shared" si="1"/>
        <v>0</v>
      </c>
      <c r="K4" s="116"/>
      <c r="L4" s="118" t="s">
        <v>17</v>
      </c>
      <c r="M4" s="66" t="s">
        <v>0</v>
      </c>
      <c r="N4" s="21" t="s">
        <v>1</v>
      </c>
      <c r="O4" s="21" t="s">
        <v>15</v>
      </c>
      <c r="P4" s="21" t="s">
        <v>16</v>
      </c>
      <c r="Q4" s="21" t="s">
        <v>17</v>
      </c>
      <c r="R4" s="21" t="s">
        <v>3</v>
      </c>
      <c r="S4" s="16" t="s">
        <v>0</v>
      </c>
      <c r="T4" s="16" t="s">
        <v>1</v>
      </c>
      <c r="U4" s="16" t="s">
        <v>15</v>
      </c>
      <c r="V4" s="16" t="s">
        <v>16</v>
      </c>
      <c r="W4" s="17" t="s">
        <v>17</v>
      </c>
    </row>
    <row r="5" spans="1:23" ht="15.75" customHeight="1" thickBot="1">
      <c r="A5" s="13"/>
      <c r="B5" s="11">
        <v>16</v>
      </c>
      <c r="C5" s="14">
        <v>5</v>
      </c>
      <c r="D5" s="14">
        <v>0.52</v>
      </c>
      <c r="E5" s="1">
        <v>5</v>
      </c>
      <c r="F5" s="1">
        <v>5</v>
      </c>
      <c r="G5" s="8">
        <f t="shared" si="0"/>
        <v>0</v>
      </c>
      <c r="H5" s="1">
        <v>80.62</v>
      </c>
      <c r="I5" s="15">
        <v>80.62</v>
      </c>
      <c r="J5" s="6">
        <f t="shared" si="1"/>
        <v>0</v>
      </c>
      <c r="K5" s="116"/>
      <c r="L5" s="120"/>
      <c r="M5" s="67">
        <v>448.64</v>
      </c>
      <c r="N5" s="2">
        <v>0</v>
      </c>
      <c r="O5" s="2">
        <v>0</v>
      </c>
      <c r="P5" s="2">
        <v>0</v>
      </c>
      <c r="Q5" s="2">
        <v>291.42</v>
      </c>
      <c r="R5" s="7">
        <f>SUM(M5:Q5)</f>
        <v>740.06</v>
      </c>
      <c r="S5" s="3">
        <f>(M5/R5)*100</f>
        <v>60.622111720671299</v>
      </c>
      <c r="T5" s="3">
        <f>(N5/R5)*100</f>
        <v>0</v>
      </c>
      <c r="U5" s="3">
        <f>(O5/R5)*100</f>
        <v>0</v>
      </c>
      <c r="V5" s="3">
        <f>(P5/R5)*100</f>
        <v>0</v>
      </c>
      <c r="W5" s="18">
        <f>(Q5/R5)*100</f>
        <v>39.377888279328708</v>
      </c>
    </row>
    <row r="6" spans="1:23" ht="15.75" customHeight="1">
      <c r="A6" s="13"/>
      <c r="B6" s="11">
        <v>17</v>
      </c>
      <c r="C6" s="14">
        <v>5.8</v>
      </c>
      <c r="D6" s="14">
        <v>0.56000000000000005</v>
      </c>
      <c r="E6" s="1">
        <v>6</v>
      </c>
      <c r="F6" s="1">
        <v>6</v>
      </c>
      <c r="G6" s="8">
        <f t="shared" si="0"/>
        <v>0</v>
      </c>
      <c r="H6" s="1">
        <v>108.58</v>
      </c>
      <c r="I6" s="15">
        <v>108.58</v>
      </c>
      <c r="J6" s="6">
        <f t="shared" si="1"/>
        <v>0</v>
      </c>
      <c r="K6" s="116"/>
      <c r="L6" s="120"/>
      <c r="M6" s="5"/>
      <c r="N6" s="5"/>
    </row>
    <row r="7" spans="1:23" ht="15.75" customHeight="1" thickBot="1">
      <c r="A7" s="13"/>
      <c r="B7" s="40"/>
      <c r="C7" s="14"/>
      <c r="D7" s="41"/>
      <c r="E7" s="12"/>
      <c r="F7" s="1"/>
      <c r="G7" s="8"/>
      <c r="H7" s="1"/>
      <c r="I7" s="15"/>
      <c r="J7" s="6"/>
      <c r="K7" s="116"/>
      <c r="L7" s="119"/>
      <c r="M7" s="5"/>
      <c r="N7" s="5"/>
    </row>
    <row r="8" spans="1:23" ht="15.75" customHeight="1" thickBot="1">
      <c r="A8" s="13"/>
      <c r="B8" s="40"/>
      <c r="C8" s="14"/>
      <c r="D8" s="41"/>
      <c r="E8" s="12"/>
      <c r="F8" s="1"/>
      <c r="G8" s="8">
        <f t="shared" si="0"/>
        <v>0</v>
      </c>
      <c r="H8" s="1"/>
      <c r="I8" s="15"/>
      <c r="J8" s="6"/>
      <c r="K8" s="116"/>
      <c r="L8" s="39"/>
      <c r="M8" s="5"/>
      <c r="N8" s="5"/>
    </row>
    <row r="9" spans="1:23" ht="16.5" thickBot="1">
      <c r="A9" s="19"/>
      <c r="B9" s="42" t="s">
        <v>3</v>
      </c>
      <c r="C9" s="42"/>
      <c r="D9" s="42"/>
      <c r="E9" s="4">
        <f t="shared" ref="E9:J9" si="2">SUM(E2:E8)</f>
        <v>37</v>
      </c>
      <c r="F9" s="4">
        <f t="shared" si="2"/>
        <v>37</v>
      </c>
      <c r="G9" s="4">
        <f t="shared" si="2"/>
        <v>0</v>
      </c>
      <c r="H9" s="9">
        <f t="shared" si="2"/>
        <v>740.06000000000006</v>
      </c>
      <c r="I9" s="9">
        <f t="shared" si="2"/>
        <v>740.06000000000006</v>
      </c>
      <c r="J9" s="9">
        <f t="shared" si="2"/>
        <v>0</v>
      </c>
      <c r="K9" s="20"/>
      <c r="L9" s="39"/>
    </row>
    <row r="10" spans="1:23">
      <c r="I10" s="5"/>
      <c r="L10" s="10"/>
    </row>
  </sheetData>
  <mergeCells count="4">
    <mergeCell ref="K2:K8"/>
    <mergeCell ref="N2:O2"/>
    <mergeCell ref="P2:W2"/>
    <mergeCell ref="L4:L7"/>
  </mergeCells>
  <conditionalFormatting sqref="C2:C8">
    <cfRule type="cellIs" dxfId="53" priority="2" operator="lessThan">
      <formula>44.99</formula>
    </cfRule>
  </conditionalFormatting>
  <conditionalFormatting sqref="D2:D8">
    <cfRule type="cellIs" dxfId="52" priority="1" operator="greaterThan">
      <formula>2.99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DFA7A-9AD1-4724-BBD2-689BD3832823}">
  <dimension ref="A1:W20"/>
  <sheetViews>
    <sheetView workbookViewId="0">
      <selection sqref="A1:XFD1048576"/>
    </sheetView>
  </sheetViews>
  <sheetFormatPr defaultColWidth="8.28515625" defaultRowHeight="15"/>
  <cols>
    <col min="1" max="1" width="9" customWidth="1"/>
    <col min="2" max="2" width="12" bestFit="1" customWidth="1"/>
    <col min="5" max="5" width="9.85546875" customWidth="1"/>
    <col min="6" max="6" width="8.85546875" customWidth="1"/>
    <col min="7" max="7" width="9.140625" customWidth="1"/>
    <col min="8" max="8" width="9.5703125" customWidth="1"/>
    <col min="11" max="11" width="19.28515625" customWidth="1"/>
    <col min="12" max="12" width="18" bestFit="1" customWidth="1"/>
    <col min="15" max="15" width="9.28515625" customWidth="1"/>
  </cols>
  <sheetData>
    <row r="1" spans="1:23" ht="78" customHeight="1" thickBot="1">
      <c r="A1" s="50" t="s">
        <v>2</v>
      </c>
      <c r="B1" s="51" t="s">
        <v>5</v>
      </c>
      <c r="C1" s="51" t="s">
        <v>6</v>
      </c>
      <c r="D1" s="51" t="s">
        <v>14</v>
      </c>
      <c r="E1" s="51" t="s">
        <v>21</v>
      </c>
      <c r="F1" s="51" t="s">
        <v>9</v>
      </c>
      <c r="G1" s="51" t="s">
        <v>10</v>
      </c>
      <c r="H1" s="51" t="s">
        <v>22</v>
      </c>
      <c r="I1" s="51" t="s">
        <v>7</v>
      </c>
      <c r="J1" s="51" t="s">
        <v>12</v>
      </c>
      <c r="K1" s="52" t="s">
        <v>23</v>
      </c>
      <c r="L1" s="39"/>
    </row>
    <row r="2" spans="1:23" ht="16.5" customHeight="1" thickBot="1">
      <c r="A2" s="28" t="str">
        <f>N2</f>
        <v>03.05.2026</v>
      </c>
      <c r="B2" s="53" t="s">
        <v>30</v>
      </c>
      <c r="C2" s="54">
        <v>49.32</v>
      </c>
      <c r="D2" s="54">
        <v>0.86</v>
      </c>
      <c r="E2" s="1">
        <v>10</v>
      </c>
      <c r="F2" s="1">
        <v>10</v>
      </c>
      <c r="G2" s="8">
        <f t="shared" ref="G2:G17" si="0">E2-F2</f>
        <v>0</v>
      </c>
      <c r="H2" s="1">
        <v>210.02</v>
      </c>
      <c r="I2" s="15">
        <v>210.02</v>
      </c>
      <c r="J2" s="6">
        <f>H2-I2</f>
        <v>0</v>
      </c>
      <c r="K2" s="115" t="s">
        <v>32</v>
      </c>
      <c r="L2" s="55"/>
      <c r="M2" s="57" t="s">
        <v>13</v>
      </c>
      <c r="N2" s="111" t="s">
        <v>27</v>
      </c>
      <c r="O2" s="112"/>
      <c r="P2" s="113"/>
      <c r="Q2" s="114"/>
      <c r="R2" s="114"/>
      <c r="S2" s="114"/>
      <c r="T2" s="114"/>
      <c r="U2" s="114"/>
      <c r="V2" s="114"/>
      <c r="W2" s="114"/>
    </row>
    <row r="3" spans="1:23" ht="15.75" customHeight="1" thickBot="1">
      <c r="A3" s="13"/>
      <c r="B3" s="53">
        <v>4</v>
      </c>
      <c r="C3" s="54">
        <v>49.54</v>
      </c>
      <c r="D3" s="54">
        <v>1.18</v>
      </c>
      <c r="E3" s="1">
        <v>4</v>
      </c>
      <c r="F3" s="1">
        <v>4</v>
      </c>
      <c r="G3" s="8">
        <f t="shared" si="0"/>
        <v>0</v>
      </c>
      <c r="H3" s="1">
        <v>83.74</v>
      </c>
      <c r="I3" s="15">
        <v>83.74</v>
      </c>
      <c r="J3" s="6">
        <f t="shared" ref="J3:J17" si="1">H3-I3</f>
        <v>0</v>
      </c>
      <c r="K3" s="116"/>
      <c r="L3" s="55"/>
      <c r="M3" s="44" t="s">
        <v>20</v>
      </c>
      <c r="N3" s="45"/>
      <c r="O3" s="45"/>
      <c r="P3" s="45"/>
      <c r="Q3" s="45"/>
      <c r="R3" s="46"/>
      <c r="S3" s="47" t="s">
        <v>4</v>
      </c>
      <c r="T3" s="48"/>
      <c r="U3" s="48"/>
      <c r="V3" s="48"/>
      <c r="W3" s="49"/>
    </row>
    <row r="4" spans="1:23" ht="15.75" customHeight="1">
      <c r="A4" s="13"/>
      <c r="B4" s="53">
        <v>5</v>
      </c>
      <c r="C4" s="54">
        <v>48.8</v>
      </c>
      <c r="D4" s="54">
        <v>1.27</v>
      </c>
      <c r="E4" s="1">
        <v>11</v>
      </c>
      <c r="F4" s="1">
        <v>11</v>
      </c>
      <c r="G4" s="8">
        <f t="shared" si="0"/>
        <v>0</v>
      </c>
      <c r="H4" s="1">
        <v>263</v>
      </c>
      <c r="I4" s="15">
        <v>263</v>
      </c>
      <c r="J4" s="6">
        <f t="shared" si="1"/>
        <v>0</v>
      </c>
      <c r="K4" s="116"/>
      <c r="L4" s="55"/>
      <c r="M4" s="37" t="s">
        <v>0</v>
      </c>
      <c r="N4" s="21" t="s">
        <v>1</v>
      </c>
      <c r="O4" s="21" t="s">
        <v>15</v>
      </c>
      <c r="P4" s="21" t="s">
        <v>16</v>
      </c>
      <c r="Q4" s="21" t="s">
        <v>17</v>
      </c>
      <c r="R4" s="21" t="s">
        <v>3</v>
      </c>
      <c r="S4" s="16" t="s">
        <v>0</v>
      </c>
      <c r="T4" s="16" t="s">
        <v>1</v>
      </c>
      <c r="U4" s="16" t="s">
        <v>15</v>
      </c>
      <c r="V4" s="16" t="s">
        <v>16</v>
      </c>
      <c r="W4" s="17" t="s">
        <v>17</v>
      </c>
    </row>
    <row r="5" spans="1:23" ht="15.75" customHeight="1" thickBot="1">
      <c r="A5" s="13"/>
      <c r="B5" s="11">
        <v>6</v>
      </c>
      <c r="C5" s="14">
        <v>49.07</v>
      </c>
      <c r="D5" s="14">
        <v>1.24</v>
      </c>
      <c r="E5" s="1">
        <v>7</v>
      </c>
      <c r="F5" s="1">
        <v>7</v>
      </c>
      <c r="G5" s="8">
        <f t="shared" si="0"/>
        <v>0</v>
      </c>
      <c r="H5" s="1">
        <v>175.48</v>
      </c>
      <c r="I5" s="15">
        <v>175.48</v>
      </c>
      <c r="J5" s="6">
        <f t="shared" si="1"/>
        <v>0</v>
      </c>
      <c r="K5" s="116"/>
      <c r="L5" s="10"/>
      <c r="M5" s="38">
        <v>2272.42</v>
      </c>
      <c r="N5" s="2">
        <v>357.9</v>
      </c>
      <c r="O5" s="2">
        <v>0</v>
      </c>
      <c r="P5" s="2">
        <v>0</v>
      </c>
      <c r="Q5" s="2">
        <v>126</v>
      </c>
      <c r="R5" s="7">
        <f>SUM(M5:Q5)</f>
        <v>2756.32</v>
      </c>
      <c r="S5" s="3">
        <f>(M5/R5)*100</f>
        <v>82.443983282057232</v>
      </c>
      <c r="T5" s="3">
        <f>(N5/R5)*100</f>
        <v>12.984704243338943</v>
      </c>
      <c r="U5" s="3">
        <f>(O5/R5)*100</f>
        <v>0</v>
      </c>
      <c r="V5" s="3">
        <f>(P5/R5)*100</f>
        <v>0</v>
      </c>
      <c r="W5" s="18">
        <f>(Q5/R5)*100</f>
        <v>4.5713124746038192</v>
      </c>
    </row>
    <row r="6" spans="1:23" ht="15.75" customHeight="1" thickBot="1">
      <c r="A6" s="13"/>
      <c r="B6" s="11">
        <v>7</v>
      </c>
      <c r="C6" s="14">
        <v>49.29</v>
      </c>
      <c r="D6" s="14">
        <v>1.1399999999999999</v>
      </c>
      <c r="E6" s="1">
        <v>6</v>
      </c>
      <c r="F6" s="1">
        <v>6</v>
      </c>
      <c r="G6" s="8">
        <f t="shared" si="0"/>
        <v>0</v>
      </c>
      <c r="H6" s="1">
        <v>142.69999999999999</v>
      </c>
      <c r="I6" s="15">
        <v>142.69999999999999</v>
      </c>
      <c r="J6" s="6">
        <f t="shared" si="1"/>
        <v>0</v>
      </c>
      <c r="K6" s="117"/>
      <c r="L6" s="39"/>
      <c r="M6" s="5"/>
      <c r="N6" s="5"/>
    </row>
    <row r="7" spans="1:23" ht="15.75" customHeight="1">
      <c r="A7" s="13"/>
      <c r="B7" s="40">
        <v>9.5</v>
      </c>
      <c r="C7" s="14">
        <v>47.85</v>
      </c>
      <c r="D7" s="41">
        <v>1.78</v>
      </c>
      <c r="E7" s="12">
        <v>14</v>
      </c>
      <c r="F7" s="1">
        <v>14</v>
      </c>
      <c r="G7" s="8">
        <f t="shared" si="0"/>
        <v>0</v>
      </c>
      <c r="H7" s="1">
        <v>281.77999999999997</v>
      </c>
      <c r="I7" s="15">
        <v>281.77999999999997</v>
      </c>
      <c r="J7" s="6">
        <f t="shared" si="1"/>
        <v>0</v>
      </c>
      <c r="K7" s="115" t="s">
        <v>33</v>
      </c>
      <c r="L7" s="39"/>
      <c r="M7" s="5"/>
      <c r="N7" s="5"/>
    </row>
    <row r="8" spans="1:23" ht="15.75" customHeight="1">
      <c r="A8" s="13"/>
      <c r="B8" s="40">
        <v>11</v>
      </c>
      <c r="C8" s="14">
        <v>47.63</v>
      </c>
      <c r="D8" s="41">
        <v>1.42</v>
      </c>
      <c r="E8" s="12">
        <v>8</v>
      </c>
      <c r="F8" s="1">
        <v>8</v>
      </c>
      <c r="G8" s="8">
        <f t="shared" si="0"/>
        <v>0</v>
      </c>
      <c r="H8" s="1">
        <v>159.91999999999999</v>
      </c>
      <c r="I8" s="15">
        <v>159.91999999999999</v>
      </c>
      <c r="J8" s="6">
        <f t="shared" si="1"/>
        <v>0</v>
      </c>
      <c r="K8" s="116"/>
      <c r="L8" s="39"/>
      <c r="M8" s="5"/>
      <c r="N8" s="5"/>
    </row>
    <row r="9" spans="1:23" ht="15.75" customHeight="1">
      <c r="A9" s="13"/>
      <c r="B9" s="40">
        <v>12</v>
      </c>
      <c r="C9" s="14">
        <v>45.61</v>
      </c>
      <c r="D9" s="41">
        <v>0.88</v>
      </c>
      <c r="E9" s="12">
        <v>2</v>
      </c>
      <c r="F9" s="1">
        <v>2</v>
      </c>
      <c r="G9" s="8">
        <f t="shared" si="0"/>
        <v>0</v>
      </c>
      <c r="H9" s="1">
        <v>38.58</v>
      </c>
      <c r="I9" s="15">
        <v>38.58</v>
      </c>
      <c r="J9" s="6">
        <f t="shared" si="1"/>
        <v>0</v>
      </c>
      <c r="K9" s="116"/>
      <c r="L9" s="10"/>
      <c r="M9" s="5"/>
      <c r="N9" s="5"/>
    </row>
    <row r="10" spans="1:23" ht="15.75" customHeight="1">
      <c r="A10" s="13"/>
      <c r="B10" s="40">
        <v>13</v>
      </c>
      <c r="C10" s="14">
        <v>48.87</v>
      </c>
      <c r="D10" s="41">
        <v>1.94</v>
      </c>
      <c r="E10" s="12">
        <v>9</v>
      </c>
      <c r="F10" s="1">
        <v>9</v>
      </c>
      <c r="G10" s="8">
        <f t="shared" si="0"/>
        <v>0</v>
      </c>
      <c r="H10" s="1">
        <v>164.18</v>
      </c>
      <c r="I10" s="15">
        <v>164.18</v>
      </c>
      <c r="J10" s="6">
        <f t="shared" si="1"/>
        <v>0</v>
      </c>
      <c r="K10" s="116"/>
      <c r="L10" s="10"/>
      <c r="M10" s="5"/>
      <c r="N10" s="5"/>
    </row>
    <row r="11" spans="1:23" ht="15.75" customHeight="1">
      <c r="A11" s="13"/>
      <c r="B11" s="40">
        <v>14</v>
      </c>
      <c r="C11" s="14">
        <v>47.24</v>
      </c>
      <c r="D11" s="41">
        <v>3.08</v>
      </c>
      <c r="E11" s="12">
        <v>3</v>
      </c>
      <c r="F11" s="1">
        <v>3</v>
      </c>
      <c r="G11" s="8">
        <f t="shared" si="0"/>
        <v>0</v>
      </c>
      <c r="H11" s="1">
        <v>49.5</v>
      </c>
      <c r="I11" s="15">
        <v>49.5</v>
      </c>
      <c r="J11" s="6">
        <f t="shared" si="1"/>
        <v>0</v>
      </c>
      <c r="K11" s="116"/>
      <c r="L11" s="10"/>
      <c r="M11" s="5"/>
      <c r="N11" s="5"/>
    </row>
    <row r="12" spans="1:23" ht="15" customHeight="1">
      <c r="A12" s="13"/>
      <c r="B12" s="40">
        <v>15</v>
      </c>
      <c r="C12" s="14">
        <v>49.33</v>
      </c>
      <c r="D12" s="41">
        <v>1.1000000000000001</v>
      </c>
      <c r="E12" s="12">
        <v>12</v>
      </c>
      <c r="F12" s="1">
        <v>12</v>
      </c>
      <c r="G12" s="8">
        <f t="shared" si="0"/>
        <v>0</v>
      </c>
      <c r="H12" s="1">
        <v>231.5</v>
      </c>
      <c r="I12" s="15">
        <v>231.5</v>
      </c>
      <c r="J12" s="6">
        <f t="shared" si="1"/>
        <v>0</v>
      </c>
      <c r="K12" s="116"/>
      <c r="L12" s="10"/>
      <c r="M12" s="5"/>
      <c r="N12" s="5"/>
    </row>
    <row r="13" spans="1:23" ht="15" customHeight="1">
      <c r="A13" s="13"/>
      <c r="B13" s="40">
        <v>16</v>
      </c>
      <c r="C13" s="14">
        <v>50.22</v>
      </c>
      <c r="D13" s="41">
        <v>0.98</v>
      </c>
      <c r="E13" s="12">
        <v>10</v>
      </c>
      <c r="F13" s="1">
        <v>10</v>
      </c>
      <c r="G13" s="8">
        <f t="shared" si="0"/>
        <v>0</v>
      </c>
      <c r="H13" s="1">
        <v>206.9</v>
      </c>
      <c r="I13" s="15">
        <v>206.9</v>
      </c>
      <c r="J13" s="6">
        <f t="shared" si="1"/>
        <v>0</v>
      </c>
      <c r="K13" s="116"/>
      <c r="L13" s="10"/>
      <c r="M13" s="5"/>
      <c r="N13" s="5"/>
    </row>
    <row r="14" spans="1:23" ht="15" customHeight="1">
      <c r="A14" s="13"/>
      <c r="B14" s="40">
        <v>17</v>
      </c>
      <c r="C14" s="14">
        <v>40.35</v>
      </c>
      <c r="D14" s="41">
        <v>0.96</v>
      </c>
      <c r="E14" s="12">
        <v>9</v>
      </c>
      <c r="F14" s="1">
        <v>9</v>
      </c>
      <c r="G14" s="8">
        <f t="shared" si="0"/>
        <v>0</v>
      </c>
      <c r="H14" s="1">
        <v>179.45599999999999</v>
      </c>
      <c r="I14" s="70">
        <v>179.45599999999999</v>
      </c>
      <c r="J14" s="6">
        <f t="shared" si="1"/>
        <v>0</v>
      </c>
      <c r="K14" s="116"/>
      <c r="L14" s="10"/>
      <c r="M14" s="5"/>
      <c r="N14" s="5"/>
    </row>
    <row r="15" spans="1:23" ht="15" customHeight="1">
      <c r="A15" s="13"/>
      <c r="B15" s="53">
        <v>18</v>
      </c>
      <c r="C15" s="14">
        <v>45.69</v>
      </c>
      <c r="D15" s="54">
        <v>1.06</v>
      </c>
      <c r="E15" s="1">
        <v>5</v>
      </c>
      <c r="F15" s="1">
        <v>5</v>
      </c>
      <c r="G15" s="8">
        <f t="shared" si="0"/>
        <v>0</v>
      </c>
      <c r="H15" s="1">
        <v>94.74</v>
      </c>
      <c r="I15" s="15">
        <v>94.74</v>
      </c>
      <c r="J15" s="6">
        <f t="shared" si="1"/>
        <v>0</v>
      </c>
      <c r="K15" s="116"/>
      <c r="L15" s="10"/>
      <c r="M15" s="5"/>
      <c r="N15" s="5"/>
    </row>
    <row r="16" spans="1:23" ht="15.75" customHeight="1" thickBot="1">
      <c r="A16" s="13"/>
      <c r="B16" s="53">
        <v>19</v>
      </c>
      <c r="C16" s="14">
        <v>45.8</v>
      </c>
      <c r="D16" s="54">
        <v>1.51</v>
      </c>
      <c r="E16" s="1">
        <v>9</v>
      </c>
      <c r="F16" s="1">
        <v>9</v>
      </c>
      <c r="G16" s="8">
        <f t="shared" si="0"/>
        <v>0</v>
      </c>
      <c r="H16" s="1">
        <v>170.38</v>
      </c>
      <c r="I16" s="15">
        <v>170.38</v>
      </c>
      <c r="J16" s="6">
        <f t="shared" si="1"/>
        <v>0</v>
      </c>
      <c r="K16" s="117"/>
      <c r="L16" s="10"/>
      <c r="M16" s="5"/>
      <c r="N16" s="5"/>
    </row>
    <row r="17" spans="1:14" ht="16.5" customHeight="1" thickBot="1">
      <c r="A17" s="13"/>
      <c r="B17" s="53">
        <v>21</v>
      </c>
      <c r="C17" s="14">
        <v>2.64</v>
      </c>
      <c r="D17" s="54">
        <v>0.56000000000000005</v>
      </c>
      <c r="E17" s="1">
        <v>6</v>
      </c>
      <c r="F17" s="1">
        <v>6</v>
      </c>
      <c r="G17" s="8">
        <f t="shared" si="0"/>
        <v>0</v>
      </c>
      <c r="H17" s="1">
        <v>126</v>
      </c>
      <c r="I17" s="71">
        <v>126</v>
      </c>
      <c r="J17" s="6">
        <f t="shared" si="1"/>
        <v>0</v>
      </c>
      <c r="K17" s="115" t="s">
        <v>32</v>
      </c>
      <c r="L17" s="65" t="s">
        <v>17</v>
      </c>
      <c r="M17" s="5"/>
      <c r="N17" s="5"/>
    </row>
    <row r="18" spans="1:14" ht="15.75" thickBot="1">
      <c r="A18" s="59"/>
      <c r="B18" s="60">
        <v>23</v>
      </c>
      <c r="C18" s="61">
        <v>37.42</v>
      </c>
      <c r="D18" s="62">
        <v>1.02</v>
      </c>
      <c r="E18" s="63">
        <v>7</v>
      </c>
      <c r="F18" s="63">
        <v>7</v>
      </c>
      <c r="G18" s="8">
        <f t="shared" ref="G18" si="2">E18-F18</f>
        <v>0</v>
      </c>
      <c r="H18" s="1">
        <v>178.44</v>
      </c>
      <c r="I18" s="70">
        <v>178.44</v>
      </c>
      <c r="J18" s="6">
        <f t="shared" ref="J18" si="3">H18-I18</f>
        <v>0</v>
      </c>
      <c r="K18" s="117"/>
      <c r="L18" s="64" t="s">
        <v>31</v>
      </c>
      <c r="M18" s="5"/>
      <c r="N18" s="5"/>
    </row>
    <row r="19" spans="1:14" ht="16.5" thickBot="1">
      <c r="A19" s="19"/>
      <c r="B19" s="42" t="s">
        <v>3</v>
      </c>
      <c r="C19" s="42"/>
      <c r="D19" s="42"/>
      <c r="E19" s="4">
        <f>SUM(E2:E18)</f>
        <v>132</v>
      </c>
      <c r="F19" s="4">
        <f t="shared" ref="F19:I19" si="4">SUM(F2:F18)</f>
        <v>132</v>
      </c>
      <c r="G19" s="4">
        <f t="shared" si="4"/>
        <v>0</v>
      </c>
      <c r="H19" s="4">
        <f t="shared" si="4"/>
        <v>2756.3160000000003</v>
      </c>
      <c r="I19" s="4">
        <f t="shared" si="4"/>
        <v>2756.3160000000003</v>
      </c>
      <c r="J19" s="9">
        <f>SUM(J2:J18)</f>
        <v>0</v>
      </c>
      <c r="K19" s="20"/>
      <c r="L19" s="39"/>
    </row>
    <row r="20" spans="1:14">
      <c r="I20" s="5"/>
      <c r="L20" s="10"/>
    </row>
  </sheetData>
  <mergeCells count="5">
    <mergeCell ref="K17:K18"/>
    <mergeCell ref="N2:O2"/>
    <mergeCell ref="P2:W2"/>
    <mergeCell ref="K2:K6"/>
    <mergeCell ref="K7:K16"/>
  </mergeCells>
  <conditionalFormatting sqref="C2:C18">
    <cfRule type="cellIs" dxfId="51" priority="2" operator="lessThan">
      <formula>44.99</formula>
    </cfRule>
  </conditionalFormatting>
  <conditionalFormatting sqref="D2:D18">
    <cfRule type="cellIs" dxfId="50" priority="1" operator="greaterThan">
      <formula>2.99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98B13-C2EF-4A1C-A1F1-8BDFE180B6FF}">
  <dimension ref="A1:W19"/>
  <sheetViews>
    <sheetView workbookViewId="0">
      <selection sqref="A1:XFD1048576"/>
    </sheetView>
  </sheetViews>
  <sheetFormatPr defaultColWidth="8.28515625" defaultRowHeight="15"/>
  <cols>
    <col min="1" max="1" width="9" customWidth="1"/>
    <col min="2" max="2" width="12" bestFit="1" customWidth="1"/>
    <col min="5" max="5" width="9.85546875" customWidth="1"/>
    <col min="6" max="6" width="8.85546875" customWidth="1"/>
    <col min="7" max="7" width="6.85546875" bestFit="1" customWidth="1"/>
    <col min="8" max="8" width="9.28515625" bestFit="1" customWidth="1"/>
    <col min="11" max="11" width="19.28515625" customWidth="1"/>
    <col min="12" max="12" width="18" bestFit="1" customWidth="1"/>
    <col min="15" max="15" width="9.28515625" customWidth="1"/>
  </cols>
  <sheetData>
    <row r="1" spans="1:23" ht="78" customHeight="1" thickBot="1">
      <c r="A1" s="50" t="s">
        <v>2</v>
      </c>
      <c r="B1" s="51" t="s">
        <v>5</v>
      </c>
      <c r="C1" s="51" t="s">
        <v>6</v>
      </c>
      <c r="D1" s="51" t="s">
        <v>14</v>
      </c>
      <c r="E1" s="51" t="s">
        <v>21</v>
      </c>
      <c r="F1" s="51" t="s">
        <v>9</v>
      </c>
      <c r="G1" s="51" t="s">
        <v>10</v>
      </c>
      <c r="H1" s="51" t="s">
        <v>22</v>
      </c>
      <c r="I1" s="51" t="s">
        <v>7</v>
      </c>
      <c r="J1" s="51" t="s">
        <v>12</v>
      </c>
      <c r="K1" s="52" t="s">
        <v>23</v>
      </c>
      <c r="L1" s="39"/>
    </row>
    <row r="2" spans="1:23" ht="16.5" customHeight="1" thickBot="1">
      <c r="A2" s="28" t="str">
        <f>N2</f>
        <v>04.05.2026</v>
      </c>
      <c r="B2" s="53">
        <v>24</v>
      </c>
      <c r="C2" s="54">
        <v>47.36</v>
      </c>
      <c r="D2" s="54">
        <v>1.23</v>
      </c>
      <c r="E2" s="1">
        <v>7</v>
      </c>
      <c r="F2" s="1">
        <v>7</v>
      </c>
      <c r="G2" s="8">
        <f t="shared" ref="G2:G17" si="0">E2-F2</f>
        <v>0</v>
      </c>
      <c r="H2" s="1">
        <v>153.26</v>
      </c>
      <c r="I2" s="15">
        <v>153.26</v>
      </c>
      <c r="J2" s="6">
        <f>H2-I2</f>
        <v>0</v>
      </c>
      <c r="K2" s="115" t="s">
        <v>33</v>
      </c>
      <c r="L2" s="55"/>
      <c r="M2" s="58" t="s">
        <v>13</v>
      </c>
      <c r="N2" s="111" t="s">
        <v>34</v>
      </c>
      <c r="O2" s="112"/>
      <c r="P2" s="113"/>
      <c r="Q2" s="114"/>
      <c r="R2" s="114"/>
      <c r="S2" s="114"/>
      <c r="T2" s="114"/>
      <c r="U2" s="114"/>
      <c r="V2" s="114"/>
      <c r="W2" s="114"/>
    </row>
    <row r="3" spans="1:23" ht="15.75" customHeight="1" thickBot="1">
      <c r="A3" s="13"/>
      <c r="B3" s="53">
        <v>1</v>
      </c>
      <c r="C3" s="54">
        <v>49.2</v>
      </c>
      <c r="D3" s="54">
        <v>0.95</v>
      </c>
      <c r="E3" s="1">
        <v>9</v>
      </c>
      <c r="F3" s="1">
        <v>9</v>
      </c>
      <c r="G3" s="8">
        <f t="shared" si="0"/>
        <v>0</v>
      </c>
      <c r="H3" s="1">
        <v>189.96</v>
      </c>
      <c r="I3" s="15">
        <v>189.96</v>
      </c>
      <c r="J3" s="6">
        <f t="shared" ref="J3:J17" si="1">H3-I3</f>
        <v>0</v>
      </c>
      <c r="K3" s="116"/>
      <c r="L3" s="55"/>
      <c r="M3" s="44" t="s">
        <v>20</v>
      </c>
      <c r="N3" s="45"/>
      <c r="O3" s="45"/>
      <c r="P3" s="45"/>
      <c r="Q3" s="45"/>
      <c r="R3" s="46"/>
      <c r="S3" s="47" t="s">
        <v>4</v>
      </c>
      <c r="T3" s="48"/>
      <c r="U3" s="48"/>
      <c r="V3" s="48"/>
      <c r="W3" s="49"/>
    </row>
    <row r="4" spans="1:23" ht="15.75" customHeight="1">
      <c r="A4" s="13"/>
      <c r="B4" s="53">
        <v>2</v>
      </c>
      <c r="C4" s="54">
        <v>49.52</v>
      </c>
      <c r="D4" s="54">
        <v>0.97</v>
      </c>
      <c r="E4" s="1">
        <v>10</v>
      </c>
      <c r="F4" s="1">
        <v>10</v>
      </c>
      <c r="G4" s="8">
        <f t="shared" si="0"/>
        <v>0</v>
      </c>
      <c r="H4" s="1">
        <v>211.32</v>
      </c>
      <c r="I4" s="15">
        <v>211.32</v>
      </c>
      <c r="J4" s="6">
        <f t="shared" si="1"/>
        <v>0</v>
      </c>
      <c r="K4" s="116"/>
      <c r="L4" s="55"/>
      <c r="M4" s="37" t="s">
        <v>0</v>
      </c>
      <c r="N4" s="21" t="s">
        <v>1</v>
      </c>
      <c r="O4" s="21" t="s">
        <v>15</v>
      </c>
      <c r="P4" s="21" t="s">
        <v>16</v>
      </c>
      <c r="Q4" s="21" t="s">
        <v>17</v>
      </c>
      <c r="R4" s="21" t="s">
        <v>3</v>
      </c>
      <c r="S4" s="16" t="s">
        <v>0</v>
      </c>
      <c r="T4" s="16" t="s">
        <v>1</v>
      </c>
      <c r="U4" s="16" t="s">
        <v>15</v>
      </c>
      <c r="V4" s="16" t="s">
        <v>16</v>
      </c>
      <c r="W4" s="17" t="s">
        <v>17</v>
      </c>
    </row>
    <row r="5" spans="1:23" ht="15.75" customHeight="1" thickBot="1">
      <c r="A5" s="13"/>
      <c r="B5" s="11">
        <v>3</v>
      </c>
      <c r="C5" s="14">
        <v>48.28</v>
      </c>
      <c r="D5" s="14">
        <v>0.9</v>
      </c>
      <c r="E5" s="1">
        <v>9</v>
      </c>
      <c r="F5" s="1">
        <v>9</v>
      </c>
      <c r="G5" s="8">
        <f t="shared" si="0"/>
        <v>0</v>
      </c>
      <c r="H5" s="1">
        <v>191.28</v>
      </c>
      <c r="I5" s="15">
        <v>191.28</v>
      </c>
      <c r="J5" s="6">
        <f t="shared" si="1"/>
        <v>0</v>
      </c>
      <c r="K5" s="116"/>
      <c r="L5" s="10"/>
      <c r="M5" s="38">
        <v>1371.6</v>
      </c>
      <c r="N5" s="2">
        <v>959.54</v>
      </c>
      <c r="O5" s="2">
        <v>0</v>
      </c>
      <c r="P5" s="2">
        <v>0</v>
      </c>
      <c r="Q5" s="2">
        <v>70.7</v>
      </c>
      <c r="R5" s="7">
        <f>SUM(M5:Q5)</f>
        <v>2401.8399999999997</v>
      </c>
      <c r="S5" s="3">
        <f>(M5/R5)*100</f>
        <v>57.106218565766255</v>
      </c>
      <c r="T5" s="3">
        <f>(N5/R5)*100</f>
        <v>39.950204842953738</v>
      </c>
      <c r="U5" s="3">
        <f>(O5/R5)*100</f>
        <v>0</v>
      </c>
      <c r="V5" s="3">
        <f>(P5/R5)*100</f>
        <v>0</v>
      </c>
      <c r="W5" s="18">
        <f>(Q5/R5)*100</f>
        <v>2.9435765912800194</v>
      </c>
    </row>
    <row r="6" spans="1:23" ht="15.75" customHeight="1">
      <c r="A6" s="13"/>
      <c r="B6" s="11">
        <v>4</v>
      </c>
      <c r="C6" s="14">
        <v>46.23</v>
      </c>
      <c r="D6" s="14">
        <v>0.92</v>
      </c>
      <c r="E6" s="1">
        <v>2</v>
      </c>
      <c r="F6" s="1">
        <v>2</v>
      </c>
      <c r="G6" s="8">
        <f t="shared" si="0"/>
        <v>0</v>
      </c>
      <c r="H6" s="1">
        <v>45.48</v>
      </c>
      <c r="I6" s="15">
        <v>45.48</v>
      </c>
      <c r="J6" s="6">
        <f t="shared" si="1"/>
        <v>0</v>
      </c>
      <c r="K6" s="116"/>
      <c r="L6" s="39"/>
      <c r="M6" s="5"/>
      <c r="N6" s="5"/>
    </row>
    <row r="7" spans="1:23" ht="15.75" customHeight="1">
      <c r="A7" s="13"/>
      <c r="B7" s="40">
        <v>5</v>
      </c>
      <c r="C7" s="14">
        <v>49.53</v>
      </c>
      <c r="D7" s="41">
        <v>1.47</v>
      </c>
      <c r="E7" s="12">
        <v>2</v>
      </c>
      <c r="F7" s="1">
        <v>2</v>
      </c>
      <c r="G7" s="8">
        <f t="shared" si="0"/>
        <v>0</v>
      </c>
      <c r="H7" s="1">
        <v>46.28</v>
      </c>
      <c r="I7" s="15">
        <v>46.28</v>
      </c>
      <c r="J7" s="6">
        <f t="shared" si="1"/>
        <v>0</v>
      </c>
      <c r="K7" s="116"/>
      <c r="L7" s="39"/>
      <c r="M7" s="5"/>
      <c r="N7" s="5"/>
    </row>
    <row r="8" spans="1:23" ht="15.75" customHeight="1">
      <c r="A8" s="13"/>
      <c r="B8" s="40">
        <v>6</v>
      </c>
      <c r="C8" s="14">
        <v>48.31</v>
      </c>
      <c r="D8" s="41">
        <v>1.27</v>
      </c>
      <c r="E8" s="12">
        <v>3</v>
      </c>
      <c r="F8" s="1">
        <v>3</v>
      </c>
      <c r="G8" s="8">
        <f t="shared" si="0"/>
        <v>0</v>
      </c>
      <c r="H8" s="1">
        <v>67.14</v>
      </c>
      <c r="I8" s="15">
        <v>67.14</v>
      </c>
      <c r="J8" s="6">
        <f t="shared" si="1"/>
        <v>0</v>
      </c>
      <c r="K8" s="116"/>
      <c r="L8" s="39"/>
      <c r="M8" s="5"/>
      <c r="N8" s="5"/>
    </row>
    <row r="9" spans="1:23" ht="15.75" customHeight="1" thickBot="1">
      <c r="A9" s="13"/>
      <c r="B9" s="40">
        <v>7</v>
      </c>
      <c r="C9" s="14">
        <v>49.5</v>
      </c>
      <c r="D9" s="41">
        <v>0.97</v>
      </c>
      <c r="E9" s="12">
        <v>4</v>
      </c>
      <c r="F9" s="1">
        <v>4</v>
      </c>
      <c r="G9" s="8">
        <f t="shared" si="0"/>
        <v>0</v>
      </c>
      <c r="H9" s="1">
        <v>86.48</v>
      </c>
      <c r="I9" s="15">
        <v>86.48</v>
      </c>
      <c r="J9" s="6">
        <f t="shared" si="1"/>
        <v>0</v>
      </c>
      <c r="K9" s="117"/>
      <c r="L9" s="10"/>
      <c r="M9" s="5"/>
      <c r="N9" s="5"/>
    </row>
    <row r="10" spans="1:23" ht="15.75" customHeight="1">
      <c r="A10" s="13"/>
      <c r="B10" s="40" t="s">
        <v>35</v>
      </c>
      <c r="C10" s="14">
        <v>42.81</v>
      </c>
      <c r="D10" s="41">
        <v>1.1100000000000001</v>
      </c>
      <c r="E10" s="12">
        <v>12</v>
      </c>
      <c r="F10" s="1">
        <v>12</v>
      </c>
      <c r="G10" s="8">
        <f t="shared" si="0"/>
        <v>0</v>
      </c>
      <c r="H10" s="1">
        <v>241.32</v>
      </c>
      <c r="I10" s="70">
        <v>241.32</v>
      </c>
      <c r="J10" s="6">
        <f t="shared" si="1"/>
        <v>0</v>
      </c>
      <c r="K10" s="115" t="s">
        <v>39</v>
      </c>
      <c r="L10" s="10"/>
      <c r="M10" s="5"/>
      <c r="N10" s="5"/>
    </row>
    <row r="11" spans="1:23" ht="15.75" customHeight="1">
      <c r="A11" s="13"/>
      <c r="B11" s="40">
        <v>11</v>
      </c>
      <c r="C11" s="14">
        <v>44.73</v>
      </c>
      <c r="D11" s="41">
        <v>1.66</v>
      </c>
      <c r="E11" s="12">
        <v>6</v>
      </c>
      <c r="F11" s="1">
        <v>6</v>
      </c>
      <c r="G11" s="8">
        <f t="shared" si="0"/>
        <v>0</v>
      </c>
      <c r="H11" s="1">
        <v>109.48</v>
      </c>
      <c r="I11" s="70">
        <v>109.48</v>
      </c>
      <c r="J11" s="6">
        <f t="shared" si="1"/>
        <v>0</v>
      </c>
      <c r="K11" s="116"/>
      <c r="L11" s="10"/>
      <c r="M11" s="5"/>
      <c r="N11" s="5"/>
    </row>
    <row r="12" spans="1:23" ht="15" customHeight="1">
      <c r="A12" s="13"/>
      <c r="B12" s="40" t="s">
        <v>36</v>
      </c>
      <c r="C12" s="14">
        <v>45.83</v>
      </c>
      <c r="D12" s="41">
        <v>1.51</v>
      </c>
      <c r="E12" s="12">
        <v>10</v>
      </c>
      <c r="F12" s="1">
        <v>10</v>
      </c>
      <c r="G12" s="8">
        <f t="shared" si="0"/>
        <v>0</v>
      </c>
      <c r="H12" s="1">
        <v>192.82</v>
      </c>
      <c r="I12" s="15">
        <v>192.82</v>
      </c>
      <c r="J12" s="6">
        <f t="shared" si="1"/>
        <v>0</v>
      </c>
      <c r="K12" s="116"/>
      <c r="L12" s="10"/>
      <c r="M12" s="5"/>
      <c r="N12" s="5"/>
    </row>
    <row r="13" spans="1:23" ht="15" customHeight="1">
      <c r="A13" s="13"/>
      <c r="B13" s="40">
        <v>14</v>
      </c>
      <c r="C13" s="14">
        <v>44.74</v>
      </c>
      <c r="D13" s="41">
        <v>1.58</v>
      </c>
      <c r="E13" s="12">
        <v>6</v>
      </c>
      <c r="F13" s="1">
        <v>6</v>
      </c>
      <c r="G13" s="8">
        <f t="shared" si="0"/>
        <v>0</v>
      </c>
      <c r="H13" s="1">
        <v>112.48</v>
      </c>
      <c r="I13" s="70">
        <v>112.48</v>
      </c>
      <c r="J13" s="6">
        <f t="shared" si="1"/>
        <v>0</v>
      </c>
      <c r="K13" s="116"/>
      <c r="L13" s="10"/>
      <c r="M13" s="5"/>
      <c r="N13" s="5"/>
    </row>
    <row r="14" spans="1:23" ht="15" customHeight="1">
      <c r="A14" s="13"/>
      <c r="B14" s="40" t="s">
        <v>37</v>
      </c>
      <c r="C14" s="14">
        <v>44.94</v>
      </c>
      <c r="D14" s="41">
        <v>1.4</v>
      </c>
      <c r="E14" s="12">
        <v>12</v>
      </c>
      <c r="F14" s="1">
        <v>12</v>
      </c>
      <c r="G14" s="8">
        <f t="shared" si="0"/>
        <v>0</v>
      </c>
      <c r="H14" s="1">
        <v>233.16</v>
      </c>
      <c r="I14" s="70">
        <v>233.16</v>
      </c>
      <c r="J14" s="6">
        <f t="shared" si="1"/>
        <v>0</v>
      </c>
      <c r="K14" s="116"/>
      <c r="L14" s="10"/>
      <c r="M14" s="5"/>
      <c r="N14" s="5"/>
    </row>
    <row r="15" spans="1:23" ht="15" customHeight="1" thickBot="1">
      <c r="A15" s="13"/>
      <c r="B15" s="53" t="s">
        <v>38</v>
      </c>
      <c r="C15" s="14">
        <v>47.42</v>
      </c>
      <c r="D15" s="54">
        <v>1.93</v>
      </c>
      <c r="E15" s="1">
        <v>9</v>
      </c>
      <c r="F15" s="1">
        <v>9</v>
      </c>
      <c r="G15" s="8">
        <f t="shared" si="0"/>
        <v>0</v>
      </c>
      <c r="H15" s="1">
        <v>187.58</v>
      </c>
      <c r="I15" s="15">
        <v>187.58</v>
      </c>
      <c r="J15" s="6">
        <f t="shared" si="1"/>
        <v>0</v>
      </c>
      <c r="K15" s="117"/>
      <c r="L15" s="10"/>
      <c r="M15" s="5"/>
      <c r="N15" s="5"/>
    </row>
    <row r="16" spans="1:23" ht="15.75" customHeight="1">
      <c r="A16" s="13"/>
      <c r="B16" s="53">
        <v>21.4</v>
      </c>
      <c r="C16" s="14">
        <v>43.76</v>
      </c>
      <c r="D16" s="54">
        <v>1.39</v>
      </c>
      <c r="E16" s="1">
        <v>11</v>
      </c>
      <c r="F16" s="1">
        <v>11</v>
      </c>
      <c r="G16" s="8">
        <f t="shared" si="0"/>
        <v>0</v>
      </c>
      <c r="H16" s="1">
        <v>263.10000000000002</v>
      </c>
      <c r="I16" s="70">
        <v>263.10000000000002</v>
      </c>
      <c r="J16" s="6">
        <f t="shared" si="1"/>
        <v>0</v>
      </c>
      <c r="K16" s="115" t="s">
        <v>33</v>
      </c>
      <c r="L16" s="10"/>
      <c r="M16" s="5"/>
      <c r="N16" s="5"/>
    </row>
    <row r="17" spans="1:14" ht="16.5" customHeight="1" thickBot="1">
      <c r="A17" s="13"/>
      <c r="B17" s="53">
        <v>23.55</v>
      </c>
      <c r="C17" s="14">
        <v>5.43</v>
      </c>
      <c r="D17" s="54">
        <v>0.59</v>
      </c>
      <c r="E17" s="1">
        <v>3</v>
      </c>
      <c r="F17" s="1">
        <v>3</v>
      </c>
      <c r="G17" s="8">
        <f t="shared" si="0"/>
        <v>0</v>
      </c>
      <c r="H17" s="1">
        <v>70.7</v>
      </c>
      <c r="I17" s="71">
        <v>70.7</v>
      </c>
      <c r="J17" s="6">
        <f t="shared" si="1"/>
        <v>0</v>
      </c>
      <c r="K17" s="117"/>
      <c r="L17" s="10"/>
      <c r="M17" s="5"/>
      <c r="N17" s="5"/>
    </row>
    <row r="18" spans="1:14" ht="16.5" thickBot="1">
      <c r="A18" s="19"/>
      <c r="B18" s="42" t="s">
        <v>3</v>
      </c>
      <c r="C18" s="42"/>
      <c r="D18" s="42"/>
      <c r="E18" s="4">
        <f t="shared" ref="E18:J18" si="2">SUM(E2:E17)</f>
        <v>115</v>
      </c>
      <c r="F18" s="4">
        <f t="shared" si="2"/>
        <v>115</v>
      </c>
      <c r="G18" s="4">
        <f t="shared" si="2"/>
        <v>0</v>
      </c>
      <c r="H18" s="4">
        <f t="shared" si="2"/>
        <v>2401.8399999999997</v>
      </c>
      <c r="I18" s="4">
        <f t="shared" si="2"/>
        <v>2401.8399999999997</v>
      </c>
      <c r="J18" s="9">
        <f t="shared" si="2"/>
        <v>0</v>
      </c>
      <c r="K18" s="20"/>
      <c r="L18" s="10"/>
    </row>
    <row r="19" spans="1:14">
      <c r="I19" s="5"/>
      <c r="L19" s="10"/>
    </row>
  </sheetData>
  <mergeCells count="5">
    <mergeCell ref="N2:O2"/>
    <mergeCell ref="P2:W2"/>
    <mergeCell ref="K2:K9"/>
    <mergeCell ref="K10:K15"/>
    <mergeCell ref="K16:K17"/>
  </mergeCells>
  <conditionalFormatting sqref="C2:C17">
    <cfRule type="cellIs" dxfId="49" priority="2" operator="lessThan">
      <formula>44.99</formula>
    </cfRule>
  </conditionalFormatting>
  <conditionalFormatting sqref="D2:D17">
    <cfRule type="cellIs" dxfId="48" priority="1" operator="greaterThan">
      <formula>2.99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FDFFE-E72C-46E6-B5D4-CF44CB94E8C3}">
  <dimension ref="A1:W18"/>
  <sheetViews>
    <sheetView workbookViewId="0">
      <selection sqref="A1:XFD1048576"/>
    </sheetView>
  </sheetViews>
  <sheetFormatPr defaultColWidth="8.28515625" defaultRowHeight="15"/>
  <cols>
    <col min="1" max="1" width="9" customWidth="1"/>
    <col min="2" max="2" width="12" bestFit="1" customWidth="1"/>
    <col min="5" max="5" width="9.85546875" customWidth="1"/>
    <col min="6" max="6" width="8.85546875" customWidth="1"/>
    <col min="7" max="7" width="6.85546875" bestFit="1" customWidth="1"/>
    <col min="8" max="8" width="9.28515625" bestFit="1" customWidth="1"/>
    <col min="11" max="11" width="19.28515625" customWidth="1"/>
    <col min="12" max="12" width="18" bestFit="1" customWidth="1"/>
    <col min="15" max="15" width="9.28515625" customWidth="1"/>
  </cols>
  <sheetData>
    <row r="1" spans="1:23" ht="78" customHeight="1" thickBot="1">
      <c r="A1" s="50" t="s">
        <v>2</v>
      </c>
      <c r="B1" s="51" t="s">
        <v>5</v>
      </c>
      <c r="C1" s="51" t="s">
        <v>6</v>
      </c>
      <c r="D1" s="51" t="s">
        <v>14</v>
      </c>
      <c r="E1" s="51" t="s">
        <v>21</v>
      </c>
      <c r="F1" s="51" t="s">
        <v>9</v>
      </c>
      <c r="G1" s="51" t="s">
        <v>10</v>
      </c>
      <c r="H1" s="51" t="s">
        <v>22</v>
      </c>
      <c r="I1" s="51" t="s">
        <v>7</v>
      </c>
      <c r="J1" s="51" t="s">
        <v>12</v>
      </c>
      <c r="K1" s="52" t="s">
        <v>23</v>
      </c>
      <c r="L1" s="39"/>
    </row>
    <row r="2" spans="1:23" ht="16.5" customHeight="1" thickBot="1">
      <c r="A2" s="28" t="str">
        <f>N2</f>
        <v>05.05.2026</v>
      </c>
      <c r="B2" s="53">
        <v>0.5</v>
      </c>
      <c r="C2" s="54">
        <v>41.94</v>
      </c>
      <c r="D2" s="54">
        <v>1.25</v>
      </c>
      <c r="E2" s="1">
        <v>5</v>
      </c>
      <c r="F2" s="1">
        <v>5</v>
      </c>
      <c r="G2" s="8">
        <f t="shared" ref="G2:G16" si="0">E2-F2</f>
        <v>0</v>
      </c>
      <c r="H2" s="1">
        <v>124.52</v>
      </c>
      <c r="I2" s="70">
        <v>124.52</v>
      </c>
      <c r="J2" s="6">
        <f>H2-I2</f>
        <v>0</v>
      </c>
      <c r="K2" s="115" t="s">
        <v>33</v>
      </c>
      <c r="L2" s="55"/>
      <c r="M2" s="72" t="s">
        <v>13</v>
      </c>
      <c r="N2" s="111" t="s">
        <v>40</v>
      </c>
      <c r="O2" s="112"/>
      <c r="P2" s="113"/>
      <c r="Q2" s="114"/>
      <c r="R2" s="114"/>
      <c r="S2" s="114"/>
      <c r="T2" s="114"/>
      <c r="U2" s="114"/>
      <c r="V2" s="114"/>
      <c r="W2" s="114"/>
    </row>
    <row r="3" spans="1:23" ht="15.75" customHeight="1" thickBot="1">
      <c r="A3" s="13"/>
      <c r="B3" s="53">
        <v>1.5</v>
      </c>
      <c r="C3" s="54">
        <v>46.52</v>
      </c>
      <c r="D3" s="54">
        <v>1.18</v>
      </c>
      <c r="E3" s="1">
        <v>11</v>
      </c>
      <c r="F3" s="1">
        <v>11</v>
      </c>
      <c r="G3" s="8">
        <f t="shared" si="0"/>
        <v>0</v>
      </c>
      <c r="H3" s="1">
        <v>275.24</v>
      </c>
      <c r="I3" s="15">
        <v>275.24</v>
      </c>
      <c r="J3" s="6">
        <f t="shared" ref="J3:J16" si="1">H3-I3</f>
        <v>0</v>
      </c>
      <c r="K3" s="116"/>
      <c r="L3" s="55"/>
      <c r="M3" s="44" t="s">
        <v>20</v>
      </c>
      <c r="N3" s="45"/>
      <c r="O3" s="45"/>
      <c r="P3" s="45"/>
      <c r="Q3" s="45"/>
      <c r="R3" s="46"/>
      <c r="S3" s="47" t="s">
        <v>4</v>
      </c>
      <c r="T3" s="48"/>
      <c r="U3" s="48"/>
      <c r="V3" s="48"/>
      <c r="W3" s="49"/>
    </row>
    <row r="4" spans="1:23" ht="15.75" customHeight="1">
      <c r="A4" s="13"/>
      <c r="B4" s="53">
        <v>3</v>
      </c>
      <c r="C4" s="54">
        <v>47.8</v>
      </c>
      <c r="D4" s="54">
        <v>1.55</v>
      </c>
      <c r="E4" s="1">
        <v>6</v>
      </c>
      <c r="F4" s="1">
        <v>6</v>
      </c>
      <c r="G4" s="8">
        <f t="shared" si="0"/>
        <v>0</v>
      </c>
      <c r="H4" s="1">
        <v>154.86000000000001</v>
      </c>
      <c r="I4" s="15">
        <v>154.86000000000001</v>
      </c>
      <c r="J4" s="6">
        <f t="shared" si="1"/>
        <v>0</v>
      </c>
      <c r="K4" s="116"/>
      <c r="L4" s="55"/>
      <c r="M4" s="37" t="s">
        <v>0</v>
      </c>
      <c r="N4" s="21" t="s">
        <v>1</v>
      </c>
      <c r="O4" s="21" t="s">
        <v>15</v>
      </c>
      <c r="P4" s="21" t="s">
        <v>16</v>
      </c>
      <c r="Q4" s="21" t="s">
        <v>17</v>
      </c>
      <c r="R4" s="21" t="s">
        <v>3</v>
      </c>
      <c r="S4" s="16" t="s">
        <v>0</v>
      </c>
      <c r="T4" s="16" t="s">
        <v>1</v>
      </c>
      <c r="U4" s="16" t="s">
        <v>15</v>
      </c>
      <c r="V4" s="16" t="s">
        <v>16</v>
      </c>
      <c r="W4" s="17" t="s">
        <v>17</v>
      </c>
    </row>
    <row r="5" spans="1:23" ht="15.75" customHeight="1" thickBot="1">
      <c r="A5" s="13"/>
      <c r="B5" s="11">
        <v>4</v>
      </c>
      <c r="C5" s="14">
        <v>47.44</v>
      </c>
      <c r="D5" s="14">
        <v>1.29</v>
      </c>
      <c r="E5" s="1">
        <v>9</v>
      </c>
      <c r="F5" s="1">
        <v>9</v>
      </c>
      <c r="G5" s="8">
        <f t="shared" si="0"/>
        <v>0</v>
      </c>
      <c r="H5" s="1">
        <v>234.96</v>
      </c>
      <c r="I5" s="15">
        <v>234.96</v>
      </c>
      <c r="J5" s="6">
        <f t="shared" si="1"/>
        <v>0</v>
      </c>
      <c r="K5" s="116"/>
      <c r="L5" s="10"/>
      <c r="M5" s="38">
        <v>2645</v>
      </c>
      <c r="N5" s="2">
        <v>421.72</v>
      </c>
      <c r="O5" s="2">
        <v>0</v>
      </c>
      <c r="P5" s="2">
        <v>0</v>
      </c>
      <c r="Q5" s="2">
        <v>0</v>
      </c>
      <c r="R5" s="7">
        <f>SUM(M5:Q5)</f>
        <v>3066.7200000000003</v>
      </c>
      <c r="S5" s="3">
        <f>(M5/R5)*100</f>
        <v>86.248500026086489</v>
      </c>
      <c r="T5" s="3">
        <f>(N5/R5)*100</f>
        <v>13.751499973913498</v>
      </c>
      <c r="U5" s="3">
        <f>(O5/R5)*100</f>
        <v>0</v>
      </c>
      <c r="V5" s="3">
        <f>(P5/R5)*100</f>
        <v>0</v>
      </c>
      <c r="W5" s="18">
        <f>(Q5/R5)*100</f>
        <v>0</v>
      </c>
    </row>
    <row r="6" spans="1:23" ht="15.75" customHeight="1">
      <c r="A6" s="13"/>
      <c r="B6" s="11">
        <v>5</v>
      </c>
      <c r="C6" s="14">
        <v>48.98</v>
      </c>
      <c r="D6" s="14">
        <v>1.17</v>
      </c>
      <c r="E6" s="1">
        <v>9</v>
      </c>
      <c r="F6" s="1">
        <v>9</v>
      </c>
      <c r="G6" s="8">
        <f t="shared" si="0"/>
        <v>0</v>
      </c>
      <c r="H6" s="1">
        <v>246.26</v>
      </c>
      <c r="I6" s="15">
        <v>246.26</v>
      </c>
      <c r="J6" s="6">
        <f t="shared" si="1"/>
        <v>0</v>
      </c>
      <c r="K6" s="116"/>
      <c r="L6" s="39"/>
      <c r="M6" s="5"/>
      <c r="N6" s="5"/>
    </row>
    <row r="7" spans="1:23" ht="15.75" customHeight="1">
      <c r="A7" s="13"/>
      <c r="B7" s="40">
        <v>6</v>
      </c>
      <c r="C7" s="14">
        <v>49.77</v>
      </c>
      <c r="D7" s="41">
        <v>1.08</v>
      </c>
      <c r="E7" s="12">
        <v>2</v>
      </c>
      <c r="F7" s="1">
        <v>2</v>
      </c>
      <c r="G7" s="8">
        <f t="shared" si="0"/>
        <v>0</v>
      </c>
      <c r="H7" s="1">
        <v>53.18</v>
      </c>
      <c r="I7" s="15">
        <v>53.18</v>
      </c>
      <c r="J7" s="6">
        <f t="shared" si="1"/>
        <v>0</v>
      </c>
      <c r="K7" s="116"/>
      <c r="L7" s="39"/>
      <c r="M7" s="5"/>
      <c r="N7" s="5"/>
    </row>
    <row r="8" spans="1:23" ht="15.75" customHeight="1" thickBot="1">
      <c r="A8" s="13"/>
      <c r="B8" s="40">
        <v>7</v>
      </c>
      <c r="C8" s="14">
        <v>48.96</v>
      </c>
      <c r="D8" s="41">
        <v>1.06</v>
      </c>
      <c r="E8" s="12">
        <v>6</v>
      </c>
      <c r="F8" s="1">
        <v>6</v>
      </c>
      <c r="G8" s="8">
        <f t="shared" si="0"/>
        <v>0</v>
      </c>
      <c r="H8" s="1">
        <v>138.46</v>
      </c>
      <c r="I8" s="15">
        <v>138.46</v>
      </c>
      <c r="J8" s="6">
        <f t="shared" si="1"/>
        <v>0</v>
      </c>
      <c r="K8" s="117"/>
      <c r="L8" s="39"/>
      <c r="M8" s="5"/>
      <c r="N8" s="5"/>
    </row>
    <row r="9" spans="1:23" ht="15.75" customHeight="1">
      <c r="A9" s="13"/>
      <c r="B9" s="40" t="s">
        <v>41</v>
      </c>
      <c r="C9" s="14">
        <v>47.67</v>
      </c>
      <c r="D9" s="41">
        <v>1.1499999999999999</v>
      </c>
      <c r="E9" s="12">
        <v>12</v>
      </c>
      <c r="F9" s="1">
        <v>17</v>
      </c>
      <c r="G9" s="8">
        <v>5</v>
      </c>
      <c r="H9" s="1">
        <v>270.92</v>
      </c>
      <c r="I9" s="15">
        <v>351.52</v>
      </c>
      <c r="J9" s="6">
        <v>60.6</v>
      </c>
      <c r="K9" s="115" t="s">
        <v>39</v>
      </c>
      <c r="L9" s="10"/>
      <c r="M9" s="5"/>
      <c r="N9" s="5"/>
    </row>
    <row r="10" spans="1:23" ht="15.75" customHeight="1">
      <c r="A10" s="13"/>
      <c r="B10" s="40">
        <v>12</v>
      </c>
      <c r="C10" s="14">
        <v>49.11</v>
      </c>
      <c r="D10" s="41">
        <v>1.2</v>
      </c>
      <c r="E10" s="12">
        <v>9</v>
      </c>
      <c r="F10" s="1">
        <v>11</v>
      </c>
      <c r="G10" s="8">
        <v>2</v>
      </c>
      <c r="H10" s="1">
        <v>203.94</v>
      </c>
      <c r="I10" s="15">
        <v>248.64</v>
      </c>
      <c r="J10" s="6">
        <v>44.7</v>
      </c>
      <c r="K10" s="116"/>
      <c r="L10" s="10"/>
      <c r="M10" s="5"/>
      <c r="N10" s="5"/>
    </row>
    <row r="11" spans="1:23" ht="15.75" customHeight="1">
      <c r="A11" s="13"/>
      <c r="B11" s="40">
        <v>15</v>
      </c>
      <c r="C11" s="14">
        <v>48.3</v>
      </c>
      <c r="D11" s="41">
        <v>1.23</v>
      </c>
      <c r="E11" s="12">
        <v>13</v>
      </c>
      <c r="F11" s="1">
        <v>13</v>
      </c>
      <c r="G11" s="8">
        <f t="shared" si="0"/>
        <v>0</v>
      </c>
      <c r="H11" s="1">
        <v>268.89999999999998</v>
      </c>
      <c r="I11" s="15">
        <v>268.89999999999998</v>
      </c>
      <c r="J11" s="6">
        <f t="shared" si="1"/>
        <v>0</v>
      </c>
      <c r="K11" s="116"/>
      <c r="L11" s="10"/>
      <c r="M11" s="5"/>
      <c r="N11" s="5"/>
    </row>
    <row r="12" spans="1:23" ht="15" customHeight="1">
      <c r="A12" s="13"/>
      <c r="B12" s="40">
        <v>16</v>
      </c>
      <c r="C12" s="14">
        <v>50.68</v>
      </c>
      <c r="D12" s="41">
        <v>1.4</v>
      </c>
      <c r="E12" s="12">
        <v>11</v>
      </c>
      <c r="F12" s="1">
        <v>11</v>
      </c>
      <c r="G12" s="8">
        <f t="shared" si="0"/>
        <v>0</v>
      </c>
      <c r="H12" s="1">
        <v>185.7</v>
      </c>
      <c r="I12" s="15">
        <v>185.7</v>
      </c>
      <c r="J12" s="6">
        <f t="shared" si="1"/>
        <v>0</v>
      </c>
      <c r="K12" s="116"/>
      <c r="L12" s="10"/>
      <c r="M12" s="5"/>
      <c r="N12" s="5"/>
    </row>
    <row r="13" spans="1:23" ht="15" customHeight="1">
      <c r="A13" s="13"/>
      <c r="B13" s="40" t="s">
        <v>42</v>
      </c>
      <c r="C13" s="14">
        <v>45.02</v>
      </c>
      <c r="D13" s="41">
        <v>1.05</v>
      </c>
      <c r="E13" s="12">
        <v>14</v>
      </c>
      <c r="F13" s="1">
        <v>14</v>
      </c>
      <c r="G13" s="8">
        <f t="shared" si="0"/>
        <v>0</v>
      </c>
      <c r="H13" s="1">
        <v>258.66000000000003</v>
      </c>
      <c r="I13" s="15">
        <v>258.66000000000003</v>
      </c>
      <c r="J13" s="6">
        <f t="shared" si="1"/>
        <v>0</v>
      </c>
      <c r="K13" s="116"/>
      <c r="L13" s="10"/>
      <c r="M13" s="5"/>
      <c r="N13" s="5"/>
    </row>
    <row r="14" spans="1:23" ht="15" customHeight="1" thickBot="1">
      <c r="A14" s="13"/>
      <c r="B14" s="40">
        <v>19.3</v>
      </c>
      <c r="C14" s="14">
        <v>48.39</v>
      </c>
      <c r="D14" s="41">
        <v>0.93</v>
      </c>
      <c r="E14" s="12">
        <v>5</v>
      </c>
      <c r="F14" s="1">
        <v>5</v>
      </c>
      <c r="G14" s="8">
        <f t="shared" si="0"/>
        <v>0</v>
      </c>
      <c r="H14" s="1">
        <v>95.16</v>
      </c>
      <c r="I14" s="15">
        <v>95.16</v>
      </c>
      <c r="J14" s="6">
        <f t="shared" si="1"/>
        <v>0</v>
      </c>
      <c r="K14" s="117"/>
      <c r="L14" s="10"/>
      <c r="M14" s="5"/>
      <c r="N14" s="5"/>
    </row>
    <row r="15" spans="1:23" ht="15" customHeight="1">
      <c r="A15" s="13"/>
      <c r="B15" s="53">
        <v>21.4</v>
      </c>
      <c r="C15" s="14">
        <v>44.44</v>
      </c>
      <c r="D15" s="54">
        <v>0.89</v>
      </c>
      <c r="E15" s="1">
        <v>14</v>
      </c>
      <c r="F15" s="1">
        <v>14</v>
      </c>
      <c r="G15" s="8">
        <f t="shared" si="0"/>
        <v>0</v>
      </c>
      <c r="H15" s="1">
        <v>297.2</v>
      </c>
      <c r="I15" s="70">
        <v>297.2</v>
      </c>
      <c r="J15" s="6">
        <f t="shared" si="1"/>
        <v>0</v>
      </c>
      <c r="K15" s="115" t="s">
        <v>33</v>
      </c>
      <c r="L15" s="10"/>
      <c r="M15" s="5"/>
      <c r="N15" s="5"/>
    </row>
    <row r="16" spans="1:23" ht="15.75" customHeight="1" thickBot="1">
      <c r="A16" s="13"/>
      <c r="B16" s="53">
        <v>23.3</v>
      </c>
      <c r="C16" s="14">
        <v>47.12</v>
      </c>
      <c r="D16" s="54">
        <v>0.99</v>
      </c>
      <c r="E16" s="1">
        <v>6</v>
      </c>
      <c r="F16" s="1">
        <v>6</v>
      </c>
      <c r="G16" s="8">
        <f t="shared" si="0"/>
        <v>0</v>
      </c>
      <c r="H16" s="1">
        <v>133.46</v>
      </c>
      <c r="I16" s="15">
        <v>133.46</v>
      </c>
      <c r="J16" s="6">
        <f t="shared" si="1"/>
        <v>0</v>
      </c>
      <c r="K16" s="117"/>
      <c r="L16" s="10"/>
      <c r="M16" s="5"/>
      <c r="N16" s="5"/>
    </row>
    <row r="17" spans="1:12" ht="16.5" thickBot="1">
      <c r="A17" s="19"/>
      <c r="B17" s="42" t="s">
        <v>3</v>
      </c>
      <c r="C17" s="42"/>
      <c r="D17" s="42"/>
      <c r="E17" s="4">
        <f t="shared" ref="E17:J17" si="2">SUM(E2:E16)</f>
        <v>132</v>
      </c>
      <c r="F17" s="4">
        <f t="shared" si="2"/>
        <v>139</v>
      </c>
      <c r="G17" s="4">
        <f t="shared" si="2"/>
        <v>7</v>
      </c>
      <c r="H17" s="4">
        <f t="shared" si="2"/>
        <v>2941.4199999999996</v>
      </c>
      <c r="I17" s="4">
        <f t="shared" si="2"/>
        <v>3066.72</v>
      </c>
      <c r="J17" s="9">
        <f t="shared" si="2"/>
        <v>105.30000000000001</v>
      </c>
      <c r="K17" s="20"/>
      <c r="L17" s="10"/>
    </row>
    <row r="18" spans="1:12">
      <c r="I18" s="5"/>
      <c r="L18" s="10"/>
    </row>
  </sheetData>
  <mergeCells count="5">
    <mergeCell ref="N2:O2"/>
    <mergeCell ref="P2:W2"/>
    <mergeCell ref="K2:K8"/>
    <mergeCell ref="K9:K14"/>
    <mergeCell ref="K15:K16"/>
  </mergeCells>
  <conditionalFormatting sqref="C2:C16">
    <cfRule type="cellIs" dxfId="47" priority="2" operator="lessThan">
      <formula>44.99</formula>
    </cfRule>
  </conditionalFormatting>
  <conditionalFormatting sqref="D2:D16">
    <cfRule type="cellIs" dxfId="46" priority="1" operator="greaterThan">
      <formula>2.99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FEA01-5E95-49AA-9F65-9B07FF246282}">
  <dimension ref="A1:W18"/>
  <sheetViews>
    <sheetView workbookViewId="0">
      <selection sqref="A1:XFD1048576"/>
    </sheetView>
  </sheetViews>
  <sheetFormatPr defaultColWidth="8.28515625" defaultRowHeight="15"/>
  <cols>
    <col min="1" max="1" width="9" customWidth="1"/>
    <col min="2" max="2" width="12" bestFit="1" customWidth="1"/>
    <col min="5" max="5" width="9.85546875" customWidth="1"/>
    <col min="6" max="6" width="8.85546875" customWidth="1"/>
    <col min="7" max="7" width="6.85546875" bestFit="1" customWidth="1"/>
    <col min="8" max="8" width="9.28515625" bestFit="1" customWidth="1"/>
    <col min="11" max="11" width="19.28515625" customWidth="1"/>
    <col min="12" max="12" width="18" bestFit="1" customWidth="1"/>
    <col min="15" max="15" width="9.28515625" customWidth="1"/>
  </cols>
  <sheetData>
    <row r="1" spans="1:23" ht="78" customHeight="1" thickBot="1">
      <c r="A1" s="50" t="s">
        <v>2</v>
      </c>
      <c r="B1" s="51" t="s">
        <v>5</v>
      </c>
      <c r="C1" s="51" t="s">
        <v>6</v>
      </c>
      <c r="D1" s="51" t="s">
        <v>14</v>
      </c>
      <c r="E1" s="51" t="s">
        <v>21</v>
      </c>
      <c r="F1" s="51" t="s">
        <v>9</v>
      </c>
      <c r="G1" s="51" t="s">
        <v>10</v>
      </c>
      <c r="H1" s="51" t="s">
        <v>22</v>
      </c>
      <c r="I1" s="51" t="s">
        <v>7</v>
      </c>
      <c r="J1" s="51" t="s">
        <v>12</v>
      </c>
      <c r="K1" s="52" t="s">
        <v>23</v>
      </c>
      <c r="L1" s="39"/>
    </row>
    <row r="2" spans="1:23" ht="16.5" customHeight="1" thickBot="1">
      <c r="A2" s="28" t="str">
        <f>N2</f>
        <v>06.05.2026</v>
      </c>
      <c r="B2" s="53">
        <v>24</v>
      </c>
      <c r="C2" s="54">
        <v>49.57</v>
      </c>
      <c r="D2" s="54">
        <v>1.6</v>
      </c>
      <c r="E2" s="1">
        <v>5</v>
      </c>
      <c r="F2" s="1">
        <v>5</v>
      </c>
      <c r="G2" s="8">
        <f t="shared" ref="G2:G16" si="0">E2-F2</f>
        <v>0</v>
      </c>
      <c r="H2" s="1">
        <v>109.28</v>
      </c>
      <c r="I2" s="15">
        <v>109.28</v>
      </c>
      <c r="J2" s="6">
        <f>H2-I2</f>
        <v>0</v>
      </c>
      <c r="K2" s="115" t="s">
        <v>33</v>
      </c>
      <c r="L2" s="55"/>
      <c r="M2" s="73" t="s">
        <v>13</v>
      </c>
      <c r="N2" s="111" t="s">
        <v>43</v>
      </c>
      <c r="O2" s="112"/>
      <c r="P2" s="113"/>
      <c r="Q2" s="114"/>
      <c r="R2" s="114"/>
      <c r="S2" s="114"/>
      <c r="T2" s="114"/>
      <c r="U2" s="114"/>
      <c r="V2" s="114"/>
      <c r="W2" s="114"/>
    </row>
    <row r="3" spans="1:23" ht="15.75" customHeight="1" thickBot="1">
      <c r="A3" s="13"/>
      <c r="B3" s="53">
        <v>1</v>
      </c>
      <c r="C3" s="54">
        <v>49.6</v>
      </c>
      <c r="D3" s="54">
        <v>1.1499999999999999</v>
      </c>
      <c r="E3" s="1">
        <v>9</v>
      </c>
      <c r="F3" s="1">
        <v>9</v>
      </c>
      <c r="G3" s="8">
        <f t="shared" si="0"/>
        <v>0</v>
      </c>
      <c r="H3" s="1">
        <v>208.32</v>
      </c>
      <c r="I3" s="15">
        <v>208.32</v>
      </c>
      <c r="J3" s="6">
        <f t="shared" ref="J3:J16" si="1">H3-I3</f>
        <v>0</v>
      </c>
      <c r="K3" s="116"/>
      <c r="L3" s="55"/>
      <c r="M3" s="44" t="s">
        <v>20</v>
      </c>
      <c r="N3" s="45"/>
      <c r="O3" s="45"/>
      <c r="P3" s="45"/>
      <c r="Q3" s="45"/>
      <c r="R3" s="46"/>
      <c r="S3" s="47" t="s">
        <v>4</v>
      </c>
      <c r="T3" s="48"/>
      <c r="U3" s="48"/>
      <c r="V3" s="48"/>
      <c r="W3" s="49"/>
    </row>
    <row r="4" spans="1:23" ht="15.75" customHeight="1">
      <c r="A4" s="13"/>
      <c r="B4" s="53">
        <v>2</v>
      </c>
      <c r="C4" s="54">
        <v>50.48</v>
      </c>
      <c r="D4" s="54">
        <v>0.96</v>
      </c>
      <c r="E4" s="1">
        <v>5</v>
      </c>
      <c r="F4" s="1">
        <v>5</v>
      </c>
      <c r="G4" s="8">
        <f t="shared" si="0"/>
        <v>0</v>
      </c>
      <c r="H4" s="1">
        <v>113.96</v>
      </c>
      <c r="I4" s="15">
        <v>113.96</v>
      </c>
      <c r="J4" s="6">
        <f t="shared" si="1"/>
        <v>0</v>
      </c>
      <c r="K4" s="116"/>
      <c r="L4" s="55"/>
      <c r="M4" s="37" t="s">
        <v>0</v>
      </c>
      <c r="N4" s="21" t="s">
        <v>1</v>
      </c>
      <c r="O4" s="21" t="s">
        <v>15</v>
      </c>
      <c r="P4" s="21" t="s">
        <v>16</v>
      </c>
      <c r="Q4" s="21" t="s">
        <v>17</v>
      </c>
      <c r="R4" s="21" t="s">
        <v>3</v>
      </c>
      <c r="S4" s="16" t="s">
        <v>0</v>
      </c>
      <c r="T4" s="16" t="s">
        <v>1</v>
      </c>
      <c r="U4" s="16" t="s">
        <v>15</v>
      </c>
      <c r="V4" s="16" t="s">
        <v>16</v>
      </c>
      <c r="W4" s="17" t="s">
        <v>17</v>
      </c>
    </row>
    <row r="5" spans="1:23" ht="15.75" customHeight="1" thickBot="1">
      <c r="A5" s="13"/>
      <c r="B5" s="11">
        <v>5</v>
      </c>
      <c r="C5" s="14">
        <v>47.64</v>
      </c>
      <c r="D5" s="14">
        <v>1.01</v>
      </c>
      <c r="E5" s="1">
        <v>1</v>
      </c>
      <c r="F5" s="1">
        <v>1</v>
      </c>
      <c r="G5" s="8">
        <f t="shared" si="0"/>
        <v>0</v>
      </c>
      <c r="H5" s="1">
        <v>21</v>
      </c>
      <c r="I5" s="15">
        <v>21</v>
      </c>
      <c r="J5" s="6">
        <f t="shared" si="1"/>
        <v>0</v>
      </c>
      <c r="K5" s="116"/>
      <c r="L5" s="10"/>
      <c r="M5" s="38">
        <v>1883.34</v>
      </c>
      <c r="N5" s="2">
        <v>105</v>
      </c>
      <c r="O5" s="2">
        <v>0</v>
      </c>
      <c r="P5" s="2">
        <v>0</v>
      </c>
      <c r="Q5" s="2">
        <v>0</v>
      </c>
      <c r="R5" s="7">
        <f>SUM(M5:Q5)</f>
        <v>1988.34</v>
      </c>
      <c r="S5" s="3">
        <f>(M5/R5)*100</f>
        <v>94.719213011859139</v>
      </c>
      <c r="T5" s="3">
        <f>(N5/R5)*100</f>
        <v>5.2807869881408616</v>
      </c>
      <c r="U5" s="3">
        <f>(O5/R5)*100</f>
        <v>0</v>
      </c>
      <c r="V5" s="3">
        <f>(P5/R5)*100</f>
        <v>0</v>
      </c>
      <c r="W5" s="18">
        <f>(Q5/R5)*100</f>
        <v>0</v>
      </c>
    </row>
    <row r="6" spans="1:23" ht="15.75" customHeight="1" thickBot="1">
      <c r="A6" s="13"/>
      <c r="B6" s="11">
        <v>7</v>
      </c>
      <c r="C6" s="14">
        <v>50.41</v>
      </c>
      <c r="D6" s="14">
        <v>0.99</v>
      </c>
      <c r="E6" s="1">
        <v>2</v>
      </c>
      <c r="F6" s="1">
        <v>2</v>
      </c>
      <c r="G6" s="8">
        <f t="shared" si="0"/>
        <v>0</v>
      </c>
      <c r="H6" s="1">
        <v>37.56</v>
      </c>
      <c r="I6" s="15">
        <v>37.56</v>
      </c>
      <c r="J6" s="6">
        <f t="shared" si="1"/>
        <v>0</v>
      </c>
      <c r="K6" s="117"/>
      <c r="L6" s="39"/>
      <c r="M6" s="5"/>
      <c r="N6" s="5"/>
    </row>
    <row r="7" spans="1:23" ht="15.75" customHeight="1">
      <c r="A7" s="13"/>
      <c r="B7" s="40">
        <v>10</v>
      </c>
      <c r="C7" s="14">
        <v>49.15</v>
      </c>
      <c r="D7" s="41">
        <v>0.93</v>
      </c>
      <c r="E7" s="12">
        <v>13</v>
      </c>
      <c r="F7" s="1">
        <v>15</v>
      </c>
      <c r="G7" s="8">
        <v>2</v>
      </c>
      <c r="H7" s="1">
        <v>270.39999999999998</v>
      </c>
      <c r="I7" s="15">
        <v>306.82</v>
      </c>
      <c r="J7" s="6">
        <v>36.42</v>
      </c>
      <c r="K7" s="115" t="s">
        <v>45</v>
      </c>
      <c r="L7" s="39"/>
      <c r="M7" s="5"/>
      <c r="N7" s="5"/>
    </row>
    <row r="8" spans="1:23" ht="15.75" customHeight="1">
      <c r="A8" s="13"/>
      <c r="B8" s="40">
        <v>11</v>
      </c>
      <c r="C8" s="14">
        <v>50.49</v>
      </c>
      <c r="D8" s="41">
        <v>0.93</v>
      </c>
      <c r="E8" s="12">
        <v>9</v>
      </c>
      <c r="F8" s="12">
        <v>9</v>
      </c>
      <c r="G8" s="8">
        <f t="shared" si="0"/>
        <v>0</v>
      </c>
      <c r="H8" s="1">
        <v>193.78</v>
      </c>
      <c r="I8" s="15">
        <v>193.78</v>
      </c>
      <c r="J8" s="6">
        <f t="shared" si="1"/>
        <v>0</v>
      </c>
      <c r="K8" s="116"/>
      <c r="L8" s="39"/>
      <c r="M8" s="5"/>
      <c r="N8" s="5"/>
    </row>
    <row r="9" spans="1:23" ht="15.75" customHeight="1">
      <c r="A9" s="13"/>
      <c r="B9" s="40" t="s">
        <v>44</v>
      </c>
      <c r="C9" s="14">
        <v>49.12</v>
      </c>
      <c r="D9" s="41">
        <v>1.04</v>
      </c>
      <c r="E9" s="12">
        <v>7</v>
      </c>
      <c r="F9" s="12">
        <v>7</v>
      </c>
      <c r="G9" s="8">
        <f t="shared" si="0"/>
        <v>0</v>
      </c>
      <c r="H9" s="1">
        <v>146.66</v>
      </c>
      <c r="I9" s="15">
        <v>146.66</v>
      </c>
      <c r="J9" s="6">
        <f t="shared" si="1"/>
        <v>0</v>
      </c>
      <c r="K9" s="116"/>
      <c r="L9" s="10"/>
      <c r="M9" s="5"/>
      <c r="N9" s="5"/>
    </row>
    <row r="10" spans="1:23" ht="15.75" customHeight="1">
      <c r="A10" s="13"/>
      <c r="B10" s="40">
        <v>14</v>
      </c>
      <c r="C10" s="14">
        <v>50.16</v>
      </c>
      <c r="D10" s="41">
        <v>0.94</v>
      </c>
      <c r="E10" s="12">
        <v>7</v>
      </c>
      <c r="F10" s="12">
        <v>7</v>
      </c>
      <c r="G10" s="8">
        <f t="shared" si="0"/>
        <v>0</v>
      </c>
      <c r="H10" s="1">
        <v>152.22</v>
      </c>
      <c r="I10" s="15">
        <v>152.22</v>
      </c>
      <c r="J10" s="6">
        <f t="shared" si="1"/>
        <v>0</v>
      </c>
      <c r="K10" s="116"/>
      <c r="L10" s="10"/>
      <c r="M10" s="5"/>
      <c r="N10" s="5"/>
    </row>
    <row r="11" spans="1:23" ht="15.75" customHeight="1">
      <c r="A11" s="13"/>
      <c r="B11" s="40">
        <v>16</v>
      </c>
      <c r="C11" s="14">
        <v>50.2</v>
      </c>
      <c r="D11" s="41">
        <v>0.89</v>
      </c>
      <c r="E11" s="12">
        <v>9</v>
      </c>
      <c r="F11" s="12">
        <v>9</v>
      </c>
      <c r="G11" s="8">
        <f t="shared" si="0"/>
        <v>0</v>
      </c>
      <c r="H11" s="1">
        <v>176.94</v>
      </c>
      <c r="I11" s="15">
        <v>176.94</v>
      </c>
      <c r="J11" s="6">
        <f t="shared" si="1"/>
        <v>0</v>
      </c>
      <c r="K11" s="116"/>
      <c r="L11" s="10"/>
      <c r="M11" s="5"/>
      <c r="N11" s="5"/>
    </row>
    <row r="12" spans="1:23" ht="15" customHeight="1">
      <c r="A12" s="13"/>
      <c r="B12" s="40">
        <v>17</v>
      </c>
      <c r="C12" s="14">
        <v>50.94</v>
      </c>
      <c r="D12" s="41">
        <v>0.89</v>
      </c>
      <c r="E12" s="12">
        <v>6</v>
      </c>
      <c r="F12" s="12">
        <v>6</v>
      </c>
      <c r="G12" s="8">
        <f t="shared" si="0"/>
        <v>0</v>
      </c>
      <c r="H12" s="1">
        <v>105.88</v>
      </c>
      <c r="I12" s="15">
        <v>105.88</v>
      </c>
      <c r="J12" s="6">
        <f t="shared" si="1"/>
        <v>0</v>
      </c>
      <c r="K12" s="116"/>
      <c r="L12" s="10"/>
      <c r="M12" s="5"/>
      <c r="N12" s="5"/>
    </row>
    <row r="13" spans="1:23" ht="15" customHeight="1" thickBot="1">
      <c r="A13" s="13"/>
      <c r="B13" s="40">
        <v>19</v>
      </c>
      <c r="C13" s="14">
        <v>49.22</v>
      </c>
      <c r="D13" s="41">
        <v>0.97</v>
      </c>
      <c r="E13" s="12">
        <v>1</v>
      </c>
      <c r="F13" s="12">
        <v>1</v>
      </c>
      <c r="G13" s="8">
        <f t="shared" si="0"/>
        <v>0</v>
      </c>
      <c r="H13" s="1">
        <v>21</v>
      </c>
      <c r="I13" s="15">
        <v>21</v>
      </c>
      <c r="J13" s="6">
        <f t="shared" si="1"/>
        <v>0</v>
      </c>
      <c r="K13" s="117"/>
      <c r="L13" s="10"/>
      <c r="M13" s="5"/>
      <c r="N13" s="5"/>
    </row>
    <row r="14" spans="1:23" ht="15" customHeight="1">
      <c r="A14" s="13"/>
      <c r="B14" s="40">
        <v>21</v>
      </c>
      <c r="C14" s="14">
        <v>50.44</v>
      </c>
      <c r="D14" s="41">
        <v>1.58</v>
      </c>
      <c r="E14" s="12">
        <v>9</v>
      </c>
      <c r="F14" s="12">
        <v>9</v>
      </c>
      <c r="G14" s="8">
        <f t="shared" si="0"/>
        <v>0</v>
      </c>
      <c r="H14" s="1">
        <v>186.46</v>
      </c>
      <c r="I14" s="15">
        <v>186.46</v>
      </c>
      <c r="J14" s="6">
        <f t="shared" si="1"/>
        <v>0</v>
      </c>
      <c r="K14" s="116" t="s">
        <v>39</v>
      </c>
      <c r="L14" s="10"/>
      <c r="M14" s="5"/>
      <c r="N14" s="5"/>
    </row>
    <row r="15" spans="1:23" ht="15" customHeight="1">
      <c r="A15" s="13"/>
      <c r="B15" s="40">
        <v>22</v>
      </c>
      <c r="C15" s="14">
        <v>42.12</v>
      </c>
      <c r="D15" s="41">
        <v>1.64</v>
      </c>
      <c r="E15" s="12">
        <v>5</v>
      </c>
      <c r="F15" s="1">
        <v>5</v>
      </c>
      <c r="G15" s="8">
        <f t="shared" si="0"/>
        <v>0</v>
      </c>
      <c r="H15" s="1">
        <v>105</v>
      </c>
      <c r="I15" s="70">
        <v>105</v>
      </c>
      <c r="J15" s="6">
        <f t="shared" si="1"/>
        <v>0</v>
      </c>
      <c r="K15" s="116"/>
      <c r="L15" s="10"/>
      <c r="M15" s="5"/>
      <c r="N15" s="5"/>
    </row>
    <row r="16" spans="1:23" ht="15" customHeight="1" thickBot="1">
      <c r="A16" s="13"/>
      <c r="B16" s="53">
        <v>23</v>
      </c>
      <c r="C16" s="14">
        <v>49.61</v>
      </c>
      <c r="D16" s="54">
        <v>2.0099999999999998</v>
      </c>
      <c r="E16" s="1">
        <v>5</v>
      </c>
      <c r="F16" s="1">
        <v>5</v>
      </c>
      <c r="G16" s="8">
        <f t="shared" si="0"/>
        <v>0</v>
      </c>
      <c r="H16" s="1">
        <v>124.78</v>
      </c>
      <c r="I16" s="15">
        <v>103.46</v>
      </c>
      <c r="J16" s="6">
        <f t="shared" si="1"/>
        <v>21.320000000000007</v>
      </c>
      <c r="K16" s="117"/>
      <c r="L16" s="10"/>
      <c r="M16" s="5"/>
      <c r="N16" s="5"/>
    </row>
    <row r="17" spans="1:12" ht="16.5" thickBot="1">
      <c r="A17" s="19"/>
      <c r="B17" s="42" t="s">
        <v>3</v>
      </c>
      <c r="C17" s="42"/>
      <c r="D17" s="42"/>
      <c r="E17" s="4">
        <f t="shared" ref="E17:J17" si="2">SUM(E2:E16)</f>
        <v>93</v>
      </c>
      <c r="F17" s="4">
        <f t="shared" si="2"/>
        <v>95</v>
      </c>
      <c r="G17" s="4">
        <f t="shared" si="2"/>
        <v>2</v>
      </c>
      <c r="H17" s="4">
        <f t="shared" si="2"/>
        <v>1973.24</v>
      </c>
      <c r="I17" s="9">
        <f t="shared" si="2"/>
        <v>1988.3400000000001</v>
      </c>
      <c r="J17" s="9">
        <f t="shared" si="2"/>
        <v>57.740000000000009</v>
      </c>
      <c r="K17" s="20"/>
      <c r="L17" s="10"/>
    </row>
    <row r="18" spans="1:12">
      <c r="I18" s="5"/>
      <c r="L18" s="10"/>
    </row>
  </sheetData>
  <mergeCells count="5">
    <mergeCell ref="N2:O2"/>
    <mergeCell ref="P2:W2"/>
    <mergeCell ref="K2:K6"/>
    <mergeCell ref="K7:K13"/>
    <mergeCell ref="K14:K16"/>
  </mergeCells>
  <conditionalFormatting sqref="C2:C16">
    <cfRule type="cellIs" dxfId="45" priority="2" operator="lessThan">
      <formula>44.99</formula>
    </cfRule>
  </conditionalFormatting>
  <conditionalFormatting sqref="D2:D16">
    <cfRule type="cellIs" dxfId="44" priority="1" operator="greaterThan">
      <formula>2.99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A2CA5-814D-47E0-B6B2-818CD0564ADF}">
  <dimension ref="A1:W15"/>
  <sheetViews>
    <sheetView zoomScaleNormal="100" workbookViewId="0">
      <selection sqref="A1:XFD1048576"/>
    </sheetView>
  </sheetViews>
  <sheetFormatPr defaultColWidth="8.28515625" defaultRowHeight="15"/>
  <cols>
    <col min="1" max="1" width="9" customWidth="1"/>
    <col min="2" max="2" width="12" bestFit="1" customWidth="1"/>
    <col min="5" max="5" width="9.85546875" customWidth="1"/>
    <col min="6" max="6" width="8.85546875" customWidth="1"/>
    <col min="7" max="7" width="6.85546875" bestFit="1" customWidth="1"/>
    <col min="8" max="8" width="9.28515625" bestFit="1" customWidth="1"/>
    <col min="11" max="11" width="19.28515625" customWidth="1"/>
    <col min="12" max="12" width="18" bestFit="1" customWidth="1"/>
    <col min="15" max="15" width="9.28515625" customWidth="1"/>
  </cols>
  <sheetData>
    <row r="1" spans="1:23" ht="78" customHeight="1" thickBot="1">
      <c r="A1" s="50" t="s">
        <v>2</v>
      </c>
      <c r="B1" s="51" t="s">
        <v>5</v>
      </c>
      <c r="C1" s="51" t="s">
        <v>6</v>
      </c>
      <c r="D1" s="51" t="s">
        <v>14</v>
      </c>
      <c r="E1" s="51" t="s">
        <v>21</v>
      </c>
      <c r="F1" s="51" t="s">
        <v>9</v>
      </c>
      <c r="G1" s="51" t="s">
        <v>10</v>
      </c>
      <c r="H1" s="51" t="s">
        <v>22</v>
      </c>
      <c r="I1" s="51" t="s">
        <v>7</v>
      </c>
      <c r="J1" s="51" t="s">
        <v>12</v>
      </c>
      <c r="K1" s="52" t="s">
        <v>23</v>
      </c>
      <c r="L1" s="39"/>
    </row>
    <row r="2" spans="1:23" ht="16.5" customHeight="1" thickBot="1">
      <c r="A2" s="28" t="str">
        <f>N2</f>
        <v>07.05.2026</v>
      </c>
      <c r="B2" s="53" t="s">
        <v>47</v>
      </c>
      <c r="C2" s="54">
        <v>49.6</v>
      </c>
      <c r="D2" s="54">
        <v>1.69</v>
      </c>
      <c r="E2" s="1">
        <v>10</v>
      </c>
      <c r="F2" s="1">
        <v>10</v>
      </c>
      <c r="G2" s="8">
        <f t="shared" ref="G2:G13" si="0">E2-F2</f>
        <v>0</v>
      </c>
      <c r="H2" s="1">
        <v>201.14</v>
      </c>
      <c r="I2" s="15">
        <v>201.14</v>
      </c>
      <c r="J2" s="6">
        <f>H2-I2</f>
        <v>0</v>
      </c>
      <c r="K2" s="115" t="s">
        <v>39</v>
      </c>
      <c r="L2" s="55"/>
      <c r="M2" s="74" t="s">
        <v>13</v>
      </c>
      <c r="N2" s="111" t="s">
        <v>46</v>
      </c>
      <c r="O2" s="112"/>
      <c r="P2" s="113"/>
      <c r="Q2" s="114"/>
      <c r="R2" s="114"/>
      <c r="S2" s="114"/>
      <c r="T2" s="114"/>
      <c r="U2" s="114"/>
      <c r="V2" s="114"/>
      <c r="W2" s="114"/>
    </row>
    <row r="3" spans="1:23" ht="15.75" customHeight="1" thickBot="1">
      <c r="A3" s="13"/>
      <c r="B3" s="53">
        <v>3</v>
      </c>
      <c r="C3" s="54">
        <v>49.07</v>
      </c>
      <c r="D3" s="54">
        <v>1.66</v>
      </c>
      <c r="E3" s="1">
        <v>9</v>
      </c>
      <c r="F3" s="1">
        <v>9</v>
      </c>
      <c r="G3" s="8">
        <f t="shared" si="0"/>
        <v>0</v>
      </c>
      <c r="H3" s="1">
        <v>163.62</v>
      </c>
      <c r="I3" s="15">
        <v>163.62</v>
      </c>
      <c r="J3" s="6">
        <f t="shared" ref="J3:J13" si="1">H3-I3</f>
        <v>0</v>
      </c>
      <c r="K3" s="116"/>
      <c r="L3" s="55"/>
      <c r="M3" s="44" t="s">
        <v>20</v>
      </c>
      <c r="N3" s="45"/>
      <c r="O3" s="45"/>
      <c r="P3" s="45"/>
      <c r="Q3" s="45"/>
      <c r="R3" s="46"/>
      <c r="S3" s="47" t="s">
        <v>4</v>
      </c>
      <c r="T3" s="48"/>
      <c r="U3" s="48"/>
      <c r="V3" s="48"/>
      <c r="W3" s="49"/>
    </row>
    <row r="4" spans="1:23" ht="15.75" customHeight="1" thickBot="1">
      <c r="A4" s="13"/>
      <c r="B4" s="53" t="s">
        <v>48</v>
      </c>
      <c r="C4" s="54">
        <v>50.31</v>
      </c>
      <c r="D4" s="54">
        <v>1.43</v>
      </c>
      <c r="E4" s="1">
        <v>19</v>
      </c>
      <c r="F4" s="1">
        <v>19</v>
      </c>
      <c r="G4" s="8">
        <f t="shared" si="0"/>
        <v>0</v>
      </c>
      <c r="H4" s="1">
        <v>370.3</v>
      </c>
      <c r="I4" s="15">
        <v>370.3</v>
      </c>
      <c r="J4" s="6">
        <f t="shared" si="1"/>
        <v>0</v>
      </c>
      <c r="K4" s="117"/>
      <c r="L4" s="55"/>
      <c r="M4" s="37" t="s">
        <v>0</v>
      </c>
      <c r="N4" s="21" t="s">
        <v>1</v>
      </c>
      <c r="O4" s="21" t="s">
        <v>15</v>
      </c>
      <c r="P4" s="21" t="s">
        <v>16</v>
      </c>
      <c r="Q4" s="21" t="s">
        <v>17</v>
      </c>
      <c r="R4" s="21" t="s">
        <v>3</v>
      </c>
      <c r="S4" s="16" t="s">
        <v>0</v>
      </c>
      <c r="T4" s="16" t="s">
        <v>1</v>
      </c>
      <c r="U4" s="16" t="s">
        <v>15</v>
      </c>
      <c r="V4" s="16" t="s">
        <v>16</v>
      </c>
      <c r="W4" s="17" t="s">
        <v>17</v>
      </c>
    </row>
    <row r="5" spans="1:23" ht="15.75" customHeight="1" thickBot="1">
      <c r="A5" s="13"/>
      <c r="B5" s="11">
        <v>10</v>
      </c>
      <c r="C5" s="14">
        <v>48.84</v>
      </c>
      <c r="D5" s="14">
        <v>0.69699999999999995</v>
      </c>
      <c r="E5" s="1">
        <v>11</v>
      </c>
      <c r="F5" s="1">
        <v>11</v>
      </c>
      <c r="G5" s="8">
        <f t="shared" si="0"/>
        <v>0</v>
      </c>
      <c r="H5" s="1">
        <v>191.36</v>
      </c>
      <c r="I5" s="15">
        <v>191.36</v>
      </c>
      <c r="J5" s="6">
        <f t="shared" si="1"/>
        <v>0</v>
      </c>
      <c r="K5" s="115" t="s">
        <v>32</v>
      </c>
      <c r="L5" s="10"/>
      <c r="M5" s="38">
        <v>2296.8200000000002</v>
      </c>
      <c r="N5" s="2">
        <v>147</v>
      </c>
      <c r="O5" s="2">
        <v>0</v>
      </c>
      <c r="P5" s="2">
        <v>0</v>
      </c>
      <c r="Q5" s="2">
        <v>0</v>
      </c>
      <c r="R5" s="7">
        <f>SUM(M5:Q5)</f>
        <v>2443.8200000000002</v>
      </c>
      <c r="S5" s="3">
        <f>(M5/R5)*100</f>
        <v>93.984827033087555</v>
      </c>
      <c r="T5" s="3">
        <f>(N5/R5)*100</f>
        <v>6.0151729669124565</v>
      </c>
      <c r="U5" s="3">
        <f>(O5/R5)*100</f>
        <v>0</v>
      </c>
      <c r="V5" s="3">
        <f>(P5/R5)*100</f>
        <v>0</v>
      </c>
      <c r="W5" s="18">
        <f>(Q5/R5)*100</f>
        <v>0</v>
      </c>
    </row>
    <row r="6" spans="1:23" ht="15.75" customHeight="1">
      <c r="A6" s="13"/>
      <c r="B6" s="11">
        <v>11</v>
      </c>
      <c r="C6" s="14">
        <v>48.93</v>
      </c>
      <c r="D6" s="14">
        <v>0.95</v>
      </c>
      <c r="E6" s="1">
        <v>6</v>
      </c>
      <c r="F6" s="1">
        <v>6</v>
      </c>
      <c r="G6" s="8">
        <f t="shared" si="0"/>
        <v>0</v>
      </c>
      <c r="H6" s="1">
        <v>109.58</v>
      </c>
      <c r="I6" s="15">
        <v>109.58</v>
      </c>
      <c r="J6" s="6">
        <f t="shared" si="1"/>
        <v>0</v>
      </c>
      <c r="K6" s="116"/>
      <c r="L6" s="39"/>
      <c r="M6" s="5"/>
      <c r="N6" s="5"/>
    </row>
    <row r="7" spans="1:23" ht="15.75" customHeight="1">
      <c r="A7" s="13"/>
      <c r="B7" s="40">
        <v>17</v>
      </c>
      <c r="C7" s="14">
        <v>47.1</v>
      </c>
      <c r="D7" s="41">
        <v>1.19</v>
      </c>
      <c r="E7" s="12">
        <v>5</v>
      </c>
      <c r="F7" s="1">
        <v>5</v>
      </c>
      <c r="G7" s="8">
        <f t="shared" si="0"/>
        <v>0</v>
      </c>
      <c r="H7" s="1">
        <v>103.72</v>
      </c>
      <c r="I7" s="15">
        <v>103.72</v>
      </c>
      <c r="J7" s="6">
        <f t="shared" si="1"/>
        <v>0</v>
      </c>
      <c r="K7" s="116"/>
      <c r="L7" s="39"/>
      <c r="M7" s="5"/>
      <c r="N7" s="5"/>
    </row>
    <row r="8" spans="1:23" ht="15.75" customHeight="1">
      <c r="A8" s="13"/>
      <c r="B8" s="40">
        <v>18</v>
      </c>
      <c r="C8" s="14">
        <v>47.51</v>
      </c>
      <c r="D8" s="41">
        <v>1.07</v>
      </c>
      <c r="E8" s="12">
        <v>12</v>
      </c>
      <c r="F8" s="12">
        <v>12</v>
      </c>
      <c r="G8" s="8">
        <f t="shared" si="0"/>
        <v>0</v>
      </c>
      <c r="H8" s="1">
        <v>237.66</v>
      </c>
      <c r="I8" s="15">
        <v>237.66</v>
      </c>
      <c r="J8" s="6">
        <f t="shared" si="1"/>
        <v>0</v>
      </c>
      <c r="K8" s="116"/>
      <c r="L8" s="39"/>
      <c r="M8" s="5"/>
      <c r="N8" s="5"/>
    </row>
    <row r="9" spans="1:23" ht="15.75" customHeight="1">
      <c r="A9" s="13"/>
      <c r="B9" s="40">
        <v>19</v>
      </c>
      <c r="C9" s="14">
        <v>49.84</v>
      </c>
      <c r="D9" s="41">
        <v>1.08</v>
      </c>
      <c r="E9" s="12">
        <v>7</v>
      </c>
      <c r="F9" s="12">
        <v>7</v>
      </c>
      <c r="G9" s="8">
        <f t="shared" si="0"/>
        <v>0</v>
      </c>
      <c r="H9" s="1">
        <v>147</v>
      </c>
      <c r="I9" s="15">
        <v>147</v>
      </c>
      <c r="J9" s="6">
        <f t="shared" si="1"/>
        <v>0</v>
      </c>
      <c r="K9" s="116"/>
      <c r="L9" s="10"/>
      <c r="M9" s="5"/>
      <c r="N9" s="5"/>
    </row>
    <row r="10" spans="1:23" ht="15.75" customHeight="1" thickBot="1">
      <c r="A10" s="13"/>
      <c r="B10" s="40">
        <v>19.3</v>
      </c>
      <c r="C10" s="14">
        <v>41.56</v>
      </c>
      <c r="D10" s="41">
        <v>1.26</v>
      </c>
      <c r="E10" s="12">
        <v>7</v>
      </c>
      <c r="F10" s="12">
        <v>7</v>
      </c>
      <c r="G10" s="8">
        <f t="shared" si="0"/>
        <v>0</v>
      </c>
      <c r="H10" s="1">
        <f>21*7</f>
        <v>147</v>
      </c>
      <c r="I10" s="70">
        <v>147</v>
      </c>
      <c r="J10" s="6">
        <f t="shared" si="1"/>
        <v>0</v>
      </c>
      <c r="K10" s="117"/>
      <c r="L10" s="10"/>
      <c r="M10" s="5"/>
      <c r="N10" s="5"/>
    </row>
    <row r="11" spans="1:23" ht="15.75" customHeight="1">
      <c r="A11" s="13"/>
      <c r="B11" s="40">
        <v>21</v>
      </c>
      <c r="C11" s="14">
        <v>50.04</v>
      </c>
      <c r="D11" s="41">
        <v>2.37</v>
      </c>
      <c r="E11" s="12">
        <v>12</v>
      </c>
      <c r="F11" s="12">
        <v>12</v>
      </c>
      <c r="G11" s="8">
        <f t="shared" si="0"/>
        <v>0</v>
      </c>
      <c r="H11" s="1">
        <v>253.5</v>
      </c>
      <c r="I11" s="15">
        <v>253.5</v>
      </c>
      <c r="J11" s="6">
        <f t="shared" si="1"/>
        <v>0</v>
      </c>
      <c r="K11" s="115" t="s">
        <v>39</v>
      </c>
      <c r="L11" s="10"/>
      <c r="M11" s="5"/>
      <c r="N11" s="5"/>
    </row>
    <row r="12" spans="1:23" ht="15" customHeight="1">
      <c r="A12" s="13"/>
      <c r="B12" s="40">
        <v>22</v>
      </c>
      <c r="C12" s="14">
        <v>48.52</v>
      </c>
      <c r="D12" s="41">
        <v>3.83</v>
      </c>
      <c r="E12" s="12">
        <v>13</v>
      </c>
      <c r="F12" s="12">
        <v>13</v>
      </c>
      <c r="G12" s="8">
        <f t="shared" si="0"/>
        <v>0</v>
      </c>
      <c r="H12" s="1">
        <v>292.2</v>
      </c>
      <c r="I12" s="15">
        <v>292.2</v>
      </c>
      <c r="J12" s="6">
        <f t="shared" si="1"/>
        <v>0</v>
      </c>
      <c r="K12" s="116"/>
      <c r="L12" s="10"/>
      <c r="M12" s="5"/>
      <c r="N12" s="5"/>
    </row>
    <row r="13" spans="1:23" ht="15" customHeight="1" thickBot="1">
      <c r="A13" s="13"/>
      <c r="B13" s="40">
        <v>23</v>
      </c>
      <c r="C13" s="14">
        <v>49.74</v>
      </c>
      <c r="D13" s="41">
        <v>1.7</v>
      </c>
      <c r="E13" s="12">
        <v>11</v>
      </c>
      <c r="F13" s="12">
        <v>11</v>
      </c>
      <c r="G13" s="8">
        <f t="shared" si="0"/>
        <v>0</v>
      </c>
      <c r="H13" s="1">
        <v>226.74</v>
      </c>
      <c r="I13" s="15">
        <v>226.74</v>
      </c>
      <c r="J13" s="6">
        <f t="shared" si="1"/>
        <v>0</v>
      </c>
      <c r="K13" s="116"/>
      <c r="L13" s="10"/>
      <c r="M13" s="5"/>
      <c r="N13" s="5"/>
    </row>
    <row r="14" spans="1:23" ht="16.5" thickBot="1">
      <c r="A14" s="19"/>
      <c r="B14" s="42" t="s">
        <v>3</v>
      </c>
      <c r="C14" s="42"/>
      <c r="D14" s="42"/>
      <c r="E14" s="4">
        <f t="shared" ref="E14:J14" si="2">SUM(E2:E13)</f>
        <v>122</v>
      </c>
      <c r="F14" s="4">
        <f t="shared" si="2"/>
        <v>122</v>
      </c>
      <c r="G14" s="4">
        <f t="shared" si="2"/>
        <v>0</v>
      </c>
      <c r="H14" s="4">
        <f t="shared" si="2"/>
        <v>2443.8199999999997</v>
      </c>
      <c r="I14" s="9">
        <f t="shared" si="2"/>
        <v>2443.8199999999997</v>
      </c>
      <c r="J14" s="9">
        <f t="shared" si="2"/>
        <v>0</v>
      </c>
      <c r="K14" s="20"/>
      <c r="L14" s="10"/>
    </row>
    <row r="15" spans="1:23">
      <c r="I15" s="5"/>
      <c r="L15" s="10"/>
    </row>
  </sheetData>
  <mergeCells count="5">
    <mergeCell ref="N2:O2"/>
    <mergeCell ref="P2:W2"/>
    <mergeCell ref="K2:K4"/>
    <mergeCell ref="K5:K10"/>
    <mergeCell ref="K11:K13"/>
  </mergeCells>
  <conditionalFormatting sqref="C2:C13">
    <cfRule type="cellIs" dxfId="43" priority="2" operator="lessThan">
      <formula>44.99</formula>
    </cfRule>
  </conditionalFormatting>
  <conditionalFormatting sqref="D2:D13">
    <cfRule type="cellIs" dxfId="42" priority="1" operator="greaterThan">
      <formula>2.99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D0416-8E06-47CC-BBEB-27972F4B63B3}">
  <dimension ref="A1:W23"/>
  <sheetViews>
    <sheetView workbookViewId="0">
      <selection activeCell="M5" sqref="M5:Q5"/>
    </sheetView>
  </sheetViews>
  <sheetFormatPr defaultColWidth="8.28515625" defaultRowHeight="15"/>
  <cols>
    <col min="1" max="1" width="9" customWidth="1"/>
    <col min="2" max="2" width="12" bestFit="1" customWidth="1"/>
    <col min="5" max="5" width="9.85546875" customWidth="1"/>
    <col min="6" max="6" width="8.85546875" customWidth="1"/>
    <col min="7" max="7" width="6.85546875" bestFit="1" customWidth="1"/>
    <col min="8" max="8" width="9.28515625" bestFit="1" customWidth="1"/>
    <col min="11" max="11" width="19.28515625" customWidth="1"/>
    <col min="12" max="12" width="18" bestFit="1" customWidth="1"/>
    <col min="15" max="15" width="9.28515625" customWidth="1"/>
  </cols>
  <sheetData>
    <row r="1" spans="1:23" ht="78" customHeight="1" thickBot="1">
      <c r="A1" s="50" t="s">
        <v>2</v>
      </c>
      <c r="B1" s="51" t="s">
        <v>5</v>
      </c>
      <c r="C1" s="51" t="s">
        <v>6</v>
      </c>
      <c r="D1" s="51" t="s">
        <v>14</v>
      </c>
      <c r="E1" s="51" t="s">
        <v>21</v>
      </c>
      <c r="F1" s="51" t="s">
        <v>9</v>
      </c>
      <c r="G1" s="51" t="s">
        <v>10</v>
      </c>
      <c r="H1" s="51" t="s">
        <v>22</v>
      </c>
      <c r="I1" s="51" t="s">
        <v>7</v>
      </c>
      <c r="J1" s="51" t="s">
        <v>12</v>
      </c>
      <c r="K1" s="52" t="s">
        <v>23</v>
      </c>
      <c r="L1" s="39"/>
    </row>
    <row r="2" spans="1:23" ht="16.5" customHeight="1" thickBot="1">
      <c r="A2" s="28" t="str">
        <f>N2</f>
        <v>08.05.2026</v>
      </c>
      <c r="B2" s="53">
        <v>0</v>
      </c>
      <c r="C2" s="54">
        <v>48.68</v>
      </c>
      <c r="D2" s="54">
        <v>1.04</v>
      </c>
      <c r="E2" s="1">
        <v>4</v>
      </c>
      <c r="F2" s="1">
        <v>4</v>
      </c>
      <c r="G2" s="8">
        <f t="shared" ref="G2:G21" si="0">E2-F2</f>
        <v>0</v>
      </c>
      <c r="H2" s="1">
        <v>76.14</v>
      </c>
      <c r="I2" s="15">
        <v>76.14</v>
      </c>
      <c r="J2" s="6">
        <f>H2-I2</f>
        <v>0</v>
      </c>
      <c r="K2" s="115" t="s">
        <v>39</v>
      </c>
      <c r="L2" s="55"/>
      <c r="M2" s="75" t="s">
        <v>13</v>
      </c>
      <c r="N2" s="111" t="s">
        <v>51</v>
      </c>
      <c r="O2" s="112"/>
      <c r="P2" s="113"/>
      <c r="Q2" s="114"/>
      <c r="R2" s="114"/>
      <c r="S2" s="114"/>
      <c r="T2" s="114"/>
      <c r="U2" s="114"/>
      <c r="V2" s="114"/>
      <c r="W2" s="114"/>
    </row>
    <row r="3" spans="1:23" ht="15.75" customHeight="1" thickBot="1">
      <c r="A3" s="13"/>
      <c r="B3" s="53">
        <v>1</v>
      </c>
      <c r="C3" s="54">
        <v>48.29</v>
      </c>
      <c r="D3" s="54">
        <v>0.93</v>
      </c>
      <c r="E3" s="1">
        <v>13</v>
      </c>
      <c r="F3" s="1">
        <v>13</v>
      </c>
      <c r="G3" s="8">
        <f t="shared" si="0"/>
        <v>0</v>
      </c>
      <c r="H3" s="1">
        <v>292.38</v>
      </c>
      <c r="I3" s="15">
        <v>292.38</v>
      </c>
      <c r="J3" s="6">
        <f t="shared" ref="J3:J21" si="1">H3-I3</f>
        <v>0</v>
      </c>
      <c r="K3" s="116"/>
      <c r="L3" s="55"/>
      <c r="M3" s="44" t="s">
        <v>20</v>
      </c>
      <c r="N3" s="45"/>
      <c r="O3" s="45"/>
      <c r="P3" s="45"/>
      <c r="Q3" s="45"/>
      <c r="R3" s="46"/>
      <c r="S3" s="47" t="s">
        <v>4</v>
      </c>
      <c r="T3" s="48"/>
      <c r="U3" s="48"/>
      <c r="V3" s="48"/>
      <c r="W3" s="49"/>
    </row>
    <row r="4" spans="1:23" ht="15.75" customHeight="1">
      <c r="A4" s="13"/>
      <c r="B4" s="53">
        <v>2</v>
      </c>
      <c r="C4" s="54">
        <v>50.07</v>
      </c>
      <c r="D4" s="54">
        <v>1.03</v>
      </c>
      <c r="E4" s="1">
        <v>8</v>
      </c>
      <c r="F4" s="1">
        <v>8</v>
      </c>
      <c r="G4" s="8">
        <f t="shared" si="0"/>
        <v>0</v>
      </c>
      <c r="H4" s="1">
        <v>197.74</v>
      </c>
      <c r="I4" s="15">
        <v>197.74</v>
      </c>
      <c r="J4" s="6">
        <f t="shared" si="1"/>
        <v>0</v>
      </c>
      <c r="K4" s="116"/>
      <c r="L4" s="55"/>
      <c r="M4" s="37" t="s">
        <v>0</v>
      </c>
      <c r="N4" s="21" t="s">
        <v>1</v>
      </c>
      <c r="O4" s="21" t="s">
        <v>15</v>
      </c>
      <c r="P4" s="21" t="s">
        <v>16</v>
      </c>
      <c r="Q4" s="21" t="s">
        <v>17</v>
      </c>
      <c r="R4" s="21" t="s">
        <v>3</v>
      </c>
      <c r="S4" s="16" t="s">
        <v>0</v>
      </c>
      <c r="T4" s="16" t="s">
        <v>1</v>
      </c>
      <c r="U4" s="16" t="s">
        <v>15</v>
      </c>
      <c r="V4" s="16" t="s">
        <v>16</v>
      </c>
      <c r="W4" s="17" t="s">
        <v>17</v>
      </c>
    </row>
    <row r="5" spans="1:23" ht="15.75" customHeight="1" thickBot="1">
      <c r="A5" s="13"/>
      <c r="B5" s="11">
        <v>3</v>
      </c>
      <c r="C5" s="14">
        <v>49.02</v>
      </c>
      <c r="D5" s="14">
        <v>1.03</v>
      </c>
      <c r="E5" s="1">
        <v>5</v>
      </c>
      <c r="F5" s="1">
        <v>5</v>
      </c>
      <c r="G5" s="8">
        <f t="shared" si="0"/>
        <v>0</v>
      </c>
      <c r="H5" s="1">
        <v>120.7</v>
      </c>
      <c r="I5" s="15">
        <v>120.7</v>
      </c>
      <c r="J5" s="6">
        <f t="shared" si="1"/>
        <v>0</v>
      </c>
      <c r="K5" s="116"/>
      <c r="L5" s="10"/>
      <c r="M5" s="38">
        <v>2447.34</v>
      </c>
      <c r="N5" s="2">
        <v>910.88</v>
      </c>
      <c r="O5" s="2">
        <v>0</v>
      </c>
      <c r="P5" s="2">
        <v>0</v>
      </c>
      <c r="Q5" s="2">
        <v>0</v>
      </c>
      <c r="R5" s="7">
        <f>SUM(M5:Q5)</f>
        <v>3358.2200000000003</v>
      </c>
      <c r="S5" s="3">
        <f>(M5/R5)*100</f>
        <v>72.876106985248128</v>
      </c>
      <c r="T5" s="3">
        <f>(N5/R5)*100</f>
        <v>27.123893014751861</v>
      </c>
      <c r="U5" s="3">
        <f>(O5/R5)*100</f>
        <v>0</v>
      </c>
      <c r="V5" s="3">
        <f>(P5/R5)*100</f>
        <v>0</v>
      </c>
      <c r="W5" s="18">
        <f>(Q5/R5)*100</f>
        <v>0</v>
      </c>
    </row>
    <row r="6" spans="1:23" ht="15.75" customHeight="1">
      <c r="A6" s="13"/>
      <c r="B6" s="11" t="s">
        <v>53</v>
      </c>
      <c r="C6" s="14">
        <v>49.77</v>
      </c>
      <c r="D6" s="14">
        <v>1.04</v>
      </c>
      <c r="E6" s="1">
        <v>15</v>
      </c>
      <c r="F6" s="1">
        <v>15</v>
      </c>
      <c r="G6" s="8">
        <f t="shared" si="0"/>
        <v>0</v>
      </c>
      <c r="H6" s="1">
        <v>374.96</v>
      </c>
      <c r="I6" s="15">
        <v>374.96</v>
      </c>
      <c r="J6" s="6">
        <f t="shared" si="1"/>
        <v>0</v>
      </c>
      <c r="K6" s="116"/>
      <c r="L6" s="39"/>
      <c r="M6" s="5"/>
      <c r="N6" s="5"/>
    </row>
    <row r="7" spans="1:23" ht="15.75" customHeight="1">
      <c r="A7" s="13"/>
      <c r="B7" s="40">
        <v>6</v>
      </c>
      <c r="C7" s="14">
        <v>37.119999999999997</v>
      </c>
      <c r="D7" s="41">
        <v>1.1100000000000001</v>
      </c>
      <c r="E7" s="12">
        <v>5</v>
      </c>
      <c r="F7" s="1">
        <v>5</v>
      </c>
      <c r="G7" s="8">
        <f t="shared" si="0"/>
        <v>0</v>
      </c>
      <c r="H7" s="1">
        <v>123.24</v>
      </c>
      <c r="I7" s="70">
        <v>123.24</v>
      </c>
      <c r="J7" s="6">
        <f t="shared" si="1"/>
        <v>0</v>
      </c>
      <c r="K7" s="116"/>
      <c r="L7" s="39"/>
      <c r="M7" s="5"/>
      <c r="N7" s="5"/>
    </row>
    <row r="8" spans="1:23" ht="15.75" customHeight="1" thickBot="1">
      <c r="A8" s="13"/>
      <c r="B8" s="40">
        <v>7</v>
      </c>
      <c r="C8" s="14">
        <v>49.454000000000001</v>
      </c>
      <c r="D8" s="41">
        <v>1.19</v>
      </c>
      <c r="E8" s="12">
        <v>4</v>
      </c>
      <c r="F8" s="1">
        <v>4</v>
      </c>
      <c r="G8" s="8">
        <f t="shared" si="0"/>
        <v>0</v>
      </c>
      <c r="H8" s="1">
        <v>75.819999999999993</v>
      </c>
      <c r="I8" s="15">
        <v>75.819999999999993</v>
      </c>
      <c r="J8" s="6">
        <f t="shared" si="1"/>
        <v>0</v>
      </c>
      <c r="K8" s="117"/>
      <c r="L8" s="39"/>
      <c r="M8" s="5"/>
      <c r="N8" s="5"/>
    </row>
    <row r="9" spans="1:23" ht="15.75" customHeight="1">
      <c r="A9" s="13"/>
      <c r="B9" s="40">
        <v>9</v>
      </c>
      <c r="C9" s="14">
        <v>50.12</v>
      </c>
      <c r="D9" s="41">
        <v>1.03</v>
      </c>
      <c r="E9" s="12">
        <v>4</v>
      </c>
      <c r="F9" s="12">
        <v>4</v>
      </c>
      <c r="G9" s="8">
        <f t="shared" si="0"/>
        <v>0</v>
      </c>
      <c r="H9" s="1">
        <v>75.599999999999994</v>
      </c>
      <c r="I9" s="15">
        <v>75.599999999999994</v>
      </c>
      <c r="J9" s="6">
        <f t="shared" si="1"/>
        <v>0</v>
      </c>
      <c r="K9" s="115" t="s">
        <v>50</v>
      </c>
      <c r="L9" s="39"/>
      <c r="M9" s="5"/>
      <c r="N9" s="5"/>
    </row>
    <row r="10" spans="1:23" ht="15.75" customHeight="1">
      <c r="A10" s="13"/>
      <c r="B10" s="40">
        <v>10</v>
      </c>
      <c r="C10" s="14">
        <v>47.85</v>
      </c>
      <c r="D10" s="41">
        <v>1.02</v>
      </c>
      <c r="E10" s="12">
        <v>7</v>
      </c>
      <c r="F10" s="12">
        <v>7</v>
      </c>
      <c r="G10" s="8">
        <f t="shared" si="0"/>
        <v>0</v>
      </c>
      <c r="H10" s="1">
        <v>154.80000000000001</v>
      </c>
      <c r="I10" s="15">
        <v>154.80000000000001</v>
      </c>
      <c r="J10" s="6">
        <f t="shared" si="1"/>
        <v>0</v>
      </c>
      <c r="K10" s="116"/>
      <c r="L10" s="77"/>
      <c r="M10" s="5"/>
      <c r="N10" s="5"/>
    </row>
    <row r="11" spans="1:23" ht="15.75" customHeight="1">
      <c r="A11" s="13"/>
      <c r="B11" s="40">
        <v>11</v>
      </c>
      <c r="C11" s="14">
        <v>45.71</v>
      </c>
      <c r="D11" s="41">
        <v>1.01</v>
      </c>
      <c r="E11" s="12">
        <v>12</v>
      </c>
      <c r="F11" s="12">
        <v>12</v>
      </c>
      <c r="G11" s="8">
        <f t="shared" si="0"/>
        <v>0</v>
      </c>
      <c r="H11" s="1">
        <v>266.39999999999998</v>
      </c>
      <c r="I11" s="15">
        <v>266.39999999999998</v>
      </c>
      <c r="J11" s="6">
        <f t="shared" si="1"/>
        <v>0</v>
      </c>
      <c r="K11" s="116"/>
      <c r="L11" s="77"/>
      <c r="M11" s="5"/>
      <c r="N11" s="5"/>
    </row>
    <row r="12" spans="1:23" ht="15.75" customHeight="1">
      <c r="A12" s="13"/>
      <c r="B12" s="40">
        <v>12</v>
      </c>
      <c r="C12" s="14">
        <v>45.98</v>
      </c>
      <c r="D12" s="41">
        <v>0.98</v>
      </c>
      <c r="E12" s="12">
        <v>10</v>
      </c>
      <c r="F12" s="12">
        <v>10</v>
      </c>
      <c r="G12" s="8">
        <f t="shared" si="0"/>
        <v>0</v>
      </c>
      <c r="H12" s="1">
        <v>210.68</v>
      </c>
      <c r="I12" s="15">
        <v>210.68</v>
      </c>
      <c r="J12" s="6">
        <f t="shared" si="1"/>
        <v>0</v>
      </c>
      <c r="K12" s="116"/>
      <c r="L12" s="77"/>
      <c r="M12" s="5"/>
      <c r="N12" s="5"/>
    </row>
    <row r="13" spans="1:23" ht="15.75" customHeight="1">
      <c r="A13" s="13"/>
      <c r="B13" s="40">
        <v>14</v>
      </c>
      <c r="C13" s="14">
        <v>42.5</v>
      </c>
      <c r="D13" s="41">
        <v>1.38</v>
      </c>
      <c r="E13" s="12">
        <v>4</v>
      </c>
      <c r="F13" s="12">
        <v>4</v>
      </c>
      <c r="G13" s="8">
        <f t="shared" si="0"/>
        <v>0</v>
      </c>
      <c r="H13" s="1">
        <v>82.32</v>
      </c>
      <c r="I13" s="70">
        <v>82.32</v>
      </c>
      <c r="J13" s="6">
        <f t="shared" si="1"/>
        <v>0</v>
      </c>
      <c r="K13" s="116"/>
      <c r="L13" s="10"/>
      <c r="M13" s="5"/>
      <c r="N13" s="5"/>
    </row>
    <row r="14" spans="1:23" ht="15.75" customHeight="1">
      <c r="A14" s="13"/>
      <c r="B14" s="40">
        <v>15</v>
      </c>
      <c r="C14" s="14">
        <v>38.29</v>
      </c>
      <c r="D14" s="41">
        <v>1.07</v>
      </c>
      <c r="E14" s="12">
        <v>8</v>
      </c>
      <c r="F14" s="12">
        <v>8</v>
      </c>
      <c r="G14" s="8">
        <f t="shared" si="0"/>
        <v>0</v>
      </c>
      <c r="H14" s="1">
        <v>172.52</v>
      </c>
      <c r="I14" s="70">
        <v>172.52</v>
      </c>
      <c r="J14" s="6">
        <f t="shared" si="1"/>
        <v>0</v>
      </c>
      <c r="K14" s="116"/>
      <c r="L14" s="10"/>
      <c r="M14" s="5"/>
      <c r="N14" s="5"/>
    </row>
    <row r="15" spans="1:23" ht="15.75" customHeight="1" thickBot="1">
      <c r="A15" s="13"/>
      <c r="B15" s="40">
        <v>16</v>
      </c>
      <c r="C15" s="14">
        <v>39.020000000000003</v>
      </c>
      <c r="D15" s="41">
        <v>0.99</v>
      </c>
      <c r="E15" s="12">
        <v>7</v>
      </c>
      <c r="F15" s="12">
        <v>7</v>
      </c>
      <c r="G15" s="8">
        <f t="shared" si="0"/>
        <v>0</v>
      </c>
      <c r="H15" s="1">
        <v>152.56</v>
      </c>
      <c r="I15" s="70">
        <v>152.56</v>
      </c>
      <c r="J15" s="6">
        <f t="shared" si="1"/>
        <v>0</v>
      </c>
      <c r="K15" s="116"/>
      <c r="L15" s="10"/>
      <c r="M15" s="5"/>
      <c r="N15" s="5"/>
    </row>
    <row r="16" spans="1:23" ht="15" customHeight="1" thickBot="1">
      <c r="A16" s="13"/>
      <c r="B16" s="40">
        <v>17</v>
      </c>
      <c r="C16" s="14">
        <v>44.72</v>
      </c>
      <c r="D16" s="41">
        <v>0.95</v>
      </c>
      <c r="E16" s="12">
        <v>9</v>
      </c>
      <c r="F16" s="12">
        <v>9</v>
      </c>
      <c r="G16" s="8">
        <f t="shared" si="0"/>
        <v>0</v>
      </c>
      <c r="H16" s="1">
        <v>193.12</v>
      </c>
      <c r="I16" s="70">
        <v>193.12</v>
      </c>
      <c r="J16" s="6">
        <f t="shared" si="1"/>
        <v>0</v>
      </c>
      <c r="K16" s="116"/>
      <c r="L16" s="64" t="s">
        <v>52</v>
      </c>
      <c r="M16" s="5"/>
      <c r="N16" s="5"/>
    </row>
    <row r="17" spans="1:14" ht="15" customHeight="1">
      <c r="A17" s="13"/>
      <c r="B17" s="40">
        <v>18</v>
      </c>
      <c r="C17" s="14">
        <v>41.33</v>
      </c>
      <c r="D17" s="41">
        <v>1.21</v>
      </c>
      <c r="E17" s="12">
        <v>4</v>
      </c>
      <c r="F17" s="12">
        <v>4</v>
      </c>
      <c r="G17" s="8">
        <f t="shared" si="0"/>
        <v>0</v>
      </c>
      <c r="H17" s="1">
        <v>85.18</v>
      </c>
      <c r="I17" s="70">
        <v>85.18</v>
      </c>
      <c r="J17" s="6">
        <f t="shared" si="1"/>
        <v>0</v>
      </c>
      <c r="K17" s="116"/>
      <c r="L17" s="10"/>
      <c r="M17" s="5"/>
      <c r="N17" s="5"/>
    </row>
    <row r="18" spans="1:14" ht="15" customHeight="1" thickBot="1">
      <c r="A18" s="78"/>
      <c r="B18" s="40">
        <v>19</v>
      </c>
      <c r="C18" s="14">
        <v>37.92</v>
      </c>
      <c r="D18" s="41">
        <v>0.99</v>
      </c>
      <c r="E18" s="12">
        <v>5</v>
      </c>
      <c r="F18" s="12">
        <v>5</v>
      </c>
      <c r="G18" s="8">
        <f t="shared" si="0"/>
        <v>0</v>
      </c>
      <c r="H18" s="1">
        <v>101.94</v>
      </c>
      <c r="I18" s="70">
        <v>101.94</v>
      </c>
      <c r="J18" s="6">
        <f t="shared" si="1"/>
        <v>0</v>
      </c>
      <c r="K18" s="117"/>
      <c r="L18" s="10"/>
      <c r="M18" s="5"/>
      <c r="N18" s="5"/>
    </row>
    <row r="19" spans="1:14" ht="15" customHeight="1">
      <c r="A19" s="78"/>
      <c r="B19" s="11">
        <v>21</v>
      </c>
      <c r="C19" s="14">
        <v>49.5</v>
      </c>
      <c r="D19" s="14">
        <v>1.61</v>
      </c>
      <c r="E19" s="1">
        <v>8</v>
      </c>
      <c r="F19" s="1">
        <v>8</v>
      </c>
      <c r="G19" s="8">
        <f t="shared" si="0"/>
        <v>0</v>
      </c>
      <c r="H19" s="1">
        <v>165.76</v>
      </c>
      <c r="I19" s="15">
        <v>165.76</v>
      </c>
      <c r="J19" s="6">
        <f t="shared" si="1"/>
        <v>0</v>
      </c>
      <c r="K19" s="115" t="s">
        <v>49</v>
      </c>
      <c r="L19" s="10"/>
      <c r="M19" s="5"/>
      <c r="N19" s="5"/>
    </row>
    <row r="20" spans="1:14" ht="15" customHeight="1">
      <c r="A20" s="78"/>
      <c r="B20" s="11">
        <v>22</v>
      </c>
      <c r="C20" s="14">
        <v>49.05</v>
      </c>
      <c r="D20" s="14">
        <v>2.63</v>
      </c>
      <c r="E20" s="1">
        <v>11</v>
      </c>
      <c r="F20" s="1">
        <v>11</v>
      </c>
      <c r="G20" s="8">
        <f t="shared" si="0"/>
        <v>0</v>
      </c>
      <c r="H20" s="83">
        <v>226</v>
      </c>
      <c r="I20" s="15">
        <v>226</v>
      </c>
      <c r="J20" s="6">
        <f t="shared" si="1"/>
        <v>0</v>
      </c>
      <c r="K20" s="116"/>
      <c r="L20" s="10"/>
      <c r="M20" s="5"/>
      <c r="N20" s="5"/>
    </row>
    <row r="21" spans="1:14" ht="15" customHeight="1" thickBot="1">
      <c r="A21" s="59"/>
      <c r="B21" s="79">
        <v>23</v>
      </c>
      <c r="C21" s="80">
        <v>49.94</v>
      </c>
      <c r="D21" s="80">
        <v>1.76</v>
      </c>
      <c r="E21" s="81">
        <v>10</v>
      </c>
      <c r="F21" s="81">
        <v>10</v>
      </c>
      <c r="G21" s="8">
        <f t="shared" si="0"/>
        <v>0</v>
      </c>
      <c r="H21" s="81">
        <v>210.36</v>
      </c>
      <c r="I21" s="82">
        <v>210.36</v>
      </c>
      <c r="J21" s="6">
        <f t="shared" si="1"/>
        <v>0</v>
      </c>
      <c r="K21" s="117"/>
      <c r="L21" s="10"/>
      <c r="M21" s="5"/>
      <c r="N21" s="5"/>
    </row>
    <row r="22" spans="1:14" ht="16.5" thickBot="1">
      <c r="A22" s="19"/>
      <c r="B22" s="42" t="s">
        <v>3</v>
      </c>
      <c r="C22" s="42"/>
      <c r="D22" s="42"/>
      <c r="E22" s="4">
        <f>SUM(E2:E21)</f>
        <v>153</v>
      </c>
      <c r="F22" s="4">
        <f>SUM(F2:F21)</f>
        <v>153</v>
      </c>
      <c r="G22" s="4">
        <f t="shared" ref="G22:J22" si="2">SUM(G2:G18)</f>
        <v>0</v>
      </c>
      <c r="H22" s="4">
        <f>SUM(H2:H21)</f>
        <v>3358.22</v>
      </c>
      <c r="I22" s="9">
        <f>SUM(I2:I21)</f>
        <v>3358.22</v>
      </c>
      <c r="J22" s="9">
        <f t="shared" si="2"/>
        <v>0</v>
      </c>
      <c r="K22" s="20"/>
      <c r="L22" s="10"/>
    </row>
    <row r="23" spans="1:14">
      <c r="I23" s="5"/>
      <c r="L23" s="10"/>
    </row>
  </sheetData>
  <mergeCells count="5">
    <mergeCell ref="N2:O2"/>
    <mergeCell ref="P2:W2"/>
    <mergeCell ref="K2:K8"/>
    <mergeCell ref="K9:K18"/>
    <mergeCell ref="K19:K21"/>
  </mergeCells>
  <conditionalFormatting sqref="C2:C21">
    <cfRule type="cellIs" dxfId="41" priority="2" operator="lessThan">
      <formula>44.99</formula>
    </cfRule>
  </conditionalFormatting>
  <conditionalFormatting sqref="D2:D21">
    <cfRule type="cellIs" dxfId="40" priority="1" operator="greaterThan">
      <formula>2.99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5F090-45B9-4043-9F9F-0DF935B93F33}">
  <dimension ref="A1:W19"/>
  <sheetViews>
    <sheetView workbookViewId="0">
      <selection sqref="A1:XFD1048576"/>
    </sheetView>
  </sheetViews>
  <sheetFormatPr defaultColWidth="8.28515625" defaultRowHeight="15"/>
  <cols>
    <col min="1" max="1" width="9" customWidth="1"/>
    <col min="2" max="2" width="12" bestFit="1" customWidth="1"/>
    <col min="5" max="5" width="9.85546875" customWidth="1"/>
    <col min="6" max="6" width="8.85546875" customWidth="1"/>
    <col min="7" max="7" width="6.85546875" bestFit="1" customWidth="1"/>
    <col min="8" max="8" width="9.28515625" bestFit="1" customWidth="1"/>
    <col min="11" max="11" width="19.28515625" customWidth="1"/>
    <col min="12" max="12" width="18" bestFit="1" customWidth="1"/>
    <col min="15" max="15" width="9.28515625" customWidth="1"/>
  </cols>
  <sheetData>
    <row r="1" spans="1:23" ht="78" customHeight="1" thickBot="1">
      <c r="A1" s="50" t="s">
        <v>2</v>
      </c>
      <c r="B1" s="51" t="s">
        <v>5</v>
      </c>
      <c r="C1" s="51" t="s">
        <v>6</v>
      </c>
      <c r="D1" s="51" t="s">
        <v>14</v>
      </c>
      <c r="E1" s="51" t="s">
        <v>21</v>
      </c>
      <c r="F1" s="51" t="s">
        <v>9</v>
      </c>
      <c r="G1" s="51" t="s">
        <v>10</v>
      </c>
      <c r="H1" s="51" t="s">
        <v>22</v>
      </c>
      <c r="I1" s="51" t="s">
        <v>7</v>
      </c>
      <c r="J1" s="51" t="s">
        <v>12</v>
      </c>
      <c r="K1" s="52" t="s">
        <v>23</v>
      </c>
      <c r="L1" s="39"/>
    </row>
    <row r="2" spans="1:23" ht="16.5" customHeight="1" thickBot="1">
      <c r="A2" s="28" t="str">
        <f>N2</f>
        <v>09.05.2026</v>
      </c>
      <c r="B2" s="53">
        <v>24</v>
      </c>
      <c r="C2" s="54">
        <v>49.65</v>
      </c>
      <c r="D2" s="54">
        <v>1.17</v>
      </c>
      <c r="E2" s="1">
        <v>14</v>
      </c>
      <c r="F2" s="1">
        <v>14</v>
      </c>
      <c r="G2" s="8">
        <f t="shared" ref="G2:G17" si="0">E2-F2</f>
        <v>0</v>
      </c>
      <c r="H2" s="1">
        <v>296.54000000000002</v>
      </c>
      <c r="I2" s="15">
        <v>296.54000000000002</v>
      </c>
      <c r="J2" s="6">
        <f>H2-I2</f>
        <v>0</v>
      </c>
      <c r="K2" s="115" t="s">
        <v>39</v>
      </c>
      <c r="L2" s="55"/>
      <c r="M2" s="76" t="s">
        <v>13</v>
      </c>
      <c r="N2" s="111" t="s">
        <v>54</v>
      </c>
      <c r="O2" s="112"/>
      <c r="P2" s="113"/>
      <c r="Q2" s="114"/>
      <c r="R2" s="114"/>
      <c r="S2" s="114"/>
      <c r="T2" s="114"/>
      <c r="U2" s="114"/>
      <c r="V2" s="114"/>
      <c r="W2" s="114"/>
    </row>
    <row r="3" spans="1:23" ht="15.75" customHeight="1" thickBot="1">
      <c r="A3" s="13"/>
      <c r="B3" s="53" t="s">
        <v>55</v>
      </c>
      <c r="C3" s="54">
        <v>50.12</v>
      </c>
      <c r="D3" s="54">
        <v>0.98</v>
      </c>
      <c r="E3" s="1">
        <v>15</v>
      </c>
      <c r="F3" s="1">
        <v>15</v>
      </c>
      <c r="G3" s="8">
        <f t="shared" si="0"/>
        <v>0</v>
      </c>
      <c r="H3" s="1">
        <v>335.52</v>
      </c>
      <c r="I3" s="15">
        <v>335.52</v>
      </c>
      <c r="J3" s="6">
        <f t="shared" ref="J3:J17" si="1">H3-I3</f>
        <v>0</v>
      </c>
      <c r="K3" s="116"/>
      <c r="L3" s="55"/>
      <c r="M3" s="44" t="s">
        <v>20</v>
      </c>
      <c r="N3" s="45"/>
      <c r="O3" s="45"/>
      <c r="P3" s="45"/>
      <c r="Q3" s="45"/>
      <c r="R3" s="46"/>
      <c r="S3" s="47" t="s">
        <v>4</v>
      </c>
      <c r="T3" s="48"/>
      <c r="U3" s="48"/>
      <c r="V3" s="48"/>
      <c r="W3" s="49"/>
    </row>
    <row r="4" spans="1:23" ht="15.75" customHeight="1" thickBot="1">
      <c r="A4" s="13"/>
      <c r="B4" s="53">
        <v>7</v>
      </c>
      <c r="C4" s="54">
        <v>50.33</v>
      </c>
      <c r="D4" s="54">
        <v>1.1200000000000001</v>
      </c>
      <c r="E4" s="1">
        <v>5</v>
      </c>
      <c r="F4" s="1">
        <v>5</v>
      </c>
      <c r="G4" s="8">
        <f t="shared" si="0"/>
        <v>0</v>
      </c>
      <c r="H4" s="1">
        <v>108.1</v>
      </c>
      <c r="I4" s="15">
        <v>108.1</v>
      </c>
      <c r="J4" s="6">
        <f t="shared" si="1"/>
        <v>0</v>
      </c>
      <c r="K4" s="117"/>
      <c r="L4" s="55"/>
      <c r="M4" s="37" t="s">
        <v>0</v>
      </c>
      <c r="N4" s="21" t="s">
        <v>1</v>
      </c>
      <c r="O4" s="21" t="s">
        <v>15</v>
      </c>
      <c r="P4" s="21" t="s">
        <v>16</v>
      </c>
      <c r="Q4" s="21" t="s">
        <v>17</v>
      </c>
      <c r="R4" s="21" t="s">
        <v>3</v>
      </c>
      <c r="S4" s="16" t="s">
        <v>0</v>
      </c>
      <c r="T4" s="16" t="s">
        <v>1</v>
      </c>
      <c r="U4" s="16" t="s">
        <v>15</v>
      </c>
      <c r="V4" s="16" t="s">
        <v>16</v>
      </c>
      <c r="W4" s="17" t="s">
        <v>17</v>
      </c>
    </row>
    <row r="5" spans="1:23" ht="15.75" customHeight="1" thickBot="1">
      <c r="A5" s="13"/>
      <c r="B5" s="11">
        <v>12</v>
      </c>
      <c r="C5" s="85">
        <v>47.24</v>
      </c>
      <c r="D5" s="14">
        <v>1.22</v>
      </c>
      <c r="E5" s="1">
        <v>6</v>
      </c>
      <c r="F5" s="1">
        <v>6</v>
      </c>
      <c r="G5" s="8">
        <f t="shared" si="0"/>
        <v>0</v>
      </c>
      <c r="H5" s="1">
        <v>120.74</v>
      </c>
      <c r="I5" s="15">
        <v>120.74</v>
      </c>
      <c r="J5" s="6">
        <f t="shared" si="1"/>
        <v>0</v>
      </c>
      <c r="K5" s="115" t="s">
        <v>50</v>
      </c>
      <c r="L5" s="10"/>
      <c r="M5" s="38">
        <v>2153.1799999999998</v>
      </c>
      <c r="N5" s="2">
        <v>785.04</v>
      </c>
      <c r="O5" s="2">
        <v>0</v>
      </c>
      <c r="P5" s="2">
        <v>0</v>
      </c>
      <c r="Q5" s="2">
        <v>0</v>
      </c>
      <c r="R5" s="7">
        <f>SUM(M5:Q5)</f>
        <v>2938.22</v>
      </c>
      <c r="S5" s="3">
        <f>(M5/R5)*100</f>
        <v>73.281782848118922</v>
      </c>
      <c r="T5" s="3">
        <f>(N5/R5)*100</f>
        <v>26.718217151881074</v>
      </c>
      <c r="U5" s="3">
        <f>(O5/R5)*100</f>
        <v>0</v>
      </c>
      <c r="V5" s="3">
        <f>(P5/R5)*100</f>
        <v>0</v>
      </c>
      <c r="W5" s="18">
        <f>(Q5/R5)*100</f>
        <v>0</v>
      </c>
    </row>
    <row r="6" spans="1:23" ht="15.75" customHeight="1">
      <c r="A6" s="13"/>
      <c r="B6" s="11">
        <v>13</v>
      </c>
      <c r="C6" s="14">
        <v>46.02</v>
      </c>
      <c r="D6" s="14">
        <v>1.3520000000000001</v>
      </c>
      <c r="E6" s="1">
        <v>7</v>
      </c>
      <c r="F6" s="1">
        <v>7</v>
      </c>
      <c r="G6" s="8">
        <f t="shared" si="0"/>
        <v>0</v>
      </c>
      <c r="H6" s="1">
        <v>140.63999999999999</v>
      </c>
      <c r="I6" s="15">
        <v>140.63999999999999</v>
      </c>
      <c r="J6" s="6">
        <f t="shared" si="1"/>
        <v>0</v>
      </c>
      <c r="K6" s="116"/>
      <c r="L6" s="39"/>
      <c r="M6" s="5"/>
      <c r="N6" s="5"/>
    </row>
    <row r="7" spans="1:23" ht="15.75" customHeight="1">
      <c r="A7" s="13"/>
      <c r="B7" s="40">
        <v>14</v>
      </c>
      <c r="C7" s="14">
        <v>48.25</v>
      </c>
      <c r="D7" s="41">
        <v>1.24</v>
      </c>
      <c r="E7" s="12">
        <v>9</v>
      </c>
      <c r="F7" s="1">
        <v>9</v>
      </c>
      <c r="G7" s="8">
        <f t="shared" si="0"/>
        <v>0</v>
      </c>
      <c r="H7" s="1">
        <v>199.68</v>
      </c>
      <c r="I7" s="15">
        <v>199.68</v>
      </c>
      <c r="J7" s="6">
        <f t="shared" si="1"/>
        <v>0</v>
      </c>
      <c r="K7" s="116"/>
      <c r="L7" s="39"/>
      <c r="M7" s="5"/>
      <c r="N7" s="5"/>
    </row>
    <row r="8" spans="1:23" ht="15.75" customHeight="1">
      <c r="A8" s="13"/>
      <c r="B8" s="40">
        <v>15</v>
      </c>
      <c r="C8" s="14">
        <v>48.25</v>
      </c>
      <c r="D8" s="41">
        <v>1.24</v>
      </c>
      <c r="E8" s="12">
        <v>8</v>
      </c>
      <c r="F8" s="1">
        <v>8</v>
      </c>
      <c r="G8" s="8">
        <f t="shared" si="0"/>
        <v>0</v>
      </c>
      <c r="H8" s="12">
        <v>168.3</v>
      </c>
      <c r="I8" s="15">
        <v>168.3</v>
      </c>
      <c r="J8" s="6">
        <f t="shared" si="1"/>
        <v>0</v>
      </c>
      <c r="K8" s="116"/>
      <c r="L8" s="39"/>
      <c r="M8" s="5"/>
      <c r="N8" s="5"/>
    </row>
    <row r="9" spans="1:23" ht="15.75" customHeight="1">
      <c r="A9" s="13"/>
      <c r="B9" s="40">
        <v>16</v>
      </c>
      <c r="C9" s="14">
        <v>48.97</v>
      </c>
      <c r="D9" s="41">
        <v>1.18</v>
      </c>
      <c r="E9" s="12">
        <v>7</v>
      </c>
      <c r="F9" s="12">
        <v>7</v>
      </c>
      <c r="G9" s="8">
        <f t="shared" si="0"/>
        <v>0</v>
      </c>
      <c r="H9" s="12">
        <v>153.34</v>
      </c>
      <c r="I9" s="15">
        <v>153.34</v>
      </c>
      <c r="J9" s="6">
        <f>H9-I9</f>
        <v>0</v>
      </c>
      <c r="K9" s="116"/>
      <c r="L9" s="39"/>
      <c r="M9" s="5"/>
      <c r="N9" s="5"/>
    </row>
    <row r="10" spans="1:23" ht="15.75" customHeight="1">
      <c r="A10" s="13"/>
      <c r="B10" s="40">
        <v>17</v>
      </c>
      <c r="C10" s="14">
        <v>44.51</v>
      </c>
      <c r="D10" s="41">
        <v>1.69</v>
      </c>
      <c r="E10" s="12">
        <v>8</v>
      </c>
      <c r="F10" s="12">
        <v>8</v>
      </c>
      <c r="G10" s="8">
        <f t="shared" si="0"/>
        <v>0</v>
      </c>
      <c r="H10" s="12">
        <v>161.69999999999999</v>
      </c>
      <c r="I10" s="70">
        <v>161.69999999999999</v>
      </c>
      <c r="J10" s="6">
        <f t="shared" si="1"/>
        <v>0</v>
      </c>
      <c r="K10" s="116"/>
      <c r="L10" s="77"/>
      <c r="M10" s="5"/>
      <c r="N10" s="5"/>
    </row>
    <row r="11" spans="1:23" ht="15.75" customHeight="1">
      <c r="A11" s="13"/>
      <c r="B11" s="40">
        <v>18</v>
      </c>
      <c r="C11" s="14">
        <v>41.71</v>
      </c>
      <c r="D11" s="41">
        <v>1.29</v>
      </c>
      <c r="E11" s="12">
        <v>4</v>
      </c>
      <c r="F11" s="12">
        <v>4</v>
      </c>
      <c r="G11" s="8">
        <f t="shared" si="0"/>
        <v>0</v>
      </c>
      <c r="H11" s="12">
        <v>84.82</v>
      </c>
      <c r="I11" s="70">
        <v>84.82</v>
      </c>
      <c r="J11" s="6">
        <f t="shared" si="1"/>
        <v>0</v>
      </c>
      <c r="K11" s="116"/>
      <c r="L11" s="77"/>
      <c r="M11" s="5"/>
      <c r="N11" s="5"/>
    </row>
    <row r="12" spans="1:23" ht="15.75" customHeight="1">
      <c r="A12" s="13"/>
      <c r="B12" s="40">
        <v>19</v>
      </c>
      <c r="C12" s="14">
        <v>44.59</v>
      </c>
      <c r="D12" s="41">
        <v>0.77</v>
      </c>
      <c r="E12" s="12">
        <v>4</v>
      </c>
      <c r="F12" s="12">
        <v>4</v>
      </c>
      <c r="G12" s="8">
        <f t="shared" si="0"/>
        <v>0</v>
      </c>
      <c r="H12" s="12">
        <v>75.900000000000006</v>
      </c>
      <c r="I12" s="70">
        <v>75.900000000000006</v>
      </c>
      <c r="J12" s="6">
        <f t="shared" si="1"/>
        <v>0</v>
      </c>
      <c r="K12" s="116"/>
      <c r="L12" s="77"/>
      <c r="M12" s="5"/>
      <c r="N12" s="5"/>
    </row>
    <row r="13" spans="1:23" ht="15.75" customHeight="1">
      <c r="A13" s="13"/>
      <c r="B13" s="40">
        <v>5</v>
      </c>
      <c r="C13" s="14">
        <v>50.57</v>
      </c>
      <c r="D13" s="41">
        <v>1.1599999999999999</v>
      </c>
      <c r="E13" s="12">
        <v>11</v>
      </c>
      <c r="F13" s="12">
        <v>11</v>
      </c>
      <c r="G13" s="8">
        <f t="shared" ref="G13:G14" si="2">E13-F13</f>
        <v>0</v>
      </c>
      <c r="H13" s="12">
        <v>242.6</v>
      </c>
      <c r="I13" s="15">
        <v>242.6</v>
      </c>
      <c r="J13" s="6">
        <f t="shared" ref="J13:J14" si="3">H13-I13</f>
        <v>0</v>
      </c>
      <c r="K13" s="116"/>
      <c r="L13" s="77"/>
      <c r="M13" s="5"/>
      <c r="N13" s="5"/>
    </row>
    <row r="14" spans="1:23" ht="15.75" customHeight="1" thickBot="1">
      <c r="A14" s="13"/>
      <c r="B14" s="40">
        <v>6</v>
      </c>
      <c r="C14" s="14">
        <v>49.46</v>
      </c>
      <c r="D14" s="41">
        <v>1.19</v>
      </c>
      <c r="E14" s="12">
        <v>11</v>
      </c>
      <c r="F14" s="12">
        <v>11</v>
      </c>
      <c r="G14" s="8">
        <f t="shared" si="2"/>
        <v>0</v>
      </c>
      <c r="H14" s="12">
        <v>234.2</v>
      </c>
      <c r="I14" s="15">
        <v>234.2</v>
      </c>
      <c r="J14" s="6">
        <f t="shared" si="3"/>
        <v>0</v>
      </c>
      <c r="K14" s="116"/>
      <c r="L14" s="77"/>
      <c r="M14" s="5"/>
      <c r="N14" s="5"/>
    </row>
    <row r="15" spans="1:23" ht="15.75" customHeight="1">
      <c r="A15" s="13"/>
      <c r="B15" s="40">
        <v>10</v>
      </c>
      <c r="C15" s="14">
        <v>39.799999999999997</v>
      </c>
      <c r="D15" s="41">
        <v>1.18</v>
      </c>
      <c r="E15" s="12">
        <v>15</v>
      </c>
      <c r="F15" s="12">
        <v>15</v>
      </c>
      <c r="G15" s="8">
        <f t="shared" si="0"/>
        <v>0</v>
      </c>
      <c r="H15" s="12">
        <v>256.88</v>
      </c>
      <c r="I15" s="70">
        <v>256.88</v>
      </c>
      <c r="J15" s="6">
        <f t="shared" si="1"/>
        <v>0</v>
      </c>
      <c r="K15" s="116"/>
      <c r="L15" s="118" t="s">
        <v>31</v>
      </c>
      <c r="M15" s="5"/>
      <c r="N15" s="5"/>
    </row>
    <row r="16" spans="1:23" ht="15.75" customHeight="1" thickBot="1">
      <c r="A16" s="13"/>
      <c r="B16" s="40">
        <v>11</v>
      </c>
      <c r="C16" s="14">
        <v>40.210999999999999</v>
      </c>
      <c r="D16" s="41">
        <v>1.28</v>
      </c>
      <c r="E16" s="12">
        <v>11</v>
      </c>
      <c r="F16" s="12">
        <v>11</v>
      </c>
      <c r="G16" s="8">
        <f t="shared" si="0"/>
        <v>0</v>
      </c>
      <c r="H16" s="12">
        <v>205.74</v>
      </c>
      <c r="I16" s="70">
        <v>205.74</v>
      </c>
      <c r="J16" s="6">
        <f t="shared" si="1"/>
        <v>0</v>
      </c>
      <c r="K16" s="117"/>
      <c r="L16" s="119"/>
      <c r="M16" s="5"/>
      <c r="N16" s="5"/>
    </row>
    <row r="17" spans="1:14" ht="15.75" customHeight="1" thickBot="1">
      <c r="A17" s="13"/>
      <c r="B17" s="40" t="s">
        <v>56</v>
      </c>
      <c r="C17" s="14">
        <v>48.92</v>
      </c>
      <c r="D17" s="41">
        <v>1.41</v>
      </c>
      <c r="E17" s="12">
        <v>7</v>
      </c>
      <c r="F17" s="12">
        <v>7</v>
      </c>
      <c r="G17" s="8">
        <f t="shared" si="0"/>
        <v>0</v>
      </c>
      <c r="H17" s="12">
        <v>153.52000000000001</v>
      </c>
      <c r="I17" s="15">
        <v>153.52000000000001</v>
      </c>
      <c r="J17" s="6">
        <f t="shared" si="1"/>
        <v>0</v>
      </c>
      <c r="K17" s="86" t="s">
        <v>57</v>
      </c>
      <c r="L17" s="77"/>
      <c r="M17" s="5"/>
      <c r="N17" s="5"/>
    </row>
    <row r="18" spans="1:14" ht="16.5" thickBot="1">
      <c r="A18" s="19"/>
      <c r="B18" s="42" t="s">
        <v>3</v>
      </c>
      <c r="C18" s="42"/>
      <c r="D18" s="42"/>
      <c r="E18" s="4">
        <f t="shared" ref="E18:J18" si="4">SUM(E2:E17)</f>
        <v>142</v>
      </c>
      <c r="F18" s="4">
        <f t="shared" si="4"/>
        <v>142</v>
      </c>
      <c r="G18" s="4">
        <f t="shared" si="4"/>
        <v>0</v>
      </c>
      <c r="H18" s="4">
        <f t="shared" si="4"/>
        <v>2938.22</v>
      </c>
      <c r="I18" s="9">
        <f t="shared" si="4"/>
        <v>2938.22</v>
      </c>
      <c r="J18" s="9">
        <f t="shared" si="4"/>
        <v>0</v>
      </c>
      <c r="K18" s="20"/>
      <c r="L18" s="10"/>
    </row>
    <row r="19" spans="1:14">
      <c r="I19" s="5"/>
      <c r="L19" s="10"/>
    </row>
  </sheetData>
  <mergeCells count="5">
    <mergeCell ref="N2:O2"/>
    <mergeCell ref="P2:W2"/>
    <mergeCell ref="K2:K4"/>
    <mergeCell ref="L15:L16"/>
    <mergeCell ref="K5:K16"/>
  </mergeCells>
  <conditionalFormatting sqref="C2:C16">
    <cfRule type="cellIs" dxfId="39" priority="4" operator="lessThan">
      <formula>44.99</formula>
    </cfRule>
  </conditionalFormatting>
  <conditionalFormatting sqref="D2:D16">
    <cfRule type="cellIs" dxfId="38" priority="3" operator="greaterThan">
      <formula>2.99</formula>
    </cfRule>
  </conditionalFormatting>
  <conditionalFormatting sqref="C17">
    <cfRule type="cellIs" dxfId="37" priority="2" operator="lessThan">
      <formula>44.99</formula>
    </cfRule>
  </conditionalFormatting>
  <conditionalFormatting sqref="D17">
    <cfRule type="cellIs" dxfId="36" priority="1" operator="greaterThan">
      <formula>2.99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86628-0220-4D89-AD16-2E1B242A4B54}">
  <dimension ref="A1:AD18"/>
  <sheetViews>
    <sheetView workbookViewId="0">
      <selection sqref="A1:XFD1048576"/>
    </sheetView>
  </sheetViews>
  <sheetFormatPr defaultColWidth="8.28515625" defaultRowHeight="15"/>
  <cols>
    <col min="1" max="1" width="9" customWidth="1"/>
    <col min="2" max="2" width="12" bestFit="1" customWidth="1"/>
    <col min="5" max="5" width="9.85546875" customWidth="1"/>
    <col min="6" max="6" width="8.85546875" customWidth="1"/>
    <col min="7" max="7" width="6.85546875" bestFit="1" customWidth="1"/>
    <col min="8" max="8" width="9.28515625" bestFit="1" customWidth="1"/>
    <col min="11" max="11" width="19.28515625" customWidth="1"/>
    <col min="12" max="12" width="18" bestFit="1" customWidth="1"/>
    <col min="15" max="15" width="9.28515625" customWidth="1"/>
  </cols>
  <sheetData>
    <row r="1" spans="1:30" ht="78" customHeight="1" thickBot="1">
      <c r="A1" s="50" t="s">
        <v>2</v>
      </c>
      <c r="B1" s="51" t="s">
        <v>5</v>
      </c>
      <c r="C1" s="51" t="s">
        <v>6</v>
      </c>
      <c r="D1" s="51" t="s">
        <v>14</v>
      </c>
      <c r="E1" s="51" t="s">
        <v>21</v>
      </c>
      <c r="F1" s="51" t="s">
        <v>9</v>
      </c>
      <c r="G1" s="51" t="s">
        <v>10</v>
      </c>
      <c r="H1" s="51" t="s">
        <v>22</v>
      </c>
      <c r="I1" s="51" t="s">
        <v>7</v>
      </c>
      <c r="J1" s="51" t="s">
        <v>12</v>
      </c>
      <c r="K1" s="52" t="s">
        <v>23</v>
      </c>
      <c r="L1" s="39"/>
    </row>
    <row r="2" spans="1:30" ht="16.5" customHeight="1" thickBot="1">
      <c r="A2" s="28" t="str">
        <f>N2</f>
        <v>10.05.2026</v>
      </c>
      <c r="B2" s="53" t="s">
        <v>60</v>
      </c>
      <c r="C2" s="54">
        <v>49.06</v>
      </c>
      <c r="D2" s="54">
        <v>1</v>
      </c>
      <c r="E2" s="1">
        <v>9</v>
      </c>
      <c r="F2" s="1">
        <v>9</v>
      </c>
      <c r="G2" s="8">
        <f t="shared" ref="G2:G16" si="0">E2-F2</f>
        <v>0</v>
      </c>
      <c r="H2" s="90">
        <v>199.34</v>
      </c>
      <c r="I2" s="15">
        <v>199.34</v>
      </c>
      <c r="J2" s="6">
        <f>H2-I2</f>
        <v>0</v>
      </c>
      <c r="K2" s="115" t="s">
        <v>58</v>
      </c>
      <c r="L2" s="55"/>
      <c r="M2" s="84" t="s">
        <v>13</v>
      </c>
      <c r="N2" s="111" t="s">
        <v>59</v>
      </c>
      <c r="O2" s="112"/>
      <c r="P2" s="121"/>
      <c r="Q2" s="122"/>
      <c r="R2" s="122"/>
      <c r="S2" s="122"/>
      <c r="T2" s="122"/>
      <c r="U2" s="122"/>
      <c r="V2" s="122"/>
      <c r="W2" s="123"/>
    </row>
    <row r="3" spans="1:30" ht="15.75" customHeight="1" thickBot="1">
      <c r="A3" s="13"/>
      <c r="B3" s="53" t="s">
        <v>61</v>
      </c>
      <c r="C3" s="54">
        <v>29.35</v>
      </c>
      <c r="D3" s="54">
        <v>0.82</v>
      </c>
      <c r="E3" s="1">
        <v>9</v>
      </c>
      <c r="F3" s="1">
        <v>10</v>
      </c>
      <c r="G3" s="8">
        <v>1</v>
      </c>
      <c r="H3" s="90">
        <v>209.72</v>
      </c>
      <c r="I3" s="70">
        <v>235.22</v>
      </c>
      <c r="J3" s="6">
        <v>25.5</v>
      </c>
      <c r="K3" s="116"/>
      <c r="L3" s="55"/>
      <c r="M3" s="44" t="s">
        <v>20</v>
      </c>
      <c r="N3" s="45"/>
      <c r="O3" s="45"/>
      <c r="P3" s="45"/>
      <c r="Q3" s="45"/>
      <c r="R3" s="46"/>
      <c r="S3" s="47" t="s">
        <v>4</v>
      </c>
      <c r="T3" s="48"/>
      <c r="U3" s="48"/>
      <c r="V3" s="48"/>
      <c r="W3" s="49"/>
    </row>
    <row r="4" spans="1:30" ht="15.75" customHeight="1">
      <c r="A4" s="13"/>
      <c r="B4" s="53">
        <v>5</v>
      </c>
      <c r="C4" s="54">
        <v>30.58</v>
      </c>
      <c r="D4" s="54">
        <v>0.98</v>
      </c>
      <c r="E4" s="1">
        <v>7</v>
      </c>
      <c r="F4" s="1">
        <v>7</v>
      </c>
      <c r="G4" s="8">
        <f t="shared" si="0"/>
        <v>0</v>
      </c>
      <c r="H4" s="90">
        <v>154.68</v>
      </c>
      <c r="I4" s="70">
        <v>154.68</v>
      </c>
      <c r="J4" s="6">
        <f t="shared" ref="J4:J16" si="1">H4-I4</f>
        <v>0</v>
      </c>
      <c r="K4" s="116"/>
      <c r="L4" s="55"/>
      <c r="M4" s="37" t="s">
        <v>0</v>
      </c>
      <c r="N4" s="21" t="s">
        <v>1</v>
      </c>
      <c r="O4" s="21" t="s">
        <v>15</v>
      </c>
      <c r="P4" s="21" t="s">
        <v>16</v>
      </c>
      <c r="Q4" s="21" t="s">
        <v>17</v>
      </c>
      <c r="R4" s="21" t="s">
        <v>3</v>
      </c>
      <c r="S4" s="16" t="s">
        <v>0</v>
      </c>
      <c r="T4" s="16" t="s">
        <v>1</v>
      </c>
      <c r="U4" s="16" t="s">
        <v>15</v>
      </c>
      <c r="V4" s="16" t="s">
        <v>16</v>
      </c>
      <c r="W4" s="17" t="s">
        <v>17</v>
      </c>
    </row>
    <row r="5" spans="1:30" ht="15.75" customHeight="1" thickBot="1">
      <c r="A5" s="13"/>
      <c r="B5" s="11">
        <v>6</v>
      </c>
      <c r="C5" s="85">
        <v>46.02</v>
      </c>
      <c r="D5" s="14">
        <v>1.03</v>
      </c>
      <c r="E5" s="1">
        <v>10</v>
      </c>
      <c r="F5" s="1">
        <v>10</v>
      </c>
      <c r="G5" s="8">
        <f t="shared" si="0"/>
        <v>0</v>
      </c>
      <c r="H5" s="90">
        <v>218.58</v>
      </c>
      <c r="I5" s="15">
        <v>218.58</v>
      </c>
      <c r="J5" s="6">
        <f t="shared" si="1"/>
        <v>0</v>
      </c>
      <c r="K5" s="117"/>
      <c r="L5" s="10"/>
      <c r="M5" s="38">
        <v>1697.24</v>
      </c>
      <c r="N5" s="2">
        <v>927.37</v>
      </c>
      <c r="O5" s="2">
        <v>0</v>
      </c>
      <c r="P5" s="2">
        <v>0</v>
      </c>
      <c r="Q5" s="2">
        <v>241.34</v>
      </c>
      <c r="R5" s="7">
        <f>SUM(M5:Q5)</f>
        <v>2865.9500000000003</v>
      </c>
      <c r="S5" s="3">
        <f>(M5/R5)*100</f>
        <v>59.22085172455904</v>
      </c>
      <c r="T5" s="3">
        <f>(N5/R5)*100</f>
        <v>32.358205830527396</v>
      </c>
      <c r="U5" s="3">
        <f>(O5/R5)*100</f>
        <v>0</v>
      </c>
      <c r="V5" s="3">
        <f>(P5/R5)*100</f>
        <v>0</v>
      </c>
      <c r="W5" s="18">
        <f>(Q5/R5)*100</f>
        <v>8.4209424449135533</v>
      </c>
    </row>
    <row r="6" spans="1:30" ht="15.75" customHeight="1" thickBot="1">
      <c r="A6" s="13"/>
      <c r="B6" s="11">
        <v>9</v>
      </c>
      <c r="C6" s="85">
        <v>41.19</v>
      </c>
      <c r="D6" s="14">
        <v>0.83</v>
      </c>
      <c r="E6" s="1">
        <v>6</v>
      </c>
      <c r="F6" s="1">
        <v>6</v>
      </c>
      <c r="G6" s="8">
        <f t="shared" si="0"/>
        <v>0</v>
      </c>
      <c r="H6" s="90">
        <v>90.88</v>
      </c>
      <c r="I6" s="70">
        <v>132.19999999999999</v>
      </c>
      <c r="J6" s="6">
        <v>41.32</v>
      </c>
      <c r="K6" s="115" t="s">
        <v>50</v>
      </c>
      <c r="L6" s="89" t="s">
        <v>62</v>
      </c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</row>
    <row r="7" spans="1:30" ht="15.75" customHeight="1" thickBot="1">
      <c r="A7" s="13"/>
      <c r="B7" s="11">
        <v>10</v>
      </c>
      <c r="C7" s="85">
        <v>8.76</v>
      </c>
      <c r="D7" s="14">
        <v>0.49</v>
      </c>
      <c r="E7" s="1">
        <v>8</v>
      </c>
      <c r="F7" s="1">
        <v>10</v>
      </c>
      <c r="G7" s="8">
        <v>2</v>
      </c>
      <c r="H7" s="90">
        <v>198.18</v>
      </c>
      <c r="I7" s="92">
        <v>241.34</v>
      </c>
      <c r="J7" s="6">
        <v>43.16</v>
      </c>
      <c r="K7" s="116"/>
      <c r="L7" s="89" t="s">
        <v>17</v>
      </c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</row>
    <row r="8" spans="1:30" ht="15.75" customHeight="1">
      <c r="A8" s="13"/>
      <c r="B8" s="11">
        <v>12</v>
      </c>
      <c r="C8" s="14">
        <v>47.49</v>
      </c>
      <c r="D8" s="14">
        <v>1.91</v>
      </c>
      <c r="E8" s="1">
        <v>6</v>
      </c>
      <c r="F8" s="1">
        <v>6</v>
      </c>
      <c r="G8" s="8">
        <f t="shared" si="0"/>
        <v>0</v>
      </c>
      <c r="H8" s="90">
        <v>146.66</v>
      </c>
      <c r="I8" s="15">
        <v>145.78</v>
      </c>
      <c r="J8" s="6">
        <f t="shared" si="1"/>
        <v>0.87999999999999545</v>
      </c>
      <c r="K8" s="116"/>
      <c r="L8" s="39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</row>
    <row r="9" spans="1:30" ht="15.75" customHeight="1">
      <c r="A9" s="13"/>
      <c r="B9" s="40">
        <v>14</v>
      </c>
      <c r="C9" s="14">
        <v>49.81</v>
      </c>
      <c r="D9" s="41">
        <v>0.92</v>
      </c>
      <c r="E9" s="12">
        <v>7</v>
      </c>
      <c r="F9" s="1">
        <v>7</v>
      </c>
      <c r="G9" s="8">
        <f t="shared" si="0"/>
        <v>0</v>
      </c>
      <c r="H9" s="90">
        <v>140.34</v>
      </c>
      <c r="I9" s="15">
        <v>140.34</v>
      </c>
      <c r="J9" s="6">
        <f t="shared" si="1"/>
        <v>0</v>
      </c>
      <c r="K9" s="116"/>
      <c r="L9" s="39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</row>
    <row r="10" spans="1:30" ht="15.75" customHeight="1">
      <c r="A10" s="13"/>
      <c r="B10" s="40">
        <v>15</v>
      </c>
      <c r="C10" s="14">
        <v>50.38</v>
      </c>
      <c r="D10" s="41">
        <v>1.1399999999999999</v>
      </c>
      <c r="E10" s="12">
        <v>12</v>
      </c>
      <c r="F10" s="1">
        <v>12</v>
      </c>
      <c r="G10" s="8">
        <f t="shared" si="0"/>
        <v>0</v>
      </c>
      <c r="H10" s="91">
        <v>260.77999999999997</v>
      </c>
      <c r="I10" s="15">
        <v>260.77999999999997</v>
      </c>
      <c r="J10" s="6">
        <f t="shared" si="1"/>
        <v>0</v>
      </c>
      <c r="K10" s="116"/>
      <c r="L10" s="39"/>
      <c r="M10" s="5"/>
      <c r="N10" s="5"/>
    </row>
    <row r="11" spans="1:30" ht="15.75" customHeight="1">
      <c r="A11" s="13"/>
      <c r="B11" s="40">
        <v>16</v>
      </c>
      <c r="C11" s="14">
        <v>50.26</v>
      </c>
      <c r="D11" s="41">
        <v>1</v>
      </c>
      <c r="E11" s="12">
        <v>10</v>
      </c>
      <c r="F11" s="12">
        <v>10</v>
      </c>
      <c r="G11" s="8">
        <f t="shared" si="0"/>
        <v>0</v>
      </c>
      <c r="H11" s="91">
        <v>206.02</v>
      </c>
      <c r="I11" s="15">
        <v>206.02</v>
      </c>
      <c r="J11" s="6">
        <f>H11-I11</f>
        <v>0</v>
      </c>
      <c r="K11" s="116"/>
      <c r="L11" s="39"/>
      <c r="M11" s="5"/>
      <c r="N11" s="5"/>
    </row>
    <row r="12" spans="1:30" ht="15.75" customHeight="1">
      <c r="A12" s="13"/>
      <c r="B12" s="40">
        <v>17</v>
      </c>
      <c r="C12" s="14">
        <v>51.59</v>
      </c>
      <c r="D12" s="41">
        <v>1.02</v>
      </c>
      <c r="E12" s="12">
        <v>7</v>
      </c>
      <c r="F12" s="12">
        <v>7</v>
      </c>
      <c r="G12" s="8">
        <f t="shared" si="0"/>
        <v>0</v>
      </c>
      <c r="H12" s="91">
        <v>131.1</v>
      </c>
      <c r="I12" s="15">
        <v>131.1</v>
      </c>
      <c r="J12" s="6">
        <f t="shared" si="1"/>
        <v>0</v>
      </c>
      <c r="K12" s="116"/>
      <c r="L12" s="77"/>
      <c r="M12" s="5"/>
      <c r="N12" s="5"/>
    </row>
    <row r="13" spans="1:30" ht="15.75" customHeight="1" thickBot="1">
      <c r="A13" s="13"/>
      <c r="B13" s="40">
        <v>18</v>
      </c>
      <c r="C13" s="14">
        <v>50.42</v>
      </c>
      <c r="D13" s="41">
        <v>1.53</v>
      </c>
      <c r="E13" s="12">
        <v>12</v>
      </c>
      <c r="F13" s="12">
        <v>12</v>
      </c>
      <c r="G13" s="8">
        <f t="shared" si="0"/>
        <v>0</v>
      </c>
      <c r="H13" s="91">
        <v>235.26</v>
      </c>
      <c r="I13" s="15">
        <v>235.26</v>
      </c>
      <c r="J13" s="6">
        <f t="shared" si="1"/>
        <v>0</v>
      </c>
      <c r="K13" s="117"/>
      <c r="L13" s="77"/>
      <c r="M13" s="5"/>
      <c r="N13" s="5"/>
    </row>
    <row r="14" spans="1:30" ht="15.75" customHeight="1">
      <c r="A14" s="13"/>
      <c r="B14" s="40">
        <v>19</v>
      </c>
      <c r="C14" s="14">
        <v>49.2</v>
      </c>
      <c r="D14" s="41">
        <v>2.77</v>
      </c>
      <c r="E14" s="12">
        <v>8</v>
      </c>
      <c r="F14" s="12">
        <v>8</v>
      </c>
      <c r="G14" s="8">
        <f t="shared" si="0"/>
        <v>0</v>
      </c>
      <c r="H14" s="91">
        <v>160.04</v>
      </c>
      <c r="I14" s="15">
        <v>160.04</v>
      </c>
      <c r="J14" s="6">
        <f t="shared" si="1"/>
        <v>0</v>
      </c>
      <c r="K14" s="115" t="s">
        <v>58</v>
      </c>
      <c r="L14" s="77"/>
      <c r="M14" s="5"/>
      <c r="N14" s="5"/>
    </row>
    <row r="15" spans="1:30" ht="15.75" customHeight="1">
      <c r="A15" s="13"/>
      <c r="B15" s="40">
        <v>22</v>
      </c>
      <c r="C15" s="14">
        <v>35.049999999999997</v>
      </c>
      <c r="D15" s="41">
        <v>1.18</v>
      </c>
      <c r="E15" s="12">
        <v>9</v>
      </c>
      <c r="F15" s="12">
        <v>9</v>
      </c>
      <c r="G15" s="8">
        <f t="shared" si="0"/>
        <v>0</v>
      </c>
      <c r="H15" s="91">
        <v>169.99</v>
      </c>
      <c r="I15" s="70">
        <v>169.99</v>
      </c>
      <c r="J15" s="6">
        <f t="shared" si="1"/>
        <v>0</v>
      </c>
      <c r="K15" s="116"/>
      <c r="L15" s="77"/>
      <c r="M15" s="5"/>
      <c r="N15" s="5"/>
    </row>
    <row r="16" spans="1:30" ht="15.75" customHeight="1" thickBot="1">
      <c r="A16" s="13"/>
      <c r="B16" s="40">
        <v>23</v>
      </c>
      <c r="C16" s="14">
        <v>37.26</v>
      </c>
      <c r="D16" s="41">
        <v>1.22</v>
      </c>
      <c r="E16" s="12">
        <v>12</v>
      </c>
      <c r="F16" s="12">
        <v>12</v>
      </c>
      <c r="G16" s="8">
        <f t="shared" si="0"/>
        <v>0</v>
      </c>
      <c r="H16" s="91">
        <v>235.28</v>
      </c>
      <c r="I16" s="70">
        <v>235.28</v>
      </c>
      <c r="J16" s="6">
        <f t="shared" si="1"/>
        <v>0</v>
      </c>
      <c r="K16" s="116"/>
      <c r="L16" s="39"/>
      <c r="M16" s="5"/>
      <c r="N16" s="5"/>
    </row>
    <row r="17" spans="1:12" ht="16.5" thickBot="1">
      <c r="A17" s="19"/>
      <c r="B17" s="42" t="s">
        <v>3</v>
      </c>
      <c r="C17" s="42"/>
      <c r="D17" s="42"/>
      <c r="E17" s="4">
        <f t="shared" ref="E17:J17" si="2">SUM(E2:E16)</f>
        <v>132</v>
      </c>
      <c r="F17" s="4">
        <f t="shared" si="2"/>
        <v>135</v>
      </c>
      <c r="G17" s="4">
        <f t="shared" si="2"/>
        <v>3</v>
      </c>
      <c r="H17" s="4">
        <f t="shared" si="2"/>
        <v>2756.85</v>
      </c>
      <c r="I17" s="9">
        <f t="shared" si="2"/>
        <v>2865.9499999999994</v>
      </c>
      <c r="J17" s="9">
        <f t="shared" si="2"/>
        <v>110.85999999999999</v>
      </c>
      <c r="K17" s="20"/>
      <c r="L17" s="39"/>
    </row>
    <row r="18" spans="1:12">
      <c r="I18" s="5"/>
      <c r="L18" s="10"/>
    </row>
  </sheetData>
  <mergeCells count="5">
    <mergeCell ref="K6:K13"/>
    <mergeCell ref="N2:O2"/>
    <mergeCell ref="P2:W2"/>
    <mergeCell ref="K2:K5"/>
    <mergeCell ref="K14:K16"/>
  </mergeCells>
  <conditionalFormatting sqref="C2:C16">
    <cfRule type="cellIs" dxfId="35" priority="4" operator="lessThan">
      <formula>44.99</formula>
    </cfRule>
  </conditionalFormatting>
  <conditionalFormatting sqref="D2:D16">
    <cfRule type="cellIs" dxfId="34" priority="3" operator="greaterThan">
      <formula>2.99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76754-6C53-4243-9713-3AAF7C921453}">
  <dimension ref="A1:AD13"/>
  <sheetViews>
    <sheetView workbookViewId="0">
      <selection activeCell="I4" sqref="I4"/>
    </sheetView>
  </sheetViews>
  <sheetFormatPr defaultColWidth="8.28515625" defaultRowHeight="15"/>
  <cols>
    <col min="1" max="1" width="9" customWidth="1"/>
    <col min="2" max="2" width="12" bestFit="1" customWidth="1"/>
    <col min="5" max="5" width="9.85546875" customWidth="1"/>
    <col min="6" max="6" width="8.85546875" customWidth="1"/>
    <col min="7" max="7" width="6.85546875" bestFit="1" customWidth="1"/>
    <col min="8" max="8" width="9.28515625" bestFit="1" customWidth="1"/>
    <col min="11" max="11" width="19.28515625" customWidth="1"/>
    <col min="12" max="12" width="18" bestFit="1" customWidth="1"/>
    <col min="15" max="15" width="9.28515625" customWidth="1"/>
  </cols>
  <sheetData>
    <row r="1" spans="1:30" ht="78" customHeight="1" thickBot="1">
      <c r="A1" s="50" t="s">
        <v>2</v>
      </c>
      <c r="B1" s="51" t="s">
        <v>5</v>
      </c>
      <c r="C1" s="51" t="s">
        <v>6</v>
      </c>
      <c r="D1" s="51" t="s">
        <v>14</v>
      </c>
      <c r="E1" s="51" t="s">
        <v>21</v>
      </c>
      <c r="F1" s="51" t="s">
        <v>9</v>
      </c>
      <c r="G1" s="51" t="s">
        <v>10</v>
      </c>
      <c r="H1" s="51" t="s">
        <v>22</v>
      </c>
      <c r="I1" s="51" t="s">
        <v>7</v>
      </c>
      <c r="J1" s="51" t="s">
        <v>12</v>
      </c>
      <c r="K1" s="52" t="s">
        <v>23</v>
      </c>
      <c r="L1" s="39"/>
    </row>
    <row r="2" spans="1:30" ht="16.5" customHeight="1" thickBot="1">
      <c r="A2" s="28" t="str">
        <f>N2</f>
        <v>11.05.2026</v>
      </c>
      <c r="B2" s="53" t="s">
        <v>65</v>
      </c>
      <c r="C2" s="54">
        <v>40.25</v>
      </c>
      <c r="D2" s="54">
        <v>2.4300000000000002</v>
      </c>
      <c r="E2" s="1">
        <v>8</v>
      </c>
      <c r="F2" s="1">
        <v>8</v>
      </c>
      <c r="G2" s="8">
        <f t="shared" ref="G2:G11" si="0">E2-F2</f>
        <v>0</v>
      </c>
      <c r="H2" s="90">
        <v>168</v>
      </c>
      <c r="I2" s="70">
        <v>168</v>
      </c>
      <c r="J2" s="6">
        <f>H2-I2</f>
        <v>0</v>
      </c>
      <c r="K2" s="115" t="s">
        <v>63</v>
      </c>
      <c r="L2" s="55"/>
      <c r="M2" s="87" t="s">
        <v>13</v>
      </c>
      <c r="N2" s="111" t="s">
        <v>64</v>
      </c>
      <c r="O2" s="112"/>
      <c r="P2" s="121"/>
      <c r="Q2" s="122"/>
      <c r="R2" s="122"/>
      <c r="S2" s="122"/>
      <c r="T2" s="122"/>
      <c r="U2" s="122"/>
      <c r="V2" s="122"/>
      <c r="W2" s="123"/>
    </row>
    <row r="3" spans="1:30" ht="15.75" customHeight="1" thickBot="1">
      <c r="A3" s="13"/>
      <c r="B3" s="53" t="s">
        <v>66</v>
      </c>
      <c r="C3" s="54">
        <v>49.22</v>
      </c>
      <c r="D3" s="54">
        <v>2</v>
      </c>
      <c r="E3" s="1">
        <v>17</v>
      </c>
      <c r="F3" s="1">
        <v>17</v>
      </c>
      <c r="G3" s="8">
        <f t="shared" si="0"/>
        <v>0</v>
      </c>
      <c r="H3" s="90">
        <v>364.72</v>
      </c>
      <c r="I3" s="15">
        <v>364.72</v>
      </c>
      <c r="J3" s="6">
        <f t="shared" ref="J3:J11" si="1">H3-I3</f>
        <v>0</v>
      </c>
      <c r="K3" s="116"/>
      <c r="L3" s="89" t="s">
        <v>52</v>
      </c>
      <c r="M3" s="44" t="s">
        <v>20</v>
      </c>
      <c r="N3" s="45"/>
      <c r="O3" s="45"/>
      <c r="P3" s="45"/>
      <c r="Q3" s="45"/>
      <c r="R3" s="46"/>
      <c r="S3" s="47" t="s">
        <v>4</v>
      </c>
      <c r="T3" s="48"/>
      <c r="U3" s="48"/>
      <c r="V3" s="48"/>
      <c r="W3" s="49"/>
    </row>
    <row r="4" spans="1:30" ht="15.75" customHeight="1" thickBot="1">
      <c r="A4" s="13"/>
      <c r="B4" s="53">
        <v>4</v>
      </c>
      <c r="C4" s="54">
        <v>35.47</v>
      </c>
      <c r="D4" s="54">
        <v>0.97</v>
      </c>
      <c r="E4" s="1">
        <v>3</v>
      </c>
      <c r="F4" s="1">
        <v>3</v>
      </c>
      <c r="G4" s="8">
        <f t="shared" si="0"/>
        <v>0</v>
      </c>
      <c r="H4" s="90">
        <v>62.88</v>
      </c>
      <c r="I4" s="70">
        <v>62.88</v>
      </c>
      <c r="J4" s="6">
        <f t="shared" si="1"/>
        <v>0</v>
      </c>
      <c r="K4" s="117"/>
      <c r="L4" s="94" t="s">
        <v>62</v>
      </c>
      <c r="M4" s="37" t="s">
        <v>0</v>
      </c>
      <c r="N4" s="21" t="s">
        <v>1</v>
      </c>
      <c r="O4" s="21" t="s">
        <v>15</v>
      </c>
      <c r="P4" s="21" t="s">
        <v>16</v>
      </c>
      <c r="Q4" s="21" t="s">
        <v>17</v>
      </c>
      <c r="R4" s="21" t="s">
        <v>3</v>
      </c>
      <c r="S4" s="16" t="s">
        <v>0</v>
      </c>
      <c r="T4" s="16" t="s">
        <v>1</v>
      </c>
      <c r="U4" s="16" t="s">
        <v>15</v>
      </c>
      <c r="V4" s="16" t="s">
        <v>16</v>
      </c>
      <c r="W4" s="17" t="s">
        <v>17</v>
      </c>
    </row>
    <row r="5" spans="1:30" ht="15.75" customHeight="1" thickBot="1">
      <c r="A5" s="13"/>
      <c r="B5" s="11">
        <v>11</v>
      </c>
      <c r="C5" s="54">
        <v>49</v>
      </c>
      <c r="D5" s="54">
        <v>1.18</v>
      </c>
      <c r="E5" s="1">
        <v>12</v>
      </c>
      <c r="F5" s="1">
        <v>12</v>
      </c>
      <c r="G5" s="8">
        <f t="shared" si="0"/>
        <v>0</v>
      </c>
      <c r="H5" s="90">
        <v>273.7</v>
      </c>
      <c r="I5" s="15">
        <v>273.7</v>
      </c>
      <c r="J5" s="6">
        <f t="shared" si="1"/>
        <v>0</v>
      </c>
      <c r="K5" s="115" t="s">
        <v>50</v>
      </c>
      <c r="L5" s="89" t="s">
        <v>52</v>
      </c>
      <c r="M5" s="38">
        <v>1308.1400000000001</v>
      </c>
      <c r="N5" s="2">
        <v>449.68</v>
      </c>
      <c r="O5" s="2">
        <v>0</v>
      </c>
      <c r="P5" s="2">
        <v>0</v>
      </c>
      <c r="Q5" s="2">
        <v>60.3</v>
      </c>
      <c r="R5" s="7">
        <f>SUM(M5:Q5)</f>
        <v>1818.1200000000001</v>
      </c>
      <c r="S5" s="3">
        <f>(M5/R5)*100</f>
        <v>71.950146304974368</v>
      </c>
      <c r="T5" s="3">
        <f>(N5/R5)*100</f>
        <v>24.733240930191624</v>
      </c>
      <c r="U5" s="3">
        <f>(O5/R5)*100</f>
        <v>0</v>
      </c>
      <c r="V5" s="3">
        <f>(P5/R5)*100</f>
        <v>0</v>
      </c>
      <c r="W5" s="18">
        <f>(Q5/R5)*100</f>
        <v>3.3166127648340038</v>
      </c>
    </row>
    <row r="6" spans="1:30" ht="15.75" customHeight="1" thickBot="1">
      <c r="A6" s="13"/>
      <c r="B6" s="11">
        <v>12</v>
      </c>
      <c r="C6" s="85">
        <v>48.52</v>
      </c>
      <c r="D6" s="14">
        <v>1.41</v>
      </c>
      <c r="E6" s="1">
        <v>8</v>
      </c>
      <c r="F6" s="1">
        <v>8</v>
      </c>
      <c r="G6" s="8">
        <f t="shared" si="0"/>
        <v>0</v>
      </c>
      <c r="H6" s="90">
        <v>183.52</v>
      </c>
      <c r="I6" s="15">
        <v>183.52</v>
      </c>
      <c r="J6" s="6">
        <f t="shared" si="1"/>
        <v>0</v>
      </c>
      <c r="K6" s="116"/>
      <c r="L6" s="39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</row>
    <row r="7" spans="1:30" ht="15.75" customHeight="1" thickBot="1">
      <c r="A7" s="13"/>
      <c r="B7" s="11">
        <v>16</v>
      </c>
      <c r="C7" s="85">
        <v>3.29</v>
      </c>
      <c r="D7" s="14">
        <v>0.51</v>
      </c>
      <c r="E7" s="1">
        <v>3</v>
      </c>
      <c r="F7" s="1">
        <v>3</v>
      </c>
      <c r="G7" s="8">
        <f t="shared" si="0"/>
        <v>0</v>
      </c>
      <c r="H7" s="90">
        <v>60.3</v>
      </c>
      <c r="I7" s="92">
        <v>60.3</v>
      </c>
      <c r="J7" s="6">
        <f t="shared" si="1"/>
        <v>0</v>
      </c>
      <c r="K7" s="116"/>
      <c r="L7" s="89" t="s">
        <v>17</v>
      </c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</row>
    <row r="8" spans="1:30" ht="15.75" customHeight="1" thickBot="1">
      <c r="A8" s="13"/>
      <c r="B8" s="11" t="s">
        <v>67</v>
      </c>
      <c r="C8" s="85">
        <v>43.62</v>
      </c>
      <c r="D8" s="14">
        <v>1.52</v>
      </c>
      <c r="E8" s="1">
        <v>10</v>
      </c>
      <c r="F8" s="1">
        <v>10</v>
      </c>
      <c r="G8" s="8">
        <f t="shared" si="0"/>
        <v>0</v>
      </c>
      <c r="H8" s="90">
        <v>218.8</v>
      </c>
      <c r="I8" s="70">
        <v>218.8</v>
      </c>
      <c r="J8" s="6">
        <f t="shared" si="1"/>
        <v>0</v>
      </c>
      <c r="K8" s="116"/>
      <c r="L8" s="89" t="s">
        <v>52</v>
      </c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</row>
    <row r="9" spans="1:30" ht="15.75" customHeight="1" thickBot="1">
      <c r="A9" s="13"/>
      <c r="B9" s="11">
        <v>19</v>
      </c>
      <c r="C9" s="14">
        <v>49.36</v>
      </c>
      <c r="D9" s="14">
        <v>0.9</v>
      </c>
      <c r="E9" s="1">
        <v>8</v>
      </c>
      <c r="F9" s="1">
        <v>8</v>
      </c>
      <c r="G9" s="8">
        <f t="shared" si="0"/>
        <v>0</v>
      </c>
      <c r="H9" s="90">
        <v>167.22</v>
      </c>
      <c r="I9" s="15">
        <v>167.22</v>
      </c>
      <c r="J9" s="6">
        <f t="shared" si="1"/>
        <v>0</v>
      </c>
      <c r="K9" s="117"/>
      <c r="L9" s="39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</row>
    <row r="10" spans="1:30" ht="15.75" customHeight="1">
      <c r="A10" s="13"/>
      <c r="B10" s="40">
        <v>22</v>
      </c>
      <c r="C10" s="14">
        <v>50.29</v>
      </c>
      <c r="D10" s="41">
        <v>1.18</v>
      </c>
      <c r="E10" s="12">
        <v>7</v>
      </c>
      <c r="F10" s="1">
        <v>7</v>
      </c>
      <c r="G10" s="8">
        <f t="shared" si="0"/>
        <v>0</v>
      </c>
      <c r="H10" s="90">
        <v>150.80000000000001</v>
      </c>
      <c r="I10" s="15">
        <v>150.80000000000001</v>
      </c>
      <c r="J10" s="6">
        <f t="shared" si="1"/>
        <v>0</v>
      </c>
      <c r="K10" s="115" t="s">
        <v>50</v>
      </c>
      <c r="L10" s="39"/>
      <c r="M10" s="5"/>
      <c r="N10" s="5"/>
    </row>
    <row r="11" spans="1:30" ht="15.75" customHeight="1" thickBot="1">
      <c r="A11" s="13"/>
      <c r="B11" s="40">
        <v>23</v>
      </c>
      <c r="C11" s="14">
        <v>47.6</v>
      </c>
      <c r="D11" s="41">
        <v>1.17</v>
      </c>
      <c r="E11" s="12">
        <v>8</v>
      </c>
      <c r="F11" s="12">
        <v>8</v>
      </c>
      <c r="G11" s="8">
        <f t="shared" si="0"/>
        <v>0</v>
      </c>
      <c r="H11" s="91">
        <v>168.18</v>
      </c>
      <c r="I11" s="15">
        <v>168.18</v>
      </c>
      <c r="J11" s="6">
        <f t="shared" si="1"/>
        <v>0</v>
      </c>
      <c r="K11" s="117"/>
      <c r="L11" s="39"/>
      <c r="M11" s="5"/>
      <c r="N11" s="5"/>
    </row>
    <row r="12" spans="1:30" ht="16.5" thickBot="1">
      <c r="A12" s="19"/>
      <c r="B12" s="42" t="s">
        <v>3</v>
      </c>
      <c r="C12" s="42"/>
      <c r="D12" s="42"/>
      <c r="E12" s="4">
        <f t="shared" ref="E12:J12" si="2">SUM(E2:E11)</f>
        <v>84</v>
      </c>
      <c r="F12" s="4">
        <f t="shared" si="2"/>
        <v>84</v>
      </c>
      <c r="G12" s="4">
        <f t="shared" si="2"/>
        <v>0</v>
      </c>
      <c r="H12" s="4">
        <f t="shared" si="2"/>
        <v>1818.12</v>
      </c>
      <c r="I12" s="9">
        <f t="shared" si="2"/>
        <v>1818.12</v>
      </c>
      <c r="J12" s="9">
        <f t="shared" si="2"/>
        <v>0</v>
      </c>
      <c r="K12" s="20"/>
      <c r="L12" s="39"/>
    </row>
    <row r="13" spans="1:30">
      <c r="I13" s="5"/>
      <c r="L13" s="10"/>
    </row>
  </sheetData>
  <mergeCells count="5">
    <mergeCell ref="K10:K11"/>
    <mergeCell ref="N2:O2"/>
    <mergeCell ref="P2:W2"/>
    <mergeCell ref="K2:K4"/>
    <mergeCell ref="K5:K9"/>
  </mergeCells>
  <conditionalFormatting sqref="C2:C11">
    <cfRule type="cellIs" dxfId="33" priority="2" operator="lessThan">
      <formula>44.99</formula>
    </cfRule>
  </conditionalFormatting>
  <conditionalFormatting sqref="D2:D11">
    <cfRule type="cellIs" dxfId="32" priority="1" operator="greaterThan">
      <formula>2.99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EF7AF-6ABE-4873-A9E1-03323AE925B2}">
  <dimension ref="A1:AD18"/>
  <sheetViews>
    <sheetView workbookViewId="0">
      <selection activeCell="J12" sqref="J12"/>
    </sheetView>
  </sheetViews>
  <sheetFormatPr defaultColWidth="8.28515625" defaultRowHeight="15"/>
  <cols>
    <col min="1" max="1" width="9" customWidth="1"/>
    <col min="2" max="2" width="12" bestFit="1" customWidth="1"/>
    <col min="5" max="5" width="9.85546875" customWidth="1"/>
    <col min="6" max="6" width="8.28515625" bestFit="1" customWidth="1"/>
    <col min="7" max="7" width="6.85546875" bestFit="1" customWidth="1"/>
    <col min="8" max="8" width="9.28515625" bestFit="1" customWidth="1"/>
    <col min="11" max="11" width="19.28515625" customWidth="1"/>
    <col min="12" max="12" width="18" bestFit="1" customWidth="1"/>
    <col min="15" max="15" width="9.28515625" customWidth="1"/>
  </cols>
  <sheetData>
    <row r="1" spans="1:30" ht="78" customHeight="1" thickBot="1">
      <c r="A1" s="50" t="s">
        <v>2</v>
      </c>
      <c r="B1" s="51" t="s">
        <v>5</v>
      </c>
      <c r="C1" s="51" t="s">
        <v>6</v>
      </c>
      <c r="D1" s="51" t="s">
        <v>14</v>
      </c>
      <c r="E1" s="51" t="s">
        <v>21</v>
      </c>
      <c r="F1" s="51" t="s">
        <v>9</v>
      </c>
      <c r="G1" s="51" t="s">
        <v>10</v>
      </c>
      <c r="H1" s="51" t="s">
        <v>22</v>
      </c>
      <c r="I1" s="51" t="s">
        <v>7</v>
      </c>
      <c r="J1" s="51" t="s">
        <v>12</v>
      </c>
      <c r="K1" s="52" t="s">
        <v>23</v>
      </c>
      <c r="L1" s="39"/>
    </row>
    <row r="2" spans="1:30" ht="16.5" customHeight="1" thickBot="1">
      <c r="A2" s="28" t="str">
        <f>N2</f>
        <v>12.05.2026</v>
      </c>
      <c r="B2" s="53">
        <v>24</v>
      </c>
      <c r="C2" s="54">
        <v>45.13</v>
      </c>
      <c r="D2" s="54">
        <v>1.83</v>
      </c>
      <c r="E2" s="1">
        <v>6</v>
      </c>
      <c r="F2" s="1">
        <v>6</v>
      </c>
      <c r="G2" s="8">
        <f t="shared" ref="G2:G16" si="0">E2-F2</f>
        <v>0</v>
      </c>
      <c r="H2" s="90">
        <v>124.8</v>
      </c>
      <c r="I2" s="15">
        <v>124.8</v>
      </c>
      <c r="J2" s="6">
        <f>H2-I2</f>
        <v>0</v>
      </c>
      <c r="K2" s="115" t="s">
        <v>50</v>
      </c>
      <c r="L2" s="55"/>
      <c r="M2" s="93" t="s">
        <v>13</v>
      </c>
      <c r="N2" s="111" t="s">
        <v>68</v>
      </c>
      <c r="O2" s="112"/>
      <c r="P2" s="121"/>
      <c r="Q2" s="122"/>
      <c r="R2" s="122"/>
      <c r="S2" s="122"/>
      <c r="T2" s="122"/>
      <c r="U2" s="122"/>
      <c r="V2" s="122"/>
      <c r="W2" s="123"/>
    </row>
    <row r="3" spans="1:30" ht="15.75" customHeight="1" thickBot="1">
      <c r="A3" s="13"/>
      <c r="B3" s="53">
        <v>1</v>
      </c>
      <c r="C3" s="54">
        <v>45.83</v>
      </c>
      <c r="D3" s="54">
        <v>2.13</v>
      </c>
      <c r="E3" s="1">
        <v>8</v>
      </c>
      <c r="F3" s="1">
        <v>8</v>
      </c>
      <c r="G3" s="8">
        <f t="shared" si="0"/>
        <v>0</v>
      </c>
      <c r="H3" s="90">
        <v>173.44</v>
      </c>
      <c r="I3" s="15">
        <v>173.44</v>
      </c>
      <c r="J3" s="6">
        <f t="shared" ref="J3:J16" si="1">H3-I3</f>
        <v>0</v>
      </c>
      <c r="K3" s="116"/>
      <c r="L3" s="55"/>
      <c r="M3" s="44" t="s">
        <v>20</v>
      </c>
      <c r="N3" s="45"/>
      <c r="O3" s="45"/>
      <c r="P3" s="45"/>
      <c r="Q3" s="45"/>
      <c r="R3" s="46"/>
      <c r="S3" s="47" t="s">
        <v>4</v>
      </c>
      <c r="T3" s="48"/>
      <c r="U3" s="48"/>
      <c r="V3" s="48"/>
      <c r="W3" s="49"/>
    </row>
    <row r="4" spans="1:30" ht="15.75" customHeight="1">
      <c r="A4" s="13"/>
      <c r="B4" s="53">
        <v>2</v>
      </c>
      <c r="C4" s="54">
        <v>44.29</v>
      </c>
      <c r="D4" s="54">
        <v>1.93</v>
      </c>
      <c r="E4" s="1">
        <v>7</v>
      </c>
      <c r="F4" s="1">
        <v>7</v>
      </c>
      <c r="G4" s="8">
        <f t="shared" si="0"/>
        <v>0</v>
      </c>
      <c r="H4" s="96">
        <v>136.76</v>
      </c>
      <c r="I4" s="15">
        <v>136.76</v>
      </c>
      <c r="J4" s="6">
        <f t="shared" si="1"/>
        <v>0</v>
      </c>
      <c r="K4" s="116"/>
      <c r="L4" s="55"/>
      <c r="M4" s="37" t="s">
        <v>0</v>
      </c>
      <c r="N4" s="21" t="s">
        <v>1</v>
      </c>
      <c r="O4" s="21" t="s">
        <v>15</v>
      </c>
      <c r="P4" s="21" t="s">
        <v>16</v>
      </c>
      <c r="Q4" s="21" t="s">
        <v>17</v>
      </c>
      <c r="R4" s="21" t="s">
        <v>3</v>
      </c>
      <c r="S4" s="16" t="s">
        <v>0</v>
      </c>
      <c r="T4" s="16" t="s">
        <v>1</v>
      </c>
      <c r="U4" s="16" t="s">
        <v>15</v>
      </c>
      <c r="V4" s="16" t="s">
        <v>16</v>
      </c>
      <c r="W4" s="17" t="s">
        <v>17</v>
      </c>
    </row>
    <row r="5" spans="1:30" ht="15.75" customHeight="1" thickBot="1">
      <c r="A5" s="13"/>
      <c r="B5" s="11">
        <v>3</v>
      </c>
      <c r="C5" s="85">
        <v>45.56</v>
      </c>
      <c r="D5" s="14">
        <v>2.31</v>
      </c>
      <c r="E5" s="1">
        <v>4</v>
      </c>
      <c r="F5" s="1">
        <v>4</v>
      </c>
      <c r="G5" s="8">
        <f t="shared" si="0"/>
        <v>0</v>
      </c>
      <c r="H5" s="90">
        <v>84.22</v>
      </c>
      <c r="I5" s="15">
        <v>84.22</v>
      </c>
      <c r="J5" s="6">
        <f t="shared" si="1"/>
        <v>0</v>
      </c>
      <c r="K5" s="117"/>
      <c r="L5" s="10"/>
      <c r="M5" s="38">
        <v>2701.56</v>
      </c>
      <c r="N5" s="2">
        <v>136.76</v>
      </c>
      <c r="O5" s="2">
        <v>0</v>
      </c>
      <c r="P5" s="2">
        <v>0</v>
      </c>
      <c r="Q5" s="2">
        <v>0</v>
      </c>
      <c r="R5" s="7">
        <f>SUM(M5:Q5)</f>
        <v>2838.3199999999997</v>
      </c>
      <c r="S5" s="3">
        <f>(M5/R5)*100</f>
        <v>95.181656754699972</v>
      </c>
      <c r="T5" s="3">
        <f>(N5/R5)*100</f>
        <v>4.8183432453000368</v>
      </c>
      <c r="U5" s="3">
        <f>(O5/R5)*100</f>
        <v>0</v>
      </c>
      <c r="V5" s="3">
        <f>(P5/R5)*100</f>
        <v>0</v>
      </c>
      <c r="W5" s="18">
        <f>(Q5/R5)*100</f>
        <v>0</v>
      </c>
    </row>
    <row r="6" spans="1:30" ht="15.75" customHeight="1">
      <c r="A6" s="13"/>
      <c r="B6" s="11">
        <v>4</v>
      </c>
      <c r="C6" s="85">
        <v>47.58</v>
      </c>
      <c r="D6" s="14">
        <v>1.56</v>
      </c>
      <c r="E6" s="1">
        <v>5</v>
      </c>
      <c r="F6" s="1">
        <v>5</v>
      </c>
      <c r="G6" s="8">
        <f t="shared" si="0"/>
        <v>0</v>
      </c>
      <c r="H6" s="90">
        <v>105.9</v>
      </c>
      <c r="I6" s="15">
        <v>105.9</v>
      </c>
      <c r="J6" s="6">
        <f t="shared" si="1"/>
        <v>0</v>
      </c>
      <c r="K6" s="115" t="s">
        <v>39</v>
      </c>
      <c r="L6" s="39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</row>
    <row r="7" spans="1:30" ht="15.75" customHeight="1">
      <c r="A7" s="13"/>
      <c r="B7" s="11">
        <v>5</v>
      </c>
      <c r="C7" s="85">
        <v>45.55</v>
      </c>
      <c r="D7" s="14">
        <v>1.68</v>
      </c>
      <c r="E7" s="1">
        <v>5</v>
      </c>
      <c r="F7" s="1">
        <v>5</v>
      </c>
      <c r="G7" s="8">
        <f t="shared" si="0"/>
        <v>0</v>
      </c>
      <c r="H7" s="90">
        <v>106.06</v>
      </c>
      <c r="I7" s="15">
        <v>106.06</v>
      </c>
      <c r="J7" s="6">
        <f t="shared" si="1"/>
        <v>0</v>
      </c>
      <c r="K7" s="116"/>
      <c r="L7" s="39"/>
      <c r="M7" s="97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</row>
    <row r="8" spans="1:30" ht="15.75" customHeight="1">
      <c r="A8" s="13"/>
      <c r="B8" s="11" t="s">
        <v>69</v>
      </c>
      <c r="C8" s="14">
        <v>45.1</v>
      </c>
      <c r="D8" s="14">
        <v>1.52</v>
      </c>
      <c r="E8" s="1">
        <v>6</v>
      </c>
      <c r="F8" s="1">
        <v>6</v>
      </c>
      <c r="G8" s="8">
        <f t="shared" si="0"/>
        <v>0</v>
      </c>
      <c r="H8" s="90">
        <v>131</v>
      </c>
      <c r="I8" s="15">
        <v>131</v>
      </c>
      <c r="J8" s="6">
        <f t="shared" si="1"/>
        <v>0</v>
      </c>
      <c r="K8" s="116"/>
      <c r="L8" s="39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</row>
    <row r="9" spans="1:30" ht="15.75" customHeight="1">
      <c r="A9" s="13"/>
      <c r="B9" s="40" t="s">
        <v>70</v>
      </c>
      <c r="C9" s="14">
        <v>49.39</v>
      </c>
      <c r="D9" s="41">
        <v>1.05</v>
      </c>
      <c r="E9" s="12">
        <v>17</v>
      </c>
      <c r="F9" s="1">
        <v>17</v>
      </c>
      <c r="G9" s="8">
        <f t="shared" si="0"/>
        <v>0</v>
      </c>
      <c r="H9" s="90">
        <v>355.3</v>
      </c>
      <c r="I9" s="15">
        <v>355.3</v>
      </c>
      <c r="J9" s="6">
        <f t="shared" si="1"/>
        <v>0</v>
      </c>
      <c r="K9" s="116"/>
      <c r="L9" s="39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</row>
    <row r="10" spans="1:30" ht="15.75" customHeight="1">
      <c r="A10" s="13"/>
      <c r="B10" s="40">
        <v>11</v>
      </c>
      <c r="C10" s="14">
        <v>51.37</v>
      </c>
      <c r="D10" s="41">
        <v>1.2</v>
      </c>
      <c r="E10" s="12">
        <v>10</v>
      </c>
      <c r="F10" s="1">
        <v>10</v>
      </c>
      <c r="G10" s="8">
        <f t="shared" si="0"/>
        <v>0</v>
      </c>
      <c r="H10" s="91">
        <v>226.38</v>
      </c>
      <c r="I10" s="15">
        <v>226.38</v>
      </c>
      <c r="J10" s="6">
        <f t="shared" si="1"/>
        <v>0</v>
      </c>
      <c r="K10" s="116"/>
      <c r="L10" s="39"/>
      <c r="M10" s="5"/>
      <c r="N10" s="5"/>
    </row>
    <row r="11" spans="1:30" ht="15.75" customHeight="1">
      <c r="A11" s="13"/>
      <c r="B11" s="40">
        <v>12</v>
      </c>
      <c r="C11" s="14">
        <v>50.52</v>
      </c>
      <c r="D11" s="41">
        <v>1.5</v>
      </c>
      <c r="E11" s="12">
        <v>7</v>
      </c>
      <c r="F11" s="12">
        <v>7</v>
      </c>
      <c r="G11" s="8">
        <f t="shared" si="0"/>
        <v>0</v>
      </c>
      <c r="H11" s="91">
        <v>154.82</v>
      </c>
      <c r="I11" s="15">
        <v>154.82</v>
      </c>
      <c r="J11" s="6">
        <f t="shared" si="1"/>
        <v>0</v>
      </c>
      <c r="K11" s="116"/>
      <c r="L11" s="39"/>
      <c r="M11" s="5"/>
      <c r="N11" s="5"/>
    </row>
    <row r="12" spans="1:30" ht="15.75" customHeight="1">
      <c r="A12" s="13"/>
      <c r="B12" s="40" t="s">
        <v>71</v>
      </c>
      <c r="C12" s="14">
        <v>50.84</v>
      </c>
      <c r="D12" s="41">
        <v>1</v>
      </c>
      <c r="E12" s="12">
        <v>15</v>
      </c>
      <c r="F12" s="12">
        <v>15</v>
      </c>
      <c r="G12" s="8">
        <f t="shared" si="0"/>
        <v>0</v>
      </c>
      <c r="H12" s="91">
        <v>335.84</v>
      </c>
      <c r="I12" s="15">
        <v>335.84</v>
      </c>
      <c r="J12" s="6">
        <f t="shared" si="1"/>
        <v>0</v>
      </c>
      <c r="K12" s="116"/>
      <c r="L12" s="77"/>
      <c r="M12" s="5"/>
      <c r="N12" s="5"/>
    </row>
    <row r="13" spans="1:30" ht="15.75" customHeight="1" thickBot="1">
      <c r="A13" s="13"/>
      <c r="B13" s="40">
        <v>17</v>
      </c>
      <c r="C13" s="14">
        <v>49.9</v>
      </c>
      <c r="D13" s="41">
        <v>1.04</v>
      </c>
      <c r="E13" s="12">
        <v>14</v>
      </c>
      <c r="F13" s="12">
        <v>14</v>
      </c>
      <c r="G13" s="8">
        <f t="shared" si="0"/>
        <v>0</v>
      </c>
      <c r="H13" s="91">
        <v>284.98</v>
      </c>
      <c r="I13" s="15">
        <v>284.98</v>
      </c>
      <c r="J13" s="6">
        <f t="shared" si="1"/>
        <v>0</v>
      </c>
      <c r="K13" s="117"/>
      <c r="L13" s="77"/>
      <c r="M13" s="5"/>
      <c r="N13" s="5"/>
    </row>
    <row r="14" spans="1:30" ht="15.75" customHeight="1">
      <c r="A14" s="13"/>
      <c r="B14" s="40">
        <v>21</v>
      </c>
      <c r="C14" s="14">
        <v>50.46</v>
      </c>
      <c r="D14" s="41">
        <v>0.94</v>
      </c>
      <c r="E14" s="12">
        <v>10</v>
      </c>
      <c r="F14" s="12">
        <v>10</v>
      </c>
      <c r="G14" s="8">
        <f t="shared" si="0"/>
        <v>0</v>
      </c>
      <c r="H14" s="91">
        <v>240.5</v>
      </c>
      <c r="I14" s="15">
        <v>240.5</v>
      </c>
      <c r="J14" s="6">
        <f t="shared" si="1"/>
        <v>0</v>
      </c>
      <c r="K14" s="115" t="s">
        <v>50</v>
      </c>
      <c r="L14" s="77"/>
      <c r="M14" s="5"/>
      <c r="N14" s="5"/>
    </row>
    <row r="15" spans="1:30" ht="15.75" customHeight="1">
      <c r="A15" s="13"/>
      <c r="B15" s="40">
        <v>22</v>
      </c>
      <c r="C15" s="14">
        <v>49.39</v>
      </c>
      <c r="D15" s="41">
        <v>0.92</v>
      </c>
      <c r="E15" s="12">
        <v>10</v>
      </c>
      <c r="F15" s="12">
        <v>10</v>
      </c>
      <c r="G15" s="8">
        <f t="shared" si="0"/>
        <v>0</v>
      </c>
      <c r="H15" s="91">
        <v>207.12</v>
      </c>
      <c r="I15" s="15">
        <v>207.12</v>
      </c>
      <c r="J15" s="6">
        <f t="shared" si="1"/>
        <v>0</v>
      </c>
      <c r="K15" s="116"/>
      <c r="L15" s="77"/>
      <c r="M15" s="5"/>
      <c r="N15" s="5"/>
    </row>
    <row r="16" spans="1:30" ht="15.75" customHeight="1" thickBot="1">
      <c r="A16" s="13"/>
      <c r="B16" s="40">
        <v>23</v>
      </c>
      <c r="C16" s="14">
        <v>50.4</v>
      </c>
      <c r="D16" s="41">
        <v>1.0900000000000001</v>
      </c>
      <c r="E16" s="12">
        <v>8</v>
      </c>
      <c r="F16" s="12">
        <v>8</v>
      </c>
      <c r="G16" s="8">
        <f t="shared" si="0"/>
        <v>0</v>
      </c>
      <c r="H16" s="91">
        <v>171.2</v>
      </c>
      <c r="I16" s="15">
        <v>171.2</v>
      </c>
      <c r="J16" s="6">
        <f t="shared" si="1"/>
        <v>0</v>
      </c>
      <c r="K16" s="116"/>
      <c r="L16" s="39"/>
      <c r="M16" s="5"/>
      <c r="N16" s="5"/>
    </row>
    <row r="17" spans="1:12" ht="16.5" thickBot="1">
      <c r="A17" s="19"/>
      <c r="B17" s="42" t="s">
        <v>3</v>
      </c>
      <c r="C17" s="42"/>
      <c r="D17" s="42"/>
      <c r="E17" s="4">
        <f t="shared" ref="E17:J17" si="2">SUM(E2:E16)</f>
        <v>132</v>
      </c>
      <c r="F17" s="4">
        <f t="shared" si="2"/>
        <v>132</v>
      </c>
      <c r="G17" s="4">
        <f t="shared" si="2"/>
        <v>0</v>
      </c>
      <c r="H17" s="4">
        <f t="shared" si="2"/>
        <v>2838.3199999999997</v>
      </c>
      <c r="I17" s="9">
        <f t="shared" si="2"/>
        <v>2838.3199999999997</v>
      </c>
      <c r="J17" s="9">
        <f t="shared" si="2"/>
        <v>0</v>
      </c>
      <c r="K17" s="20"/>
      <c r="L17" s="39"/>
    </row>
    <row r="18" spans="1:12">
      <c r="I18" s="5"/>
      <c r="L18" s="10"/>
    </row>
  </sheetData>
  <mergeCells count="5">
    <mergeCell ref="K2:K5"/>
    <mergeCell ref="N2:O2"/>
    <mergeCell ref="P2:W2"/>
    <mergeCell ref="K6:K13"/>
    <mergeCell ref="K14:K16"/>
  </mergeCells>
  <conditionalFormatting sqref="C2:C16">
    <cfRule type="cellIs" dxfId="31" priority="2" operator="lessThan">
      <formula>44.99</formula>
    </cfRule>
  </conditionalFormatting>
  <conditionalFormatting sqref="D2:D16">
    <cfRule type="cellIs" dxfId="30" priority="1" operator="greaterThan">
      <formula>2.99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36A67-BD36-4485-9E21-382A566BE163}">
  <dimension ref="A1:AD18"/>
  <sheetViews>
    <sheetView workbookViewId="0">
      <selection activeCell="H9" sqref="H9"/>
    </sheetView>
  </sheetViews>
  <sheetFormatPr defaultColWidth="8.28515625" defaultRowHeight="15"/>
  <cols>
    <col min="1" max="1" width="9" customWidth="1"/>
    <col min="2" max="2" width="12" bestFit="1" customWidth="1"/>
    <col min="5" max="5" width="9.85546875" customWidth="1"/>
    <col min="7" max="7" width="6.85546875" bestFit="1" customWidth="1"/>
    <col min="8" max="8" width="9.28515625" bestFit="1" customWidth="1"/>
    <col min="11" max="11" width="19.28515625" customWidth="1"/>
    <col min="12" max="12" width="18" bestFit="1" customWidth="1"/>
    <col min="15" max="15" width="9.28515625" customWidth="1"/>
  </cols>
  <sheetData>
    <row r="1" spans="1:30" ht="78" customHeight="1" thickBot="1">
      <c r="A1" s="50" t="s">
        <v>2</v>
      </c>
      <c r="B1" s="51" t="s">
        <v>5</v>
      </c>
      <c r="C1" s="51" t="s">
        <v>6</v>
      </c>
      <c r="D1" s="51" t="s">
        <v>14</v>
      </c>
      <c r="E1" s="51" t="s">
        <v>21</v>
      </c>
      <c r="F1" s="51" t="s">
        <v>9</v>
      </c>
      <c r="G1" s="51" t="s">
        <v>10</v>
      </c>
      <c r="H1" s="51" t="s">
        <v>22</v>
      </c>
      <c r="I1" s="51" t="s">
        <v>7</v>
      </c>
      <c r="J1" s="51" t="s">
        <v>12</v>
      </c>
      <c r="K1" s="52" t="s">
        <v>23</v>
      </c>
      <c r="L1" s="39"/>
    </row>
    <row r="2" spans="1:30" ht="16.5" customHeight="1" thickBot="1">
      <c r="A2" s="28" t="str">
        <f>N2</f>
        <v>13.05.2026</v>
      </c>
      <c r="B2" s="53">
        <v>24</v>
      </c>
      <c r="C2" s="54">
        <v>46.09</v>
      </c>
      <c r="D2" s="54">
        <v>1.28</v>
      </c>
      <c r="E2" s="1">
        <v>9</v>
      </c>
      <c r="F2" s="1">
        <v>9</v>
      </c>
      <c r="G2" s="8">
        <f t="shared" ref="G2:G16" si="0">E2-F2</f>
        <v>0</v>
      </c>
      <c r="H2" s="90">
        <v>167.12</v>
      </c>
      <c r="I2" s="15">
        <v>167.12</v>
      </c>
      <c r="J2" s="6">
        <f>H2-I2</f>
        <v>0</v>
      </c>
      <c r="K2" s="115" t="s">
        <v>50</v>
      </c>
      <c r="L2" s="55"/>
      <c r="M2" s="95" t="s">
        <v>13</v>
      </c>
      <c r="N2" s="111" t="s">
        <v>74</v>
      </c>
      <c r="O2" s="112"/>
      <c r="P2" s="121"/>
      <c r="Q2" s="122"/>
      <c r="R2" s="122"/>
      <c r="S2" s="122"/>
      <c r="T2" s="122"/>
      <c r="U2" s="122"/>
      <c r="V2" s="122"/>
      <c r="W2" s="123"/>
    </row>
    <row r="3" spans="1:30" ht="15.75" customHeight="1" thickBot="1">
      <c r="A3" s="13"/>
      <c r="B3" s="53">
        <v>7</v>
      </c>
      <c r="C3" s="54">
        <v>38.57</v>
      </c>
      <c r="D3" s="54">
        <v>1.21</v>
      </c>
      <c r="E3" s="1">
        <v>4</v>
      </c>
      <c r="F3" s="1">
        <v>4</v>
      </c>
      <c r="G3" s="8">
        <f t="shared" si="0"/>
        <v>0</v>
      </c>
      <c r="H3" s="90">
        <v>90.56</v>
      </c>
      <c r="I3" s="70">
        <v>90.56</v>
      </c>
      <c r="J3" s="6">
        <f t="shared" ref="J3:J16" si="1">H3-I3</f>
        <v>0</v>
      </c>
      <c r="K3" s="117"/>
      <c r="L3" s="55"/>
      <c r="M3" s="44" t="s">
        <v>20</v>
      </c>
      <c r="N3" s="45"/>
      <c r="O3" s="45"/>
      <c r="P3" s="45"/>
      <c r="Q3" s="45"/>
      <c r="R3" s="46"/>
      <c r="S3" s="47" t="s">
        <v>4</v>
      </c>
      <c r="T3" s="48"/>
      <c r="U3" s="48"/>
      <c r="V3" s="48"/>
      <c r="W3" s="49"/>
    </row>
    <row r="4" spans="1:30" ht="15.75" customHeight="1">
      <c r="A4" s="13"/>
      <c r="B4" s="53">
        <v>12</v>
      </c>
      <c r="C4" s="54">
        <v>49.47</v>
      </c>
      <c r="D4" s="54">
        <v>1.67</v>
      </c>
      <c r="E4" s="1">
        <v>7</v>
      </c>
      <c r="F4" s="1">
        <v>7</v>
      </c>
      <c r="G4" s="8">
        <f t="shared" si="0"/>
        <v>0</v>
      </c>
      <c r="H4" s="90">
        <v>149.82</v>
      </c>
      <c r="I4" s="15">
        <v>149.82</v>
      </c>
      <c r="J4" s="6">
        <f t="shared" si="1"/>
        <v>0</v>
      </c>
      <c r="K4" s="115" t="s">
        <v>32</v>
      </c>
      <c r="L4" s="55"/>
      <c r="M4" s="37" t="s">
        <v>0</v>
      </c>
      <c r="N4" s="21" t="s">
        <v>1</v>
      </c>
      <c r="O4" s="21" t="s">
        <v>15</v>
      </c>
      <c r="P4" s="21" t="s">
        <v>16</v>
      </c>
      <c r="Q4" s="21" t="s">
        <v>17</v>
      </c>
      <c r="R4" s="21" t="s">
        <v>3</v>
      </c>
      <c r="S4" s="16" t="s">
        <v>0</v>
      </c>
      <c r="T4" s="16" t="s">
        <v>1</v>
      </c>
      <c r="U4" s="16" t="s">
        <v>15</v>
      </c>
      <c r="V4" s="16" t="s">
        <v>16</v>
      </c>
      <c r="W4" s="17" t="s">
        <v>17</v>
      </c>
    </row>
    <row r="5" spans="1:30" ht="15.75" customHeight="1" thickBot="1">
      <c r="A5" s="13"/>
      <c r="B5" s="11">
        <v>14</v>
      </c>
      <c r="C5" s="85">
        <v>50.14</v>
      </c>
      <c r="D5" s="14">
        <v>1.47</v>
      </c>
      <c r="E5" s="1">
        <v>3</v>
      </c>
      <c r="F5" s="1">
        <v>3</v>
      </c>
      <c r="G5" s="8">
        <f t="shared" si="0"/>
        <v>0</v>
      </c>
      <c r="H5" s="90">
        <v>109.98</v>
      </c>
      <c r="I5" s="15">
        <v>109.98</v>
      </c>
      <c r="J5" s="6">
        <f t="shared" si="1"/>
        <v>0</v>
      </c>
      <c r="K5" s="116"/>
      <c r="L5" s="10"/>
      <c r="M5" s="38">
        <v>2047.5</v>
      </c>
      <c r="N5" s="2">
        <v>841.76</v>
      </c>
      <c r="O5" s="2">
        <v>0</v>
      </c>
      <c r="P5" s="2">
        <v>0</v>
      </c>
      <c r="Q5" s="2">
        <v>0</v>
      </c>
      <c r="R5" s="7">
        <f>SUM(M5:Q5)</f>
        <v>2889.26</v>
      </c>
      <c r="S5" s="3">
        <f>(M5/R5)*100</f>
        <v>70.865896457916548</v>
      </c>
      <c r="T5" s="3">
        <f>(N5/R5)*100</f>
        <v>29.134103542083441</v>
      </c>
      <c r="U5" s="3">
        <f>(O5/R5)*100</f>
        <v>0</v>
      </c>
      <c r="V5" s="3">
        <f>(P5/R5)*100</f>
        <v>0</v>
      </c>
      <c r="W5" s="18">
        <f>(Q5/R5)*100</f>
        <v>0</v>
      </c>
    </row>
    <row r="6" spans="1:30" ht="15.75" customHeight="1">
      <c r="A6" s="13"/>
      <c r="B6" s="11">
        <v>15</v>
      </c>
      <c r="C6" s="85">
        <v>50.08</v>
      </c>
      <c r="D6" s="14">
        <v>1.36</v>
      </c>
      <c r="E6" s="1">
        <v>9</v>
      </c>
      <c r="F6" s="1">
        <v>9</v>
      </c>
      <c r="G6" s="8">
        <f t="shared" si="0"/>
        <v>0</v>
      </c>
      <c r="H6" s="90">
        <v>203.84</v>
      </c>
      <c r="I6" s="15">
        <v>203.84</v>
      </c>
      <c r="J6" s="6">
        <f t="shared" si="1"/>
        <v>0</v>
      </c>
      <c r="K6" s="116"/>
      <c r="L6" s="39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</row>
    <row r="7" spans="1:30" ht="15.75" customHeight="1">
      <c r="A7" s="13"/>
      <c r="B7" s="11">
        <v>16</v>
      </c>
      <c r="C7" s="85">
        <v>50.37</v>
      </c>
      <c r="D7" s="14">
        <v>1.29</v>
      </c>
      <c r="E7" s="1">
        <v>12</v>
      </c>
      <c r="F7" s="1">
        <v>12</v>
      </c>
      <c r="G7" s="8">
        <f t="shared" si="0"/>
        <v>0</v>
      </c>
      <c r="H7" s="90">
        <v>258.14</v>
      </c>
      <c r="I7" s="15">
        <v>258.14</v>
      </c>
      <c r="J7" s="6">
        <f t="shared" si="1"/>
        <v>0</v>
      </c>
      <c r="K7" s="116"/>
      <c r="L7" s="39"/>
      <c r="M7" s="97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</row>
    <row r="8" spans="1:30" ht="15.75" customHeight="1">
      <c r="A8" s="13"/>
      <c r="B8" s="11">
        <v>17</v>
      </c>
      <c r="C8" s="14">
        <v>50.02</v>
      </c>
      <c r="D8" s="14">
        <v>1.94</v>
      </c>
      <c r="E8" s="1">
        <v>8</v>
      </c>
      <c r="F8" s="1">
        <v>8</v>
      </c>
      <c r="G8" s="8">
        <f t="shared" si="0"/>
        <v>0</v>
      </c>
      <c r="H8" s="90">
        <v>169.66</v>
      </c>
      <c r="I8" s="15">
        <v>169.66</v>
      </c>
      <c r="J8" s="6">
        <f t="shared" si="1"/>
        <v>0</v>
      </c>
      <c r="K8" s="116"/>
      <c r="L8" s="39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</row>
    <row r="9" spans="1:30" ht="15.75" customHeight="1">
      <c r="A9" s="13"/>
      <c r="B9" s="40">
        <v>18</v>
      </c>
      <c r="C9" s="14">
        <v>46.32</v>
      </c>
      <c r="D9" s="41">
        <v>2.23</v>
      </c>
      <c r="E9" s="12">
        <v>8</v>
      </c>
      <c r="F9" s="1">
        <v>8</v>
      </c>
      <c r="G9" s="8">
        <f t="shared" si="0"/>
        <v>0</v>
      </c>
      <c r="H9" s="90">
        <v>170.48</v>
      </c>
      <c r="I9" s="15">
        <v>170.48</v>
      </c>
      <c r="J9" s="6">
        <f t="shared" si="1"/>
        <v>0</v>
      </c>
      <c r="K9" s="116"/>
      <c r="L9" s="39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</row>
    <row r="10" spans="1:30" ht="15.75" customHeight="1">
      <c r="A10" s="13"/>
      <c r="B10" s="40">
        <v>21</v>
      </c>
      <c r="C10" s="14">
        <v>38.1</v>
      </c>
      <c r="D10" s="41">
        <v>0.96</v>
      </c>
      <c r="E10" s="12">
        <v>11</v>
      </c>
      <c r="F10" s="1">
        <v>11</v>
      </c>
      <c r="G10" s="8">
        <f t="shared" si="0"/>
        <v>0</v>
      </c>
      <c r="H10" s="91">
        <v>203.56</v>
      </c>
      <c r="I10" s="70">
        <v>203.56</v>
      </c>
      <c r="J10" s="6">
        <f t="shared" si="1"/>
        <v>0</v>
      </c>
      <c r="K10" s="116"/>
      <c r="L10" s="39"/>
      <c r="M10" s="5"/>
      <c r="N10" s="5"/>
    </row>
    <row r="11" spans="1:30" ht="15.75" customHeight="1">
      <c r="A11" s="13"/>
      <c r="B11" s="40">
        <v>3</v>
      </c>
      <c r="C11" s="14">
        <v>35.94</v>
      </c>
      <c r="D11" s="41">
        <v>0.86</v>
      </c>
      <c r="E11" s="12">
        <v>9</v>
      </c>
      <c r="F11" s="12">
        <v>9</v>
      </c>
      <c r="G11" s="8">
        <f t="shared" si="0"/>
        <v>0</v>
      </c>
      <c r="H11" s="91">
        <v>170.5</v>
      </c>
      <c r="I11" s="70">
        <v>170.5</v>
      </c>
      <c r="J11" s="6">
        <f t="shared" si="1"/>
        <v>0</v>
      </c>
      <c r="K11" s="116"/>
      <c r="L11" s="39"/>
      <c r="M11" s="5"/>
      <c r="N11" s="5"/>
    </row>
    <row r="12" spans="1:30" ht="15.75" customHeight="1">
      <c r="A12" s="13"/>
      <c r="B12" s="40">
        <v>5</v>
      </c>
      <c r="C12" s="14">
        <v>32.31</v>
      </c>
      <c r="D12" s="41">
        <v>0.84</v>
      </c>
      <c r="E12" s="12">
        <v>10</v>
      </c>
      <c r="F12" s="12">
        <v>10</v>
      </c>
      <c r="G12" s="8">
        <f t="shared" si="0"/>
        <v>0</v>
      </c>
      <c r="H12" s="91">
        <v>184.92</v>
      </c>
      <c r="I12" s="70">
        <v>184.92</v>
      </c>
      <c r="J12" s="6">
        <f t="shared" si="1"/>
        <v>0</v>
      </c>
      <c r="K12" s="116"/>
      <c r="L12" s="77"/>
      <c r="M12" s="5"/>
      <c r="N12" s="5"/>
    </row>
    <row r="13" spans="1:30" ht="15.75" customHeight="1">
      <c r="A13" s="13"/>
      <c r="B13" s="40">
        <v>10</v>
      </c>
      <c r="C13" s="14">
        <v>49.54</v>
      </c>
      <c r="D13" s="41">
        <v>1.64</v>
      </c>
      <c r="E13" s="12">
        <v>9</v>
      </c>
      <c r="F13" s="12">
        <v>9</v>
      </c>
      <c r="G13" s="8">
        <f t="shared" si="0"/>
        <v>0</v>
      </c>
      <c r="H13" s="91">
        <v>184.76</v>
      </c>
      <c r="I13" s="15">
        <v>184.76</v>
      </c>
      <c r="J13" s="6">
        <f t="shared" si="1"/>
        <v>0</v>
      </c>
      <c r="K13" s="116"/>
      <c r="L13" s="77"/>
      <c r="M13" s="5"/>
      <c r="N13" s="5"/>
    </row>
    <row r="14" spans="1:30" ht="15.75" customHeight="1" thickBot="1">
      <c r="A14" s="13"/>
      <c r="B14" s="40">
        <v>11</v>
      </c>
      <c r="C14" s="14">
        <v>50.09</v>
      </c>
      <c r="D14" s="41">
        <v>1.68</v>
      </c>
      <c r="E14" s="12">
        <v>12</v>
      </c>
      <c r="F14" s="12">
        <v>12</v>
      </c>
      <c r="G14" s="8">
        <f t="shared" si="0"/>
        <v>0</v>
      </c>
      <c r="H14" s="91">
        <v>259.98</v>
      </c>
      <c r="I14" s="15">
        <v>259.98</v>
      </c>
      <c r="J14" s="6">
        <f t="shared" si="1"/>
        <v>0</v>
      </c>
      <c r="K14" s="117"/>
      <c r="L14" s="77"/>
      <c r="M14" s="5"/>
      <c r="N14" s="5"/>
    </row>
    <row r="15" spans="1:30" ht="15.75" customHeight="1" thickBot="1">
      <c r="A15" s="13"/>
      <c r="B15" s="40" t="s">
        <v>72</v>
      </c>
      <c r="C15" s="14">
        <v>47.18</v>
      </c>
      <c r="D15" s="41">
        <v>2.4700000000000002</v>
      </c>
      <c r="E15" s="12">
        <v>16</v>
      </c>
      <c r="F15" s="12">
        <v>16</v>
      </c>
      <c r="G15" s="8">
        <f t="shared" si="0"/>
        <v>0</v>
      </c>
      <c r="H15" s="91">
        <v>373.72</v>
      </c>
      <c r="I15" s="15">
        <v>373.72</v>
      </c>
      <c r="J15" s="6">
        <f t="shared" si="1"/>
        <v>0</v>
      </c>
      <c r="K15" s="115" t="s">
        <v>39</v>
      </c>
      <c r="L15" s="77"/>
      <c r="M15" s="5"/>
      <c r="N15" s="5"/>
    </row>
    <row r="16" spans="1:30" ht="15.75" customHeight="1" thickBot="1">
      <c r="A16" s="13"/>
      <c r="B16" s="40">
        <v>6</v>
      </c>
      <c r="C16" s="14">
        <v>35.31</v>
      </c>
      <c r="D16" s="41">
        <v>0.85</v>
      </c>
      <c r="E16" s="12">
        <v>10</v>
      </c>
      <c r="F16" s="12">
        <v>10</v>
      </c>
      <c r="G16" s="8">
        <f t="shared" si="0"/>
        <v>0</v>
      </c>
      <c r="H16" s="91">
        <v>192.22</v>
      </c>
      <c r="I16" s="70">
        <v>192.22</v>
      </c>
      <c r="J16" s="6">
        <f t="shared" si="1"/>
        <v>0</v>
      </c>
      <c r="K16" s="117"/>
      <c r="L16" s="64" t="s">
        <v>31</v>
      </c>
      <c r="M16" s="5"/>
      <c r="N16" s="5"/>
    </row>
    <row r="17" spans="1:12" ht="16.5" thickBot="1">
      <c r="A17" s="19"/>
      <c r="B17" s="42" t="s">
        <v>3</v>
      </c>
      <c r="C17" s="42"/>
      <c r="D17" s="42"/>
      <c r="E17" s="4">
        <f t="shared" ref="E17:J17" si="2">SUM(E2:E16)</f>
        <v>137</v>
      </c>
      <c r="F17" s="4">
        <f t="shared" si="2"/>
        <v>137</v>
      </c>
      <c r="G17" s="4">
        <f t="shared" si="2"/>
        <v>0</v>
      </c>
      <c r="H17" s="4">
        <f t="shared" si="2"/>
        <v>2889.2599999999998</v>
      </c>
      <c r="I17" s="9">
        <f t="shared" si="2"/>
        <v>2889.2599999999998</v>
      </c>
      <c r="J17" s="9">
        <f t="shared" si="2"/>
        <v>0</v>
      </c>
      <c r="K17" s="20"/>
      <c r="L17" s="39"/>
    </row>
    <row r="18" spans="1:12">
      <c r="I18" s="5"/>
      <c r="L18" s="10"/>
    </row>
  </sheetData>
  <mergeCells count="5">
    <mergeCell ref="N2:O2"/>
    <mergeCell ref="P2:W2"/>
    <mergeCell ref="K2:K3"/>
    <mergeCell ref="K4:K14"/>
    <mergeCell ref="K15:K16"/>
  </mergeCells>
  <conditionalFormatting sqref="D2:D16">
    <cfRule type="cellIs" dxfId="29" priority="1" operator="greaterThan">
      <formula>2.99</formula>
    </cfRule>
  </conditionalFormatting>
  <conditionalFormatting sqref="C2:C16">
    <cfRule type="cellIs" dxfId="28" priority="2" operator="lessThan">
      <formula>44.99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F7070-F01C-4F88-968E-DAC6DA756E8E}">
  <dimension ref="A1:AD15"/>
  <sheetViews>
    <sheetView workbookViewId="0">
      <selection sqref="A1:XFD1048576"/>
    </sheetView>
  </sheetViews>
  <sheetFormatPr defaultColWidth="8.28515625" defaultRowHeight="15"/>
  <cols>
    <col min="1" max="1" width="9" customWidth="1"/>
    <col min="2" max="2" width="12" bestFit="1" customWidth="1"/>
    <col min="5" max="5" width="9.85546875" customWidth="1"/>
    <col min="7" max="7" width="6.85546875" bestFit="1" customWidth="1"/>
    <col min="8" max="8" width="9.28515625" bestFit="1" customWidth="1"/>
    <col min="11" max="11" width="19.28515625" customWidth="1"/>
    <col min="12" max="12" width="18" bestFit="1" customWidth="1"/>
    <col min="15" max="15" width="9.28515625" customWidth="1"/>
  </cols>
  <sheetData>
    <row r="1" spans="1:30" ht="78" customHeight="1" thickBot="1">
      <c r="A1" s="50" t="s">
        <v>2</v>
      </c>
      <c r="B1" s="51" t="s">
        <v>5</v>
      </c>
      <c r="C1" s="51" t="s">
        <v>6</v>
      </c>
      <c r="D1" s="51" t="s">
        <v>14</v>
      </c>
      <c r="E1" s="51" t="s">
        <v>21</v>
      </c>
      <c r="F1" s="51" t="s">
        <v>9</v>
      </c>
      <c r="G1" s="51" t="s">
        <v>10</v>
      </c>
      <c r="H1" s="51" t="s">
        <v>22</v>
      </c>
      <c r="I1" s="51" t="s">
        <v>7</v>
      </c>
      <c r="J1" s="51" t="s">
        <v>12</v>
      </c>
      <c r="K1" s="52" t="s">
        <v>23</v>
      </c>
      <c r="L1" s="39"/>
    </row>
    <row r="2" spans="1:30" ht="16.5" customHeight="1" thickBot="1">
      <c r="A2" s="28" t="str">
        <f>N2</f>
        <v>14.05.2026</v>
      </c>
      <c r="B2" s="53">
        <v>2</v>
      </c>
      <c r="C2" s="54">
        <v>49.96</v>
      </c>
      <c r="D2" s="54">
        <v>1.47</v>
      </c>
      <c r="E2" s="1">
        <v>12</v>
      </c>
      <c r="F2" s="1">
        <v>12</v>
      </c>
      <c r="G2" s="8">
        <f t="shared" ref="G2:G13" si="0">E2-F2</f>
        <v>0</v>
      </c>
      <c r="H2" s="90">
        <v>255.32</v>
      </c>
      <c r="I2" s="15">
        <v>255.32</v>
      </c>
      <c r="J2" s="6">
        <f>H2-I2</f>
        <v>0</v>
      </c>
      <c r="K2" s="115" t="s">
        <v>73</v>
      </c>
      <c r="L2" s="55"/>
      <c r="M2" s="98" t="s">
        <v>13</v>
      </c>
      <c r="N2" s="111" t="s">
        <v>75</v>
      </c>
      <c r="O2" s="112"/>
      <c r="P2" s="121"/>
      <c r="Q2" s="122"/>
      <c r="R2" s="122"/>
      <c r="S2" s="122"/>
      <c r="T2" s="122"/>
      <c r="U2" s="122"/>
      <c r="V2" s="122"/>
      <c r="W2" s="123"/>
    </row>
    <row r="3" spans="1:30" ht="15.75" customHeight="1" thickBot="1">
      <c r="A3" s="13"/>
      <c r="B3" s="53">
        <v>3</v>
      </c>
      <c r="C3" s="54">
        <v>50.65</v>
      </c>
      <c r="D3" s="54">
        <v>1.21</v>
      </c>
      <c r="E3" s="1">
        <v>10</v>
      </c>
      <c r="F3" s="1">
        <v>10</v>
      </c>
      <c r="G3" s="8">
        <f t="shared" si="0"/>
        <v>0</v>
      </c>
      <c r="H3" s="90">
        <v>227.32</v>
      </c>
      <c r="I3" s="15">
        <v>227.32</v>
      </c>
      <c r="J3" s="6">
        <f t="shared" ref="J3:J13" si="1">H3-I3</f>
        <v>0</v>
      </c>
      <c r="K3" s="116"/>
      <c r="L3" s="55"/>
      <c r="M3" s="44" t="s">
        <v>20</v>
      </c>
      <c r="N3" s="45"/>
      <c r="O3" s="45"/>
      <c r="P3" s="45"/>
      <c r="Q3" s="45"/>
      <c r="R3" s="46"/>
      <c r="S3" s="47" t="s">
        <v>4</v>
      </c>
      <c r="T3" s="48"/>
      <c r="U3" s="48"/>
      <c r="V3" s="48"/>
      <c r="W3" s="49"/>
    </row>
    <row r="4" spans="1:30" ht="15.75" customHeight="1">
      <c r="A4" s="13"/>
      <c r="B4" s="53">
        <v>4</v>
      </c>
      <c r="C4" s="54">
        <v>49.02</v>
      </c>
      <c r="D4" s="54">
        <v>1.48</v>
      </c>
      <c r="E4" s="1">
        <v>8</v>
      </c>
      <c r="F4" s="1">
        <v>8</v>
      </c>
      <c r="G4" s="8">
        <f t="shared" si="0"/>
        <v>0</v>
      </c>
      <c r="H4" s="90">
        <v>179.36</v>
      </c>
      <c r="I4" s="15">
        <v>179.36</v>
      </c>
      <c r="J4" s="6">
        <f t="shared" si="1"/>
        <v>0</v>
      </c>
      <c r="K4" s="116"/>
      <c r="L4" s="55"/>
      <c r="M4" s="37" t="s">
        <v>0</v>
      </c>
      <c r="N4" s="21" t="s">
        <v>1</v>
      </c>
      <c r="O4" s="21" t="s">
        <v>15</v>
      </c>
      <c r="P4" s="21" t="s">
        <v>16</v>
      </c>
      <c r="Q4" s="21" t="s">
        <v>17</v>
      </c>
      <c r="R4" s="21" t="s">
        <v>3</v>
      </c>
      <c r="S4" s="16" t="s">
        <v>0</v>
      </c>
      <c r="T4" s="16" t="s">
        <v>1</v>
      </c>
      <c r="U4" s="16" t="s">
        <v>15</v>
      </c>
      <c r="V4" s="16" t="s">
        <v>16</v>
      </c>
      <c r="W4" s="17" t="s">
        <v>17</v>
      </c>
    </row>
    <row r="5" spans="1:30" ht="15.75" customHeight="1" thickBot="1">
      <c r="A5" s="13"/>
      <c r="B5" s="11" t="s">
        <v>76</v>
      </c>
      <c r="C5" s="85">
        <v>49.2</v>
      </c>
      <c r="D5" s="14">
        <v>1.29</v>
      </c>
      <c r="E5" s="1">
        <v>15</v>
      </c>
      <c r="F5" s="1">
        <v>15</v>
      </c>
      <c r="G5" s="8">
        <f t="shared" si="0"/>
        <v>0</v>
      </c>
      <c r="H5" s="90">
        <v>288.27999999999997</v>
      </c>
      <c r="I5" s="15">
        <v>288.27999999999997</v>
      </c>
      <c r="J5" s="6">
        <f t="shared" si="1"/>
        <v>0</v>
      </c>
      <c r="K5" s="117"/>
      <c r="L5" s="10"/>
      <c r="M5" s="38">
        <v>1687.98</v>
      </c>
      <c r="N5" s="2">
        <v>775.6</v>
      </c>
      <c r="O5" s="2">
        <v>0</v>
      </c>
      <c r="P5" s="2">
        <v>0</v>
      </c>
      <c r="Q5" s="2">
        <v>0</v>
      </c>
      <c r="R5" s="7">
        <f>SUM(M5:Q5)</f>
        <v>2463.58</v>
      </c>
      <c r="S5" s="3">
        <f>(M5/R5)*100</f>
        <v>68.517360913792118</v>
      </c>
      <c r="T5" s="3">
        <f>(N5/R5)*100</f>
        <v>31.482639086207882</v>
      </c>
      <c r="U5" s="3">
        <f>(O5/R5)*100</f>
        <v>0</v>
      </c>
      <c r="V5" s="3">
        <f>(P5/R5)*100</f>
        <v>0</v>
      </c>
      <c r="W5" s="18">
        <f>(Q5/R5)*100</f>
        <v>0</v>
      </c>
    </row>
    <row r="6" spans="1:30" ht="15.75" customHeight="1" thickBot="1">
      <c r="A6" s="13"/>
      <c r="B6" s="11" t="s">
        <v>78</v>
      </c>
      <c r="C6" s="85">
        <v>39.299999999999997</v>
      </c>
      <c r="D6" s="14">
        <v>1.04</v>
      </c>
      <c r="E6" s="1">
        <v>14</v>
      </c>
      <c r="F6" s="1">
        <v>14</v>
      </c>
      <c r="G6" s="8">
        <f t="shared" si="0"/>
        <v>0</v>
      </c>
      <c r="H6" s="90">
        <v>298.83999999999997</v>
      </c>
      <c r="I6" s="70">
        <v>298.83999999999997</v>
      </c>
      <c r="J6" s="6">
        <f t="shared" si="1"/>
        <v>0</v>
      </c>
      <c r="K6" s="115" t="s">
        <v>32</v>
      </c>
      <c r="L6" s="39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</row>
    <row r="7" spans="1:30" ht="15.75" customHeight="1">
      <c r="A7" s="13"/>
      <c r="B7" s="11">
        <v>11</v>
      </c>
      <c r="C7" s="85">
        <v>40.97</v>
      </c>
      <c r="D7" s="14">
        <v>1.02</v>
      </c>
      <c r="E7" s="1">
        <v>6</v>
      </c>
      <c r="F7" s="1">
        <v>6</v>
      </c>
      <c r="G7" s="8">
        <f t="shared" si="0"/>
        <v>0</v>
      </c>
      <c r="H7" s="90">
        <v>116.44</v>
      </c>
      <c r="I7" s="70">
        <v>116.44</v>
      </c>
      <c r="J7" s="6">
        <f t="shared" si="1"/>
        <v>0</v>
      </c>
      <c r="K7" s="116"/>
      <c r="L7" s="118" t="s">
        <v>62</v>
      </c>
      <c r="M7" s="97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</row>
    <row r="8" spans="1:30" ht="15.75" customHeight="1">
      <c r="A8" s="13"/>
      <c r="B8" s="11">
        <v>16</v>
      </c>
      <c r="C8" s="14">
        <v>39.200000000000003</v>
      </c>
      <c r="D8" s="14">
        <v>1.06</v>
      </c>
      <c r="E8" s="1">
        <v>14</v>
      </c>
      <c r="F8" s="1">
        <v>12</v>
      </c>
      <c r="G8" s="8">
        <f t="shared" si="0"/>
        <v>2</v>
      </c>
      <c r="H8" s="90">
        <v>257.82</v>
      </c>
      <c r="I8" s="70">
        <v>257.82</v>
      </c>
      <c r="J8" s="6">
        <f t="shared" si="1"/>
        <v>0</v>
      </c>
      <c r="K8" s="116"/>
      <c r="L8" s="120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</row>
    <row r="9" spans="1:30" ht="15.75" customHeight="1" thickBot="1">
      <c r="A9" s="13"/>
      <c r="B9" s="40">
        <v>19</v>
      </c>
      <c r="C9" s="14">
        <v>35.94</v>
      </c>
      <c r="D9" s="41">
        <v>0.86</v>
      </c>
      <c r="E9" s="12">
        <v>5</v>
      </c>
      <c r="F9" s="1">
        <v>5</v>
      </c>
      <c r="G9" s="8">
        <f t="shared" si="0"/>
        <v>0</v>
      </c>
      <c r="H9" s="90">
        <v>102.5</v>
      </c>
      <c r="I9" s="70">
        <v>102.5</v>
      </c>
      <c r="J9" s="6">
        <f t="shared" si="1"/>
        <v>0</v>
      </c>
      <c r="K9" s="116"/>
      <c r="L9" s="119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</row>
    <row r="10" spans="1:30" ht="15.75" customHeight="1">
      <c r="A10" s="13"/>
      <c r="B10" s="40">
        <v>15</v>
      </c>
      <c r="C10" s="14">
        <v>48.65</v>
      </c>
      <c r="D10" s="41">
        <v>3.08</v>
      </c>
      <c r="E10" s="12">
        <v>10</v>
      </c>
      <c r="F10" s="1">
        <v>10</v>
      </c>
      <c r="G10" s="8">
        <f t="shared" si="0"/>
        <v>0</v>
      </c>
      <c r="H10" s="91">
        <v>204.66</v>
      </c>
      <c r="I10" s="15">
        <v>204.66</v>
      </c>
      <c r="J10" s="6">
        <f t="shared" si="1"/>
        <v>0</v>
      </c>
      <c r="K10" s="116"/>
      <c r="L10" s="39"/>
      <c r="M10" s="5"/>
      <c r="N10" s="5"/>
    </row>
    <row r="11" spans="1:30" ht="15.75" customHeight="1" thickBot="1">
      <c r="A11" s="13"/>
      <c r="B11" s="40">
        <v>16</v>
      </c>
      <c r="C11" s="14">
        <v>46.55</v>
      </c>
      <c r="D11" s="41">
        <v>1.62</v>
      </c>
      <c r="E11" s="12">
        <v>6</v>
      </c>
      <c r="F11" s="12">
        <v>6</v>
      </c>
      <c r="G11" s="8">
        <f t="shared" si="0"/>
        <v>0</v>
      </c>
      <c r="H11" s="91">
        <v>131.76</v>
      </c>
      <c r="I11" s="15">
        <v>131.76</v>
      </c>
      <c r="J11" s="6">
        <f t="shared" si="1"/>
        <v>0</v>
      </c>
      <c r="K11" s="117"/>
      <c r="L11" s="39"/>
      <c r="M11" s="5"/>
      <c r="N11" s="5"/>
    </row>
    <row r="12" spans="1:30" ht="15.75" customHeight="1">
      <c r="A12" s="13"/>
      <c r="B12" s="40" t="s">
        <v>77</v>
      </c>
      <c r="C12" s="14">
        <v>50.13</v>
      </c>
      <c r="D12" s="41">
        <v>1.35</v>
      </c>
      <c r="E12" s="12">
        <v>12</v>
      </c>
      <c r="F12" s="12">
        <v>12</v>
      </c>
      <c r="G12" s="8">
        <f t="shared" si="0"/>
        <v>0</v>
      </c>
      <c r="H12" s="91">
        <v>249.76</v>
      </c>
      <c r="I12" s="15">
        <v>249.76</v>
      </c>
      <c r="J12" s="6">
        <f t="shared" si="1"/>
        <v>0</v>
      </c>
      <c r="K12" s="115" t="s">
        <v>39</v>
      </c>
      <c r="L12" s="77"/>
      <c r="M12" s="5"/>
      <c r="N12" s="5"/>
    </row>
    <row r="13" spans="1:30" ht="15.75" customHeight="1" thickBot="1">
      <c r="A13" s="13"/>
      <c r="B13" s="40">
        <v>23</v>
      </c>
      <c r="C13" s="14">
        <v>49.99</v>
      </c>
      <c r="D13" s="41">
        <v>1.52</v>
      </c>
      <c r="E13" s="12">
        <v>7</v>
      </c>
      <c r="F13" s="12">
        <v>7</v>
      </c>
      <c r="G13" s="8">
        <f t="shared" si="0"/>
        <v>0</v>
      </c>
      <c r="H13" s="91">
        <v>151.52000000000001</v>
      </c>
      <c r="I13" s="15">
        <v>151.52000000000001</v>
      </c>
      <c r="J13" s="6">
        <f t="shared" si="1"/>
        <v>0</v>
      </c>
      <c r="K13" s="117"/>
      <c r="L13" s="77"/>
      <c r="M13" s="5"/>
      <c r="N13" s="5"/>
    </row>
    <row r="14" spans="1:30" ht="16.5" thickBot="1">
      <c r="A14" s="19"/>
      <c r="B14" s="42" t="s">
        <v>3</v>
      </c>
      <c r="C14" s="42"/>
      <c r="D14" s="42"/>
      <c r="E14" s="4">
        <f t="shared" ref="E14:J14" si="2">SUM(E2:E13)</f>
        <v>119</v>
      </c>
      <c r="F14" s="4">
        <f t="shared" si="2"/>
        <v>117</v>
      </c>
      <c r="G14" s="4">
        <f t="shared" si="2"/>
        <v>2</v>
      </c>
      <c r="H14" s="4">
        <f t="shared" si="2"/>
        <v>2463.5800000000004</v>
      </c>
      <c r="I14" s="9">
        <f t="shared" si="2"/>
        <v>2463.5800000000004</v>
      </c>
      <c r="J14" s="9">
        <f t="shared" si="2"/>
        <v>0</v>
      </c>
      <c r="K14" s="20"/>
      <c r="L14" s="39"/>
    </row>
    <row r="15" spans="1:30">
      <c r="I15" s="5"/>
      <c r="L15" s="10"/>
    </row>
  </sheetData>
  <mergeCells count="6">
    <mergeCell ref="K12:K13"/>
    <mergeCell ref="N2:O2"/>
    <mergeCell ref="P2:W2"/>
    <mergeCell ref="L7:L9"/>
    <mergeCell ref="K6:K11"/>
    <mergeCell ref="K2:K5"/>
  </mergeCells>
  <conditionalFormatting sqref="D2:D13">
    <cfRule type="cellIs" dxfId="27" priority="1" operator="greaterThan">
      <formula>2.99</formula>
    </cfRule>
  </conditionalFormatting>
  <conditionalFormatting sqref="C2:C13">
    <cfRule type="cellIs" dxfId="26" priority="2" operator="lessThan">
      <formula>44.99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F8696-3331-4A6F-B0B1-59BE3337D23F}">
  <dimension ref="A1:AD17"/>
  <sheetViews>
    <sheetView workbookViewId="0">
      <selection activeCell="I2" sqref="I2"/>
    </sheetView>
  </sheetViews>
  <sheetFormatPr defaultColWidth="8.28515625" defaultRowHeight="15"/>
  <cols>
    <col min="1" max="1" width="9" customWidth="1"/>
    <col min="2" max="2" width="12" bestFit="1" customWidth="1"/>
    <col min="5" max="5" width="9.85546875" customWidth="1"/>
    <col min="7" max="7" width="6.85546875" bestFit="1" customWidth="1"/>
    <col min="8" max="8" width="9.28515625" bestFit="1" customWidth="1"/>
    <col min="11" max="11" width="19.28515625" customWidth="1"/>
    <col min="12" max="12" width="18" bestFit="1" customWidth="1"/>
    <col min="15" max="15" width="9.28515625" customWidth="1"/>
  </cols>
  <sheetData>
    <row r="1" spans="1:30" ht="78" customHeight="1" thickBot="1">
      <c r="A1" s="50" t="s">
        <v>2</v>
      </c>
      <c r="B1" s="51" t="s">
        <v>5</v>
      </c>
      <c r="C1" s="51" t="s">
        <v>6</v>
      </c>
      <c r="D1" s="51" t="s">
        <v>14</v>
      </c>
      <c r="E1" s="51" t="s">
        <v>21</v>
      </c>
      <c r="F1" s="51" t="s">
        <v>9</v>
      </c>
      <c r="G1" s="51" t="s">
        <v>10</v>
      </c>
      <c r="H1" s="51" t="s">
        <v>22</v>
      </c>
      <c r="I1" s="51" t="s">
        <v>7</v>
      </c>
      <c r="J1" s="51" t="s">
        <v>12</v>
      </c>
      <c r="K1" s="52" t="s">
        <v>23</v>
      </c>
      <c r="L1" s="39"/>
    </row>
    <row r="2" spans="1:30" ht="16.5" customHeight="1" thickBot="1">
      <c r="A2" s="28" t="str">
        <f>N2</f>
        <v>15.05.2026</v>
      </c>
      <c r="B2" s="53" t="s">
        <v>80</v>
      </c>
      <c r="C2" s="54">
        <v>43.96</v>
      </c>
      <c r="D2" s="54">
        <v>1.18</v>
      </c>
      <c r="E2" s="1">
        <v>16</v>
      </c>
      <c r="F2" s="1">
        <v>16</v>
      </c>
      <c r="G2" s="8">
        <f t="shared" ref="G2:G15" si="0">E2-F2</f>
        <v>0</v>
      </c>
      <c r="H2" s="90">
        <v>314.60000000000002</v>
      </c>
      <c r="I2" s="70">
        <v>314.60000000000002</v>
      </c>
      <c r="J2" s="6">
        <f>H2-I2</f>
        <v>0</v>
      </c>
      <c r="K2" s="86" t="s">
        <v>73</v>
      </c>
      <c r="L2" s="89" t="s">
        <v>62</v>
      </c>
      <c r="M2" s="99" t="s">
        <v>13</v>
      </c>
      <c r="N2" s="111" t="s">
        <v>79</v>
      </c>
      <c r="O2" s="112"/>
      <c r="P2" s="121"/>
      <c r="Q2" s="122"/>
      <c r="R2" s="122"/>
      <c r="S2" s="122"/>
      <c r="T2" s="122"/>
      <c r="U2" s="122"/>
      <c r="V2" s="122"/>
      <c r="W2" s="123"/>
    </row>
    <row r="3" spans="1:30" ht="15.75" customHeight="1" thickBot="1">
      <c r="A3" s="13"/>
      <c r="B3" s="53" t="s">
        <v>81</v>
      </c>
      <c r="C3" s="54">
        <v>48.08</v>
      </c>
      <c r="D3" s="54">
        <v>1.18</v>
      </c>
      <c r="E3" s="1">
        <v>7</v>
      </c>
      <c r="F3" s="1">
        <v>7</v>
      </c>
      <c r="G3" s="8">
        <f t="shared" si="0"/>
        <v>0</v>
      </c>
      <c r="H3" s="90">
        <v>136.47999999999999</v>
      </c>
      <c r="I3" s="15">
        <v>136.47999999999999</v>
      </c>
      <c r="J3" s="6">
        <f t="shared" ref="J3:J15" si="1">H3-I3</f>
        <v>0</v>
      </c>
      <c r="K3" s="115" t="s">
        <v>50</v>
      </c>
      <c r="L3" s="55"/>
      <c r="M3" s="44" t="s">
        <v>20</v>
      </c>
      <c r="N3" s="45"/>
      <c r="O3" s="45"/>
      <c r="P3" s="45"/>
      <c r="Q3" s="45"/>
      <c r="R3" s="46"/>
      <c r="S3" s="47" t="s">
        <v>4</v>
      </c>
      <c r="T3" s="48"/>
      <c r="U3" s="48"/>
      <c r="V3" s="48"/>
      <c r="W3" s="49"/>
    </row>
    <row r="4" spans="1:30" ht="15.75" customHeight="1">
      <c r="A4" s="13"/>
      <c r="B4" s="53">
        <v>11</v>
      </c>
      <c r="C4" s="54">
        <v>50.18</v>
      </c>
      <c r="D4" s="54">
        <v>1.23</v>
      </c>
      <c r="E4" s="1">
        <v>11</v>
      </c>
      <c r="F4" s="1">
        <v>11</v>
      </c>
      <c r="G4" s="8">
        <f t="shared" si="0"/>
        <v>0</v>
      </c>
      <c r="H4" s="90">
        <v>220.64</v>
      </c>
      <c r="I4" s="15">
        <v>220.64</v>
      </c>
      <c r="J4" s="6">
        <f t="shared" si="1"/>
        <v>0</v>
      </c>
      <c r="K4" s="116"/>
      <c r="L4" s="55"/>
      <c r="M4" s="37" t="s">
        <v>0</v>
      </c>
      <c r="N4" s="21" t="s">
        <v>1</v>
      </c>
      <c r="O4" s="21" t="s">
        <v>15</v>
      </c>
      <c r="P4" s="21" t="s">
        <v>16</v>
      </c>
      <c r="Q4" s="21" t="s">
        <v>17</v>
      </c>
      <c r="R4" s="21" t="s">
        <v>3</v>
      </c>
      <c r="S4" s="16" t="s">
        <v>0</v>
      </c>
      <c r="T4" s="16" t="s">
        <v>1</v>
      </c>
      <c r="U4" s="16" t="s">
        <v>15</v>
      </c>
      <c r="V4" s="16" t="s">
        <v>16</v>
      </c>
      <c r="W4" s="17" t="s">
        <v>17</v>
      </c>
    </row>
    <row r="5" spans="1:30" ht="15.75" customHeight="1" thickBot="1">
      <c r="A5" s="13"/>
      <c r="B5" s="11">
        <v>12</v>
      </c>
      <c r="C5" s="85">
        <v>48.48</v>
      </c>
      <c r="D5" s="14">
        <v>2.4900000000000002</v>
      </c>
      <c r="E5" s="1">
        <v>13</v>
      </c>
      <c r="F5" s="1">
        <v>13</v>
      </c>
      <c r="G5" s="8">
        <f t="shared" si="0"/>
        <v>0</v>
      </c>
      <c r="H5" s="90">
        <v>259.77999999999997</v>
      </c>
      <c r="I5" s="15">
        <v>259.77999999999997</v>
      </c>
      <c r="J5" s="6">
        <f t="shared" si="1"/>
        <v>0</v>
      </c>
      <c r="K5" s="116"/>
      <c r="L5" s="39"/>
      <c r="M5" s="38">
        <v>1368.08</v>
      </c>
      <c r="N5" s="2">
        <v>1030.2</v>
      </c>
      <c r="O5" s="2">
        <v>0</v>
      </c>
      <c r="P5" s="2">
        <v>0</v>
      </c>
      <c r="Q5" s="2">
        <v>63.3</v>
      </c>
      <c r="R5" s="7">
        <f>SUM(M5:Q5)</f>
        <v>2461.58</v>
      </c>
      <c r="S5" s="3">
        <f>(M5/R5)*100</f>
        <v>55.577312132857756</v>
      </c>
      <c r="T5" s="3">
        <f>(N5/R5)*100</f>
        <v>41.851168761527155</v>
      </c>
      <c r="U5" s="3">
        <f>(O5/R5)*100</f>
        <v>0</v>
      </c>
      <c r="V5" s="3">
        <f>(P5/R5)*100</f>
        <v>0</v>
      </c>
      <c r="W5" s="18">
        <f>(Q5/R5)*100</f>
        <v>2.5715191056150926</v>
      </c>
    </row>
    <row r="6" spans="1:30" ht="15.75" customHeight="1" thickBot="1">
      <c r="A6" s="13"/>
      <c r="B6" s="11">
        <v>13</v>
      </c>
      <c r="C6" s="85">
        <v>40.21</v>
      </c>
      <c r="D6" s="14">
        <v>1.62</v>
      </c>
      <c r="E6" s="1">
        <v>2</v>
      </c>
      <c r="F6" s="1">
        <v>2</v>
      </c>
      <c r="G6" s="8">
        <f t="shared" si="0"/>
        <v>0</v>
      </c>
      <c r="H6" s="90">
        <v>43.3</v>
      </c>
      <c r="I6" s="70">
        <v>43.3</v>
      </c>
      <c r="J6" s="6">
        <f t="shared" si="1"/>
        <v>0</v>
      </c>
      <c r="K6" s="116"/>
      <c r="L6" s="39"/>
      <c r="M6" s="77"/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</row>
    <row r="7" spans="1:30" ht="15.75" customHeight="1" thickBot="1">
      <c r="A7" s="13"/>
      <c r="B7" s="11">
        <v>13.3</v>
      </c>
      <c r="C7" s="85">
        <v>8.26</v>
      </c>
      <c r="D7" s="14">
        <v>1.0900000000000001</v>
      </c>
      <c r="E7" s="1">
        <v>3</v>
      </c>
      <c r="F7" s="1">
        <v>3</v>
      </c>
      <c r="G7" s="8">
        <f t="shared" si="0"/>
        <v>0</v>
      </c>
      <c r="H7" s="90">
        <v>63.3</v>
      </c>
      <c r="I7" s="92">
        <v>63.3</v>
      </c>
      <c r="J7" s="6">
        <f t="shared" si="1"/>
        <v>0</v>
      </c>
      <c r="K7" s="116"/>
      <c r="L7" s="64" t="s">
        <v>17</v>
      </c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</row>
    <row r="8" spans="1:30" ht="15.75" customHeight="1">
      <c r="A8" s="13"/>
      <c r="B8" s="11">
        <v>14</v>
      </c>
      <c r="C8" s="85">
        <v>47.55</v>
      </c>
      <c r="D8" s="14">
        <v>1.4</v>
      </c>
      <c r="E8" s="1">
        <v>10</v>
      </c>
      <c r="F8" s="1">
        <v>10</v>
      </c>
      <c r="G8" s="8">
        <f t="shared" si="0"/>
        <v>0</v>
      </c>
      <c r="H8" s="90">
        <v>203.28</v>
      </c>
      <c r="I8" s="15">
        <v>203.28</v>
      </c>
      <c r="J8" s="6">
        <f t="shared" si="1"/>
        <v>0</v>
      </c>
      <c r="K8" s="116"/>
      <c r="L8" s="39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</row>
    <row r="9" spans="1:30" ht="15.75" customHeight="1">
      <c r="A9" s="13"/>
      <c r="B9" s="11">
        <v>15</v>
      </c>
      <c r="C9" s="85">
        <v>50.05</v>
      </c>
      <c r="D9" s="14">
        <v>1.03</v>
      </c>
      <c r="E9" s="1">
        <v>10</v>
      </c>
      <c r="F9" s="1">
        <v>10</v>
      </c>
      <c r="G9" s="8">
        <f t="shared" si="0"/>
        <v>0</v>
      </c>
      <c r="H9" s="90">
        <v>206.4</v>
      </c>
      <c r="I9" s="15">
        <v>206.4</v>
      </c>
      <c r="J9" s="6">
        <f t="shared" si="1"/>
        <v>0</v>
      </c>
      <c r="K9" s="116"/>
      <c r="L9" s="39"/>
      <c r="M9" s="97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</row>
    <row r="10" spans="1:30" ht="15.75" customHeight="1">
      <c r="A10" s="13"/>
      <c r="B10" s="11">
        <v>16</v>
      </c>
      <c r="C10" s="14">
        <v>49.48</v>
      </c>
      <c r="D10" s="14">
        <v>1.25</v>
      </c>
      <c r="E10" s="1">
        <v>10</v>
      </c>
      <c r="F10" s="1">
        <v>10</v>
      </c>
      <c r="G10" s="8">
        <f t="shared" si="0"/>
        <v>0</v>
      </c>
      <c r="H10" s="90">
        <v>207.34</v>
      </c>
      <c r="I10" s="15">
        <v>207.34</v>
      </c>
      <c r="J10" s="6">
        <f t="shared" si="1"/>
        <v>0</v>
      </c>
      <c r="K10" s="116"/>
      <c r="L10" s="39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</row>
    <row r="11" spans="1:30" ht="15.75" customHeight="1">
      <c r="A11" s="13"/>
      <c r="B11" s="40">
        <v>17</v>
      </c>
      <c r="C11" s="14">
        <v>49.34</v>
      </c>
      <c r="D11" s="41">
        <v>0.98</v>
      </c>
      <c r="E11" s="12">
        <v>7</v>
      </c>
      <c r="F11" s="1">
        <v>7</v>
      </c>
      <c r="G11" s="8">
        <f t="shared" si="0"/>
        <v>0</v>
      </c>
      <c r="H11" s="90">
        <v>134.16</v>
      </c>
      <c r="I11" s="15">
        <v>134.16</v>
      </c>
      <c r="J11" s="6">
        <f t="shared" si="1"/>
        <v>0</v>
      </c>
      <c r="K11" s="116"/>
      <c r="L11" s="39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</row>
    <row r="12" spans="1:30" ht="15.75" customHeight="1">
      <c r="A12" s="13"/>
      <c r="B12" s="40">
        <v>18</v>
      </c>
      <c r="C12" s="14">
        <v>39.74</v>
      </c>
      <c r="D12" s="41">
        <v>1.1299999999999999</v>
      </c>
      <c r="E12" s="12">
        <v>8</v>
      </c>
      <c r="F12" s="1">
        <v>8</v>
      </c>
      <c r="G12" s="8">
        <f t="shared" si="0"/>
        <v>0</v>
      </c>
      <c r="H12" s="91">
        <v>159.41999999999999</v>
      </c>
      <c r="I12" s="70">
        <v>159.41999999999999</v>
      </c>
      <c r="J12" s="6">
        <f t="shared" si="1"/>
        <v>0</v>
      </c>
      <c r="K12" s="116"/>
      <c r="L12" s="39"/>
      <c r="M12" s="5"/>
      <c r="N12" s="5"/>
    </row>
    <row r="13" spans="1:30" ht="15.75" customHeight="1" thickBot="1">
      <c r="A13" s="13"/>
      <c r="B13" s="40">
        <v>19</v>
      </c>
      <c r="C13" s="14">
        <v>41.4</v>
      </c>
      <c r="D13" s="41">
        <v>1.43</v>
      </c>
      <c r="E13" s="12">
        <v>5</v>
      </c>
      <c r="F13" s="12">
        <v>5</v>
      </c>
      <c r="G13" s="8">
        <f t="shared" si="0"/>
        <v>0</v>
      </c>
      <c r="H13" s="91">
        <v>107.08</v>
      </c>
      <c r="I13" s="70">
        <v>107.08</v>
      </c>
      <c r="J13" s="6">
        <f t="shared" si="1"/>
        <v>0</v>
      </c>
      <c r="K13" s="117"/>
      <c r="L13" s="39"/>
      <c r="M13" s="5"/>
      <c r="N13" s="5"/>
    </row>
    <row r="14" spans="1:30" ht="15.75" customHeight="1">
      <c r="A14" s="13"/>
      <c r="B14" s="40">
        <v>22</v>
      </c>
      <c r="C14" s="14">
        <v>41.22</v>
      </c>
      <c r="D14" s="41">
        <v>1.35</v>
      </c>
      <c r="E14" s="12">
        <v>6</v>
      </c>
      <c r="F14" s="12">
        <v>6</v>
      </c>
      <c r="G14" s="8">
        <f t="shared" si="0"/>
        <v>0</v>
      </c>
      <c r="H14" s="91">
        <v>124.64</v>
      </c>
      <c r="I14" s="70">
        <v>124.64</v>
      </c>
      <c r="J14" s="6">
        <f t="shared" si="1"/>
        <v>0</v>
      </c>
      <c r="K14" s="115" t="s">
        <v>49</v>
      </c>
      <c r="L14" s="77"/>
      <c r="M14" s="5"/>
      <c r="N14" s="5"/>
    </row>
    <row r="15" spans="1:30" ht="15.75" customHeight="1" thickBot="1">
      <c r="A15" s="13"/>
      <c r="B15" s="40">
        <v>23</v>
      </c>
      <c r="C15" s="14">
        <v>36.28</v>
      </c>
      <c r="D15" s="41">
        <v>1.07</v>
      </c>
      <c r="E15" s="12">
        <v>12</v>
      </c>
      <c r="F15" s="12">
        <v>12</v>
      </c>
      <c r="G15" s="8">
        <f t="shared" si="0"/>
        <v>0</v>
      </c>
      <c r="H15" s="91">
        <v>281.16000000000003</v>
      </c>
      <c r="I15" s="70">
        <v>281.16000000000003</v>
      </c>
      <c r="J15" s="6">
        <f t="shared" si="1"/>
        <v>0</v>
      </c>
      <c r="K15" s="117"/>
      <c r="L15" s="77"/>
      <c r="M15" s="5"/>
      <c r="N15" s="5"/>
    </row>
    <row r="16" spans="1:30" ht="16.5" thickBot="1">
      <c r="A16" s="19"/>
      <c r="B16" s="42" t="s">
        <v>3</v>
      </c>
      <c r="C16" s="42"/>
      <c r="D16" s="42"/>
      <c r="E16" s="4">
        <f t="shared" ref="E16:J16" si="2">SUM(E2:E15)</f>
        <v>120</v>
      </c>
      <c r="F16" s="4">
        <f t="shared" si="2"/>
        <v>120</v>
      </c>
      <c r="G16" s="4">
        <f t="shared" si="2"/>
        <v>0</v>
      </c>
      <c r="H16" s="4">
        <f t="shared" si="2"/>
        <v>2461.58</v>
      </c>
      <c r="I16" s="9">
        <f t="shared" si="2"/>
        <v>2461.58</v>
      </c>
      <c r="J16" s="9">
        <f t="shared" si="2"/>
        <v>0</v>
      </c>
      <c r="K16" s="20"/>
      <c r="L16" s="39"/>
    </row>
    <row r="17" spans="9:12">
      <c r="I17" s="5"/>
      <c r="L17" s="10"/>
    </row>
  </sheetData>
  <mergeCells count="4">
    <mergeCell ref="N2:O2"/>
    <mergeCell ref="P2:W2"/>
    <mergeCell ref="K14:K15"/>
    <mergeCell ref="K3:K13"/>
  </mergeCells>
  <conditionalFormatting sqref="D2:D15">
    <cfRule type="cellIs" dxfId="25" priority="1" operator="greaterThan">
      <formula>2.99</formula>
    </cfRule>
  </conditionalFormatting>
  <conditionalFormatting sqref="C2:C15">
    <cfRule type="cellIs" dxfId="24" priority="2" operator="lessThan">
      <formula>44.99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07E07-8A2F-4C51-B69C-F7CD071C8CB9}">
  <dimension ref="A1:AD19"/>
  <sheetViews>
    <sheetView workbookViewId="0">
      <selection activeCell="H14" sqref="H14"/>
    </sheetView>
  </sheetViews>
  <sheetFormatPr defaultColWidth="8.28515625" defaultRowHeight="15"/>
  <cols>
    <col min="1" max="1" width="9" customWidth="1"/>
    <col min="2" max="2" width="12" bestFit="1" customWidth="1"/>
    <col min="5" max="5" width="9.85546875" customWidth="1"/>
    <col min="7" max="7" width="6.85546875" bestFit="1" customWidth="1"/>
    <col min="8" max="8" width="9.28515625" bestFit="1" customWidth="1"/>
    <col min="11" max="11" width="19.28515625" customWidth="1"/>
    <col min="12" max="12" width="18" bestFit="1" customWidth="1"/>
    <col min="15" max="15" width="9.28515625" customWidth="1"/>
  </cols>
  <sheetData>
    <row r="1" spans="1:30" ht="78" customHeight="1" thickBot="1">
      <c r="A1" s="50" t="s">
        <v>2</v>
      </c>
      <c r="B1" s="51" t="s">
        <v>5</v>
      </c>
      <c r="C1" s="51" t="s">
        <v>6</v>
      </c>
      <c r="D1" s="51" t="s">
        <v>14</v>
      </c>
      <c r="E1" s="51" t="s">
        <v>21</v>
      </c>
      <c r="F1" s="51" t="s">
        <v>9</v>
      </c>
      <c r="G1" s="51" t="s">
        <v>10</v>
      </c>
      <c r="H1" s="51" t="s">
        <v>22</v>
      </c>
      <c r="I1" s="51" t="s">
        <v>7</v>
      </c>
      <c r="J1" s="51" t="s">
        <v>12</v>
      </c>
      <c r="K1" s="52" t="s">
        <v>23</v>
      </c>
      <c r="L1" s="39"/>
    </row>
    <row r="2" spans="1:30" ht="16.5" customHeight="1" thickBot="1">
      <c r="A2" s="28" t="str">
        <f>N2</f>
        <v>16.05.2026</v>
      </c>
      <c r="B2" s="53">
        <v>24</v>
      </c>
      <c r="C2" s="54">
        <v>36.409999999999997</v>
      </c>
      <c r="D2" s="54">
        <v>1.18</v>
      </c>
      <c r="E2" s="1">
        <v>7</v>
      </c>
      <c r="F2" s="1">
        <v>7</v>
      </c>
      <c r="G2" s="8">
        <f t="shared" ref="G2:G17" si="0">E2-F2</f>
        <v>0</v>
      </c>
      <c r="H2" s="90">
        <v>172.06</v>
      </c>
      <c r="I2" s="70">
        <v>172.06</v>
      </c>
      <c r="J2" s="6">
        <f>H2-I2</f>
        <v>0</v>
      </c>
      <c r="K2" s="115" t="s">
        <v>32</v>
      </c>
      <c r="L2" s="39"/>
      <c r="M2" s="100" t="s">
        <v>13</v>
      </c>
      <c r="N2" s="111" t="s">
        <v>82</v>
      </c>
      <c r="O2" s="112"/>
      <c r="P2" s="121"/>
      <c r="Q2" s="122"/>
      <c r="R2" s="122"/>
      <c r="S2" s="122"/>
      <c r="T2" s="122"/>
      <c r="U2" s="122"/>
      <c r="V2" s="122"/>
      <c r="W2" s="123"/>
    </row>
    <row r="3" spans="1:30" ht="15.75" customHeight="1" thickBot="1">
      <c r="A3" s="13"/>
      <c r="B3" s="53">
        <v>2.2000000000000002</v>
      </c>
      <c r="C3" s="54">
        <v>48.04</v>
      </c>
      <c r="D3" s="54">
        <v>0.96</v>
      </c>
      <c r="E3" s="1">
        <v>5</v>
      </c>
      <c r="F3" s="1">
        <v>5</v>
      </c>
      <c r="G3" s="8">
        <f t="shared" si="0"/>
        <v>0</v>
      </c>
      <c r="H3" s="90">
        <v>123.78</v>
      </c>
      <c r="I3" s="15">
        <v>123.78</v>
      </c>
      <c r="J3" s="6">
        <f t="shared" ref="J3:J17" si="1">H3-I3</f>
        <v>0</v>
      </c>
      <c r="K3" s="116"/>
      <c r="L3" s="39"/>
      <c r="M3" s="44" t="s">
        <v>20</v>
      </c>
      <c r="N3" s="45"/>
      <c r="O3" s="45"/>
      <c r="P3" s="45"/>
      <c r="Q3" s="45"/>
      <c r="R3" s="46"/>
      <c r="S3" s="47" t="s">
        <v>4</v>
      </c>
      <c r="T3" s="48"/>
      <c r="U3" s="48"/>
      <c r="V3" s="48"/>
      <c r="W3" s="49"/>
    </row>
    <row r="4" spans="1:30" ht="15.75" customHeight="1">
      <c r="A4" s="13"/>
      <c r="B4" s="53">
        <v>3</v>
      </c>
      <c r="C4" s="54">
        <v>49.74</v>
      </c>
      <c r="D4" s="54">
        <v>1.42</v>
      </c>
      <c r="E4" s="1">
        <v>8</v>
      </c>
      <c r="F4" s="1">
        <v>8</v>
      </c>
      <c r="G4" s="8">
        <f t="shared" si="0"/>
        <v>0</v>
      </c>
      <c r="H4" s="90">
        <v>171.78</v>
      </c>
      <c r="I4" s="15">
        <v>171.78</v>
      </c>
      <c r="J4" s="6">
        <f t="shared" si="1"/>
        <v>0</v>
      </c>
      <c r="K4" s="116"/>
      <c r="L4" s="39"/>
      <c r="M4" s="37" t="s">
        <v>0</v>
      </c>
      <c r="N4" s="21" t="s">
        <v>1</v>
      </c>
      <c r="O4" s="21" t="s">
        <v>15</v>
      </c>
      <c r="P4" s="21" t="s">
        <v>16</v>
      </c>
      <c r="Q4" s="21" t="s">
        <v>17</v>
      </c>
      <c r="R4" s="21" t="s">
        <v>3</v>
      </c>
      <c r="S4" s="16" t="s">
        <v>0</v>
      </c>
      <c r="T4" s="16" t="s">
        <v>1</v>
      </c>
      <c r="U4" s="16" t="s">
        <v>15</v>
      </c>
      <c r="V4" s="16" t="s">
        <v>16</v>
      </c>
      <c r="W4" s="17" t="s">
        <v>17</v>
      </c>
    </row>
    <row r="5" spans="1:30" ht="15.75" customHeight="1" thickBot="1">
      <c r="A5" s="13"/>
      <c r="B5" s="11" t="s">
        <v>48</v>
      </c>
      <c r="C5" s="85">
        <v>49.62</v>
      </c>
      <c r="D5" s="14">
        <v>1.41</v>
      </c>
      <c r="E5" s="1">
        <v>16</v>
      </c>
      <c r="F5" s="1">
        <v>16</v>
      </c>
      <c r="G5" s="8">
        <f t="shared" si="0"/>
        <v>0</v>
      </c>
      <c r="H5" s="90">
        <v>421.24</v>
      </c>
      <c r="I5" s="15">
        <v>421.24</v>
      </c>
      <c r="J5" s="6">
        <f t="shared" si="1"/>
        <v>0</v>
      </c>
      <c r="K5" s="116"/>
      <c r="L5" s="39"/>
      <c r="M5" s="38">
        <v>3203.86</v>
      </c>
      <c r="N5" s="2">
        <v>425.78</v>
      </c>
      <c r="O5" s="2">
        <v>0</v>
      </c>
      <c r="P5" s="2">
        <v>0</v>
      </c>
      <c r="Q5" s="2">
        <v>63.3</v>
      </c>
      <c r="R5" s="7">
        <f>SUM(M5:Q5)</f>
        <v>3692.9400000000005</v>
      </c>
      <c r="S5" s="3">
        <f>(M5/R5)*100</f>
        <v>86.756351308171801</v>
      </c>
      <c r="T5" s="3">
        <f>(N5/R5)*100</f>
        <v>11.529567228278822</v>
      </c>
      <c r="U5" s="3">
        <f>(O5/R5)*100</f>
        <v>0</v>
      </c>
      <c r="V5" s="3">
        <f>(P5/R5)*100</f>
        <v>0</v>
      </c>
      <c r="W5" s="18">
        <f>(Q5/R5)*100</f>
        <v>1.7140814635493669</v>
      </c>
    </row>
    <row r="6" spans="1:30" ht="15.75" customHeight="1" thickBot="1">
      <c r="A6" s="13"/>
      <c r="B6" s="11" t="s">
        <v>83</v>
      </c>
      <c r="C6" s="85">
        <v>49.35</v>
      </c>
      <c r="D6" s="14">
        <v>1.78</v>
      </c>
      <c r="E6" s="1">
        <v>14</v>
      </c>
      <c r="F6" s="1">
        <v>14</v>
      </c>
      <c r="G6" s="8">
        <f t="shared" si="0"/>
        <v>0</v>
      </c>
      <c r="H6" s="90">
        <v>426.98</v>
      </c>
      <c r="I6" s="15">
        <v>426.98</v>
      </c>
      <c r="J6" s="6">
        <f t="shared" si="1"/>
        <v>0</v>
      </c>
      <c r="K6" s="117"/>
      <c r="L6" s="39"/>
      <c r="M6" s="77"/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</row>
    <row r="7" spans="1:30" ht="15.75" customHeight="1">
      <c r="A7" s="13"/>
      <c r="B7" s="11">
        <v>9</v>
      </c>
      <c r="C7" s="85">
        <v>48.81</v>
      </c>
      <c r="D7" s="14">
        <v>1.38</v>
      </c>
      <c r="E7" s="1">
        <v>10</v>
      </c>
      <c r="F7" s="1">
        <v>10</v>
      </c>
      <c r="G7" s="8">
        <f t="shared" si="0"/>
        <v>0</v>
      </c>
      <c r="H7" s="90">
        <v>214.12</v>
      </c>
      <c r="I7" s="15">
        <v>214.12</v>
      </c>
      <c r="J7" s="6">
        <f t="shared" si="1"/>
        <v>0</v>
      </c>
      <c r="K7" s="115" t="s">
        <v>50</v>
      </c>
      <c r="L7" s="39"/>
      <c r="M7" s="102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</row>
    <row r="8" spans="1:30" ht="15.75" customHeight="1">
      <c r="A8" s="13"/>
      <c r="B8" s="11">
        <v>10</v>
      </c>
      <c r="C8" s="85">
        <v>50.33</v>
      </c>
      <c r="D8" s="14">
        <v>1.41</v>
      </c>
      <c r="E8" s="1">
        <v>10</v>
      </c>
      <c r="F8" s="1">
        <v>10</v>
      </c>
      <c r="G8" s="8">
        <f t="shared" ref="G8:G12" si="2">E8-F8</f>
        <v>0</v>
      </c>
      <c r="H8" s="90">
        <v>225.48</v>
      </c>
      <c r="I8" s="15">
        <v>225.48</v>
      </c>
      <c r="J8" s="6">
        <f t="shared" ref="J8:J12" si="3">H8-I8</f>
        <v>0</v>
      </c>
      <c r="K8" s="116"/>
      <c r="L8" s="39"/>
      <c r="M8" s="97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</row>
    <row r="9" spans="1:30" ht="15.75" customHeight="1">
      <c r="A9" s="13"/>
      <c r="B9" s="11">
        <v>11</v>
      </c>
      <c r="C9" s="85">
        <v>49.89</v>
      </c>
      <c r="D9" s="14">
        <v>1.29</v>
      </c>
      <c r="E9" s="1">
        <v>13</v>
      </c>
      <c r="F9" s="1">
        <v>13</v>
      </c>
      <c r="G9" s="8">
        <f t="shared" si="2"/>
        <v>0</v>
      </c>
      <c r="H9" s="90">
        <v>269.12</v>
      </c>
      <c r="I9" s="15">
        <v>269.12</v>
      </c>
      <c r="J9" s="6">
        <f t="shared" si="3"/>
        <v>0</v>
      </c>
      <c r="K9" s="116"/>
      <c r="L9" s="39"/>
      <c r="M9" s="97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</row>
    <row r="10" spans="1:30" ht="15.75" customHeight="1">
      <c r="A10" s="13"/>
      <c r="B10" s="11">
        <v>12</v>
      </c>
      <c r="C10" s="85">
        <v>49.91</v>
      </c>
      <c r="D10" s="14">
        <v>1.46</v>
      </c>
      <c r="E10" s="1">
        <v>10</v>
      </c>
      <c r="F10" s="1">
        <v>10</v>
      </c>
      <c r="G10" s="8">
        <f t="shared" si="2"/>
        <v>0</v>
      </c>
      <c r="H10" s="90">
        <v>236.52</v>
      </c>
      <c r="I10" s="15">
        <v>236.52</v>
      </c>
      <c r="J10" s="6">
        <f t="shared" si="3"/>
        <v>0</v>
      </c>
      <c r="K10" s="116"/>
      <c r="L10" s="39"/>
      <c r="M10" s="97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</row>
    <row r="11" spans="1:30" ht="15.75" customHeight="1">
      <c r="A11" s="13"/>
      <c r="B11" s="11">
        <v>13</v>
      </c>
      <c r="C11" s="85">
        <v>39.68</v>
      </c>
      <c r="D11" s="14">
        <v>2.02</v>
      </c>
      <c r="E11" s="1">
        <v>6</v>
      </c>
      <c r="F11" s="1">
        <v>6</v>
      </c>
      <c r="G11" s="8">
        <f t="shared" si="2"/>
        <v>0</v>
      </c>
      <c r="H11" s="90">
        <v>138.84</v>
      </c>
      <c r="I11" s="70">
        <v>138.84</v>
      </c>
      <c r="J11" s="6">
        <f t="shared" si="3"/>
        <v>0</v>
      </c>
      <c r="K11" s="116"/>
      <c r="L11" s="39"/>
      <c r="M11" s="97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</row>
    <row r="12" spans="1:30" ht="15.75" customHeight="1">
      <c r="A12" s="13"/>
      <c r="B12" s="11">
        <v>14</v>
      </c>
      <c r="C12" s="85">
        <v>38.81</v>
      </c>
      <c r="D12" s="14">
        <v>2.12</v>
      </c>
      <c r="E12" s="1">
        <v>5</v>
      </c>
      <c r="F12" s="1">
        <v>5</v>
      </c>
      <c r="G12" s="8">
        <f t="shared" si="2"/>
        <v>0</v>
      </c>
      <c r="H12" s="90">
        <v>114.88</v>
      </c>
      <c r="I12" s="70">
        <v>114.88</v>
      </c>
      <c r="J12" s="6">
        <f t="shared" si="3"/>
        <v>0</v>
      </c>
      <c r="K12" s="116"/>
      <c r="L12" s="39"/>
      <c r="M12" s="97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</row>
    <row r="13" spans="1:30" ht="15.75" customHeight="1">
      <c r="A13" s="13"/>
      <c r="B13" s="11">
        <v>15</v>
      </c>
      <c r="C13" s="14">
        <v>49.17</v>
      </c>
      <c r="D13" s="14">
        <v>0.97</v>
      </c>
      <c r="E13" s="1">
        <v>10</v>
      </c>
      <c r="F13" s="1">
        <v>10</v>
      </c>
      <c r="G13" s="8">
        <f t="shared" si="0"/>
        <v>0</v>
      </c>
      <c r="H13" s="90">
        <v>225.26</v>
      </c>
      <c r="I13" s="15">
        <v>225.26</v>
      </c>
      <c r="J13" s="6">
        <f t="shared" si="1"/>
        <v>0</v>
      </c>
      <c r="K13" s="116"/>
      <c r="L13" s="39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</row>
    <row r="14" spans="1:30" ht="15.75" customHeight="1">
      <c r="A14" s="13"/>
      <c r="B14" s="40">
        <v>16</v>
      </c>
      <c r="C14" s="14">
        <v>48.81</v>
      </c>
      <c r="D14" s="41">
        <v>0.88</v>
      </c>
      <c r="E14" s="12">
        <v>13</v>
      </c>
      <c r="F14" s="1">
        <v>13</v>
      </c>
      <c r="G14" s="8">
        <f t="shared" si="0"/>
        <v>0</v>
      </c>
      <c r="H14" s="90">
        <v>283.22000000000003</v>
      </c>
      <c r="I14" s="15">
        <v>283.22000000000003</v>
      </c>
      <c r="J14" s="6">
        <f t="shared" si="1"/>
        <v>0</v>
      </c>
      <c r="K14" s="116"/>
      <c r="L14" s="39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</row>
    <row r="15" spans="1:30" ht="15.75" customHeight="1" thickBot="1">
      <c r="A15" s="13"/>
      <c r="B15" s="11">
        <v>17</v>
      </c>
      <c r="C15" s="14">
        <v>49.64</v>
      </c>
      <c r="D15" s="14">
        <v>2.3199999999999998</v>
      </c>
      <c r="E15" s="1">
        <v>7</v>
      </c>
      <c r="F15" s="1">
        <v>7</v>
      </c>
      <c r="G15" s="8">
        <f t="shared" si="0"/>
        <v>0</v>
      </c>
      <c r="H15" s="91">
        <v>146.62</v>
      </c>
      <c r="I15" s="15">
        <v>146.62</v>
      </c>
      <c r="J15" s="6">
        <f t="shared" si="1"/>
        <v>0</v>
      </c>
      <c r="K15" s="116"/>
      <c r="L15" s="39"/>
      <c r="M15" s="5"/>
      <c r="N15" s="5"/>
    </row>
    <row r="16" spans="1:30" ht="15.75" customHeight="1">
      <c r="A16" s="13"/>
      <c r="B16" s="40">
        <v>22</v>
      </c>
      <c r="C16" s="14">
        <v>49.81</v>
      </c>
      <c r="D16" s="41">
        <v>1.53</v>
      </c>
      <c r="E16" s="12">
        <v>11</v>
      </c>
      <c r="F16" s="12">
        <v>11</v>
      </c>
      <c r="G16" s="8">
        <f t="shared" si="0"/>
        <v>0</v>
      </c>
      <c r="H16" s="91">
        <v>262.02</v>
      </c>
      <c r="I16" s="15">
        <v>262.02</v>
      </c>
      <c r="J16" s="6">
        <f t="shared" si="1"/>
        <v>0</v>
      </c>
      <c r="K16" s="115" t="s">
        <v>32</v>
      </c>
      <c r="L16" s="39"/>
      <c r="M16" s="5"/>
      <c r="N16" s="5"/>
    </row>
    <row r="17" spans="1:14" ht="15.75" customHeight="1" thickBot="1">
      <c r="A17" s="13"/>
      <c r="B17" s="40">
        <v>23</v>
      </c>
      <c r="C17" s="14">
        <v>49.65</v>
      </c>
      <c r="D17" s="41">
        <v>1.29</v>
      </c>
      <c r="E17" s="12">
        <v>8</v>
      </c>
      <c r="F17" s="1">
        <v>8</v>
      </c>
      <c r="G17" s="8">
        <f t="shared" si="0"/>
        <v>0</v>
      </c>
      <c r="H17" s="91">
        <v>197.72</v>
      </c>
      <c r="I17" s="15">
        <v>197.72</v>
      </c>
      <c r="J17" s="6">
        <f t="shared" si="1"/>
        <v>0</v>
      </c>
      <c r="K17" s="116"/>
      <c r="L17" s="77"/>
      <c r="M17" s="5"/>
      <c r="N17" s="5"/>
    </row>
    <row r="18" spans="1:14" ht="16.5" thickBot="1">
      <c r="A18" s="19"/>
      <c r="B18" s="42" t="s">
        <v>3</v>
      </c>
      <c r="C18" s="42"/>
      <c r="D18" s="42"/>
      <c r="E18" s="4">
        <f t="shared" ref="E18:J18" si="4">SUM(E2:E17)</f>
        <v>153</v>
      </c>
      <c r="F18" s="4">
        <f t="shared" si="4"/>
        <v>153</v>
      </c>
      <c r="G18" s="4">
        <f t="shared" si="4"/>
        <v>0</v>
      </c>
      <c r="H18" s="4">
        <f t="shared" si="4"/>
        <v>3629.6400000000003</v>
      </c>
      <c r="I18" s="9">
        <f t="shared" si="4"/>
        <v>3629.6400000000003</v>
      </c>
      <c r="J18" s="9">
        <f t="shared" si="4"/>
        <v>0</v>
      </c>
      <c r="K18" s="20"/>
      <c r="L18" s="39"/>
    </row>
    <row r="19" spans="1:14">
      <c r="I19" s="5"/>
      <c r="L19" s="10"/>
    </row>
  </sheetData>
  <mergeCells count="5">
    <mergeCell ref="K16:K17"/>
    <mergeCell ref="N2:O2"/>
    <mergeCell ref="P2:W2"/>
    <mergeCell ref="K2:K6"/>
    <mergeCell ref="K7:K15"/>
  </mergeCells>
  <conditionalFormatting sqref="D2:D6 D16 D8:D14">
    <cfRule type="cellIs" dxfId="23" priority="9" operator="greaterThan">
      <formula>2.99</formula>
    </cfRule>
  </conditionalFormatting>
  <conditionalFormatting sqref="C2:C6 C16 C8:C14">
    <cfRule type="cellIs" dxfId="22" priority="10" operator="lessThan">
      <formula>44.99</formula>
    </cfRule>
  </conditionalFormatting>
  <conditionalFormatting sqref="D17">
    <cfRule type="cellIs" dxfId="21" priority="7" operator="greaterThan">
      <formula>2.99</formula>
    </cfRule>
  </conditionalFormatting>
  <conditionalFormatting sqref="C17">
    <cfRule type="cellIs" dxfId="20" priority="8" operator="lessThan">
      <formula>44.99</formula>
    </cfRule>
  </conditionalFormatting>
  <conditionalFormatting sqref="D15">
    <cfRule type="cellIs" dxfId="19" priority="5" operator="greaterThan">
      <formula>2.99</formula>
    </cfRule>
  </conditionalFormatting>
  <conditionalFormatting sqref="C15">
    <cfRule type="cellIs" dxfId="18" priority="6" operator="lessThan">
      <formula>44.99</formula>
    </cfRule>
  </conditionalFormatting>
  <conditionalFormatting sqref="D7">
    <cfRule type="cellIs" dxfId="17" priority="1" operator="greaterThan">
      <formula>2.99</formula>
    </cfRule>
  </conditionalFormatting>
  <conditionalFormatting sqref="C7">
    <cfRule type="cellIs" dxfId="16" priority="2" operator="lessThan">
      <formula>44.99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3BFD1-38C9-47B7-993C-B4FE344559B2}">
  <dimension ref="A1:AD21"/>
  <sheetViews>
    <sheetView workbookViewId="0">
      <selection activeCell="N18" sqref="N18"/>
    </sheetView>
  </sheetViews>
  <sheetFormatPr defaultColWidth="8.28515625" defaultRowHeight="15"/>
  <cols>
    <col min="1" max="1" width="9" customWidth="1"/>
    <col min="2" max="2" width="12" bestFit="1" customWidth="1"/>
    <col min="5" max="5" width="9.85546875" customWidth="1"/>
    <col min="7" max="7" width="6.85546875" bestFit="1" customWidth="1"/>
    <col min="8" max="8" width="9.28515625" bestFit="1" customWidth="1"/>
    <col min="11" max="11" width="19.28515625" customWidth="1"/>
    <col min="12" max="12" width="18" bestFit="1" customWidth="1"/>
    <col min="15" max="15" width="9.28515625" customWidth="1"/>
  </cols>
  <sheetData>
    <row r="1" spans="1:30" ht="78" customHeight="1" thickBot="1">
      <c r="A1" s="50" t="s">
        <v>2</v>
      </c>
      <c r="B1" s="51" t="s">
        <v>5</v>
      </c>
      <c r="C1" s="51" t="s">
        <v>6</v>
      </c>
      <c r="D1" s="51" t="s">
        <v>14</v>
      </c>
      <c r="E1" s="51" t="s">
        <v>21</v>
      </c>
      <c r="F1" s="51" t="s">
        <v>9</v>
      </c>
      <c r="G1" s="51" t="s">
        <v>10</v>
      </c>
      <c r="H1" s="51" t="s">
        <v>22</v>
      </c>
      <c r="I1" s="51" t="s">
        <v>7</v>
      </c>
      <c r="J1" s="51" t="s">
        <v>12</v>
      </c>
      <c r="K1" s="52" t="s">
        <v>23</v>
      </c>
      <c r="L1" s="39"/>
    </row>
    <row r="2" spans="1:30" ht="16.5" customHeight="1" thickBot="1">
      <c r="A2" s="28" t="str">
        <f>N2</f>
        <v>17.05.2026</v>
      </c>
      <c r="B2" s="53">
        <v>24</v>
      </c>
      <c r="C2" s="54">
        <v>49.4</v>
      </c>
      <c r="D2" s="54">
        <v>1.17</v>
      </c>
      <c r="E2" s="1">
        <v>6</v>
      </c>
      <c r="F2" s="1">
        <v>6</v>
      </c>
      <c r="G2" s="8">
        <f t="shared" ref="G2:G18" si="0">E2-F2</f>
        <v>0</v>
      </c>
      <c r="H2" s="90">
        <v>154.26</v>
      </c>
      <c r="I2" s="15">
        <v>154.26</v>
      </c>
      <c r="J2" s="6">
        <f>H2-I2</f>
        <v>0</v>
      </c>
      <c r="K2" s="115" t="s">
        <v>32</v>
      </c>
      <c r="L2" s="39"/>
      <c r="M2" s="101" t="s">
        <v>13</v>
      </c>
      <c r="N2" s="111" t="s">
        <v>84</v>
      </c>
      <c r="O2" s="112"/>
      <c r="P2" s="121"/>
      <c r="Q2" s="122"/>
      <c r="R2" s="122"/>
      <c r="S2" s="122"/>
      <c r="T2" s="122"/>
      <c r="U2" s="122"/>
      <c r="V2" s="122"/>
      <c r="W2" s="123"/>
    </row>
    <row r="3" spans="1:30" ht="15.75" customHeight="1" thickBot="1">
      <c r="A3" s="13"/>
      <c r="B3" s="53">
        <v>1.2</v>
      </c>
      <c r="C3" s="54">
        <v>48.93</v>
      </c>
      <c r="D3" s="54">
        <v>1.4</v>
      </c>
      <c r="E3" s="1">
        <v>10</v>
      </c>
      <c r="F3" s="1">
        <v>10</v>
      </c>
      <c r="G3" s="8">
        <f t="shared" si="0"/>
        <v>0</v>
      </c>
      <c r="H3" s="90">
        <v>232.44</v>
      </c>
      <c r="I3" s="15">
        <v>232.44</v>
      </c>
      <c r="J3" s="6">
        <f t="shared" ref="J3:J18" si="1">H3-I3</f>
        <v>0</v>
      </c>
      <c r="K3" s="116"/>
      <c r="L3" s="39"/>
      <c r="M3" s="44" t="s">
        <v>20</v>
      </c>
      <c r="N3" s="45"/>
      <c r="O3" s="45"/>
      <c r="P3" s="45"/>
      <c r="Q3" s="45"/>
      <c r="R3" s="46"/>
      <c r="S3" s="47" t="s">
        <v>4</v>
      </c>
      <c r="T3" s="48"/>
      <c r="U3" s="48"/>
      <c r="V3" s="48"/>
      <c r="W3" s="49"/>
    </row>
    <row r="4" spans="1:30" ht="15.75" customHeight="1">
      <c r="A4" s="13"/>
      <c r="B4" s="53">
        <v>2</v>
      </c>
      <c r="C4" s="54">
        <v>48.82</v>
      </c>
      <c r="D4" s="54">
        <v>1.51</v>
      </c>
      <c r="E4" s="1">
        <v>3</v>
      </c>
      <c r="F4" s="1">
        <v>3</v>
      </c>
      <c r="G4" s="8">
        <f t="shared" si="0"/>
        <v>0</v>
      </c>
      <c r="H4" s="90">
        <v>62.04</v>
      </c>
      <c r="I4" s="15">
        <v>62.04</v>
      </c>
      <c r="J4" s="6">
        <f t="shared" si="1"/>
        <v>0</v>
      </c>
      <c r="K4" s="116"/>
      <c r="L4" s="39"/>
      <c r="M4" s="37" t="s">
        <v>0</v>
      </c>
      <c r="N4" s="21" t="s">
        <v>1</v>
      </c>
      <c r="O4" s="21" t="s">
        <v>15</v>
      </c>
      <c r="P4" s="21" t="s">
        <v>16</v>
      </c>
      <c r="Q4" s="21" t="s">
        <v>17</v>
      </c>
      <c r="R4" s="21" t="s">
        <v>3</v>
      </c>
      <c r="S4" s="16" t="s">
        <v>0</v>
      </c>
      <c r="T4" s="16" t="s">
        <v>1</v>
      </c>
      <c r="U4" s="16" t="s">
        <v>15</v>
      </c>
      <c r="V4" s="16" t="s">
        <v>16</v>
      </c>
      <c r="W4" s="17" t="s">
        <v>17</v>
      </c>
    </row>
    <row r="5" spans="1:30" ht="15.75" customHeight="1" thickBot="1">
      <c r="A5" s="13"/>
      <c r="B5" s="11">
        <v>3</v>
      </c>
      <c r="C5" s="85">
        <v>48.5</v>
      </c>
      <c r="D5" s="14">
        <v>1.87</v>
      </c>
      <c r="E5" s="1">
        <v>6</v>
      </c>
      <c r="F5" s="1">
        <v>6</v>
      </c>
      <c r="G5" s="8">
        <f t="shared" si="0"/>
        <v>0</v>
      </c>
      <c r="H5" s="90">
        <v>159.36000000000001</v>
      </c>
      <c r="I5" s="15">
        <v>159.36000000000001</v>
      </c>
      <c r="J5" s="6">
        <f t="shared" si="1"/>
        <v>0</v>
      </c>
      <c r="K5" s="116"/>
      <c r="L5" s="39"/>
      <c r="M5" s="38">
        <v>1875.8</v>
      </c>
      <c r="N5" s="2">
        <v>859.1</v>
      </c>
      <c r="O5" s="2">
        <v>0</v>
      </c>
      <c r="P5" s="2">
        <v>0</v>
      </c>
      <c r="Q5" s="2">
        <v>0</v>
      </c>
      <c r="R5" s="7">
        <f>SUM(M5:Q5)</f>
        <v>2734.9</v>
      </c>
      <c r="S5" s="3">
        <f>(M5/R5)*100</f>
        <v>68.58751691103879</v>
      </c>
      <c r="T5" s="3">
        <f>(N5/R5)*100</f>
        <v>31.412483088961206</v>
      </c>
      <c r="U5" s="3">
        <f>(O5/R5)*100</f>
        <v>0</v>
      </c>
      <c r="V5" s="3">
        <f>(P5/R5)*100</f>
        <v>0</v>
      </c>
      <c r="W5" s="18">
        <f>(Q5/R5)*100</f>
        <v>0</v>
      </c>
    </row>
    <row r="6" spans="1:30" ht="15.75" customHeight="1">
      <c r="A6" s="13"/>
      <c r="B6" s="11">
        <v>4</v>
      </c>
      <c r="C6" s="85">
        <v>48.6</v>
      </c>
      <c r="D6" s="14">
        <v>1.92</v>
      </c>
      <c r="E6" s="1">
        <v>12</v>
      </c>
      <c r="F6" s="1">
        <v>12</v>
      </c>
      <c r="G6" s="8">
        <f t="shared" si="0"/>
        <v>0</v>
      </c>
      <c r="H6" s="90">
        <v>310.86</v>
      </c>
      <c r="I6" s="15">
        <v>310.86</v>
      </c>
      <c r="J6" s="6">
        <f t="shared" si="1"/>
        <v>0</v>
      </c>
      <c r="K6" s="116"/>
      <c r="L6" s="39"/>
      <c r="M6" s="77"/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</row>
    <row r="7" spans="1:30" ht="15.75" customHeight="1">
      <c r="A7" s="13"/>
      <c r="B7" s="11">
        <v>5</v>
      </c>
      <c r="C7" s="85">
        <v>49.3</v>
      </c>
      <c r="D7" s="14">
        <v>1.2</v>
      </c>
      <c r="E7" s="1">
        <v>3</v>
      </c>
      <c r="F7" s="1">
        <v>3</v>
      </c>
      <c r="G7" s="8">
        <f t="shared" si="0"/>
        <v>0</v>
      </c>
      <c r="H7" s="90">
        <v>77.959999999999994</v>
      </c>
      <c r="I7" s="15">
        <v>77.959999999999994</v>
      </c>
      <c r="J7" s="6">
        <f t="shared" si="1"/>
        <v>0</v>
      </c>
      <c r="K7" s="116"/>
      <c r="L7" s="39"/>
      <c r="M7" s="102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</row>
    <row r="8" spans="1:30" ht="15.75" customHeight="1">
      <c r="A8" s="13"/>
      <c r="B8" s="11">
        <v>6</v>
      </c>
      <c r="C8" s="85">
        <v>49.39</v>
      </c>
      <c r="D8" s="14">
        <v>2</v>
      </c>
      <c r="E8" s="1">
        <v>6</v>
      </c>
      <c r="F8" s="1">
        <v>6</v>
      </c>
      <c r="G8" s="8">
        <f t="shared" si="0"/>
        <v>0</v>
      </c>
      <c r="H8" s="90">
        <v>137.72</v>
      </c>
      <c r="I8" s="15">
        <v>137.72</v>
      </c>
      <c r="J8" s="6">
        <f t="shared" si="1"/>
        <v>0</v>
      </c>
      <c r="K8" s="116"/>
      <c r="L8" s="39"/>
      <c r="M8" s="97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</row>
    <row r="9" spans="1:30" ht="15.75" customHeight="1" thickBot="1">
      <c r="A9" s="13"/>
      <c r="B9" s="11">
        <v>7</v>
      </c>
      <c r="C9" s="85">
        <v>48.29</v>
      </c>
      <c r="D9" s="14">
        <v>1.55</v>
      </c>
      <c r="E9" s="1">
        <v>6</v>
      </c>
      <c r="F9" s="1">
        <v>5</v>
      </c>
      <c r="G9" s="8">
        <f t="shared" si="0"/>
        <v>1</v>
      </c>
      <c r="H9" s="90">
        <v>126</v>
      </c>
      <c r="I9" s="15">
        <v>119.44</v>
      </c>
      <c r="J9" s="6">
        <f t="shared" si="1"/>
        <v>6.5600000000000023</v>
      </c>
      <c r="K9" s="117"/>
      <c r="L9" s="39"/>
      <c r="M9" s="97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</row>
    <row r="10" spans="1:30" ht="15.75" customHeight="1">
      <c r="A10" s="13"/>
      <c r="B10" s="11">
        <v>10</v>
      </c>
      <c r="C10" s="85">
        <v>44.59</v>
      </c>
      <c r="D10" s="14">
        <v>1.05</v>
      </c>
      <c r="E10" s="1">
        <v>6</v>
      </c>
      <c r="F10" s="1">
        <v>6</v>
      </c>
      <c r="G10" s="8">
        <f t="shared" si="0"/>
        <v>0</v>
      </c>
      <c r="H10" s="90">
        <v>125.48</v>
      </c>
      <c r="I10" s="70">
        <v>125.48</v>
      </c>
      <c r="J10" s="6">
        <f t="shared" si="1"/>
        <v>0</v>
      </c>
      <c r="K10" s="115" t="s">
        <v>50</v>
      </c>
      <c r="L10" s="39"/>
      <c r="M10" s="97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</row>
    <row r="11" spans="1:30" ht="15.75" customHeight="1">
      <c r="A11" s="13"/>
      <c r="B11" s="11">
        <v>11</v>
      </c>
      <c r="C11" s="85">
        <v>43.84</v>
      </c>
      <c r="D11" s="14">
        <v>1.1299999999999999</v>
      </c>
      <c r="E11" s="1">
        <v>10</v>
      </c>
      <c r="F11" s="1">
        <v>10</v>
      </c>
      <c r="G11" s="8">
        <f t="shared" si="0"/>
        <v>0</v>
      </c>
      <c r="H11" s="90">
        <v>206.34</v>
      </c>
      <c r="I11" s="70">
        <v>206.34</v>
      </c>
      <c r="J11" s="6">
        <f t="shared" si="1"/>
        <v>0</v>
      </c>
      <c r="K11" s="116"/>
      <c r="L11" s="39"/>
      <c r="M11" s="97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</row>
    <row r="12" spans="1:30" ht="15.75" customHeight="1">
      <c r="A12" s="13"/>
      <c r="B12" s="11">
        <v>12</v>
      </c>
      <c r="C12" s="85">
        <v>41.19</v>
      </c>
      <c r="D12" s="14">
        <v>1.05</v>
      </c>
      <c r="E12" s="1">
        <v>5</v>
      </c>
      <c r="F12" s="1">
        <v>5</v>
      </c>
      <c r="G12" s="8">
        <f t="shared" si="0"/>
        <v>0</v>
      </c>
      <c r="H12" s="90">
        <v>85.62</v>
      </c>
      <c r="I12" s="70">
        <v>85.62</v>
      </c>
      <c r="J12" s="6">
        <f t="shared" si="1"/>
        <v>0</v>
      </c>
      <c r="K12" s="116"/>
      <c r="L12" s="39"/>
      <c r="M12" s="97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</row>
    <row r="13" spans="1:30" ht="15.75" customHeight="1">
      <c r="A13" s="13"/>
      <c r="B13" s="11">
        <v>14</v>
      </c>
      <c r="C13" s="14">
        <v>48.63</v>
      </c>
      <c r="D13" s="14">
        <v>1.46</v>
      </c>
      <c r="E13" s="1">
        <v>7</v>
      </c>
      <c r="F13" s="1">
        <v>7</v>
      </c>
      <c r="G13" s="8">
        <f t="shared" si="0"/>
        <v>0</v>
      </c>
      <c r="H13" s="90">
        <v>149.5</v>
      </c>
      <c r="I13" s="15">
        <v>149.5</v>
      </c>
      <c r="J13" s="6">
        <f t="shared" si="1"/>
        <v>0</v>
      </c>
      <c r="K13" s="116"/>
      <c r="L13" s="39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</row>
    <row r="14" spans="1:30" ht="15.75" customHeight="1">
      <c r="A14" s="13"/>
      <c r="B14" s="40">
        <v>15.2</v>
      </c>
      <c r="C14" s="14">
        <v>50.73</v>
      </c>
      <c r="D14" s="41">
        <v>1.18</v>
      </c>
      <c r="E14" s="12">
        <v>5</v>
      </c>
      <c r="F14" s="1">
        <v>5</v>
      </c>
      <c r="G14" s="8">
        <f t="shared" si="0"/>
        <v>0</v>
      </c>
      <c r="H14" s="90">
        <v>104.44</v>
      </c>
      <c r="I14" s="15">
        <v>104.44</v>
      </c>
      <c r="J14" s="6">
        <f t="shared" si="1"/>
        <v>0</v>
      </c>
      <c r="K14" s="116"/>
      <c r="L14" s="39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</row>
    <row r="15" spans="1:30" ht="15.75" customHeight="1">
      <c r="A15" s="13"/>
      <c r="B15" s="40">
        <v>17.399999999999999</v>
      </c>
      <c r="C15" s="14">
        <v>47.24</v>
      </c>
      <c r="D15" s="41">
        <v>1.79</v>
      </c>
      <c r="E15" s="12">
        <v>12</v>
      </c>
      <c r="F15" s="1">
        <v>12</v>
      </c>
      <c r="G15" s="8">
        <f t="shared" si="0"/>
        <v>0</v>
      </c>
      <c r="H15" s="90">
        <v>221.16</v>
      </c>
      <c r="I15" s="15">
        <v>221.16</v>
      </c>
      <c r="J15" s="6">
        <f t="shared" si="1"/>
        <v>0</v>
      </c>
      <c r="K15" s="116"/>
      <c r="L15" s="39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8"/>
      <c r="Z15" s="88"/>
      <c r="AA15" s="88"/>
      <c r="AB15" s="88"/>
      <c r="AC15" s="88"/>
      <c r="AD15" s="88"/>
    </row>
    <row r="16" spans="1:30" ht="15.75" customHeight="1" thickBot="1">
      <c r="A16" s="13"/>
      <c r="B16" s="40">
        <v>18.3</v>
      </c>
      <c r="C16" s="14">
        <v>39.21</v>
      </c>
      <c r="D16" s="41">
        <v>0.96</v>
      </c>
      <c r="E16" s="12">
        <v>7</v>
      </c>
      <c r="F16" s="1">
        <v>7</v>
      </c>
      <c r="G16" s="8">
        <f t="shared" si="0"/>
        <v>0</v>
      </c>
      <c r="H16" s="90">
        <v>126.94</v>
      </c>
      <c r="I16" s="70">
        <v>126.94</v>
      </c>
      <c r="J16" s="6">
        <f t="shared" si="1"/>
        <v>0</v>
      </c>
      <c r="K16" s="117"/>
      <c r="L16" s="39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</row>
    <row r="17" spans="1:30" ht="15.75" customHeight="1">
      <c r="A17" s="13"/>
      <c r="B17" s="40">
        <v>21</v>
      </c>
      <c r="C17" s="14">
        <v>50.93</v>
      </c>
      <c r="D17" s="41">
        <v>0.89</v>
      </c>
      <c r="E17" s="12">
        <v>7</v>
      </c>
      <c r="F17" s="1">
        <v>7</v>
      </c>
      <c r="G17" s="8">
        <f t="shared" si="0"/>
        <v>0</v>
      </c>
      <c r="H17" s="90">
        <v>146.62</v>
      </c>
      <c r="I17" s="15">
        <v>146.62</v>
      </c>
      <c r="J17" s="6">
        <f t="shared" si="1"/>
        <v>0</v>
      </c>
      <c r="K17" s="115" t="s">
        <v>32</v>
      </c>
      <c r="L17" s="39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</row>
    <row r="18" spans="1:30" ht="15.75" customHeight="1">
      <c r="A18" s="13"/>
      <c r="B18" s="40">
        <v>22</v>
      </c>
      <c r="C18" s="14">
        <v>52.25</v>
      </c>
      <c r="D18" s="41">
        <v>1.24</v>
      </c>
      <c r="E18" s="12">
        <v>7</v>
      </c>
      <c r="F18" s="1">
        <v>7</v>
      </c>
      <c r="G18" s="8">
        <f t="shared" si="0"/>
        <v>0</v>
      </c>
      <c r="H18" s="90">
        <v>145.38</v>
      </c>
      <c r="I18" s="15">
        <v>145.38</v>
      </c>
      <c r="J18" s="6">
        <f t="shared" si="1"/>
        <v>0</v>
      </c>
      <c r="K18" s="116"/>
      <c r="L18" s="39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</row>
    <row r="19" spans="1:30" ht="15.75" customHeight="1" thickBot="1">
      <c r="A19" s="13"/>
      <c r="B19" s="40">
        <v>23</v>
      </c>
      <c r="C19" s="14">
        <v>52.76</v>
      </c>
      <c r="D19" s="41">
        <v>0.98</v>
      </c>
      <c r="E19" s="12">
        <v>6</v>
      </c>
      <c r="F19" s="1">
        <v>6</v>
      </c>
      <c r="G19" s="8">
        <v>1</v>
      </c>
      <c r="H19" s="90">
        <v>126</v>
      </c>
      <c r="I19" s="70">
        <v>125.72</v>
      </c>
      <c r="J19" s="6">
        <v>22.92</v>
      </c>
      <c r="K19" s="117"/>
      <c r="L19" s="39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</row>
    <row r="20" spans="1:30" ht="16.5" thickBot="1">
      <c r="A20" s="19"/>
      <c r="B20" s="42" t="s">
        <v>3</v>
      </c>
      <c r="C20" s="42"/>
      <c r="D20" s="42"/>
      <c r="E20" s="4">
        <f t="shared" ref="E20:J20" si="2">SUM(E2:E19)</f>
        <v>124</v>
      </c>
      <c r="F20" s="4">
        <f t="shared" si="2"/>
        <v>123</v>
      </c>
      <c r="G20" s="4">
        <f t="shared" si="2"/>
        <v>2</v>
      </c>
      <c r="H20" s="4">
        <f t="shared" si="2"/>
        <v>2698.12</v>
      </c>
      <c r="I20" s="9">
        <f t="shared" si="2"/>
        <v>2691.2799999999997</v>
      </c>
      <c r="J20" s="9">
        <f t="shared" si="2"/>
        <v>29.480000000000004</v>
      </c>
      <c r="K20" s="20"/>
      <c r="L20" s="39"/>
    </row>
    <row r="21" spans="1:30">
      <c r="I21" s="5"/>
      <c r="L21" s="10"/>
    </row>
  </sheetData>
  <mergeCells count="5">
    <mergeCell ref="K17:K19"/>
    <mergeCell ref="K2:K9"/>
    <mergeCell ref="K10:K16"/>
    <mergeCell ref="N2:O2"/>
    <mergeCell ref="P2:W2"/>
  </mergeCells>
  <conditionalFormatting sqref="D2:D6 D8:D19">
    <cfRule type="cellIs" dxfId="15" priority="7" operator="greaterThan">
      <formula>2.99</formula>
    </cfRule>
  </conditionalFormatting>
  <conditionalFormatting sqref="C2:C6 C8:C19">
    <cfRule type="cellIs" dxfId="14" priority="8" operator="lessThan">
      <formula>44.99</formula>
    </cfRule>
  </conditionalFormatting>
  <conditionalFormatting sqref="D7">
    <cfRule type="cellIs" dxfId="13" priority="1" operator="greaterThan">
      <formula>2.99</formula>
    </cfRule>
  </conditionalFormatting>
  <conditionalFormatting sqref="C7">
    <cfRule type="cellIs" dxfId="12" priority="2" operator="lessThan">
      <formula>44.99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504C1-5097-4AEC-A94B-005511FB9D1D}">
  <dimension ref="A1:AD17"/>
  <sheetViews>
    <sheetView workbookViewId="0">
      <selection sqref="A1:XFD1048576"/>
    </sheetView>
  </sheetViews>
  <sheetFormatPr defaultColWidth="8.28515625" defaultRowHeight="15"/>
  <cols>
    <col min="1" max="1" width="9" customWidth="1"/>
    <col min="2" max="2" width="12" bestFit="1" customWidth="1"/>
    <col min="5" max="5" width="9.85546875" customWidth="1"/>
    <col min="7" max="7" width="6.85546875" bestFit="1" customWidth="1"/>
    <col min="8" max="8" width="9.28515625" bestFit="1" customWidth="1"/>
    <col min="11" max="11" width="19.28515625" customWidth="1"/>
    <col min="12" max="12" width="18" bestFit="1" customWidth="1"/>
    <col min="15" max="15" width="9.28515625" customWidth="1"/>
  </cols>
  <sheetData>
    <row r="1" spans="1:30" ht="78" customHeight="1" thickBot="1">
      <c r="A1" s="50" t="s">
        <v>2</v>
      </c>
      <c r="B1" s="51" t="s">
        <v>5</v>
      </c>
      <c r="C1" s="51" t="s">
        <v>6</v>
      </c>
      <c r="D1" s="51" t="s">
        <v>14</v>
      </c>
      <c r="E1" s="51" t="s">
        <v>21</v>
      </c>
      <c r="F1" s="51" t="s">
        <v>9</v>
      </c>
      <c r="G1" s="51" t="s">
        <v>10</v>
      </c>
      <c r="H1" s="51" t="s">
        <v>22</v>
      </c>
      <c r="I1" s="51" t="s">
        <v>7</v>
      </c>
      <c r="J1" s="51" t="s">
        <v>12</v>
      </c>
      <c r="K1" s="52" t="s">
        <v>23</v>
      </c>
      <c r="L1" s="39"/>
    </row>
    <row r="2" spans="1:30" ht="16.5" customHeight="1" thickBot="1">
      <c r="A2" s="28" t="str">
        <f>N2</f>
        <v>18.05.2026</v>
      </c>
      <c r="B2" s="53">
        <v>24</v>
      </c>
      <c r="C2" s="54">
        <v>42.02</v>
      </c>
      <c r="D2" s="54">
        <v>1.03</v>
      </c>
      <c r="E2" s="1">
        <v>14</v>
      </c>
      <c r="F2" s="1">
        <v>14</v>
      </c>
      <c r="G2" s="8">
        <f t="shared" ref="G2:G15" si="0">E2-F2</f>
        <v>0</v>
      </c>
      <c r="H2" s="90">
        <v>291.8</v>
      </c>
      <c r="I2" s="70">
        <v>291.8</v>
      </c>
      <c r="J2" s="6">
        <f>H2-I2</f>
        <v>0</v>
      </c>
      <c r="K2" s="115" t="s">
        <v>32</v>
      </c>
      <c r="L2" s="39"/>
      <c r="M2" s="103" t="s">
        <v>13</v>
      </c>
      <c r="N2" s="111" t="s">
        <v>85</v>
      </c>
      <c r="O2" s="112"/>
      <c r="P2" s="121"/>
      <c r="Q2" s="122"/>
      <c r="R2" s="122"/>
      <c r="S2" s="122"/>
      <c r="T2" s="122"/>
      <c r="U2" s="122"/>
      <c r="V2" s="122"/>
      <c r="W2" s="123"/>
    </row>
    <row r="3" spans="1:30" ht="15.75" customHeight="1" thickBot="1">
      <c r="A3" s="13"/>
      <c r="B3" s="53">
        <v>1</v>
      </c>
      <c r="C3" s="54">
        <v>43.14</v>
      </c>
      <c r="D3" s="54">
        <v>0.98</v>
      </c>
      <c r="E3" s="1">
        <v>3</v>
      </c>
      <c r="F3" s="1">
        <v>3</v>
      </c>
      <c r="G3" s="8">
        <f t="shared" si="0"/>
        <v>0</v>
      </c>
      <c r="H3" s="90">
        <v>45.12</v>
      </c>
      <c r="I3" s="70">
        <v>45.12</v>
      </c>
      <c r="J3" s="6">
        <f t="shared" ref="J3:J15" si="1">H3-I3</f>
        <v>0</v>
      </c>
      <c r="K3" s="116"/>
      <c r="L3" s="89" t="s">
        <v>62</v>
      </c>
      <c r="M3" s="44" t="s">
        <v>20</v>
      </c>
      <c r="N3" s="45"/>
      <c r="O3" s="45"/>
      <c r="P3" s="45"/>
      <c r="Q3" s="45"/>
      <c r="R3" s="46"/>
      <c r="S3" s="47" t="s">
        <v>4</v>
      </c>
      <c r="T3" s="48"/>
      <c r="U3" s="48"/>
      <c r="V3" s="48"/>
      <c r="W3" s="49"/>
    </row>
    <row r="4" spans="1:30" ht="15.75" customHeight="1">
      <c r="A4" s="13"/>
      <c r="B4" s="53">
        <v>2</v>
      </c>
      <c r="C4" s="54">
        <v>40.26</v>
      </c>
      <c r="D4" s="54">
        <v>1.02</v>
      </c>
      <c r="E4" s="1">
        <v>5</v>
      </c>
      <c r="F4" s="1">
        <v>5</v>
      </c>
      <c r="G4" s="8">
        <f t="shared" si="0"/>
        <v>0</v>
      </c>
      <c r="H4" s="90">
        <v>97.4</v>
      </c>
      <c r="I4" s="70">
        <v>97.4</v>
      </c>
      <c r="J4" s="6">
        <f t="shared" si="1"/>
        <v>0</v>
      </c>
      <c r="K4" s="116"/>
      <c r="L4" s="39"/>
      <c r="M4" s="37" t="s">
        <v>0</v>
      </c>
      <c r="N4" s="21" t="s">
        <v>1</v>
      </c>
      <c r="O4" s="21" t="s">
        <v>15</v>
      </c>
      <c r="P4" s="21" t="s">
        <v>16</v>
      </c>
      <c r="Q4" s="21" t="s">
        <v>17</v>
      </c>
      <c r="R4" s="21" t="s">
        <v>3</v>
      </c>
      <c r="S4" s="16" t="s">
        <v>0</v>
      </c>
      <c r="T4" s="16" t="s">
        <v>1</v>
      </c>
      <c r="U4" s="16" t="s">
        <v>15</v>
      </c>
      <c r="V4" s="16" t="s">
        <v>16</v>
      </c>
      <c r="W4" s="17" t="s">
        <v>17</v>
      </c>
    </row>
    <row r="5" spans="1:30" ht="15.75" customHeight="1" thickBot="1">
      <c r="A5" s="13"/>
      <c r="B5" s="11" t="s">
        <v>88</v>
      </c>
      <c r="C5" s="85">
        <v>50</v>
      </c>
      <c r="D5" s="14">
        <v>1.06</v>
      </c>
      <c r="E5" s="1">
        <v>5</v>
      </c>
      <c r="F5" s="1">
        <v>5</v>
      </c>
      <c r="G5" s="8">
        <f t="shared" si="0"/>
        <v>0</v>
      </c>
      <c r="H5" s="90">
        <v>103.4</v>
      </c>
      <c r="I5" s="15">
        <v>103.4</v>
      </c>
      <c r="J5" s="6">
        <f t="shared" si="1"/>
        <v>0</v>
      </c>
      <c r="K5" s="116"/>
      <c r="L5" s="39"/>
      <c r="M5" s="38">
        <v>1664.12</v>
      </c>
      <c r="N5" s="2">
        <v>1001.38</v>
      </c>
      <c r="O5" s="2">
        <v>0</v>
      </c>
      <c r="P5" s="2">
        <v>0</v>
      </c>
      <c r="Q5" s="2">
        <v>0</v>
      </c>
      <c r="R5" s="7">
        <f>SUM(M5:Q5)</f>
        <v>2665.5</v>
      </c>
      <c r="S5" s="3">
        <f>(M5/R5)*100</f>
        <v>62.431813918589377</v>
      </c>
      <c r="T5" s="3">
        <f>(N5/R5)*100</f>
        <v>37.568186081410616</v>
      </c>
      <c r="U5" s="3">
        <f>(O5/R5)*100</f>
        <v>0</v>
      </c>
      <c r="V5" s="3">
        <f>(P5/R5)*100</f>
        <v>0</v>
      </c>
      <c r="W5" s="18">
        <f>(Q5/R5)*100</f>
        <v>0</v>
      </c>
    </row>
    <row r="6" spans="1:30" ht="15.75" customHeight="1">
      <c r="A6" s="13"/>
      <c r="B6" s="11">
        <v>4</v>
      </c>
      <c r="C6" s="85">
        <v>50.47</v>
      </c>
      <c r="D6" s="14">
        <v>1.9</v>
      </c>
      <c r="E6" s="1">
        <v>6</v>
      </c>
      <c r="F6" s="1">
        <v>6</v>
      </c>
      <c r="G6" s="8">
        <f t="shared" si="0"/>
        <v>0</v>
      </c>
      <c r="H6" s="90">
        <v>117.66</v>
      </c>
      <c r="I6" s="15">
        <v>117.66</v>
      </c>
      <c r="J6" s="6">
        <f t="shared" si="1"/>
        <v>0</v>
      </c>
      <c r="K6" s="116"/>
      <c r="L6" s="39"/>
      <c r="M6" s="77"/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</row>
    <row r="7" spans="1:30" ht="15.75" customHeight="1" thickBot="1">
      <c r="A7" s="13"/>
      <c r="B7" s="11">
        <v>5</v>
      </c>
      <c r="C7" s="85">
        <v>50.87</v>
      </c>
      <c r="D7" s="14">
        <v>1.92</v>
      </c>
      <c r="E7" s="1">
        <v>8</v>
      </c>
      <c r="F7" s="1">
        <v>8</v>
      </c>
      <c r="G7" s="8">
        <f t="shared" si="0"/>
        <v>0</v>
      </c>
      <c r="H7" s="90">
        <v>162.74</v>
      </c>
      <c r="I7" s="15">
        <v>162.74</v>
      </c>
      <c r="J7" s="6">
        <f t="shared" si="1"/>
        <v>0</v>
      </c>
      <c r="K7" s="117"/>
      <c r="L7" s="39"/>
      <c r="M7" s="102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</row>
    <row r="8" spans="1:30" ht="15.75" customHeight="1">
      <c r="A8" s="13"/>
      <c r="B8" s="11">
        <v>6</v>
      </c>
      <c r="C8" s="85">
        <v>51.63</v>
      </c>
      <c r="D8" s="14">
        <v>1.8</v>
      </c>
      <c r="E8" s="1">
        <v>10</v>
      </c>
      <c r="F8" s="1">
        <v>10</v>
      </c>
      <c r="G8" s="8">
        <f t="shared" si="0"/>
        <v>0</v>
      </c>
      <c r="H8" s="90">
        <v>201.66</v>
      </c>
      <c r="I8" s="15">
        <v>201.66</v>
      </c>
      <c r="J8" s="6">
        <f t="shared" si="1"/>
        <v>0</v>
      </c>
      <c r="K8" s="115" t="s">
        <v>73</v>
      </c>
      <c r="L8" s="39"/>
      <c r="M8" s="97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</row>
    <row r="9" spans="1:30" ht="15.75" customHeight="1">
      <c r="A9" s="13"/>
      <c r="B9" s="11">
        <v>7</v>
      </c>
      <c r="C9" s="85">
        <v>50.28</v>
      </c>
      <c r="D9" s="14">
        <v>1.18</v>
      </c>
      <c r="E9" s="1">
        <v>4</v>
      </c>
      <c r="F9" s="1">
        <v>4</v>
      </c>
      <c r="G9" s="8">
        <f t="shared" si="0"/>
        <v>0</v>
      </c>
      <c r="H9" s="90">
        <v>83.34</v>
      </c>
      <c r="I9" s="15">
        <v>83.34</v>
      </c>
      <c r="J9" s="6">
        <f t="shared" si="1"/>
        <v>0</v>
      </c>
      <c r="K9" s="116"/>
      <c r="L9" s="39"/>
      <c r="M9" s="97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</row>
    <row r="10" spans="1:30" ht="15.75" customHeight="1">
      <c r="A10" s="13"/>
      <c r="B10" s="11" t="s">
        <v>86</v>
      </c>
      <c r="C10" s="85">
        <v>49.16</v>
      </c>
      <c r="D10" s="14">
        <v>1.61</v>
      </c>
      <c r="E10" s="1">
        <v>20</v>
      </c>
      <c r="F10" s="1">
        <v>20</v>
      </c>
      <c r="G10" s="8">
        <f t="shared" si="0"/>
        <v>0</v>
      </c>
      <c r="H10" s="90">
        <v>420</v>
      </c>
      <c r="I10" s="15">
        <v>512.96</v>
      </c>
      <c r="J10" s="6">
        <v>92.96</v>
      </c>
      <c r="K10" s="116"/>
      <c r="L10" s="39"/>
      <c r="M10" s="97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</row>
    <row r="11" spans="1:30" ht="15.75" customHeight="1">
      <c r="A11" s="13"/>
      <c r="B11" s="11">
        <v>12</v>
      </c>
      <c r="C11" s="85">
        <v>40.770000000000003</v>
      </c>
      <c r="D11" s="14">
        <v>0.89</v>
      </c>
      <c r="E11" s="1">
        <v>6</v>
      </c>
      <c r="F11" s="1">
        <v>6</v>
      </c>
      <c r="G11" s="8">
        <f t="shared" si="0"/>
        <v>0</v>
      </c>
      <c r="H11" s="90">
        <v>126</v>
      </c>
      <c r="I11" s="70">
        <v>131.97999999999999</v>
      </c>
      <c r="J11" s="6">
        <v>5.98</v>
      </c>
      <c r="K11" s="116"/>
      <c r="L11" s="39"/>
      <c r="M11" s="97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</row>
    <row r="12" spans="1:30" ht="15.75" customHeight="1">
      <c r="A12" s="13"/>
      <c r="B12" s="11" t="s">
        <v>87</v>
      </c>
      <c r="C12" s="85">
        <v>37.5</v>
      </c>
      <c r="D12" s="14">
        <v>1.06</v>
      </c>
      <c r="E12" s="1">
        <v>15</v>
      </c>
      <c r="F12" s="1">
        <v>15</v>
      </c>
      <c r="G12" s="8">
        <f t="shared" si="0"/>
        <v>0</v>
      </c>
      <c r="H12" s="90">
        <v>329.92</v>
      </c>
      <c r="I12" s="70">
        <v>329.92</v>
      </c>
      <c r="J12" s="6">
        <f t="shared" si="1"/>
        <v>0</v>
      </c>
      <c r="K12" s="116"/>
      <c r="L12" s="39"/>
      <c r="M12" s="97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</row>
    <row r="13" spans="1:30" ht="15.75" customHeight="1" thickBot="1">
      <c r="A13" s="78"/>
      <c r="B13" s="11">
        <v>18</v>
      </c>
      <c r="C13" s="85">
        <v>35.28</v>
      </c>
      <c r="D13" s="14">
        <v>0.88</v>
      </c>
      <c r="E13" s="1">
        <v>5</v>
      </c>
      <c r="F13" s="1">
        <v>5</v>
      </c>
      <c r="G13" s="8">
        <f t="shared" si="0"/>
        <v>0</v>
      </c>
      <c r="H13" s="90">
        <v>105.16</v>
      </c>
      <c r="I13" s="70">
        <v>105.16</v>
      </c>
      <c r="J13" s="6">
        <f t="shared" si="1"/>
        <v>0</v>
      </c>
      <c r="K13" s="117"/>
      <c r="L13" s="39"/>
      <c r="M13" s="97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</row>
    <row r="14" spans="1:30" ht="15.75" customHeight="1">
      <c r="A14" s="78"/>
      <c r="B14" s="11">
        <v>22</v>
      </c>
      <c r="C14" s="85">
        <v>47.78</v>
      </c>
      <c r="D14" s="14">
        <v>3.72</v>
      </c>
      <c r="E14" s="1">
        <v>16</v>
      </c>
      <c r="F14" s="1">
        <v>15</v>
      </c>
      <c r="G14" s="8">
        <f t="shared" si="0"/>
        <v>1</v>
      </c>
      <c r="H14" s="15">
        <v>336</v>
      </c>
      <c r="I14" s="15">
        <v>289.08</v>
      </c>
      <c r="J14" s="6">
        <f t="shared" si="1"/>
        <v>46.920000000000016</v>
      </c>
      <c r="K14" s="115" t="s">
        <v>50</v>
      </c>
      <c r="L14" s="39"/>
      <c r="M14" s="97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</row>
    <row r="15" spans="1:30" ht="15.75" customHeight="1" thickBot="1">
      <c r="A15" s="105"/>
      <c r="B15" s="79">
        <v>23</v>
      </c>
      <c r="C15" s="106">
        <v>49.11</v>
      </c>
      <c r="D15" s="80">
        <v>2.42</v>
      </c>
      <c r="E15" s="81">
        <v>10</v>
      </c>
      <c r="F15" s="81">
        <v>10</v>
      </c>
      <c r="G15" s="8">
        <f t="shared" si="0"/>
        <v>0</v>
      </c>
      <c r="H15" s="82">
        <v>193.28</v>
      </c>
      <c r="I15" s="82">
        <v>193.28</v>
      </c>
      <c r="J15" s="6">
        <f t="shared" si="1"/>
        <v>0</v>
      </c>
      <c r="K15" s="117"/>
      <c r="L15" s="39"/>
      <c r="M15" s="97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8"/>
      <c r="Z15" s="88"/>
      <c r="AA15" s="88"/>
      <c r="AB15" s="88"/>
      <c r="AC15" s="88"/>
      <c r="AD15" s="88"/>
    </row>
    <row r="16" spans="1:30" ht="16.5" thickBot="1">
      <c r="A16" s="19"/>
      <c r="B16" s="42" t="s">
        <v>3</v>
      </c>
      <c r="C16" s="42"/>
      <c r="D16" s="42"/>
      <c r="E16" s="4">
        <f t="shared" ref="E16:J16" si="2">SUM(E2:E15)</f>
        <v>127</v>
      </c>
      <c r="F16" s="4">
        <f t="shared" si="2"/>
        <v>126</v>
      </c>
      <c r="G16" s="4">
        <f t="shared" si="2"/>
        <v>1</v>
      </c>
      <c r="H16" s="4">
        <f t="shared" si="2"/>
        <v>2613.48</v>
      </c>
      <c r="I16" s="9">
        <f t="shared" si="2"/>
        <v>2665.5</v>
      </c>
      <c r="J16" s="108">
        <f t="shared" si="2"/>
        <v>145.86000000000001</v>
      </c>
      <c r="K16" s="107"/>
      <c r="L16" s="39"/>
    </row>
    <row r="17" spans="9:12">
      <c r="I17" s="5"/>
      <c r="L17" s="10"/>
    </row>
  </sheetData>
  <mergeCells count="5">
    <mergeCell ref="K14:K15"/>
    <mergeCell ref="N2:O2"/>
    <mergeCell ref="P2:W2"/>
    <mergeCell ref="K2:K7"/>
    <mergeCell ref="K8:K13"/>
  </mergeCells>
  <conditionalFormatting sqref="D2:D6 D8:D15">
    <cfRule type="cellIs" dxfId="11" priority="3" operator="greaterThan">
      <formula>2.99</formula>
    </cfRule>
  </conditionalFormatting>
  <conditionalFormatting sqref="C2:C6 C8:C15">
    <cfRule type="cellIs" dxfId="10" priority="4" operator="lessThan">
      <formula>44.99</formula>
    </cfRule>
  </conditionalFormatting>
  <conditionalFormatting sqref="D7">
    <cfRule type="cellIs" dxfId="9" priority="1" operator="greaterThan">
      <formula>2.99</formula>
    </cfRule>
  </conditionalFormatting>
  <conditionalFormatting sqref="C7">
    <cfRule type="cellIs" dxfId="8" priority="2" operator="lessThan">
      <formula>44.99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C0382-6CB3-4A1D-A716-8F4FB5DB1302}">
  <dimension ref="A1:AD19"/>
  <sheetViews>
    <sheetView topLeftCell="A2" workbookViewId="0">
      <selection activeCell="A2" sqref="A1:XFD1048576"/>
    </sheetView>
  </sheetViews>
  <sheetFormatPr defaultColWidth="8.28515625" defaultRowHeight="15"/>
  <cols>
    <col min="1" max="1" width="9" customWidth="1"/>
    <col min="2" max="2" width="12" bestFit="1" customWidth="1"/>
    <col min="5" max="5" width="9.85546875" customWidth="1"/>
    <col min="7" max="7" width="6.85546875" bestFit="1" customWidth="1"/>
    <col min="8" max="8" width="9.28515625" bestFit="1" customWidth="1"/>
    <col min="11" max="11" width="19.28515625" customWidth="1"/>
    <col min="12" max="12" width="18" bestFit="1" customWidth="1"/>
    <col min="15" max="15" width="9.28515625" customWidth="1"/>
  </cols>
  <sheetData>
    <row r="1" spans="1:30" ht="78" customHeight="1" thickBot="1">
      <c r="A1" s="50" t="s">
        <v>2</v>
      </c>
      <c r="B1" s="51" t="s">
        <v>5</v>
      </c>
      <c r="C1" s="51" t="s">
        <v>6</v>
      </c>
      <c r="D1" s="51" t="s">
        <v>14</v>
      </c>
      <c r="E1" s="51" t="s">
        <v>21</v>
      </c>
      <c r="F1" s="51" t="s">
        <v>9</v>
      </c>
      <c r="G1" s="51" t="s">
        <v>10</v>
      </c>
      <c r="H1" s="51" t="s">
        <v>22</v>
      </c>
      <c r="I1" s="51" t="s">
        <v>7</v>
      </c>
      <c r="J1" s="51" t="s">
        <v>12</v>
      </c>
      <c r="K1" s="52" t="s">
        <v>23</v>
      </c>
      <c r="L1" s="39"/>
    </row>
    <row r="2" spans="1:30" ht="16.5" customHeight="1" thickBot="1">
      <c r="A2" s="28" t="str">
        <f>N2</f>
        <v>19.05.2026</v>
      </c>
      <c r="B2" s="53">
        <v>24</v>
      </c>
      <c r="C2" s="54">
        <v>46.43</v>
      </c>
      <c r="D2" s="54">
        <v>0.95</v>
      </c>
      <c r="E2" s="1">
        <v>7</v>
      </c>
      <c r="F2" s="1">
        <v>7</v>
      </c>
      <c r="G2" s="8">
        <f t="shared" ref="G2:G17" si="0">E2-F2</f>
        <v>0</v>
      </c>
      <c r="H2" s="90">
        <v>136.96</v>
      </c>
      <c r="I2" s="15">
        <v>136.96</v>
      </c>
      <c r="J2" s="6">
        <f>H2-I2</f>
        <v>0</v>
      </c>
      <c r="K2" s="115" t="s">
        <v>33</v>
      </c>
      <c r="L2" s="39"/>
      <c r="M2" s="104" t="s">
        <v>13</v>
      </c>
      <c r="N2" s="111" t="s">
        <v>89</v>
      </c>
      <c r="O2" s="112"/>
      <c r="P2" s="121"/>
      <c r="Q2" s="122"/>
      <c r="R2" s="122"/>
      <c r="S2" s="122"/>
      <c r="T2" s="122"/>
      <c r="U2" s="122"/>
      <c r="V2" s="122"/>
      <c r="W2" s="123"/>
    </row>
    <row r="3" spans="1:30" ht="15.75" customHeight="1" thickBot="1">
      <c r="A3" s="13"/>
      <c r="B3" s="53">
        <v>1</v>
      </c>
      <c r="C3" s="54">
        <v>45.74</v>
      </c>
      <c r="D3" s="54">
        <v>0.91</v>
      </c>
      <c r="E3" s="1">
        <v>10</v>
      </c>
      <c r="F3" s="1">
        <v>10</v>
      </c>
      <c r="G3" s="8">
        <f t="shared" si="0"/>
        <v>0</v>
      </c>
      <c r="H3" s="90">
        <v>225.8</v>
      </c>
      <c r="I3" s="15">
        <v>225.8</v>
      </c>
      <c r="J3" s="6">
        <f t="shared" ref="J3:J17" si="1">H3-I3</f>
        <v>0</v>
      </c>
      <c r="K3" s="116"/>
      <c r="L3" s="39"/>
      <c r="M3" s="44" t="s">
        <v>20</v>
      </c>
      <c r="N3" s="45"/>
      <c r="O3" s="45"/>
      <c r="P3" s="45"/>
      <c r="Q3" s="45"/>
      <c r="R3" s="46"/>
      <c r="S3" s="47" t="s">
        <v>4</v>
      </c>
      <c r="T3" s="48"/>
      <c r="U3" s="48"/>
      <c r="V3" s="48"/>
      <c r="W3" s="49"/>
    </row>
    <row r="4" spans="1:30" ht="15.75" customHeight="1">
      <c r="A4" s="13"/>
      <c r="B4" s="53">
        <v>2</v>
      </c>
      <c r="C4" s="54">
        <v>44.41</v>
      </c>
      <c r="D4" s="54">
        <v>1.62</v>
      </c>
      <c r="E4" s="1">
        <v>7</v>
      </c>
      <c r="F4" s="1">
        <v>7</v>
      </c>
      <c r="G4" s="8">
        <f t="shared" si="0"/>
        <v>0</v>
      </c>
      <c r="H4" s="90">
        <v>156.47999999999999</v>
      </c>
      <c r="I4" s="70">
        <v>156.47999999999999</v>
      </c>
      <c r="J4" s="6">
        <f t="shared" si="1"/>
        <v>0</v>
      </c>
      <c r="K4" s="116"/>
      <c r="L4" s="39"/>
      <c r="M4" s="37" t="s">
        <v>0</v>
      </c>
      <c r="N4" s="21" t="s">
        <v>1</v>
      </c>
      <c r="O4" s="21" t="s">
        <v>15</v>
      </c>
      <c r="P4" s="21" t="s">
        <v>16</v>
      </c>
      <c r="Q4" s="21" t="s">
        <v>17</v>
      </c>
      <c r="R4" s="21" t="s">
        <v>3</v>
      </c>
      <c r="S4" s="16" t="s">
        <v>0</v>
      </c>
      <c r="T4" s="16" t="s">
        <v>1</v>
      </c>
      <c r="U4" s="16" t="s">
        <v>15</v>
      </c>
      <c r="V4" s="16" t="s">
        <v>16</v>
      </c>
      <c r="W4" s="17" t="s">
        <v>17</v>
      </c>
    </row>
    <row r="5" spans="1:30" ht="15.75" customHeight="1" thickBot="1">
      <c r="A5" s="13"/>
      <c r="B5" s="11">
        <v>3</v>
      </c>
      <c r="C5" s="85">
        <v>44.35</v>
      </c>
      <c r="D5" s="14">
        <v>1.83</v>
      </c>
      <c r="E5" s="1">
        <v>5</v>
      </c>
      <c r="F5" s="1">
        <v>5</v>
      </c>
      <c r="G5" s="8">
        <f t="shared" si="0"/>
        <v>0</v>
      </c>
      <c r="H5" s="90">
        <v>101.04</v>
      </c>
      <c r="I5" s="70">
        <v>101.04</v>
      </c>
      <c r="J5" s="6">
        <f t="shared" si="1"/>
        <v>0</v>
      </c>
      <c r="K5" s="116"/>
      <c r="L5" s="39"/>
      <c r="M5" s="38">
        <v>2013.38</v>
      </c>
      <c r="N5" s="2">
        <v>1098.94</v>
      </c>
      <c r="O5" s="2">
        <v>0</v>
      </c>
      <c r="P5" s="2">
        <v>0</v>
      </c>
      <c r="Q5" s="2">
        <v>0</v>
      </c>
      <c r="R5" s="7">
        <f>SUM(M5:Q5)</f>
        <v>3112.32</v>
      </c>
      <c r="S5" s="3">
        <f>(M5/R5)*100</f>
        <v>64.690648776475427</v>
      </c>
      <c r="T5" s="3">
        <f>(N5/R5)*100</f>
        <v>35.309351223524573</v>
      </c>
      <c r="U5" s="3">
        <f>(O5/R5)*100</f>
        <v>0</v>
      </c>
      <c r="V5" s="3">
        <f>(P5/R5)*100</f>
        <v>0</v>
      </c>
      <c r="W5" s="18">
        <f>(Q5/R5)*100</f>
        <v>0</v>
      </c>
    </row>
    <row r="6" spans="1:30" ht="15.75" customHeight="1">
      <c r="A6" s="13"/>
      <c r="B6" s="11">
        <v>4</v>
      </c>
      <c r="C6" s="85">
        <v>34.64</v>
      </c>
      <c r="D6" s="14">
        <v>0.99</v>
      </c>
      <c r="E6" s="1">
        <v>7</v>
      </c>
      <c r="F6" s="1">
        <v>7</v>
      </c>
      <c r="G6" s="8">
        <f t="shared" si="0"/>
        <v>0</v>
      </c>
      <c r="H6" s="90">
        <v>142.5</v>
      </c>
      <c r="I6" s="70">
        <v>142.5</v>
      </c>
      <c r="J6" s="6">
        <f t="shared" si="1"/>
        <v>0</v>
      </c>
      <c r="K6" s="116"/>
      <c r="L6" s="39"/>
      <c r="M6" s="77"/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</row>
    <row r="7" spans="1:30" ht="15.75" customHeight="1">
      <c r="A7" s="13"/>
      <c r="B7" s="11">
        <v>5</v>
      </c>
      <c r="C7" s="85">
        <v>32.92</v>
      </c>
      <c r="D7" s="14">
        <v>0.94</v>
      </c>
      <c r="E7" s="1">
        <v>2</v>
      </c>
      <c r="F7" s="1">
        <v>2</v>
      </c>
      <c r="G7" s="8">
        <f t="shared" si="0"/>
        <v>0</v>
      </c>
      <c r="H7" s="90">
        <v>46.52</v>
      </c>
      <c r="I7" s="70">
        <v>46.52</v>
      </c>
      <c r="J7" s="6">
        <f t="shared" si="1"/>
        <v>0</v>
      </c>
      <c r="K7" s="116"/>
      <c r="L7" s="39"/>
      <c r="M7" s="102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</row>
    <row r="8" spans="1:30" ht="15.75" customHeight="1" thickBot="1">
      <c r="A8" s="13"/>
      <c r="B8" s="11">
        <v>6</v>
      </c>
      <c r="C8" s="85">
        <v>33.03</v>
      </c>
      <c r="D8" s="14">
        <v>0.88</v>
      </c>
      <c r="E8" s="1">
        <v>9</v>
      </c>
      <c r="F8" s="1">
        <v>9</v>
      </c>
      <c r="G8" s="8">
        <f t="shared" si="0"/>
        <v>0</v>
      </c>
      <c r="H8" s="90">
        <v>190.7</v>
      </c>
      <c r="I8" s="70">
        <v>190.7</v>
      </c>
      <c r="J8" s="6">
        <f t="shared" si="1"/>
        <v>0</v>
      </c>
      <c r="K8" s="117"/>
      <c r="L8" s="39"/>
      <c r="M8" s="97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</row>
    <row r="9" spans="1:30" ht="15.75" customHeight="1">
      <c r="A9" s="13"/>
      <c r="B9" s="11">
        <v>9</v>
      </c>
      <c r="C9" s="85">
        <v>40.89</v>
      </c>
      <c r="D9" s="14">
        <v>2.15</v>
      </c>
      <c r="E9" s="1">
        <v>5</v>
      </c>
      <c r="F9" s="1">
        <v>5</v>
      </c>
      <c r="G9" s="8">
        <f t="shared" si="0"/>
        <v>0</v>
      </c>
      <c r="H9" s="90">
        <v>125.76</v>
      </c>
      <c r="I9" s="70">
        <v>125.76</v>
      </c>
      <c r="J9" s="6">
        <f t="shared" si="1"/>
        <v>0</v>
      </c>
      <c r="K9" s="115" t="s">
        <v>73</v>
      </c>
      <c r="L9" s="39"/>
      <c r="M9" s="97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</row>
    <row r="10" spans="1:30" ht="15.75" customHeight="1">
      <c r="A10" s="13"/>
      <c r="B10" s="11">
        <v>11</v>
      </c>
      <c r="C10" s="85">
        <v>51.04</v>
      </c>
      <c r="D10" s="14">
        <v>1.2</v>
      </c>
      <c r="E10" s="1">
        <v>11</v>
      </c>
      <c r="F10" s="1">
        <v>11</v>
      </c>
      <c r="G10" s="8">
        <f t="shared" si="0"/>
        <v>0</v>
      </c>
      <c r="H10" s="90">
        <v>226.5</v>
      </c>
      <c r="I10" s="15">
        <v>226.5</v>
      </c>
      <c r="J10" s="6">
        <f t="shared" si="1"/>
        <v>0</v>
      </c>
      <c r="K10" s="116"/>
      <c r="L10" s="39"/>
      <c r="M10" s="97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</row>
    <row r="11" spans="1:30" ht="15.75" customHeight="1">
      <c r="A11" s="13"/>
      <c r="B11" s="11">
        <v>12</v>
      </c>
      <c r="C11" s="85">
        <v>49.8</v>
      </c>
      <c r="D11" s="14">
        <v>1.0900000000000001</v>
      </c>
      <c r="E11" s="1">
        <v>9</v>
      </c>
      <c r="F11" s="1">
        <v>9</v>
      </c>
      <c r="G11" s="8">
        <f t="shared" si="0"/>
        <v>0</v>
      </c>
      <c r="H11" s="90">
        <v>203.8</v>
      </c>
      <c r="I11" s="15">
        <v>203.8</v>
      </c>
      <c r="J11" s="6">
        <f t="shared" si="1"/>
        <v>0</v>
      </c>
      <c r="K11" s="116"/>
      <c r="L11" s="39"/>
      <c r="M11" s="97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</row>
    <row r="12" spans="1:30" ht="15.75" customHeight="1">
      <c r="A12" s="13"/>
      <c r="B12" s="11">
        <v>20.5</v>
      </c>
      <c r="C12" s="85">
        <v>49.9</v>
      </c>
      <c r="D12" s="14">
        <v>1.55</v>
      </c>
      <c r="E12" s="1">
        <v>15</v>
      </c>
      <c r="F12" s="1">
        <v>15</v>
      </c>
      <c r="G12" s="8">
        <f t="shared" si="0"/>
        <v>0</v>
      </c>
      <c r="H12" s="90">
        <v>302.64</v>
      </c>
      <c r="I12" s="15">
        <v>302.64</v>
      </c>
      <c r="J12" s="6">
        <f t="shared" si="1"/>
        <v>0</v>
      </c>
      <c r="K12" s="116"/>
      <c r="L12" s="39"/>
      <c r="M12" s="97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</row>
    <row r="13" spans="1:30" ht="15.75" customHeight="1">
      <c r="A13" s="110"/>
      <c r="B13" s="11">
        <v>15</v>
      </c>
      <c r="C13" s="85">
        <v>51.37</v>
      </c>
      <c r="D13" s="14">
        <v>1.23</v>
      </c>
      <c r="E13" s="1">
        <v>15</v>
      </c>
      <c r="F13" s="1">
        <v>15</v>
      </c>
      <c r="G13" s="8">
        <f t="shared" ref="G13:G15" si="2">E13-F13</f>
        <v>0</v>
      </c>
      <c r="H13" s="90">
        <v>309.72000000000003</v>
      </c>
      <c r="I13" s="15">
        <v>309.72000000000003</v>
      </c>
      <c r="J13" s="6">
        <f t="shared" ref="J13:J15" si="3">H13-I13</f>
        <v>0</v>
      </c>
      <c r="K13" s="116"/>
      <c r="L13" s="39"/>
      <c r="M13" s="97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</row>
    <row r="14" spans="1:30" ht="15.75" customHeight="1">
      <c r="A14" s="110"/>
      <c r="B14" s="11" t="s">
        <v>90</v>
      </c>
      <c r="C14" s="85">
        <v>37.049999999999997</v>
      </c>
      <c r="D14" s="14">
        <v>1.08</v>
      </c>
      <c r="E14" s="1">
        <v>13</v>
      </c>
      <c r="F14" s="1">
        <v>13</v>
      </c>
      <c r="G14" s="8">
        <f t="shared" si="2"/>
        <v>0</v>
      </c>
      <c r="H14" s="90">
        <v>248.44</v>
      </c>
      <c r="I14" s="70">
        <v>248.44</v>
      </c>
      <c r="J14" s="6">
        <f t="shared" si="3"/>
        <v>0</v>
      </c>
      <c r="K14" s="116"/>
      <c r="L14" s="39"/>
      <c r="M14" s="97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</row>
    <row r="15" spans="1:30" ht="15.75" customHeight="1" thickBot="1">
      <c r="A15" s="110"/>
      <c r="B15" s="11">
        <v>19</v>
      </c>
      <c r="C15" s="85">
        <v>35.25</v>
      </c>
      <c r="D15" s="14">
        <v>1.1399999999999999</v>
      </c>
      <c r="E15" s="1">
        <v>4</v>
      </c>
      <c r="F15" s="1">
        <v>4</v>
      </c>
      <c r="G15" s="8">
        <f t="shared" si="2"/>
        <v>0</v>
      </c>
      <c r="H15" s="90">
        <v>87.5</v>
      </c>
      <c r="I15" s="70">
        <v>87.5</v>
      </c>
      <c r="J15" s="6">
        <f t="shared" si="3"/>
        <v>0</v>
      </c>
      <c r="K15" s="116"/>
      <c r="L15" s="39"/>
      <c r="M15" s="97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8"/>
      <c r="Z15" s="88"/>
      <c r="AA15" s="88"/>
      <c r="AB15" s="88"/>
      <c r="AC15" s="88"/>
      <c r="AD15" s="88"/>
    </row>
    <row r="16" spans="1:30" ht="15.75" customHeight="1">
      <c r="A16" s="78"/>
      <c r="B16" s="11">
        <v>23.08</v>
      </c>
      <c r="C16" s="85">
        <v>50.11</v>
      </c>
      <c r="D16" s="14">
        <v>1.17</v>
      </c>
      <c r="E16" s="1">
        <v>11</v>
      </c>
      <c r="F16" s="1">
        <v>11</v>
      </c>
      <c r="G16" s="8">
        <f t="shared" si="0"/>
        <v>0</v>
      </c>
      <c r="H16" s="90">
        <v>221.16</v>
      </c>
      <c r="I16" s="15">
        <v>221.16</v>
      </c>
      <c r="J16" s="6">
        <f t="shared" si="1"/>
        <v>0</v>
      </c>
      <c r="K16" s="115" t="s">
        <v>91</v>
      </c>
      <c r="L16" s="39"/>
      <c r="M16" s="97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</row>
    <row r="17" spans="1:30" ht="15.75" customHeight="1" thickBot="1">
      <c r="A17" s="78"/>
      <c r="B17" s="11">
        <v>21.5</v>
      </c>
      <c r="C17" s="85">
        <v>50.36</v>
      </c>
      <c r="D17" s="14">
        <v>2.02</v>
      </c>
      <c r="E17" s="1">
        <v>19</v>
      </c>
      <c r="F17" s="1">
        <v>19</v>
      </c>
      <c r="G17" s="8">
        <f t="shared" si="0"/>
        <v>0</v>
      </c>
      <c r="H17" s="15">
        <v>386.8</v>
      </c>
      <c r="I17" s="15">
        <v>386.8</v>
      </c>
      <c r="J17" s="6">
        <f t="shared" si="1"/>
        <v>0</v>
      </c>
      <c r="K17" s="117"/>
      <c r="L17" s="39"/>
      <c r="M17" s="97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</row>
    <row r="18" spans="1:30" ht="16.5" thickBot="1">
      <c r="A18" s="19"/>
      <c r="B18" s="42" t="s">
        <v>3</v>
      </c>
      <c r="C18" s="42"/>
      <c r="D18" s="42"/>
      <c r="E18" s="4">
        <f t="shared" ref="E18:J18" si="4">SUM(E2:E17)</f>
        <v>149</v>
      </c>
      <c r="F18" s="4">
        <f t="shared" si="4"/>
        <v>149</v>
      </c>
      <c r="G18" s="4">
        <f t="shared" si="4"/>
        <v>0</v>
      </c>
      <c r="H18" s="4">
        <f t="shared" si="4"/>
        <v>3112.32</v>
      </c>
      <c r="I18" s="9">
        <f t="shared" si="4"/>
        <v>3112.32</v>
      </c>
      <c r="J18" s="108">
        <f t="shared" si="4"/>
        <v>0</v>
      </c>
      <c r="K18" s="107"/>
      <c r="L18" s="39"/>
    </row>
    <row r="19" spans="1:30">
      <c r="I19" s="5"/>
      <c r="L19" s="10"/>
    </row>
  </sheetData>
  <mergeCells count="5">
    <mergeCell ref="N2:O2"/>
    <mergeCell ref="P2:W2"/>
    <mergeCell ref="K2:K8"/>
    <mergeCell ref="K9:K15"/>
    <mergeCell ref="K16:K17"/>
  </mergeCells>
  <conditionalFormatting sqref="D2:D6 D8:D17">
    <cfRule type="cellIs" dxfId="7" priority="3" operator="greaterThan">
      <formula>2.99</formula>
    </cfRule>
  </conditionalFormatting>
  <conditionalFormatting sqref="C2:C6 C8:C17">
    <cfRule type="cellIs" dxfId="6" priority="4" operator="lessThan">
      <formula>44.99</formula>
    </cfRule>
  </conditionalFormatting>
  <conditionalFormatting sqref="D7">
    <cfRule type="cellIs" dxfId="5" priority="1" operator="greaterThan">
      <formula>2.99</formula>
    </cfRule>
  </conditionalFormatting>
  <conditionalFormatting sqref="C7">
    <cfRule type="cellIs" dxfId="4" priority="2" operator="lessThan">
      <formula>44.99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5A09D-C239-4B10-8B8C-F1C0E586F85D}">
  <dimension ref="A1:AD21"/>
  <sheetViews>
    <sheetView tabSelected="1" topLeftCell="E1" workbookViewId="0">
      <selection activeCell="N13" sqref="N13"/>
    </sheetView>
  </sheetViews>
  <sheetFormatPr defaultColWidth="8.28515625" defaultRowHeight="15"/>
  <cols>
    <col min="1" max="1" width="9" customWidth="1"/>
    <col min="2" max="2" width="12" bestFit="1" customWidth="1"/>
    <col min="5" max="5" width="9.85546875" customWidth="1"/>
    <col min="7" max="7" width="6.85546875" bestFit="1" customWidth="1"/>
    <col min="8" max="8" width="9.28515625" bestFit="1" customWidth="1"/>
    <col min="11" max="11" width="19.28515625" customWidth="1"/>
    <col min="12" max="12" width="18" bestFit="1" customWidth="1"/>
    <col min="15" max="15" width="9.28515625" customWidth="1"/>
  </cols>
  <sheetData>
    <row r="1" spans="1:30" ht="78" customHeight="1" thickBot="1">
      <c r="A1" s="50" t="s">
        <v>2</v>
      </c>
      <c r="B1" s="51" t="s">
        <v>5</v>
      </c>
      <c r="C1" s="51" t="s">
        <v>6</v>
      </c>
      <c r="D1" s="51" t="s">
        <v>14</v>
      </c>
      <c r="E1" s="51" t="s">
        <v>21</v>
      </c>
      <c r="F1" s="51" t="s">
        <v>9</v>
      </c>
      <c r="G1" s="51" t="s">
        <v>10</v>
      </c>
      <c r="H1" s="51" t="s">
        <v>22</v>
      </c>
      <c r="I1" s="51" t="s">
        <v>7</v>
      </c>
      <c r="J1" s="51" t="s">
        <v>12</v>
      </c>
      <c r="K1" s="52" t="s">
        <v>23</v>
      </c>
      <c r="L1" s="39"/>
    </row>
    <row r="2" spans="1:30" ht="16.5" customHeight="1" thickBot="1">
      <c r="A2" s="28" t="str">
        <f>N2</f>
        <v>20.05.2026</v>
      </c>
      <c r="B2" s="53">
        <v>24</v>
      </c>
      <c r="C2" s="54">
        <v>49.77</v>
      </c>
      <c r="D2" s="54">
        <v>1.63</v>
      </c>
      <c r="E2" s="1">
        <v>15</v>
      </c>
      <c r="F2" s="1">
        <v>15</v>
      </c>
      <c r="G2" s="8">
        <f t="shared" ref="G2:G19" si="0">E2-F2</f>
        <v>0</v>
      </c>
      <c r="H2" s="90">
        <v>307.22000000000003</v>
      </c>
      <c r="I2" s="15">
        <v>307.22000000000003</v>
      </c>
      <c r="J2" s="6">
        <f>H2-I2</f>
        <v>0</v>
      </c>
      <c r="K2" s="115" t="s">
        <v>91</v>
      </c>
      <c r="L2" s="39"/>
      <c r="M2" s="109" t="s">
        <v>13</v>
      </c>
      <c r="N2" s="111" t="s">
        <v>92</v>
      </c>
      <c r="O2" s="112"/>
      <c r="P2" s="121"/>
      <c r="Q2" s="122"/>
      <c r="R2" s="122"/>
      <c r="S2" s="122"/>
      <c r="T2" s="122"/>
      <c r="U2" s="122"/>
      <c r="V2" s="122"/>
      <c r="W2" s="123"/>
    </row>
    <row r="3" spans="1:30" ht="15.75" customHeight="1" thickBot="1">
      <c r="A3" s="13"/>
      <c r="B3" s="53">
        <v>1</v>
      </c>
      <c r="C3" s="54">
        <v>41.74</v>
      </c>
      <c r="D3" s="54">
        <v>0.93</v>
      </c>
      <c r="E3" s="1">
        <v>9</v>
      </c>
      <c r="F3" s="1">
        <v>9</v>
      </c>
      <c r="G3" s="8">
        <f t="shared" si="0"/>
        <v>0</v>
      </c>
      <c r="H3" s="90">
        <v>178.4</v>
      </c>
      <c r="I3" s="15">
        <v>178.4</v>
      </c>
      <c r="J3" s="6">
        <f t="shared" ref="J3:J19" si="1">H3-I3</f>
        <v>0</v>
      </c>
      <c r="K3" s="116"/>
      <c r="L3" s="39"/>
      <c r="M3" s="44" t="s">
        <v>20</v>
      </c>
      <c r="N3" s="45"/>
      <c r="O3" s="45"/>
      <c r="P3" s="45"/>
      <c r="Q3" s="45"/>
      <c r="R3" s="46"/>
      <c r="S3" s="47" t="s">
        <v>4</v>
      </c>
      <c r="T3" s="48"/>
      <c r="U3" s="48"/>
      <c r="V3" s="48"/>
      <c r="W3" s="49"/>
    </row>
    <row r="4" spans="1:30" ht="15.75" customHeight="1">
      <c r="A4" s="13"/>
      <c r="B4" s="53">
        <v>2</v>
      </c>
      <c r="C4" s="54">
        <v>41.94</v>
      </c>
      <c r="D4" s="54">
        <v>1.03</v>
      </c>
      <c r="E4" s="1">
        <v>11</v>
      </c>
      <c r="F4" s="1">
        <v>11</v>
      </c>
      <c r="G4" s="8">
        <f t="shared" si="0"/>
        <v>0</v>
      </c>
      <c r="H4" s="90">
        <v>221.26</v>
      </c>
      <c r="I4" s="15">
        <v>221.26</v>
      </c>
      <c r="J4" s="6">
        <f t="shared" si="1"/>
        <v>0</v>
      </c>
      <c r="K4" s="116"/>
      <c r="L4" s="39"/>
      <c r="M4" s="37" t="s">
        <v>0</v>
      </c>
      <c r="N4" s="21" t="s">
        <v>1</v>
      </c>
      <c r="O4" s="21" t="s">
        <v>15</v>
      </c>
      <c r="P4" s="21" t="s">
        <v>16</v>
      </c>
      <c r="Q4" s="21" t="s">
        <v>17</v>
      </c>
      <c r="R4" s="21" t="s">
        <v>3</v>
      </c>
      <c r="S4" s="16" t="s">
        <v>0</v>
      </c>
      <c r="T4" s="16" t="s">
        <v>1</v>
      </c>
      <c r="U4" s="16" t="s">
        <v>15</v>
      </c>
      <c r="V4" s="16" t="s">
        <v>16</v>
      </c>
      <c r="W4" s="17" t="s">
        <v>17</v>
      </c>
    </row>
    <row r="5" spans="1:30" ht="15.75" customHeight="1" thickBot="1">
      <c r="A5" s="13"/>
      <c r="B5" s="11">
        <v>3</v>
      </c>
      <c r="C5" s="85">
        <v>47.25</v>
      </c>
      <c r="D5" s="14">
        <v>1.44</v>
      </c>
      <c r="E5" s="1">
        <v>12</v>
      </c>
      <c r="F5" s="1">
        <v>12</v>
      </c>
      <c r="G5" s="8">
        <f t="shared" si="0"/>
        <v>0</v>
      </c>
      <c r="H5" s="90">
        <v>269.82</v>
      </c>
      <c r="I5" s="15">
        <v>269.82</v>
      </c>
      <c r="J5" s="6">
        <f t="shared" si="1"/>
        <v>0</v>
      </c>
      <c r="K5" s="116"/>
      <c r="L5" s="39"/>
      <c r="M5" s="38">
        <v>2018.5</v>
      </c>
      <c r="N5" s="2">
        <v>1683.7</v>
      </c>
      <c r="O5" s="2">
        <v>0</v>
      </c>
      <c r="P5" s="2">
        <v>0</v>
      </c>
      <c r="Q5" s="2">
        <v>0</v>
      </c>
      <c r="R5" s="7">
        <f>SUM(M5:Q5)</f>
        <v>3702.2</v>
      </c>
      <c r="S5" s="3">
        <f>(M5/R5)*100</f>
        <v>54.521635784128364</v>
      </c>
      <c r="T5" s="3">
        <f>(N5/R5)*100</f>
        <v>45.47836421587165</v>
      </c>
      <c r="U5" s="3">
        <f>(O5/R5)*100</f>
        <v>0</v>
      </c>
      <c r="V5" s="3">
        <f>(P5/R5)*100</f>
        <v>0</v>
      </c>
      <c r="W5" s="18">
        <f>(Q5/R5)*100</f>
        <v>0</v>
      </c>
    </row>
    <row r="6" spans="1:30" ht="15.75" customHeight="1">
      <c r="A6" s="13"/>
      <c r="B6" s="11">
        <v>4</v>
      </c>
      <c r="C6" s="85">
        <v>48.72</v>
      </c>
      <c r="D6" s="14">
        <v>1.81</v>
      </c>
      <c r="E6" s="1">
        <v>6</v>
      </c>
      <c r="F6" s="1">
        <v>6</v>
      </c>
      <c r="G6" s="8">
        <f t="shared" si="0"/>
        <v>0</v>
      </c>
      <c r="H6" s="90">
        <v>150.22</v>
      </c>
      <c r="I6" s="15">
        <v>150.22</v>
      </c>
      <c r="J6" s="6">
        <f t="shared" si="1"/>
        <v>0</v>
      </c>
      <c r="K6" s="116"/>
      <c r="L6" s="39"/>
      <c r="M6" s="77"/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</row>
    <row r="7" spans="1:30" ht="15.75" customHeight="1">
      <c r="A7" s="13"/>
      <c r="B7" s="11">
        <v>5</v>
      </c>
      <c r="C7" s="85">
        <v>48.98</v>
      </c>
      <c r="D7" s="14">
        <v>1.77</v>
      </c>
      <c r="E7" s="1">
        <v>3</v>
      </c>
      <c r="F7" s="1">
        <v>3</v>
      </c>
      <c r="G7" s="8">
        <f t="shared" si="0"/>
        <v>0</v>
      </c>
      <c r="H7" s="90">
        <v>69.14</v>
      </c>
      <c r="I7" s="15">
        <v>69.14</v>
      </c>
      <c r="J7" s="6">
        <f t="shared" si="1"/>
        <v>0</v>
      </c>
      <c r="K7" s="116"/>
      <c r="L7" s="39"/>
      <c r="M7" s="102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</row>
    <row r="8" spans="1:30" ht="15.75" customHeight="1">
      <c r="A8" s="13"/>
      <c r="B8" s="11">
        <v>6</v>
      </c>
      <c r="C8" s="85">
        <v>48.53</v>
      </c>
      <c r="D8" s="14">
        <v>1.91</v>
      </c>
      <c r="E8" s="1">
        <v>11</v>
      </c>
      <c r="F8" s="1">
        <v>11</v>
      </c>
      <c r="G8" s="8">
        <f t="shared" si="0"/>
        <v>0</v>
      </c>
      <c r="H8" s="90">
        <v>276.74</v>
      </c>
      <c r="I8" s="15">
        <v>276.74</v>
      </c>
      <c r="J8" s="6">
        <f t="shared" si="1"/>
        <v>0</v>
      </c>
      <c r="K8" s="116"/>
      <c r="L8" s="39"/>
      <c r="M8" s="97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</row>
    <row r="9" spans="1:30" ht="15.75" customHeight="1" thickBot="1">
      <c r="A9" s="13"/>
      <c r="B9" s="11">
        <v>7</v>
      </c>
      <c r="C9" s="85">
        <v>49.57</v>
      </c>
      <c r="D9" s="14">
        <v>1.9</v>
      </c>
      <c r="E9" s="1">
        <v>6</v>
      </c>
      <c r="F9" s="1">
        <v>6</v>
      </c>
      <c r="G9" s="8">
        <f t="shared" si="0"/>
        <v>0</v>
      </c>
      <c r="H9" s="90">
        <v>145.72</v>
      </c>
      <c r="I9" s="15">
        <v>145.72</v>
      </c>
      <c r="J9" s="6">
        <f t="shared" si="1"/>
        <v>0</v>
      </c>
      <c r="K9" s="117"/>
      <c r="L9" s="39"/>
      <c r="M9" s="97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</row>
    <row r="10" spans="1:30" ht="15.75" customHeight="1">
      <c r="A10" s="13"/>
      <c r="B10" s="11">
        <v>9</v>
      </c>
      <c r="C10" s="85">
        <v>31.32</v>
      </c>
      <c r="D10" s="14">
        <v>2.02</v>
      </c>
      <c r="E10" s="1">
        <v>10</v>
      </c>
      <c r="F10" s="1">
        <v>10</v>
      </c>
      <c r="G10" s="8">
        <f t="shared" si="0"/>
        <v>0</v>
      </c>
      <c r="H10" s="90">
        <v>210</v>
      </c>
      <c r="I10" s="15">
        <v>210</v>
      </c>
      <c r="J10" s="6">
        <f t="shared" si="1"/>
        <v>0</v>
      </c>
      <c r="K10" s="115" t="s">
        <v>94</v>
      </c>
      <c r="L10" s="39"/>
      <c r="M10" s="97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</row>
    <row r="11" spans="1:30" ht="15.75" customHeight="1">
      <c r="A11" s="13"/>
      <c r="B11" s="11">
        <v>10</v>
      </c>
      <c r="C11" s="85">
        <v>44.72</v>
      </c>
      <c r="D11" s="14">
        <v>1.18</v>
      </c>
      <c r="E11" s="1">
        <v>3</v>
      </c>
      <c r="F11" s="1">
        <v>3</v>
      </c>
      <c r="G11" s="8">
        <f t="shared" si="0"/>
        <v>0</v>
      </c>
      <c r="H11" s="90">
        <v>67.040000000000006</v>
      </c>
      <c r="I11" s="15">
        <v>67.040000000000006</v>
      </c>
      <c r="J11" s="6">
        <f t="shared" si="1"/>
        <v>0</v>
      </c>
      <c r="K11" s="116"/>
      <c r="L11" s="39"/>
      <c r="M11" s="97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</row>
    <row r="12" spans="1:30" ht="15.75" customHeight="1">
      <c r="A12" s="13"/>
      <c r="B12" s="11">
        <v>12</v>
      </c>
      <c r="C12" s="85">
        <v>44.3</v>
      </c>
      <c r="D12" s="14">
        <v>1.34</v>
      </c>
      <c r="E12" s="1">
        <v>7</v>
      </c>
      <c r="F12" s="1">
        <v>7</v>
      </c>
      <c r="G12" s="8">
        <f t="shared" si="0"/>
        <v>0</v>
      </c>
      <c r="H12" s="90">
        <v>161.24</v>
      </c>
      <c r="I12" s="15">
        <v>161.24</v>
      </c>
      <c r="J12" s="6">
        <f t="shared" si="1"/>
        <v>0</v>
      </c>
      <c r="K12" s="116"/>
      <c r="L12" s="39"/>
      <c r="M12" s="97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</row>
    <row r="13" spans="1:30" ht="15.75" customHeight="1">
      <c r="A13" s="110"/>
      <c r="B13" s="11">
        <v>14</v>
      </c>
      <c r="C13" s="85">
        <v>40.6</v>
      </c>
      <c r="D13" s="14">
        <v>1.37</v>
      </c>
      <c r="E13" s="1">
        <v>16</v>
      </c>
      <c r="F13" s="1">
        <v>16</v>
      </c>
      <c r="G13" s="8">
        <f t="shared" si="0"/>
        <v>0</v>
      </c>
      <c r="H13" s="90">
        <v>353.74</v>
      </c>
      <c r="I13" s="15">
        <v>353.74</v>
      </c>
      <c r="J13" s="6">
        <f t="shared" si="1"/>
        <v>0</v>
      </c>
      <c r="K13" s="116"/>
      <c r="L13" s="39"/>
      <c r="M13" s="97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</row>
    <row r="14" spans="1:30" ht="15.75" customHeight="1">
      <c r="A14" s="110"/>
      <c r="B14" s="11">
        <v>15</v>
      </c>
      <c r="C14" s="85">
        <v>38.5</v>
      </c>
      <c r="D14" s="14">
        <v>1.17</v>
      </c>
      <c r="E14" s="1">
        <v>8</v>
      </c>
      <c r="F14" s="1">
        <v>8</v>
      </c>
      <c r="G14" s="8">
        <f t="shared" ref="G14:G15" si="2">E14-F14</f>
        <v>0</v>
      </c>
      <c r="H14" s="90">
        <v>190.9</v>
      </c>
      <c r="I14" s="15">
        <v>190.9</v>
      </c>
      <c r="J14" s="6">
        <f t="shared" ref="J14:J15" si="3">H14-I14</f>
        <v>0</v>
      </c>
      <c r="K14" s="116"/>
      <c r="L14" s="39"/>
      <c r="M14" s="97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</row>
    <row r="15" spans="1:30" ht="15.75" customHeight="1">
      <c r="A15" s="110"/>
      <c r="B15" s="11">
        <v>17</v>
      </c>
      <c r="C15" s="85">
        <v>40.29</v>
      </c>
      <c r="D15" s="14">
        <v>1.17</v>
      </c>
      <c r="E15" s="1">
        <v>10</v>
      </c>
      <c r="F15" s="1">
        <v>10</v>
      </c>
      <c r="G15" s="8">
        <f t="shared" si="2"/>
        <v>0</v>
      </c>
      <c r="H15" s="90">
        <v>217.12</v>
      </c>
      <c r="I15" s="15">
        <v>217.12</v>
      </c>
      <c r="J15" s="6">
        <f t="shared" si="3"/>
        <v>0</v>
      </c>
      <c r="K15" s="116"/>
      <c r="L15" s="39"/>
      <c r="M15" s="97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8"/>
      <c r="Z15" s="88"/>
      <c r="AA15" s="88"/>
      <c r="AB15" s="88"/>
      <c r="AC15" s="88"/>
      <c r="AD15" s="88"/>
    </row>
    <row r="16" spans="1:30" ht="15.75" customHeight="1" thickBot="1">
      <c r="A16" s="110"/>
      <c r="B16" s="11">
        <v>18</v>
      </c>
      <c r="C16" s="85">
        <v>38.28</v>
      </c>
      <c r="D16" s="14">
        <v>1.1499999999999999</v>
      </c>
      <c r="E16" s="1">
        <v>4</v>
      </c>
      <c r="F16" s="1">
        <v>4</v>
      </c>
      <c r="G16" s="8">
        <f t="shared" si="0"/>
        <v>0</v>
      </c>
      <c r="H16" s="90">
        <v>84</v>
      </c>
      <c r="I16" s="15">
        <v>84</v>
      </c>
      <c r="J16" s="6">
        <f t="shared" si="1"/>
        <v>0</v>
      </c>
      <c r="K16" s="117"/>
      <c r="L16" s="39"/>
      <c r="M16" s="97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</row>
    <row r="17" spans="1:30" ht="15.75" customHeight="1">
      <c r="A17" s="78"/>
      <c r="B17" s="11">
        <v>19</v>
      </c>
      <c r="C17" s="85">
        <v>45.74</v>
      </c>
      <c r="D17" s="14">
        <v>0.91</v>
      </c>
      <c r="E17" s="1">
        <v>6</v>
      </c>
      <c r="F17" s="1">
        <v>6</v>
      </c>
      <c r="G17" s="8">
        <f t="shared" si="0"/>
        <v>0</v>
      </c>
      <c r="H17" s="90">
        <v>126</v>
      </c>
      <c r="I17" s="15">
        <v>126</v>
      </c>
      <c r="J17" s="6">
        <f t="shared" si="1"/>
        <v>0</v>
      </c>
      <c r="K17" s="115" t="s">
        <v>73</v>
      </c>
      <c r="L17" s="39"/>
      <c r="M17" s="97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</row>
    <row r="18" spans="1:30" ht="15.75" customHeight="1">
      <c r="A18" s="78"/>
      <c r="B18" s="11" t="s">
        <v>93</v>
      </c>
      <c r="C18" s="85">
        <v>50.56</v>
      </c>
      <c r="D18" s="14">
        <v>1.77</v>
      </c>
      <c r="E18" s="1">
        <v>18</v>
      </c>
      <c r="F18" s="1">
        <v>18</v>
      </c>
      <c r="G18" s="8">
        <f t="shared" si="0"/>
        <v>0</v>
      </c>
      <c r="H18" s="1">
        <v>383.22</v>
      </c>
      <c r="I18" s="15">
        <v>383.22</v>
      </c>
      <c r="J18" s="6">
        <f t="shared" si="1"/>
        <v>0</v>
      </c>
      <c r="K18" s="116"/>
      <c r="L18" s="39"/>
      <c r="M18" s="97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</row>
    <row r="19" spans="1:30" ht="15.75" customHeight="1" thickBot="1">
      <c r="A19" s="78"/>
      <c r="B19" s="11">
        <v>23</v>
      </c>
      <c r="C19" s="85">
        <v>49.54</v>
      </c>
      <c r="D19" s="14">
        <v>1.24</v>
      </c>
      <c r="E19" s="1">
        <v>14</v>
      </c>
      <c r="F19" s="1">
        <v>14</v>
      </c>
      <c r="G19" s="8">
        <f t="shared" si="0"/>
        <v>0</v>
      </c>
      <c r="H19" s="15">
        <v>290.42</v>
      </c>
      <c r="I19" s="15">
        <v>290.42</v>
      </c>
      <c r="J19" s="6">
        <f t="shared" si="1"/>
        <v>0</v>
      </c>
      <c r="K19" s="117"/>
      <c r="L19" s="39"/>
      <c r="M19" s="97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</row>
    <row r="20" spans="1:30" ht="16.5" thickBot="1">
      <c r="A20" s="19"/>
      <c r="B20" s="42" t="s">
        <v>3</v>
      </c>
      <c r="C20" s="42"/>
      <c r="D20" s="42"/>
      <c r="E20" s="4">
        <f t="shared" ref="E20:J20" si="4">SUM(E2:E19)</f>
        <v>169</v>
      </c>
      <c r="F20" s="4">
        <f t="shared" si="4"/>
        <v>169</v>
      </c>
      <c r="G20" s="4">
        <f t="shared" si="4"/>
        <v>0</v>
      </c>
      <c r="H20" s="4">
        <f t="shared" si="4"/>
        <v>3702.2</v>
      </c>
      <c r="I20" s="9">
        <f t="shared" si="4"/>
        <v>3702.2</v>
      </c>
      <c r="J20" s="108">
        <f t="shared" si="4"/>
        <v>0</v>
      </c>
      <c r="K20" s="107"/>
      <c r="L20" s="39"/>
    </row>
    <row r="21" spans="1:30">
      <c r="I21" s="5"/>
      <c r="L21" s="10"/>
    </row>
  </sheetData>
  <mergeCells count="5">
    <mergeCell ref="N2:O2"/>
    <mergeCell ref="P2:W2"/>
    <mergeCell ref="K17:K19"/>
    <mergeCell ref="K2:K9"/>
    <mergeCell ref="K10:K16"/>
  </mergeCells>
  <conditionalFormatting sqref="D7">
    <cfRule type="cellIs" dxfId="3" priority="1" operator="greaterThan">
      <formula>2.99</formula>
    </cfRule>
  </conditionalFormatting>
  <conditionalFormatting sqref="D2:D6 D8:D19">
    <cfRule type="cellIs" dxfId="2" priority="3" operator="greaterThan">
      <formula>2.99</formula>
    </cfRule>
  </conditionalFormatting>
  <conditionalFormatting sqref="C2:C6 C8:C19">
    <cfRule type="cellIs" dxfId="1" priority="4" operator="lessThan">
      <formula>44.99</formula>
    </cfRule>
  </conditionalFormatting>
  <conditionalFormatting sqref="C7">
    <cfRule type="cellIs" dxfId="0" priority="2" operator="lessThan">
      <formula>44.99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D5E27-08D2-4470-A9FA-D47FF0078FB7}">
  <dimension ref="B1:F35"/>
  <sheetViews>
    <sheetView workbookViewId="0">
      <selection activeCell="I11" sqref="I11"/>
    </sheetView>
  </sheetViews>
  <sheetFormatPr defaultRowHeight="15"/>
  <cols>
    <col min="1" max="1" width="9.140625" style="23"/>
    <col min="2" max="2" width="15.85546875" style="23" customWidth="1"/>
    <col min="3" max="3" width="22.5703125" style="23" bestFit="1" customWidth="1"/>
    <col min="4" max="4" width="22.42578125" style="23" bestFit="1" customWidth="1"/>
    <col min="5" max="16384" width="9.140625" style="23"/>
  </cols>
  <sheetData>
    <row r="1" spans="2:6" ht="15.75" customHeight="1">
      <c r="B1" s="124" t="s">
        <v>2</v>
      </c>
      <c r="C1" s="27" t="s">
        <v>19</v>
      </c>
      <c r="D1" s="27" t="s">
        <v>19</v>
      </c>
    </row>
    <row r="2" spans="2:6" ht="15.75">
      <c r="B2" s="124"/>
      <c r="C2" s="27" t="s">
        <v>24</v>
      </c>
      <c r="D2" s="27" t="s">
        <v>25</v>
      </c>
      <c r="F2" s="24"/>
    </row>
    <row r="3" spans="2:6">
      <c r="B3" s="22">
        <v>46143</v>
      </c>
      <c r="C3" s="25"/>
      <c r="D3" s="25"/>
    </row>
    <row r="4" spans="2:6">
      <c r="B4" s="22">
        <v>46144</v>
      </c>
      <c r="C4" s="25"/>
      <c r="D4" s="25"/>
    </row>
    <row r="5" spans="2:6">
      <c r="B5" s="22">
        <v>46145</v>
      </c>
      <c r="C5" s="25"/>
      <c r="D5" s="25">
        <v>178.44</v>
      </c>
    </row>
    <row r="6" spans="2:6">
      <c r="B6" s="22">
        <v>46146</v>
      </c>
      <c r="C6" s="25"/>
      <c r="D6" s="25"/>
    </row>
    <row r="7" spans="2:6">
      <c r="B7" s="22">
        <v>46147</v>
      </c>
      <c r="C7" s="25"/>
      <c r="D7" s="25"/>
    </row>
    <row r="8" spans="2:6">
      <c r="B8" s="22">
        <v>46148</v>
      </c>
      <c r="C8" s="25"/>
      <c r="D8" s="25"/>
    </row>
    <row r="9" spans="2:6">
      <c r="B9" s="22">
        <v>46149</v>
      </c>
      <c r="C9" s="25"/>
      <c r="D9" s="25"/>
    </row>
    <row r="10" spans="2:6">
      <c r="B10" s="22">
        <v>46150</v>
      </c>
      <c r="C10" s="25"/>
      <c r="D10" s="25"/>
    </row>
    <row r="11" spans="2:6">
      <c r="B11" s="22">
        <v>46151</v>
      </c>
      <c r="C11" s="25"/>
      <c r="D11" s="25">
        <v>462.62</v>
      </c>
    </row>
    <row r="12" spans="2:6">
      <c r="B12" s="22">
        <v>46152</v>
      </c>
      <c r="C12" s="25"/>
      <c r="D12" s="25">
        <v>132</v>
      </c>
    </row>
    <row r="13" spans="2:6">
      <c r="B13" s="22">
        <v>46153</v>
      </c>
      <c r="C13" s="25"/>
      <c r="D13" s="25">
        <v>62</v>
      </c>
    </row>
    <row r="14" spans="2:6">
      <c r="B14" s="22">
        <v>46154</v>
      </c>
      <c r="C14" s="25"/>
      <c r="D14" s="25"/>
    </row>
    <row r="15" spans="2:6">
      <c r="B15" s="22">
        <v>46155</v>
      </c>
      <c r="C15" s="25"/>
      <c r="D15" s="25">
        <v>192.22</v>
      </c>
    </row>
    <row r="16" spans="2:6">
      <c r="B16" s="22">
        <v>46156</v>
      </c>
      <c r="C16" s="25"/>
      <c r="D16" s="25">
        <v>476.76</v>
      </c>
    </row>
    <row r="17" spans="2:4">
      <c r="B17" s="22">
        <v>46157</v>
      </c>
      <c r="C17" s="25"/>
      <c r="D17" s="25">
        <v>314.60000000000002</v>
      </c>
    </row>
    <row r="18" spans="2:4">
      <c r="B18" s="22">
        <v>46158</v>
      </c>
      <c r="C18" s="25"/>
      <c r="D18" s="25"/>
    </row>
    <row r="19" spans="2:4">
      <c r="B19" s="22">
        <v>46159</v>
      </c>
      <c r="C19" s="25"/>
      <c r="D19" s="25"/>
    </row>
    <row r="20" spans="2:4">
      <c r="B20" s="22">
        <v>46160</v>
      </c>
      <c r="C20" s="25"/>
      <c r="D20" s="25">
        <v>45.12</v>
      </c>
    </row>
    <row r="21" spans="2:4">
      <c r="B21" s="22">
        <v>46161</v>
      </c>
      <c r="C21" s="25"/>
      <c r="D21" s="25"/>
    </row>
    <row r="22" spans="2:4">
      <c r="B22" s="22">
        <v>46162</v>
      </c>
      <c r="C22" s="25"/>
      <c r="D22" s="25"/>
    </row>
    <row r="23" spans="2:4">
      <c r="B23" s="22">
        <v>46163</v>
      </c>
      <c r="C23" s="25"/>
      <c r="D23" s="25"/>
    </row>
    <row r="24" spans="2:4">
      <c r="B24" s="22">
        <v>46164</v>
      </c>
      <c r="C24" s="25"/>
      <c r="D24" s="25"/>
    </row>
    <row r="25" spans="2:4">
      <c r="B25" s="22">
        <v>46165</v>
      </c>
      <c r="C25" s="25"/>
      <c r="D25" s="25"/>
    </row>
    <row r="26" spans="2:4">
      <c r="B26" s="22">
        <v>46166</v>
      </c>
      <c r="C26" s="25"/>
      <c r="D26" s="25"/>
    </row>
    <row r="27" spans="2:4">
      <c r="B27" s="22">
        <v>46167</v>
      </c>
      <c r="C27" s="25"/>
      <c r="D27" s="25"/>
    </row>
    <row r="28" spans="2:4">
      <c r="B28" s="22">
        <v>46168</v>
      </c>
      <c r="C28" s="25"/>
      <c r="D28" s="25"/>
    </row>
    <row r="29" spans="2:4">
      <c r="B29" s="22">
        <v>46169</v>
      </c>
      <c r="C29" s="25"/>
      <c r="D29" s="25"/>
    </row>
    <row r="30" spans="2:4">
      <c r="B30" s="22">
        <v>46170</v>
      </c>
      <c r="C30" s="25"/>
      <c r="D30" s="25"/>
    </row>
    <row r="31" spans="2:4">
      <c r="B31" s="22">
        <v>46171</v>
      </c>
      <c r="C31" s="25"/>
      <c r="D31" s="25"/>
    </row>
    <row r="32" spans="2:4">
      <c r="B32" s="22">
        <v>46172</v>
      </c>
      <c r="C32" s="25"/>
      <c r="D32" s="25"/>
    </row>
    <row r="33" spans="2:4">
      <c r="B33" s="22">
        <v>46173</v>
      </c>
      <c r="C33" s="25"/>
      <c r="D33" s="25"/>
    </row>
    <row r="34" spans="2:4">
      <c r="B34" s="22"/>
      <c r="C34" s="25">
        <f>SUM(C4:C30)</f>
        <v>0</v>
      </c>
      <c r="D34" s="25">
        <f>SUM(D3:D30)</f>
        <v>1863.7599999999998</v>
      </c>
    </row>
    <row r="35" spans="2:4">
      <c r="B35" s="26" t="s">
        <v>11</v>
      </c>
      <c r="C35" s="125">
        <f>C34+D34</f>
        <v>1863.7599999999998</v>
      </c>
      <c r="D35" s="126"/>
    </row>
  </sheetData>
  <mergeCells count="2">
    <mergeCell ref="B1:B2"/>
    <mergeCell ref="C35:D35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44709-7639-4A38-8EB5-A5707E1B055B}">
  <sheetPr>
    <pageSetUpPr fitToPage="1"/>
  </sheetPr>
  <dimension ref="A1:M33"/>
  <sheetViews>
    <sheetView workbookViewId="0">
      <pane ySplit="2" topLeftCell="A6" activePane="bottomLeft" state="frozen"/>
      <selection activeCell="A2" sqref="A2"/>
      <selection pane="bottomLeft" activeCell="P12" sqref="P12"/>
    </sheetView>
  </sheetViews>
  <sheetFormatPr defaultColWidth="5.7109375" defaultRowHeight="15"/>
  <cols>
    <col min="1" max="1" width="9.85546875" bestFit="1" customWidth="1"/>
    <col min="2" max="2" width="10.42578125" customWidth="1"/>
    <col min="3" max="3" width="9.7109375" customWidth="1"/>
    <col min="4" max="5" width="7.5703125" bestFit="1" customWidth="1"/>
    <col min="6" max="6" width="9.28515625" customWidth="1"/>
    <col min="7" max="7" width="8.5703125" bestFit="1" customWidth="1"/>
    <col min="8" max="13" width="7.7109375" bestFit="1" customWidth="1"/>
  </cols>
  <sheetData>
    <row r="1" spans="1:13" ht="26.25">
      <c r="A1" s="128" t="s">
        <v>13</v>
      </c>
      <c r="B1" s="127" t="s">
        <v>8</v>
      </c>
      <c r="C1" s="127"/>
      <c r="D1" s="127"/>
      <c r="E1" s="127"/>
      <c r="F1" s="127"/>
      <c r="G1" s="127"/>
      <c r="H1" s="127" t="s">
        <v>4</v>
      </c>
      <c r="I1" s="127"/>
      <c r="J1" s="127"/>
      <c r="K1" s="127"/>
      <c r="L1" s="127"/>
      <c r="M1" s="127"/>
    </row>
    <row r="2" spans="1:13" ht="30">
      <c r="A2" s="128"/>
      <c r="B2" s="31" t="s">
        <v>0</v>
      </c>
      <c r="C2" s="31" t="s">
        <v>1</v>
      </c>
      <c r="D2" s="31" t="s">
        <v>15</v>
      </c>
      <c r="E2" s="31" t="s">
        <v>16</v>
      </c>
      <c r="F2" s="31" t="s">
        <v>18</v>
      </c>
      <c r="G2" s="31" t="s">
        <v>3</v>
      </c>
      <c r="H2" s="32" t="s">
        <v>0</v>
      </c>
      <c r="I2" s="32" t="s">
        <v>1</v>
      </c>
      <c r="J2" s="32" t="s">
        <v>15</v>
      </c>
      <c r="K2" s="32" t="s">
        <v>16</v>
      </c>
      <c r="L2" s="32" t="s">
        <v>18</v>
      </c>
      <c r="M2" s="33" t="s">
        <v>3</v>
      </c>
    </row>
    <row r="3" spans="1:13">
      <c r="A3" s="22">
        <f>'LST CEMENT MILL'!B3</f>
        <v>46143</v>
      </c>
      <c r="B3" s="35">
        <v>1933.12</v>
      </c>
      <c r="C3" s="35">
        <v>661.04</v>
      </c>
      <c r="D3" s="35">
        <v>0</v>
      </c>
      <c r="E3" s="35">
        <v>0</v>
      </c>
      <c r="F3" s="35">
        <v>348.26</v>
      </c>
      <c r="G3" s="34">
        <f>SUM(B3:F3)</f>
        <v>2942.42</v>
      </c>
      <c r="H3" s="34">
        <f>(B3/G3)*100</f>
        <v>65.698302757594078</v>
      </c>
      <c r="I3" s="34">
        <f>(C3/G3)*100</f>
        <v>22.465861433785793</v>
      </c>
      <c r="J3" s="34">
        <f>(D3/G3)*100</f>
        <v>0</v>
      </c>
      <c r="K3" s="34">
        <f>(E3/G3)*100</f>
        <v>0</v>
      </c>
      <c r="L3" s="34">
        <f>(F3/G3)*100</f>
        <v>11.835835808620116</v>
      </c>
      <c r="M3" s="36">
        <f>SUM(H3:L3)</f>
        <v>99.999999999999986</v>
      </c>
    </row>
    <row r="4" spans="1:13">
      <c r="A4" s="22">
        <f>'LST CEMENT MILL'!B4</f>
        <v>46144</v>
      </c>
      <c r="B4" s="35">
        <v>448.64</v>
      </c>
      <c r="C4" s="35">
        <v>0</v>
      </c>
      <c r="D4" s="35">
        <v>0</v>
      </c>
      <c r="E4" s="35">
        <v>0</v>
      </c>
      <c r="F4" s="35">
        <v>291.42</v>
      </c>
      <c r="G4" s="34">
        <f t="shared" ref="G4:G32" si="0">SUM(B4:F4)</f>
        <v>740.06</v>
      </c>
      <c r="H4" s="34">
        <f t="shared" ref="H4:H19" si="1">(B4/G4)*100</f>
        <v>60.622111720671299</v>
      </c>
      <c r="I4" s="34">
        <f t="shared" ref="I4:I19" si="2">(C4/G4)*100</f>
        <v>0</v>
      </c>
      <c r="J4" s="34">
        <f t="shared" ref="J4:J19" si="3">(D4/G4)*100</f>
        <v>0</v>
      </c>
      <c r="K4" s="34">
        <f t="shared" ref="K4:K19" si="4">(E4/G4)*100</f>
        <v>0</v>
      </c>
      <c r="L4" s="34">
        <f t="shared" ref="L4:L19" si="5">(F4/G4)*100</f>
        <v>39.377888279328708</v>
      </c>
      <c r="M4" s="36">
        <f t="shared" ref="M4:M19" si="6">SUM(H4:L4)</f>
        <v>100</v>
      </c>
    </row>
    <row r="5" spans="1:13">
      <c r="A5" s="22">
        <f>'LST CEMENT MILL'!B5</f>
        <v>46145</v>
      </c>
      <c r="B5" s="35">
        <v>2272.42</v>
      </c>
      <c r="C5" s="35">
        <v>357.9</v>
      </c>
      <c r="D5" s="35">
        <v>0</v>
      </c>
      <c r="E5" s="35">
        <v>0</v>
      </c>
      <c r="F5" s="35">
        <v>126</v>
      </c>
      <c r="G5" s="34">
        <f t="shared" si="0"/>
        <v>2756.32</v>
      </c>
      <c r="H5" s="34">
        <f t="shared" si="1"/>
        <v>82.443983282057232</v>
      </c>
      <c r="I5" s="34">
        <f t="shared" si="2"/>
        <v>12.984704243338943</v>
      </c>
      <c r="J5" s="34">
        <f t="shared" si="3"/>
        <v>0</v>
      </c>
      <c r="K5" s="34">
        <f t="shared" si="4"/>
        <v>0</v>
      </c>
      <c r="L5" s="34">
        <f t="shared" si="5"/>
        <v>4.5713124746038192</v>
      </c>
      <c r="M5" s="36">
        <f t="shared" si="6"/>
        <v>99.999999999999986</v>
      </c>
    </row>
    <row r="6" spans="1:13">
      <c r="A6" s="22">
        <f>'LST CEMENT MILL'!B6</f>
        <v>46146</v>
      </c>
      <c r="B6" s="35">
        <v>1371.6</v>
      </c>
      <c r="C6" s="35">
        <v>959.54</v>
      </c>
      <c r="D6" s="35">
        <v>0</v>
      </c>
      <c r="E6" s="35">
        <v>0</v>
      </c>
      <c r="F6" s="35">
        <v>70.7</v>
      </c>
      <c r="G6" s="34">
        <f t="shared" si="0"/>
        <v>2401.8399999999997</v>
      </c>
      <c r="H6" s="34">
        <f t="shared" si="1"/>
        <v>57.106218565766255</v>
      </c>
      <c r="I6" s="34">
        <f t="shared" si="2"/>
        <v>39.950204842953738</v>
      </c>
      <c r="J6" s="34">
        <f t="shared" si="3"/>
        <v>0</v>
      </c>
      <c r="K6" s="34">
        <f t="shared" si="4"/>
        <v>0</v>
      </c>
      <c r="L6" s="34">
        <f t="shared" si="5"/>
        <v>2.9435765912800194</v>
      </c>
      <c r="M6" s="36">
        <f t="shared" si="6"/>
        <v>100.00000000000001</v>
      </c>
    </row>
    <row r="7" spans="1:13">
      <c r="A7" s="22">
        <f>'LST CEMENT MILL'!B7</f>
        <v>46147</v>
      </c>
      <c r="B7" s="35">
        <v>2645</v>
      </c>
      <c r="C7" s="35">
        <v>421.72</v>
      </c>
      <c r="D7" s="35">
        <v>0</v>
      </c>
      <c r="E7" s="35">
        <v>0</v>
      </c>
      <c r="F7" s="35">
        <v>0</v>
      </c>
      <c r="G7" s="34">
        <f t="shared" si="0"/>
        <v>3066.7200000000003</v>
      </c>
      <c r="H7" s="34">
        <f t="shared" si="1"/>
        <v>86.248500026086489</v>
      </c>
      <c r="I7" s="34">
        <f t="shared" si="2"/>
        <v>13.751499973913498</v>
      </c>
      <c r="J7" s="34">
        <f t="shared" si="3"/>
        <v>0</v>
      </c>
      <c r="K7" s="34">
        <f t="shared" si="4"/>
        <v>0</v>
      </c>
      <c r="L7" s="34">
        <f t="shared" si="5"/>
        <v>0</v>
      </c>
      <c r="M7" s="36">
        <f t="shared" si="6"/>
        <v>99.999999999999986</v>
      </c>
    </row>
    <row r="8" spans="1:13">
      <c r="A8" s="22">
        <f>'LST CEMENT MILL'!B8</f>
        <v>46148</v>
      </c>
      <c r="B8" s="35">
        <v>1883.34</v>
      </c>
      <c r="C8" s="35">
        <v>105</v>
      </c>
      <c r="D8" s="35">
        <v>0</v>
      </c>
      <c r="E8" s="35">
        <v>0</v>
      </c>
      <c r="F8" s="35">
        <v>0</v>
      </c>
      <c r="G8" s="34">
        <f t="shared" si="0"/>
        <v>1988.34</v>
      </c>
      <c r="H8" s="34">
        <f t="shared" si="1"/>
        <v>94.719213011859139</v>
      </c>
      <c r="I8" s="34">
        <f t="shared" si="2"/>
        <v>5.2807869881408616</v>
      </c>
      <c r="J8" s="34">
        <f t="shared" si="3"/>
        <v>0</v>
      </c>
      <c r="K8" s="34">
        <f t="shared" si="4"/>
        <v>0</v>
      </c>
      <c r="L8" s="34">
        <f t="shared" si="5"/>
        <v>0</v>
      </c>
      <c r="M8" s="36">
        <f t="shared" si="6"/>
        <v>100</v>
      </c>
    </row>
    <row r="9" spans="1:13">
      <c r="A9" s="22">
        <f>'LST CEMENT MILL'!B9</f>
        <v>46149</v>
      </c>
      <c r="B9" s="35">
        <v>2296.8200000000002</v>
      </c>
      <c r="C9" s="35">
        <v>147</v>
      </c>
      <c r="D9" s="35">
        <v>0</v>
      </c>
      <c r="E9" s="35">
        <v>0</v>
      </c>
      <c r="F9" s="35">
        <v>0</v>
      </c>
      <c r="G9" s="34">
        <f t="shared" si="0"/>
        <v>2443.8200000000002</v>
      </c>
      <c r="H9" s="34">
        <f t="shared" si="1"/>
        <v>93.984827033087555</v>
      </c>
      <c r="I9" s="34">
        <f t="shared" si="2"/>
        <v>6.0151729669124565</v>
      </c>
      <c r="J9" s="34">
        <f t="shared" si="3"/>
        <v>0</v>
      </c>
      <c r="K9" s="34">
        <f t="shared" si="4"/>
        <v>0</v>
      </c>
      <c r="L9" s="34">
        <f t="shared" si="5"/>
        <v>0</v>
      </c>
      <c r="M9" s="36">
        <f t="shared" si="6"/>
        <v>100.00000000000001</v>
      </c>
    </row>
    <row r="10" spans="1:13">
      <c r="A10" s="22">
        <f>'LST CEMENT MILL'!B10</f>
        <v>46150</v>
      </c>
      <c r="B10" s="35">
        <v>2447.34</v>
      </c>
      <c r="C10" s="35">
        <v>910.88</v>
      </c>
      <c r="D10" s="35">
        <v>0</v>
      </c>
      <c r="E10" s="35">
        <v>0</v>
      </c>
      <c r="F10" s="35">
        <v>0</v>
      </c>
      <c r="G10" s="34">
        <f t="shared" si="0"/>
        <v>3358.2200000000003</v>
      </c>
      <c r="H10" s="34">
        <f t="shared" si="1"/>
        <v>72.876106985248128</v>
      </c>
      <c r="I10" s="34">
        <f>(C10/G10)*100</f>
        <v>27.123893014751861</v>
      </c>
      <c r="J10" s="34">
        <f t="shared" si="3"/>
        <v>0</v>
      </c>
      <c r="K10" s="34">
        <f t="shared" si="4"/>
        <v>0</v>
      </c>
      <c r="L10" s="34">
        <f t="shared" si="5"/>
        <v>0</v>
      </c>
      <c r="M10" s="36">
        <f t="shared" si="6"/>
        <v>99.999999999999986</v>
      </c>
    </row>
    <row r="11" spans="1:13">
      <c r="A11" s="22">
        <f>'LST CEMENT MILL'!B11</f>
        <v>46151</v>
      </c>
      <c r="B11" s="35">
        <v>2153.1799999999998</v>
      </c>
      <c r="C11" s="35">
        <v>785.04</v>
      </c>
      <c r="D11" s="35">
        <v>0</v>
      </c>
      <c r="E11" s="35">
        <v>0</v>
      </c>
      <c r="F11" s="35">
        <v>0</v>
      </c>
      <c r="G11" s="34">
        <f t="shared" si="0"/>
        <v>2938.22</v>
      </c>
      <c r="H11" s="34">
        <f t="shared" si="1"/>
        <v>73.281782848118922</v>
      </c>
      <c r="I11" s="34">
        <f t="shared" si="2"/>
        <v>26.718217151881074</v>
      </c>
      <c r="J11" s="34">
        <f t="shared" si="3"/>
        <v>0</v>
      </c>
      <c r="K11" s="34">
        <f t="shared" si="4"/>
        <v>0</v>
      </c>
      <c r="L11" s="34">
        <f t="shared" si="5"/>
        <v>0</v>
      </c>
      <c r="M11" s="36">
        <f t="shared" si="6"/>
        <v>100</v>
      </c>
    </row>
    <row r="12" spans="1:13">
      <c r="A12" s="22">
        <f>'LST CEMENT MILL'!B12</f>
        <v>46152</v>
      </c>
      <c r="B12" s="35">
        <v>1697.24</v>
      </c>
      <c r="C12" s="35">
        <v>927.37</v>
      </c>
      <c r="D12" s="35">
        <v>0</v>
      </c>
      <c r="E12" s="35">
        <v>0</v>
      </c>
      <c r="F12" s="35">
        <v>241.34</v>
      </c>
      <c r="G12" s="34">
        <f t="shared" si="0"/>
        <v>2865.9500000000003</v>
      </c>
      <c r="H12" s="34">
        <f t="shared" si="1"/>
        <v>59.22085172455904</v>
      </c>
      <c r="I12" s="34">
        <f t="shared" si="2"/>
        <v>32.358205830527396</v>
      </c>
      <c r="J12" s="34">
        <f t="shared" si="3"/>
        <v>0</v>
      </c>
      <c r="K12" s="34">
        <f t="shared" si="4"/>
        <v>0</v>
      </c>
      <c r="L12" s="34">
        <f t="shared" si="5"/>
        <v>8.4209424449135533</v>
      </c>
      <c r="M12" s="36">
        <f t="shared" si="6"/>
        <v>99.999999999999986</v>
      </c>
    </row>
    <row r="13" spans="1:13">
      <c r="A13" s="22">
        <f>'LST CEMENT MILL'!B13</f>
        <v>46153</v>
      </c>
      <c r="B13" s="35">
        <v>1308.1400000000001</v>
      </c>
      <c r="C13" s="35">
        <v>449.68</v>
      </c>
      <c r="D13" s="35">
        <v>0</v>
      </c>
      <c r="E13" s="35">
        <v>0</v>
      </c>
      <c r="F13" s="35">
        <v>60.3</v>
      </c>
      <c r="G13" s="34">
        <f t="shared" si="0"/>
        <v>1818.1200000000001</v>
      </c>
      <c r="H13" s="34">
        <f t="shared" si="1"/>
        <v>71.950146304974368</v>
      </c>
      <c r="I13" s="34">
        <f t="shared" si="2"/>
        <v>24.733240930191624</v>
      </c>
      <c r="J13" s="34">
        <f t="shared" si="3"/>
        <v>0</v>
      </c>
      <c r="K13" s="34">
        <f t="shared" si="4"/>
        <v>0</v>
      </c>
      <c r="L13" s="34">
        <f t="shared" si="5"/>
        <v>3.3166127648340038</v>
      </c>
      <c r="M13" s="36">
        <f t="shared" si="6"/>
        <v>100</v>
      </c>
    </row>
    <row r="14" spans="1:13">
      <c r="A14" s="22">
        <f>'LST CEMENT MILL'!B14</f>
        <v>46154</v>
      </c>
      <c r="B14" s="35">
        <v>2701.56</v>
      </c>
      <c r="C14" s="35">
        <v>136.76</v>
      </c>
      <c r="D14" s="35">
        <v>0</v>
      </c>
      <c r="E14" s="35">
        <v>0</v>
      </c>
      <c r="F14" s="35">
        <v>0</v>
      </c>
      <c r="G14" s="34">
        <f t="shared" si="0"/>
        <v>2838.3199999999997</v>
      </c>
      <c r="H14" s="34">
        <f t="shared" si="1"/>
        <v>95.181656754699972</v>
      </c>
      <c r="I14" s="34">
        <f t="shared" si="2"/>
        <v>4.8183432453000368</v>
      </c>
      <c r="J14" s="34">
        <f t="shared" si="3"/>
        <v>0</v>
      </c>
      <c r="K14" s="34">
        <f t="shared" si="4"/>
        <v>0</v>
      </c>
      <c r="L14" s="34">
        <f t="shared" si="5"/>
        <v>0</v>
      </c>
      <c r="M14" s="36">
        <f t="shared" si="6"/>
        <v>100.00000000000001</v>
      </c>
    </row>
    <row r="15" spans="1:13">
      <c r="A15" s="22">
        <f>'LST CEMENT MILL'!B15</f>
        <v>46155</v>
      </c>
      <c r="B15" s="35">
        <v>2047.5</v>
      </c>
      <c r="C15" s="35">
        <v>841.76</v>
      </c>
      <c r="D15" s="35">
        <v>0</v>
      </c>
      <c r="E15" s="35">
        <v>0</v>
      </c>
      <c r="F15" s="35">
        <v>0</v>
      </c>
      <c r="G15" s="34">
        <f t="shared" si="0"/>
        <v>2889.26</v>
      </c>
      <c r="H15" s="34">
        <f t="shared" si="1"/>
        <v>70.865896457916548</v>
      </c>
      <c r="I15" s="34">
        <f t="shared" si="2"/>
        <v>29.134103542083441</v>
      </c>
      <c r="J15" s="34">
        <f t="shared" si="3"/>
        <v>0</v>
      </c>
      <c r="K15" s="34">
        <f t="shared" si="4"/>
        <v>0</v>
      </c>
      <c r="L15" s="34">
        <f t="shared" si="5"/>
        <v>0</v>
      </c>
      <c r="M15" s="36">
        <f t="shared" si="6"/>
        <v>99.999999999999986</v>
      </c>
    </row>
    <row r="16" spans="1:13">
      <c r="A16" s="22">
        <f>'LST CEMENT MILL'!B16</f>
        <v>46156</v>
      </c>
      <c r="B16" s="35">
        <v>1687.98</v>
      </c>
      <c r="C16" s="35">
        <v>775.6</v>
      </c>
      <c r="D16" s="35">
        <v>0</v>
      </c>
      <c r="E16" s="35">
        <v>0</v>
      </c>
      <c r="F16" s="35">
        <v>0</v>
      </c>
      <c r="G16" s="34">
        <f t="shared" si="0"/>
        <v>2463.58</v>
      </c>
      <c r="H16" s="34">
        <f t="shared" si="1"/>
        <v>68.517360913792118</v>
      </c>
      <c r="I16" s="34">
        <f t="shared" si="2"/>
        <v>31.482639086207882</v>
      </c>
      <c r="J16" s="34">
        <f t="shared" si="3"/>
        <v>0</v>
      </c>
      <c r="K16" s="34">
        <f t="shared" si="4"/>
        <v>0</v>
      </c>
      <c r="L16" s="34">
        <f t="shared" si="5"/>
        <v>0</v>
      </c>
      <c r="M16" s="36">
        <f t="shared" si="6"/>
        <v>100</v>
      </c>
    </row>
    <row r="17" spans="1:13">
      <c r="A17" s="22">
        <f>'LST CEMENT MILL'!B17</f>
        <v>46157</v>
      </c>
      <c r="B17" s="35">
        <v>1368.08</v>
      </c>
      <c r="C17" s="35">
        <v>1030.2</v>
      </c>
      <c r="D17" s="35">
        <v>0</v>
      </c>
      <c r="E17" s="35">
        <v>0</v>
      </c>
      <c r="F17" s="35">
        <v>63.3</v>
      </c>
      <c r="G17" s="34">
        <f t="shared" si="0"/>
        <v>2461.58</v>
      </c>
      <c r="H17" s="34">
        <f t="shared" si="1"/>
        <v>55.577312132857756</v>
      </c>
      <c r="I17" s="34">
        <f t="shared" si="2"/>
        <v>41.851168761527155</v>
      </c>
      <c r="J17" s="34">
        <f t="shared" si="3"/>
        <v>0</v>
      </c>
      <c r="K17" s="34">
        <f t="shared" si="4"/>
        <v>0</v>
      </c>
      <c r="L17" s="34">
        <f t="shared" si="5"/>
        <v>2.5715191056150926</v>
      </c>
      <c r="M17" s="36">
        <f t="shared" si="6"/>
        <v>100</v>
      </c>
    </row>
    <row r="18" spans="1:13">
      <c r="A18" s="22">
        <f>'LST CEMENT MILL'!B18</f>
        <v>46158</v>
      </c>
      <c r="B18" s="35">
        <v>3203.86</v>
      </c>
      <c r="C18" s="35">
        <v>425.78</v>
      </c>
      <c r="D18" s="35">
        <v>0</v>
      </c>
      <c r="E18" s="35">
        <v>0</v>
      </c>
      <c r="F18" s="35">
        <v>63.3</v>
      </c>
      <c r="G18" s="34">
        <f t="shared" si="0"/>
        <v>3692.9400000000005</v>
      </c>
      <c r="H18" s="34">
        <f t="shared" si="1"/>
        <v>86.756351308171801</v>
      </c>
      <c r="I18" s="34">
        <f t="shared" si="2"/>
        <v>11.529567228278822</v>
      </c>
      <c r="J18" s="34">
        <f t="shared" si="3"/>
        <v>0</v>
      </c>
      <c r="K18" s="34">
        <f t="shared" si="4"/>
        <v>0</v>
      </c>
      <c r="L18" s="34">
        <f t="shared" si="5"/>
        <v>1.7140814635493669</v>
      </c>
      <c r="M18" s="36">
        <f t="shared" si="6"/>
        <v>99.999999999999986</v>
      </c>
    </row>
    <row r="19" spans="1:13">
      <c r="A19" s="22">
        <f>'LST CEMENT MILL'!B19</f>
        <v>46159</v>
      </c>
      <c r="B19" s="35">
        <v>1875.8</v>
      </c>
      <c r="C19" s="35">
        <v>859.1</v>
      </c>
      <c r="D19" s="35">
        <v>0</v>
      </c>
      <c r="E19" s="35">
        <v>0</v>
      </c>
      <c r="F19" s="35">
        <v>0</v>
      </c>
      <c r="G19" s="34">
        <f t="shared" si="0"/>
        <v>2734.9</v>
      </c>
      <c r="H19" s="34">
        <f t="shared" si="1"/>
        <v>68.58751691103879</v>
      </c>
      <c r="I19" s="34">
        <f t="shared" si="2"/>
        <v>31.412483088961206</v>
      </c>
      <c r="J19" s="34">
        <f t="shared" si="3"/>
        <v>0</v>
      </c>
      <c r="K19" s="34">
        <f t="shared" si="4"/>
        <v>0</v>
      </c>
      <c r="L19" s="34">
        <f t="shared" si="5"/>
        <v>0</v>
      </c>
      <c r="M19" s="36">
        <f t="shared" si="6"/>
        <v>100</v>
      </c>
    </row>
    <row r="20" spans="1:13">
      <c r="A20" s="22">
        <f>'LST CEMENT MILL'!B20</f>
        <v>46160</v>
      </c>
      <c r="B20" s="35">
        <v>1664.12</v>
      </c>
      <c r="C20" s="35">
        <v>1001.38</v>
      </c>
      <c r="D20" s="35">
        <v>0</v>
      </c>
      <c r="E20" s="35">
        <v>0</v>
      </c>
      <c r="F20" s="35">
        <v>0</v>
      </c>
      <c r="G20" s="34">
        <f t="shared" si="0"/>
        <v>2665.5</v>
      </c>
      <c r="H20" s="34">
        <f t="shared" ref="H20:H32" si="7">(B20/G20)*100</f>
        <v>62.431813918589377</v>
      </c>
      <c r="I20" s="34">
        <f t="shared" ref="I20:I32" si="8">(C20/G20)*100</f>
        <v>37.568186081410616</v>
      </c>
      <c r="J20" s="34">
        <f t="shared" ref="J20:J32" si="9">(D20/G20)*100</f>
        <v>0</v>
      </c>
      <c r="K20" s="34">
        <f t="shared" ref="K20:K32" si="10">(E20/G20)*100</f>
        <v>0</v>
      </c>
      <c r="L20" s="34">
        <f t="shared" ref="L20:L32" si="11">(F20/G20)*100</f>
        <v>0</v>
      </c>
      <c r="M20" s="36">
        <f t="shared" ref="M20:M32" si="12">SUM(H20:L20)</f>
        <v>100</v>
      </c>
    </row>
    <row r="21" spans="1:13">
      <c r="A21" s="22">
        <f>'LST CEMENT MILL'!B21</f>
        <v>46161</v>
      </c>
      <c r="B21" s="35">
        <v>2013.38</v>
      </c>
      <c r="C21" s="35">
        <v>1098.94</v>
      </c>
      <c r="D21" s="35">
        <v>0</v>
      </c>
      <c r="E21" s="35">
        <v>0</v>
      </c>
      <c r="F21" s="35">
        <v>0</v>
      </c>
      <c r="G21" s="34">
        <f t="shared" si="0"/>
        <v>3112.32</v>
      </c>
      <c r="H21" s="34">
        <f t="shared" si="7"/>
        <v>64.690648776475427</v>
      </c>
      <c r="I21" s="34">
        <f t="shared" si="8"/>
        <v>35.309351223524573</v>
      </c>
      <c r="J21" s="34">
        <f t="shared" si="9"/>
        <v>0</v>
      </c>
      <c r="K21" s="34">
        <f t="shared" si="10"/>
        <v>0</v>
      </c>
      <c r="L21" s="34">
        <f t="shared" si="11"/>
        <v>0</v>
      </c>
      <c r="M21" s="36">
        <f t="shared" si="12"/>
        <v>100</v>
      </c>
    </row>
    <row r="22" spans="1:13">
      <c r="A22" s="22">
        <f>'LST CEMENT MILL'!B22</f>
        <v>46162</v>
      </c>
      <c r="B22" s="35">
        <v>2018.5</v>
      </c>
      <c r="C22" s="35">
        <v>1683.7</v>
      </c>
      <c r="D22" s="35">
        <v>0</v>
      </c>
      <c r="E22" s="35">
        <v>0</v>
      </c>
      <c r="F22" s="35">
        <v>0</v>
      </c>
      <c r="G22" s="34">
        <f t="shared" si="0"/>
        <v>3702.2</v>
      </c>
      <c r="H22" s="34">
        <f t="shared" si="7"/>
        <v>54.521635784128364</v>
      </c>
      <c r="I22" s="34">
        <f t="shared" si="8"/>
        <v>45.47836421587165</v>
      </c>
      <c r="J22" s="34">
        <f t="shared" si="9"/>
        <v>0</v>
      </c>
      <c r="K22" s="34">
        <f t="shared" si="10"/>
        <v>0</v>
      </c>
      <c r="L22" s="34">
        <f t="shared" si="11"/>
        <v>0</v>
      </c>
      <c r="M22" s="36">
        <f t="shared" si="12"/>
        <v>100.00000000000001</v>
      </c>
    </row>
    <row r="23" spans="1:13">
      <c r="A23" s="22">
        <f>'LST CEMENT MILL'!B23</f>
        <v>46163</v>
      </c>
      <c r="B23" s="35"/>
      <c r="C23" s="35"/>
      <c r="D23" s="35"/>
      <c r="E23" s="35"/>
      <c r="F23" s="35"/>
      <c r="G23" s="34">
        <f t="shared" si="0"/>
        <v>0</v>
      </c>
      <c r="H23" s="34" t="e">
        <f t="shared" si="7"/>
        <v>#DIV/0!</v>
      </c>
      <c r="I23" s="34" t="e">
        <f t="shared" si="8"/>
        <v>#DIV/0!</v>
      </c>
      <c r="J23" s="34" t="e">
        <f t="shared" si="9"/>
        <v>#DIV/0!</v>
      </c>
      <c r="K23" s="34" t="e">
        <f t="shared" si="10"/>
        <v>#DIV/0!</v>
      </c>
      <c r="L23" s="34" t="e">
        <f t="shared" si="11"/>
        <v>#DIV/0!</v>
      </c>
      <c r="M23" s="36" t="e">
        <f t="shared" si="12"/>
        <v>#DIV/0!</v>
      </c>
    </row>
    <row r="24" spans="1:13">
      <c r="A24" s="22">
        <f>'LST CEMENT MILL'!B24</f>
        <v>46164</v>
      </c>
      <c r="B24" s="35"/>
      <c r="C24" s="35"/>
      <c r="D24" s="35"/>
      <c r="E24" s="35"/>
      <c r="F24" s="35"/>
      <c r="G24" s="34">
        <f t="shared" si="0"/>
        <v>0</v>
      </c>
      <c r="H24" s="34" t="e">
        <f t="shared" si="7"/>
        <v>#DIV/0!</v>
      </c>
      <c r="I24" s="34" t="e">
        <f t="shared" si="8"/>
        <v>#DIV/0!</v>
      </c>
      <c r="J24" s="34" t="e">
        <f t="shared" si="9"/>
        <v>#DIV/0!</v>
      </c>
      <c r="K24" s="34" t="e">
        <f t="shared" si="10"/>
        <v>#DIV/0!</v>
      </c>
      <c r="L24" s="34" t="e">
        <f t="shared" si="11"/>
        <v>#DIV/0!</v>
      </c>
      <c r="M24" s="36" t="e">
        <f t="shared" si="12"/>
        <v>#DIV/0!</v>
      </c>
    </row>
    <row r="25" spans="1:13">
      <c r="A25" s="22">
        <f>'LST CEMENT MILL'!B25</f>
        <v>46165</v>
      </c>
      <c r="B25" s="35"/>
      <c r="C25" s="35"/>
      <c r="D25" s="35"/>
      <c r="E25" s="35"/>
      <c r="F25" s="35"/>
      <c r="G25" s="34">
        <f t="shared" si="0"/>
        <v>0</v>
      </c>
      <c r="H25" s="34" t="e">
        <f t="shared" si="7"/>
        <v>#DIV/0!</v>
      </c>
      <c r="I25" s="34" t="e">
        <f t="shared" si="8"/>
        <v>#DIV/0!</v>
      </c>
      <c r="J25" s="34" t="e">
        <f t="shared" si="9"/>
        <v>#DIV/0!</v>
      </c>
      <c r="K25" s="34" t="e">
        <f t="shared" si="10"/>
        <v>#DIV/0!</v>
      </c>
      <c r="L25" s="34" t="e">
        <f t="shared" si="11"/>
        <v>#DIV/0!</v>
      </c>
      <c r="M25" s="36" t="e">
        <f t="shared" si="12"/>
        <v>#DIV/0!</v>
      </c>
    </row>
    <row r="26" spans="1:13">
      <c r="A26" s="22">
        <f>'LST CEMENT MILL'!B26</f>
        <v>46166</v>
      </c>
      <c r="B26" s="35"/>
      <c r="C26" s="35"/>
      <c r="D26" s="35"/>
      <c r="E26" s="35"/>
      <c r="F26" s="35"/>
      <c r="G26" s="34">
        <f t="shared" ref="G26:G27" si="13">SUM(B26:F26)</f>
        <v>0</v>
      </c>
      <c r="H26" s="34" t="e">
        <f t="shared" ref="H26:H27" si="14">(B26/G26)*100</f>
        <v>#DIV/0!</v>
      </c>
      <c r="I26" s="34" t="e">
        <f t="shared" ref="I26:I27" si="15">(C26/G26)*100</f>
        <v>#DIV/0!</v>
      </c>
      <c r="J26" s="34" t="e">
        <f t="shared" ref="J26:J27" si="16">(D26/G26)*100</f>
        <v>#DIV/0!</v>
      </c>
      <c r="K26" s="34" t="e">
        <f t="shared" ref="K26:K27" si="17">(E26/G26)*100</f>
        <v>#DIV/0!</v>
      </c>
      <c r="L26" s="34" t="e">
        <f t="shared" ref="L26:L27" si="18">(F26/G26)*100</f>
        <v>#DIV/0!</v>
      </c>
      <c r="M26" s="36" t="e">
        <f t="shared" ref="M26:M27" si="19">SUM(H26:L26)</f>
        <v>#DIV/0!</v>
      </c>
    </row>
    <row r="27" spans="1:13">
      <c r="A27" s="22">
        <f>'LST CEMENT MILL'!B27</f>
        <v>46167</v>
      </c>
      <c r="B27" s="35"/>
      <c r="C27" s="35"/>
      <c r="D27" s="35"/>
      <c r="E27" s="35"/>
      <c r="F27" s="35"/>
      <c r="G27" s="34">
        <f t="shared" si="13"/>
        <v>0</v>
      </c>
      <c r="H27" s="34" t="e">
        <f t="shared" si="14"/>
        <v>#DIV/0!</v>
      </c>
      <c r="I27" s="34" t="e">
        <f t="shared" si="15"/>
        <v>#DIV/0!</v>
      </c>
      <c r="J27" s="34" t="e">
        <f t="shared" si="16"/>
        <v>#DIV/0!</v>
      </c>
      <c r="K27" s="34" t="e">
        <f t="shared" si="17"/>
        <v>#DIV/0!</v>
      </c>
      <c r="L27" s="34" t="e">
        <f t="shared" si="18"/>
        <v>#DIV/0!</v>
      </c>
      <c r="M27" s="36" t="e">
        <f t="shared" si="19"/>
        <v>#DIV/0!</v>
      </c>
    </row>
    <row r="28" spans="1:13">
      <c r="A28" s="22">
        <f>'LST CEMENT MILL'!B28</f>
        <v>46168</v>
      </c>
      <c r="B28" s="35"/>
      <c r="C28" s="35"/>
      <c r="D28" s="35"/>
      <c r="E28" s="35"/>
      <c r="F28" s="35"/>
      <c r="G28" s="34">
        <f t="shared" si="0"/>
        <v>0</v>
      </c>
      <c r="H28" s="34" t="e">
        <f t="shared" si="7"/>
        <v>#DIV/0!</v>
      </c>
      <c r="I28" s="34" t="e">
        <f t="shared" si="8"/>
        <v>#DIV/0!</v>
      </c>
      <c r="J28" s="34" t="e">
        <f t="shared" si="9"/>
        <v>#DIV/0!</v>
      </c>
      <c r="K28" s="34" t="e">
        <f t="shared" si="10"/>
        <v>#DIV/0!</v>
      </c>
      <c r="L28" s="34" t="e">
        <f t="shared" si="11"/>
        <v>#DIV/0!</v>
      </c>
      <c r="M28" s="36" t="e">
        <f t="shared" si="12"/>
        <v>#DIV/0!</v>
      </c>
    </row>
    <row r="29" spans="1:13">
      <c r="A29" s="22">
        <f>'LST CEMENT MILL'!B29</f>
        <v>46169</v>
      </c>
      <c r="B29" s="35"/>
      <c r="C29" s="35"/>
      <c r="D29" s="35"/>
      <c r="E29" s="35"/>
      <c r="F29" s="35"/>
      <c r="G29" s="34">
        <f t="shared" ref="G29" si="20">SUM(B29:F29)</f>
        <v>0</v>
      </c>
      <c r="H29" s="34" t="e">
        <f t="shared" ref="H29" si="21">(B29/G29)*100</f>
        <v>#DIV/0!</v>
      </c>
      <c r="I29" s="34" t="e">
        <f t="shared" ref="I29" si="22">(C29/G29)*100</f>
        <v>#DIV/0!</v>
      </c>
      <c r="J29" s="34" t="e">
        <f t="shared" ref="J29" si="23">(D29/G29)*100</f>
        <v>#DIV/0!</v>
      </c>
      <c r="K29" s="34" t="e">
        <f t="shared" ref="K29" si="24">(E29/G29)*100</f>
        <v>#DIV/0!</v>
      </c>
      <c r="L29" s="34" t="e">
        <f t="shared" ref="L29" si="25">(F29/G29)*100</f>
        <v>#DIV/0!</v>
      </c>
      <c r="M29" s="36" t="e">
        <f t="shared" ref="M29" si="26">SUM(H29:L29)</f>
        <v>#DIV/0!</v>
      </c>
    </row>
    <row r="30" spans="1:13">
      <c r="A30" s="22">
        <f>'LST CEMENT MILL'!B30</f>
        <v>46170</v>
      </c>
      <c r="B30" s="35"/>
      <c r="C30" s="35"/>
      <c r="D30" s="35"/>
      <c r="E30" s="35"/>
      <c r="F30" s="35"/>
      <c r="G30" s="34">
        <f t="shared" si="0"/>
        <v>0</v>
      </c>
      <c r="H30" s="34" t="e">
        <f t="shared" si="7"/>
        <v>#DIV/0!</v>
      </c>
      <c r="I30" s="34" t="e">
        <f t="shared" si="8"/>
        <v>#DIV/0!</v>
      </c>
      <c r="J30" s="34" t="e">
        <f t="shared" si="9"/>
        <v>#DIV/0!</v>
      </c>
      <c r="K30" s="34" t="e">
        <f t="shared" si="10"/>
        <v>#DIV/0!</v>
      </c>
      <c r="L30" s="34" t="e">
        <f t="shared" si="11"/>
        <v>#DIV/0!</v>
      </c>
      <c r="M30" s="36" t="e">
        <f t="shared" si="12"/>
        <v>#DIV/0!</v>
      </c>
    </row>
    <row r="31" spans="1:13">
      <c r="A31" s="22">
        <f>'LST CEMENT MILL'!B31</f>
        <v>46171</v>
      </c>
      <c r="B31" s="35"/>
      <c r="C31" s="35"/>
      <c r="D31" s="35"/>
      <c r="E31" s="35"/>
      <c r="F31" s="35"/>
      <c r="G31" s="34">
        <f t="shared" si="0"/>
        <v>0</v>
      </c>
      <c r="H31" s="34" t="e">
        <f t="shared" si="7"/>
        <v>#DIV/0!</v>
      </c>
      <c r="I31" s="34" t="e">
        <f t="shared" si="8"/>
        <v>#DIV/0!</v>
      </c>
      <c r="J31" s="34" t="e">
        <f t="shared" si="9"/>
        <v>#DIV/0!</v>
      </c>
      <c r="K31" s="34" t="e">
        <f t="shared" si="10"/>
        <v>#DIV/0!</v>
      </c>
      <c r="L31" s="34" t="e">
        <f t="shared" si="11"/>
        <v>#DIV/0!</v>
      </c>
      <c r="M31" s="36" t="e">
        <f t="shared" si="12"/>
        <v>#DIV/0!</v>
      </c>
    </row>
    <row r="32" spans="1:13">
      <c r="A32" s="22">
        <f>'LST CEMENT MILL'!B33</f>
        <v>46173</v>
      </c>
      <c r="B32" s="35"/>
      <c r="C32" s="35"/>
      <c r="D32" s="35"/>
      <c r="E32" s="35"/>
      <c r="F32" s="35"/>
      <c r="G32" s="34">
        <f t="shared" si="0"/>
        <v>0</v>
      </c>
      <c r="H32" s="34" t="e">
        <f t="shared" si="7"/>
        <v>#DIV/0!</v>
      </c>
      <c r="I32" s="34" t="e">
        <f t="shared" si="8"/>
        <v>#DIV/0!</v>
      </c>
      <c r="J32" s="34" t="e">
        <f t="shared" si="9"/>
        <v>#DIV/0!</v>
      </c>
      <c r="K32" s="34" t="e">
        <f t="shared" si="10"/>
        <v>#DIV/0!</v>
      </c>
      <c r="L32" s="34" t="e">
        <f t="shared" si="11"/>
        <v>#DIV/0!</v>
      </c>
      <c r="M32" s="36" t="e">
        <f t="shared" si="12"/>
        <v>#DIV/0!</v>
      </c>
    </row>
    <row r="33" spans="1:13">
      <c r="A33" s="29" t="s">
        <v>11</v>
      </c>
      <c r="B33" s="30">
        <f t="shared" ref="B33:G33" si="27">SUM(B3:B32)</f>
        <v>39037.620000000003</v>
      </c>
      <c r="C33" s="30">
        <f t="shared" si="27"/>
        <v>13578.390000000003</v>
      </c>
      <c r="D33" s="30">
        <f t="shared" si="27"/>
        <v>0</v>
      </c>
      <c r="E33" s="30">
        <f t="shared" si="27"/>
        <v>0</v>
      </c>
      <c r="F33" s="30">
        <f t="shared" si="27"/>
        <v>1264.6199999999999</v>
      </c>
      <c r="G33" s="30">
        <f t="shared" si="27"/>
        <v>53880.630000000005</v>
      </c>
      <c r="H33" s="30" t="e">
        <f t="shared" ref="H33:M33" si="28">AVERAGE(H3:H32)</f>
        <v>#DIV/0!</v>
      </c>
      <c r="I33" s="30" t="e">
        <f t="shared" si="28"/>
        <v>#DIV/0!</v>
      </c>
      <c r="J33" s="30" t="e">
        <f t="shared" si="28"/>
        <v>#DIV/0!</v>
      </c>
      <c r="K33" s="30" t="e">
        <f t="shared" si="28"/>
        <v>#DIV/0!</v>
      </c>
      <c r="L33" s="30" t="e">
        <f t="shared" si="28"/>
        <v>#DIV/0!</v>
      </c>
      <c r="M33" s="30" t="e">
        <f t="shared" si="28"/>
        <v>#DIV/0!</v>
      </c>
    </row>
  </sheetData>
  <mergeCells count="3">
    <mergeCell ref="B1:G1"/>
    <mergeCell ref="A1:A2"/>
    <mergeCell ref="H1:M1"/>
  </mergeCells>
  <pageMargins left="0.7" right="0.7" top="0.75" bottom="0.75" header="0.3" footer="0.3"/>
  <pageSetup scale="9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01.05.2026</vt:lpstr>
      <vt:lpstr>02.05.2026</vt:lpstr>
      <vt:lpstr>03.05.2026</vt:lpstr>
      <vt:lpstr>04.05.2026</vt:lpstr>
      <vt:lpstr>05.05.2026</vt:lpstr>
      <vt:lpstr>06.05.2026</vt:lpstr>
      <vt:lpstr>07.05.2026</vt:lpstr>
      <vt:lpstr>08.05.2026</vt:lpstr>
      <vt:lpstr>09.05.2026</vt:lpstr>
      <vt:lpstr>10.05.2026</vt:lpstr>
      <vt:lpstr>11.05.2026</vt:lpstr>
      <vt:lpstr>12.05.2026</vt:lpstr>
      <vt:lpstr>13.05.2026</vt:lpstr>
      <vt:lpstr>14.05.2026</vt:lpstr>
      <vt:lpstr>15.05.2026</vt:lpstr>
      <vt:lpstr>16.05.2026</vt:lpstr>
      <vt:lpstr>17.05.2026</vt:lpstr>
      <vt:lpstr>18.05.2026</vt:lpstr>
      <vt:lpstr>19.05.2026</vt:lpstr>
      <vt:lpstr>20.05.2026</vt:lpstr>
      <vt:lpstr>LST CEMENT MILL</vt:lpstr>
      <vt:lpstr>LIMESTONE QTY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QC Manager</dc:creator>
  <cp:lastModifiedBy>QUALITY CONTROL</cp:lastModifiedBy>
  <cp:lastPrinted>2025-06-18T10:08:27Z</cp:lastPrinted>
  <dcterms:created xsi:type="dcterms:W3CDTF">2015-06-05T18:17:20Z</dcterms:created>
  <dcterms:modified xsi:type="dcterms:W3CDTF">2026-05-21T06:58:51Z</dcterms:modified>
</cp:coreProperties>
</file>