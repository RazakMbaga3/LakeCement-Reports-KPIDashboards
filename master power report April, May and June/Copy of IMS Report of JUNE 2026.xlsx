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A028F6FA-F149-4E39-9BFB-98DF731DAEBF}" xr6:coauthVersionLast="47" xr6:coauthVersionMax="47" xr10:uidLastSave="{00000000-0000-0000-0000-000000000000}"/>
  <bookViews>
    <workbookView xWindow="-120" yWindow="-120" windowWidth="21840" windowHeight="13140" firstSheet="1" activeTab="2" xr2:uid="{00000000-000D-0000-FFFF-FFFF00000000}"/>
  </bookViews>
  <sheets>
    <sheet name="Sheet5" sheetId="18" state="hidden" r:id="rId1"/>
    <sheet name="IMS DATA" sheetId="1" r:id="rId2"/>
    <sheet name="CUMULATIVE DAILY" sheetId="2" r:id="rId3"/>
    <sheet name="Sheet4" sheetId="20" state="hidden" r:id="rId4"/>
    <sheet name="Energy Readings" sheetId="19" r:id="rId5"/>
    <sheet name="READINGS" sheetId="16" state="hidden" r:id="rId6"/>
    <sheet name="Sheet8" sheetId="14" state="hidden" r:id="rId7"/>
    <sheet name="Sheet6" sheetId="12" state="hidden" r:id="rId8"/>
    <sheet name="Sheet7" sheetId="13" state="hidden" r:id="rId9"/>
    <sheet name="Sheet9" sheetId="15" state="hidden" r:id="rId10"/>
    <sheet name="Sheet1" sheetId="9" state="hidden" r:id="rId11"/>
    <sheet name="Sheet3" sheetId="8" state="hidden" r:id="rId12"/>
    <sheet name="Sheet2" sheetId="7" state="hidden" r:id="rId13"/>
    <sheet name="CORRECTIONS IF ANY" sheetId="4" state="hidden" r:id="rId14"/>
  </sheets>
  <externalReferences>
    <externalReference r:id="rId15"/>
  </externalReferences>
  <definedNames>
    <definedName name="_xlnm._FilterDatabase" localSheetId="1" hidden="1">'IMS DATA'!$C$1:$C$90</definedName>
    <definedName name="_xlnm.Print_Area" localSheetId="2">'CUMULATIVE DAILY'!$A$1:$AC$34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" i="1" l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B102" i="1"/>
  <c r="AE30" i="2" l="1"/>
  <c r="AE35" i="2" s="1"/>
  <c r="AE43" i="1"/>
  <c r="AE42" i="1"/>
  <c r="AE15" i="1"/>
  <c r="AE31" i="1" l="1"/>
  <c r="AE30" i="1"/>
  <c r="AE21" i="1"/>
  <c r="AE9" i="1"/>
  <c r="AE3" i="1"/>
  <c r="AE78" i="1"/>
  <c r="AE67" i="1"/>
  <c r="AE58" i="1"/>
  <c r="AE56" i="1"/>
  <c r="AE44" i="1"/>
  <c r="AE33" i="1"/>
  <c r="AE24" i="1"/>
  <c r="AE23" i="1"/>
  <c r="AE16" i="1"/>
  <c r="AE17" i="1"/>
  <c r="AE18" i="1"/>
  <c r="AE13" i="1" s="1"/>
  <c r="AE19" i="1"/>
  <c r="AE20" i="1"/>
  <c r="AE22" i="1"/>
  <c r="AE25" i="1"/>
  <c r="AE26" i="1"/>
  <c r="AE27" i="1"/>
  <c r="AE28" i="1"/>
  <c r="AE29" i="1"/>
  <c r="AE32" i="1"/>
  <c r="AE34" i="1"/>
  <c r="AE35" i="1"/>
  <c r="AE36" i="1"/>
  <c r="AE37" i="1"/>
  <c r="AE38" i="1"/>
  <c r="AE39" i="1"/>
  <c r="AE40" i="1"/>
  <c r="AE41" i="1"/>
  <c r="AE45" i="1"/>
  <c r="AE46" i="1"/>
  <c r="AE47" i="1"/>
  <c r="AE48" i="1"/>
  <c r="AE49" i="1"/>
  <c r="AE50" i="1"/>
  <c r="AE51" i="1"/>
  <c r="AE52" i="1"/>
  <c r="AE53" i="1"/>
  <c r="AE54" i="1"/>
  <c r="AE55" i="1"/>
  <c r="AE57" i="1"/>
  <c r="AE59" i="1"/>
  <c r="AE60" i="1"/>
  <c r="AE61" i="1"/>
  <c r="AE62" i="1"/>
  <c r="AE63" i="1"/>
  <c r="AE64" i="1"/>
  <c r="AE65" i="1"/>
  <c r="AE14" i="1"/>
  <c r="AE12" i="1"/>
  <c r="AE11" i="1" s="1"/>
  <c r="AE5" i="1"/>
  <c r="AE6" i="1"/>
  <c r="AE7" i="1"/>
  <c r="AE8" i="1"/>
  <c r="AE10" i="1"/>
  <c r="AE4" i="1"/>
  <c r="AE2" i="1"/>
  <c r="BJ30" i="19" l="1"/>
  <c r="BJ10" i="19"/>
  <c r="AD15" i="1"/>
  <c r="AD43" i="1"/>
  <c r="AD8" i="1"/>
  <c r="AD9" i="1"/>
  <c r="AD10" i="1"/>
  <c r="BH30" i="19"/>
  <c r="BH10" i="19"/>
  <c r="AC42" i="1" l="1"/>
  <c r="AC54" i="1"/>
  <c r="AC43" i="1"/>
  <c r="AC9" i="1"/>
  <c r="BF30" i="19"/>
  <c r="BF10" i="19"/>
  <c r="AB10" i="1"/>
  <c r="AB42" i="1"/>
  <c r="BD30" i="19"/>
  <c r="BD10" i="19"/>
  <c r="AA94" i="1"/>
  <c r="AA93" i="1"/>
  <c r="AA92" i="1"/>
  <c r="AA100" i="1"/>
  <c r="AA99" i="1"/>
  <c r="AA98" i="1"/>
  <c r="AA97" i="1"/>
  <c r="AA96" i="1"/>
  <c r="AA21" i="1"/>
  <c r="AA22" i="1"/>
  <c r="AA23" i="1" s="1"/>
  <c r="AA12" i="1"/>
  <c r="AA10" i="1"/>
  <c r="AA42" i="1"/>
  <c r="AA13" i="1"/>
  <c r="AA50" i="1"/>
  <c r="AA54" i="1"/>
  <c r="AA33" i="1"/>
  <c r="AA30" i="1"/>
  <c r="AA9" i="1"/>
  <c r="AA64" i="1"/>
  <c r="AA55" i="1"/>
  <c r="AA14" i="1"/>
  <c r="AA43" i="1"/>
  <c r="BB30" i="19"/>
  <c r="BB10" i="19"/>
  <c r="Z100" i="1"/>
  <c r="Z94" i="1"/>
  <c r="Z93" i="1"/>
  <c r="Z92" i="1"/>
  <c r="Z10" i="1"/>
  <c r="Z46" i="1"/>
  <c r="Z47" i="1"/>
  <c r="Z48" i="1"/>
  <c r="Z49" i="1"/>
  <c r="Z50" i="1"/>
  <c r="Z51" i="1"/>
  <c r="Z52" i="1"/>
  <c r="Z54" i="1"/>
  <c r="Z55" i="1"/>
  <c r="Z36" i="1"/>
  <c r="Z37" i="1"/>
  <c r="Z38" i="1"/>
  <c r="Z39" i="1"/>
  <c r="Z40" i="1"/>
  <c r="Z42" i="1"/>
  <c r="Z43" i="1"/>
  <c r="Z26" i="1"/>
  <c r="Z27" i="1"/>
  <c r="Z28" i="1"/>
  <c r="Z29" i="1"/>
  <c r="Z30" i="1"/>
  <c r="Z15" i="1"/>
  <c r="Z16" i="1"/>
  <c r="Z17" i="1"/>
  <c r="Z18" i="1"/>
  <c r="Z19" i="1"/>
  <c r="Z20" i="1"/>
  <c r="Z21" i="1"/>
  <c r="Z22" i="1"/>
  <c r="Z14" i="1"/>
  <c r="Z8" i="1"/>
  <c r="Z9" i="1"/>
  <c r="AZ84" i="19"/>
  <c r="AZ83" i="19"/>
  <c r="AZ10" i="19"/>
  <c r="AZ30" i="19"/>
  <c r="Y94" i="1"/>
  <c r="Y42" i="1" l="1"/>
  <c r="AB94" i="1"/>
  <c r="AD94" i="1"/>
  <c r="AB93" i="1"/>
  <c r="AD93" i="1"/>
  <c r="AB92" i="1"/>
  <c r="AD92" i="1"/>
  <c r="Y93" i="1"/>
  <c r="Y92" i="1"/>
  <c r="X94" i="1"/>
  <c r="X93" i="1"/>
  <c r="X92" i="1"/>
  <c r="Y100" i="1"/>
  <c r="Y98" i="1"/>
  <c r="Y97" i="1"/>
  <c r="Y96" i="1"/>
  <c r="Y60" i="1"/>
  <c r="Y61" i="1"/>
  <c r="Y62" i="1"/>
  <c r="Y63" i="1"/>
  <c r="Y64" i="1"/>
  <c r="Y65" i="1"/>
  <c r="Y46" i="1"/>
  <c r="Y47" i="1"/>
  <c r="Y48" i="1"/>
  <c r="Y49" i="1"/>
  <c r="Y50" i="1"/>
  <c r="Y51" i="1"/>
  <c r="Y52" i="1"/>
  <c r="Y54" i="1"/>
  <c r="Y55" i="1"/>
  <c r="Y35" i="1"/>
  <c r="Y36" i="1"/>
  <c r="Y37" i="1"/>
  <c r="Y38" i="1"/>
  <c r="Y39" i="1"/>
  <c r="Y40" i="1"/>
  <c r="Y43" i="1"/>
  <c r="Y34" i="1"/>
  <c r="Y26" i="1"/>
  <c r="Y27" i="1"/>
  <c r="Y28" i="1"/>
  <c r="Y30" i="1"/>
  <c r="Y15" i="1"/>
  <c r="Y16" i="1"/>
  <c r="Y17" i="1"/>
  <c r="Y18" i="1"/>
  <c r="Y19" i="1"/>
  <c r="Y21" i="1"/>
  <c r="Y22" i="1"/>
  <c r="Y5" i="1"/>
  <c r="Y6" i="1"/>
  <c r="Y7" i="1"/>
  <c r="Y10" i="1"/>
  <c r="AX30" i="19"/>
  <c r="X99" i="1"/>
  <c r="W92" i="1"/>
  <c r="V92" i="1"/>
  <c r="X100" i="1" l="1"/>
  <c r="AV42" i="19" l="1"/>
  <c r="X8" i="1"/>
  <c r="X9" i="1"/>
  <c r="X10" i="1"/>
  <c r="AV37" i="19"/>
  <c r="W94" i="1" l="1"/>
  <c r="W96" i="1"/>
  <c r="W7" i="1" l="1"/>
  <c r="W8" i="1"/>
  <c r="W9" i="1"/>
  <c r="W10" i="1"/>
  <c r="AT30" i="19"/>
  <c r="AC97" i="1"/>
  <c r="AE97" i="1"/>
  <c r="AC98" i="1"/>
  <c r="AE98" i="1"/>
  <c r="AE99" i="1"/>
  <c r="AC100" i="1"/>
  <c r="AE100" i="1"/>
  <c r="AC96" i="1"/>
  <c r="AE96" i="1"/>
  <c r="AE93" i="1"/>
  <c r="AE94" i="1"/>
  <c r="AE92" i="1"/>
  <c r="V30" i="1" l="1"/>
  <c r="V10" i="1"/>
  <c r="V9" i="1"/>
  <c r="V54" i="1"/>
  <c r="V69" i="1"/>
  <c r="V70" i="1"/>
  <c r="V71" i="1"/>
  <c r="V72" i="1"/>
  <c r="V73" i="1"/>
  <c r="V74" i="1"/>
  <c r="V75" i="1"/>
  <c r="V76" i="1"/>
  <c r="V77" i="1"/>
  <c r="V78" i="1"/>
  <c r="V60" i="1"/>
  <c r="V61" i="1"/>
  <c r="V62" i="1"/>
  <c r="V63" i="1"/>
  <c r="V64" i="1"/>
  <c r="V65" i="1"/>
  <c r="V46" i="1"/>
  <c r="V47" i="1"/>
  <c r="V48" i="1"/>
  <c r="V49" i="1"/>
  <c r="V50" i="1"/>
  <c r="V51" i="1"/>
  <c r="V52" i="1"/>
  <c r="V35" i="1"/>
  <c r="V36" i="1"/>
  <c r="V37" i="1"/>
  <c r="V38" i="1"/>
  <c r="V39" i="1"/>
  <c r="V40" i="1"/>
  <c r="V42" i="1"/>
  <c r="V43" i="1"/>
  <c r="V26" i="1"/>
  <c r="V27" i="1"/>
  <c r="V28" i="1"/>
  <c r="V15" i="1"/>
  <c r="V16" i="1"/>
  <c r="V17" i="1"/>
  <c r="V18" i="1"/>
  <c r="V19" i="1"/>
  <c r="V21" i="1"/>
  <c r="V22" i="1"/>
  <c r="V5" i="1"/>
  <c r="V6" i="1"/>
  <c r="V7" i="1"/>
  <c r="U10" i="1"/>
  <c r="U9" i="1"/>
  <c r="T50" i="1"/>
  <c r="U70" i="1"/>
  <c r="U71" i="1"/>
  <c r="U72" i="1"/>
  <c r="U73" i="1"/>
  <c r="U74" i="1"/>
  <c r="U75" i="1"/>
  <c r="U76" i="1"/>
  <c r="U77" i="1"/>
  <c r="U78" i="1"/>
  <c r="U13" i="1" s="1"/>
  <c r="U60" i="1"/>
  <c r="U61" i="1"/>
  <c r="U62" i="1"/>
  <c r="U63" i="1"/>
  <c r="U64" i="1"/>
  <c r="U65" i="1"/>
  <c r="U46" i="1"/>
  <c r="U47" i="1"/>
  <c r="U48" i="1"/>
  <c r="U49" i="1"/>
  <c r="U51" i="1"/>
  <c r="U52" i="1"/>
  <c r="U54" i="1"/>
  <c r="U55" i="1"/>
  <c r="U35" i="1"/>
  <c r="U36" i="1"/>
  <c r="U37" i="1"/>
  <c r="U38" i="1"/>
  <c r="U39" i="1"/>
  <c r="U40" i="1"/>
  <c r="U42" i="1"/>
  <c r="U43" i="1"/>
  <c r="U28" i="1"/>
  <c r="U30" i="1"/>
  <c r="U15" i="1"/>
  <c r="U16" i="1"/>
  <c r="U17" i="1"/>
  <c r="U18" i="1"/>
  <c r="U19" i="1"/>
  <c r="U21" i="1"/>
  <c r="U22" i="1"/>
  <c r="U7" i="1"/>
  <c r="T30" i="1" l="1"/>
  <c r="T54" i="1"/>
  <c r="AF95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B100" i="1"/>
  <c r="T98" i="1"/>
  <c r="T97" i="1"/>
  <c r="T96" i="1"/>
  <c r="T94" i="1"/>
  <c r="T93" i="1"/>
  <c r="T92" i="1"/>
  <c r="T60" i="1"/>
  <c r="T61" i="1"/>
  <c r="T62" i="1"/>
  <c r="T63" i="1"/>
  <c r="T64" i="1"/>
  <c r="T65" i="1"/>
  <c r="T46" i="1"/>
  <c r="T47" i="1"/>
  <c r="T48" i="1"/>
  <c r="T49" i="1"/>
  <c r="T51" i="1"/>
  <c r="T52" i="1"/>
  <c r="T55" i="1"/>
  <c r="T35" i="1"/>
  <c r="T36" i="1"/>
  <c r="T37" i="1"/>
  <c r="T38" i="1"/>
  <c r="T39" i="1"/>
  <c r="T40" i="1"/>
  <c r="T42" i="1"/>
  <c r="T43" i="1"/>
  <c r="T26" i="1"/>
  <c r="T27" i="1"/>
  <c r="T28" i="1"/>
  <c r="T15" i="1"/>
  <c r="T16" i="1"/>
  <c r="T17" i="1"/>
  <c r="T18" i="1"/>
  <c r="T13" i="1" s="1"/>
  <c r="T19" i="1"/>
  <c r="T21" i="1"/>
  <c r="T22" i="1"/>
  <c r="T5" i="1"/>
  <c r="T6" i="1"/>
  <c r="T7" i="1"/>
  <c r="T9" i="1"/>
  <c r="T10" i="1"/>
  <c r="F98" i="1"/>
  <c r="F97" i="1"/>
  <c r="F96" i="1"/>
  <c r="F94" i="1"/>
  <c r="F93" i="1"/>
  <c r="F92" i="1"/>
  <c r="G98" i="1"/>
  <c r="G97" i="1"/>
  <c r="G96" i="1"/>
  <c r="G94" i="1"/>
  <c r="G93" i="1"/>
  <c r="G92" i="1"/>
  <c r="H98" i="1"/>
  <c r="H97" i="1"/>
  <c r="H96" i="1"/>
  <c r="H94" i="1"/>
  <c r="H93" i="1"/>
  <c r="H92" i="1"/>
  <c r="I98" i="1"/>
  <c r="I97" i="1"/>
  <c r="I96" i="1"/>
  <c r="I94" i="1"/>
  <c r="I93" i="1"/>
  <c r="I92" i="1"/>
  <c r="J98" i="1"/>
  <c r="J97" i="1"/>
  <c r="J96" i="1"/>
  <c r="J94" i="1"/>
  <c r="J93" i="1"/>
  <c r="J92" i="1"/>
  <c r="K98" i="1"/>
  <c r="K97" i="1"/>
  <c r="K96" i="1"/>
  <c r="K94" i="1"/>
  <c r="K93" i="1"/>
  <c r="K92" i="1"/>
  <c r="L98" i="1"/>
  <c r="L97" i="1"/>
  <c r="L96" i="1"/>
  <c r="L94" i="1"/>
  <c r="L93" i="1"/>
  <c r="L92" i="1"/>
  <c r="M98" i="1"/>
  <c r="M97" i="1"/>
  <c r="M96" i="1"/>
  <c r="M94" i="1"/>
  <c r="M93" i="1"/>
  <c r="M92" i="1"/>
  <c r="E98" i="1"/>
  <c r="E97" i="1"/>
  <c r="E96" i="1"/>
  <c r="E94" i="1"/>
  <c r="E93" i="1"/>
  <c r="E92" i="1"/>
  <c r="D98" i="1"/>
  <c r="D97" i="1"/>
  <c r="D96" i="1"/>
  <c r="D94" i="1"/>
  <c r="D93" i="1"/>
  <c r="D92" i="1"/>
  <c r="C98" i="1"/>
  <c r="C97" i="1"/>
  <c r="C96" i="1"/>
  <c r="C94" i="1"/>
  <c r="C93" i="1"/>
  <c r="C92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9" i="1"/>
  <c r="B98" i="1"/>
  <c r="B97" i="1"/>
  <c r="B96" i="1"/>
  <c r="B94" i="1"/>
  <c r="B93" i="1"/>
  <c r="B92" i="1"/>
  <c r="B91" i="1" l="1"/>
  <c r="S9" i="1" l="1"/>
  <c r="AL17" i="19"/>
  <c r="S17" i="1" s="1"/>
  <c r="S54" i="1"/>
  <c r="S10" i="2" s="1"/>
  <c r="S43" i="1"/>
  <c r="S42" i="1"/>
  <c r="S33" i="1"/>
  <c r="S10" i="1"/>
  <c r="S5" i="2" s="1"/>
  <c r="S15" i="1"/>
  <c r="S16" i="1"/>
  <c r="S13" i="2" s="1"/>
  <c r="S19" i="1"/>
  <c r="S21" i="1"/>
  <c r="S22" i="1"/>
  <c r="S5" i="1"/>
  <c r="S6" i="1"/>
  <c r="S7" i="1"/>
  <c r="S8" i="1"/>
  <c r="R14" i="2"/>
  <c r="S14" i="2"/>
  <c r="R13" i="2"/>
  <c r="R12" i="2"/>
  <c r="S12" i="2"/>
  <c r="R11" i="2"/>
  <c r="S11" i="2"/>
  <c r="R10" i="2"/>
  <c r="R9" i="2"/>
  <c r="R8" i="2"/>
  <c r="R7" i="2"/>
  <c r="R6" i="2"/>
  <c r="R5" i="2"/>
  <c r="R4" i="2"/>
  <c r="R15" i="2" s="1"/>
  <c r="R3" i="2"/>
  <c r="S3" i="2"/>
  <c r="S44" i="1"/>
  <c r="R10" i="1"/>
  <c r="Q9" i="2"/>
  <c r="Q10" i="2"/>
  <c r="Q11" i="2"/>
  <c r="Q12" i="2"/>
  <c r="R78" i="1"/>
  <c r="R43" i="1"/>
  <c r="R17" i="1"/>
  <c r="R8" i="1"/>
  <c r="R9" i="1"/>
  <c r="Q9" i="1"/>
  <c r="Q19" i="1"/>
  <c r="Q8" i="1"/>
  <c r="Q10" i="1"/>
  <c r="Q3" i="1"/>
  <c r="P9" i="1"/>
  <c r="P30" i="1"/>
  <c r="P42" i="1"/>
  <c r="P54" i="1"/>
  <c r="P10" i="2" s="1"/>
  <c r="P14" i="2"/>
  <c r="P13" i="2"/>
  <c r="P12" i="2"/>
  <c r="P11" i="2"/>
  <c r="P9" i="2"/>
  <c r="P8" i="2"/>
  <c r="P7" i="2"/>
  <c r="P6" i="2"/>
  <c r="P5" i="2"/>
  <c r="P4" i="2"/>
  <c r="P3" i="2"/>
  <c r="P2" i="2"/>
  <c r="P47" i="1"/>
  <c r="P8" i="1"/>
  <c r="P10" i="1"/>
  <c r="O58" i="1"/>
  <c r="O15" i="1"/>
  <c r="O36" i="1"/>
  <c r="O19" i="1"/>
  <c r="O8" i="1"/>
  <c r="O9" i="1"/>
  <c r="O10" i="1"/>
  <c r="S9" i="2" l="1"/>
  <c r="P15" i="2"/>
  <c r="P17" i="2" s="1"/>
  <c r="P18" i="2" s="1"/>
  <c r="N43" i="1"/>
  <c r="N42" i="1"/>
  <c r="N30" i="1"/>
  <c r="N19" i="1"/>
  <c r="N21" i="1"/>
  <c r="N22" i="1"/>
  <c r="M54" i="1" l="1"/>
  <c r="M43" i="1"/>
  <c r="M42" i="1"/>
  <c r="M10" i="1"/>
  <c r="M9" i="1"/>
  <c r="N8" i="1"/>
  <c r="M8" i="2"/>
  <c r="M40" i="1"/>
  <c r="M18" i="1"/>
  <c r="M13" i="1" s="1"/>
  <c r="M19" i="1"/>
  <c r="M21" i="1"/>
  <c r="M22" i="1"/>
  <c r="M6" i="1"/>
  <c r="M7" i="1"/>
  <c r="Z6" i="19"/>
  <c r="M9" i="2" l="1"/>
  <c r="V78" i="19"/>
  <c r="T73" i="19" l="1"/>
  <c r="T74" i="19"/>
  <c r="T75" i="19"/>
  <c r="T76" i="19"/>
  <c r="T77" i="19"/>
  <c r="T78" i="19"/>
  <c r="G19" i="1" l="1"/>
  <c r="N17" i="19"/>
  <c r="F19" i="1" l="1"/>
  <c r="L24" i="19"/>
  <c r="J35" i="19"/>
  <c r="D18" i="19" l="1"/>
  <c r="C16" i="1"/>
  <c r="C19" i="1"/>
  <c r="AE73" i="1" l="1"/>
  <c r="AE74" i="1"/>
  <c r="AE75" i="1"/>
  <c r="AE76" i="1"/>
  <c r="AE77" i="1"/>
  <c r="AD73" i="1"/>
  <c r="AD74" i="1"/>
  <c r="AD75" i="1"/>
  <c r="AD76" i="1"/>
  <c r="AD77" i="1"/>
  <c r="AD63" i="1"/>
  <c r="AD52" i="1"/>
  <c r="AD53" i="1"/>
  <c r="AD41" i="1"/>
  <c r="AD26" i="1"/>
  <c r="AD27" i="1"/>
  <c r="AD29" i="1"/>
  <c r="AD16" i="1"/>
  <c r="AD19" i="1"/>
  <c r="AD20" i="1"/>
  <c r="AC73" i="1" l="1"/>
  <c r="AC74" i="1"/>
  <c r="AC75" i="1"/>
  <c r="AC76" i="1"/>
  <c r="AC77" i="1"/>
  <c r="AC63" i="1"/>
  <c r="AC52" i="1"/>
  <c r="AC53" i="1"/>
  <c r="AC41" i="1"/>
  <c r="AC26" i="1"/>
  <c r="AC27" i="1"/>
  <c r="AC29" i="1"/>
  <c r="AC16" i="1"/>
  <c r="AC19" i="1"/>
  <c r="AC20" i="1"/>
  <c r="AB73" i="1" l="1"/>
  <c r="AB74" i="1"/>
  <c r="AB75" i="1"/>
  <c r="AB76" i="1"/>
  <c r="AB77" i="1"/>
  <c r="AB63" i="1"/>
  <c r="AB52" i="1"/>
  <c r="AB53" i="1"/>
  <c r="AB41" i="1"/>
  <c r="AB26" i="1"/>
  <c r="AB27" i="1"/>
  <c r="AB29" i="1"/>
  <c r="AB16" i="1"/>
  <c r="AB19" i="1"/>
  <c r="AB20" i="1"/>
  <c r="AA73" i="1"/>
  <c r="AA74" i="1"/>
  <c r="AA75" i="1"/>
  <c r="AA76" i="1"/>
  <c r="AA77" i="1"/>
  <c r="AA63" i="1"/>
  <c r="AA52" i="1"/>
  <c r="AA41" i="1"/>
  <c r="AA26" i="1"/>
  <c r="AA27" i="1"/>
  <c r="AA29" i="1"/>
  <c r="AA16" i="1"/>
  <c r="AA19" i="1"/>
  <c r="Z73" i="1" l="1"/>
  <c r="Z74" i="1"/>
  <c r="Z75" i="1"/>
  <c r="Z76" i="1"/>
  <c r="Z77" i="1"/>
  <c r="Z63" i="1"/>
  <c r="Y73" i="1" l="1"/>
  <c r="Y74" i="1"/>
  <c r="Y75" i="1"/>
  <c r="Y76" i="1"/>
  <c r="Y77" i="1"/>
  <c r="X73" i="1" l="1"/>
  <c r="X74" i="1"/>
  <c r="X75" i="1"/>
  <c r="X76" i="1"/>
  <c r="X77" i="1"/>
  <c r="X63" i="1"/>
  <c r="X52" i="1"/>
  <c r="X41" i="1"/>
  <c r="X26" i="1"/>
  <c r="X27" i="1"/>
  <c r="X29" i="1"/>
  <c r="X16" i="1"/>
  <c r="X19" i="1"/>
  <c r="W73" i="1"/>
  <c r="W74" i="1"/>
  <c r="W75" i="1"/>
  <c r="W76" i="1"/>
  <c r="W77" i="1"/>
  <c r="W63" i="1"/>
  <c r="W52" i="1"/>
  <c r="W41" i="1"/>
  <c r="W26" i="1"/>
  <c r="W27" i="1"/>
  <c r="W29" i="1"/>
  <c r="W16" i="1"/>
  <c r="W19" i="1"/>
  <c r="AR103" i="19"/>
  <c r="AR101" i="19"/>
  <c r="AR102" i="19" s="1"/>
  <c r="U26" i="1"/>
  <c r="U27" i="1"/>
  <c r="T73" i="1"/>
  <c r="T74" i="1"/>
  <c r="T75" i="1"/>
  <c r="T76" i="1"/>
  <c r="T77" i="1"/>
  <c r="S73" i="1"/>
  <c r="S74" i="1"/>
  <c r="S75" i="1"/>
  <c r="S76" i="1"/>
  <c r="S77" i="1"/>
  <c r="S63" i="1"/>
  <c r="S52" i="1"/>
  <c r="R19" i="1"/>
  <c r="AJ4" i="19"/>
  <c r="P19" i="1" l="1"/>
  <c r="AD47" i="19" l="1"/>
  <c r="X9" i="19" l="1"/>
  <c r="L9" i="1" s="1"/>
  <c r="X30" i="19" l="1"/>
  <c r="L30" i="1" s="1"/>
  <c r="X23" i="19"/>
  <c r="X24" i="19"/>
  <c r="L19" i="1"/>
  <c r="K20" i="1"/>
  <c r="K19" i="1"/>
  <c r="J19" i="1"/>
  <c r="I19" i="1"/>
  <c r="H19" i="1" l="1"/>
  <c r="J50" i="19" l="1"/>
  <c r="N50" i="19"/>
  <c r="G77" i="1" l="1"/>
  <c r="G76" i="1"/>
  <c r="G75" i="1"/>
  <c r="G74" i="1"/>
  <c r="G73" i="1"/>
  <c r="D16" i="1"/>
  <c r="D26" i="1"/>
  <c r="D27" i="1"/>
  <c r="D52" i="1"/>
  <c r="D72" i="1"/>
  <c r="D73" i="1"/>
  <c r="D74" i="1"/>
  <c r="D75" i="1"/>
  <c r="D76" i="1"/>
  <c r="D77" i="1"/>
  <c r="E19" i="1"/>
  <c r="AF19" i="1" l="1"/>
  <c r="B16" i="1"/>
  <c r="B26" i="1"/>
  <c r="B27" i="1"/>
  <c r="B52" i="1"/>
  <c r="B72" i="1"/>
  <c r="B28" i="2" l="1"/>
  <c r="D69" i="19"/>
  <c r="B69" i="1" s="1"/>
  <c r="B2" i="2" s="1"/>
  <c r="D37" i="19"/>
  <c r="B37" i="1" s="1"/>
  <c r="AX28" i="19" l="1"/>
  <c r="P28" i="19"/>
  <c r="H28" i="1" s="1"/>
  <c r="N28" i="19"/>
  <c r="L28" i="19"/>
  <c r="F28" i="1" s="1"/>
  <c r="P18" i="19"/>
  <c r="H18" i="1" s="1"/>
  <c r="G28" i="1" l="1"/>
  <c r="BF54" i="19"/>
  <c r="BB54" i="19"/>
  <c r="AX54" i="19"/>
  <c r="AL56" i="19"/>
  <c r="AL54" i="19"/>
  <c r="AL64" i="19"/>
  <c r="S64" i="1" s="1"/>
  <c r="BB45" i="19"/>
  <c r="AZ44" i="19"/>
  <c r="Z44" i="1" s="1"/>
  <c r="AX44" i="19"/>
  <c r="Y44" i="1" s="1"/>
  <c r="AR44" i="19"/>
  <c r="V44" i="1" s="1"/>
  <c r="AP38" i="19"/>
  <c r="AL48" i="19"/>
  <c r="S48" i="1" s="1"/>
  <c r="AL43" i="19"/>
  <c r="AL42" i="19"/>
  <c r="AL31" i="19"/>
  <c r="S31" i="1" s="1"/>
  <c r="AL33" i="19"/>
  <c r="AF44" i="19"/>
  <c r="AD44" i="19"/>
  <c r="AB44" i="19"/>
  <c r="X44" i="19"/>
  <c r="V44" i="19"/>
  <c r="AL14" i="19"/>
  <c r="S14" i="1" s="1"/>
  <c r="AB15" i="19"/>
  <c r="BD21" i="19"/>
  <c r="AB21" i="1" s="1"/>
  <c r="BD70" i="19" l="1"/>
  <c r="AB70" i="1" s="1"/>
  <c r="AZ54" i="19" l="1"/>
  <c r="AZ69" i="19"/>
  <c r="Z69" i="1" s="1"/>
  <c r="Z2" i="2" s="1"/>
  <c r="BB69" i="19"/>
  <c r="AA69" i="1" s="1"/>
  <c r="AX69" i="19" l="1"/>
  <c r="Y69" i="1" s="1"/>
  <c r="AX42" i="19"/>
  <c r="AV69" i="19" l="1"/>
  <c r="X69" i="1" s="1"/>
  <c r="AV46" i="19"/>
  <c r="X46" i="1" l="1"/>
  <c r="X96" i="1"/>
  <c r="W28" i="2"/>
  <c r="X28" i="2"/>
  <c r="Y28" i="2"/>
  <c r="Z28" i="2"/>
  <c r="AA28" i="2"/>
  <c r="AB28" i="2"/>
  <c r="AC28" i="2"/>
  <c r="AD28" i="2"/>
  <c r="AE28" i="2"/>
  <c r="V56" i="19" l="1"/>
  <c r="P50" i="19" l="1"/>
  <c r="G16" i="1" l="1"/>
  <c r="J28" i="19"/>
  <c r="E28" i="1" l="1"/>
  <c r="N18" i="19"/>
  <c r="G18" i="1" l="1"/>
  <c r="D2" i="19"/>
  <c r="B2" i="1" s="1"/>
  <c r="D3" i="19"/>
  <c r="D4" i="19"/>
  <c r="D5" i="19"/>
  <c r="B5" i="1" s="1"/>
  <c r="D6" i="19"/>
  <c r="B6" i="1" s="1"/>
  <c r="D7" i="19"/>
  <c r="B7" i="1" s="1"/>
  <c r="D9" i="19"/>
  <c r="B9" i="1" s="1"/>
  <c r="D10" i="19"/>
  <c r="B10" i="1" s="1"/>
  <c r="D11" i="19"/>
  <c r="D12" i="19"/>
  <c r="B12" i="1" s="1"/>
  <c r="D13" i="19"/>
  <c r="D14" i="19"/>
  <c r="B14" i="1" s="1"/>
  <c r="D15" i="19"/>
  <c r="B15" i="1" s="1"/>
  <c r="D17" i="19"/>
  <c r="B17" i="1" s="1"/>
  <c r="B18" i="1"/>
  <c r="D21" i="19"/>
  <c r="B21" i="1" s="1"/>
  <c r="D22" i="19"/>
  <c r="B22" i="1" s="1"/>
  <c r="D23" i="19"/>
  <c r="D24" i="19"/>
  <c r="D25" i="19"/>
  <c r="B25" i="1" s="1"/>
  <c r="D28" i="19"/>
  <c r="B28" i="1" s="1"/>
  <c r="D30" i="19"/>
  <c r="B30" i="1" s="1"/>
  <c r="D31" i="19"/>
  <c r="B31" i="1" s="1"/>
  <c r="D32" i="19"/>
  <c r="B32" i="1" s="1"/>
  <c r="AF32" i="1" s="1"/>
  <c r="D33" i="19"/>
  <c r="D34" i="19"/>
  <c r="B34" i="1" s="1"/>
  <c r="D35" i="19"/>
  <c r="B35" i="1" s="1"/>
  <c r="D36" i="19"/>
  <c r="B36" i="1" s="1"/>
  <c r="D38" i="19"/>
  <c r="B38" i="1" s="1"/>
  <c r="D39" i="19"/>
  <c r="B39" i="1" s="1"/>
  <c r="D40" i="19"/>
  <c r="B40" i="1" s="1"/>
  <c r="D42" i="19"/>
  <c r="B42" i="1" s="1"/>
  <c r="D43" i="19"/>
  <c r="B43" i="1" s="1"/>
  <c r="D44" i="19"/>
  <c r="D45" i="19"/>
  <c r="B45" i="1" s="1"/>
  <c r="D46" i="19"/>
  <c r="B46" i="1" s="1"/>
  <c r="D47" i="19"/>
  <c r="B47" i="1" s="1"/>
  <c r="D48" i="19"/>
  <c r="B48" i="1" s="1"/>
  <c r="D49" i="19"/>
  <c r="B49" i="1" s="1"/>
  <c r="D50" i="19"/>
  <c r="B50" i="1" s="1"/>
  <c r="D51" i="19"/>
  <c r="B51" i="1" s="1"/>
  <c r="D54" i="19"/>
  <c r="B54" i="1" s="1"/>
  <c r="D55" i="19"/>
  <c r="B55" i="1" s="1"/>
  <c r="D56" i="19"/>
  <c r="D57" i="19"/>
  <c r="B57" i="1" s="1"/>
  <c r="D58" i="19"/>
  <c r="D59" i="19"/>
  <c r="B59" i="1" s="1"/>
  <c r="D60" i="19"/>
  <c r="B60" i="1" s="1"/>
  <c r="D61" i="19"/>
  <c r="B61" i="1" s="1"/>
  <c r="D62" i="19"/>
  <c r="B62" i="1" s="1"/>
  <c r="D64" i="19"/>
  <c r="B64" i="1" s="1"/>
  <c r="D65" i="19"/>
  <c r="B65" i="1" s="1"/>
  <c r="D67" i="19"/>
  <c r="D68" i="19"/>
  <c r="B68" i="1" s="1"/>
  <c r="D70" i="19"/>
  <c r="B70" i="1" s="1"/>
  <c r="D71" i="19"/>
  <c r="D73" i="19"/>
  <c r="B73" i="1" s="1"/>
  <c r="D74" i="19"/>
  <c r="B74" i="1" s="1"/>
  <c r="D75" i="19"/>
  <c r="B75" i="1" s="1"/>
  <c r="D76" i="19"/>
  <c r="B76" i="1" s="1"/>
  <c r="D77" i="19"/>
  <c r="B77" i="1" s="1"/>
  <c r="B44" i="1" s="1"/>
  <c r="D78" i="19"/>
  <c r="B78" i="1" s="1"/>
  <c r="B13" i="1" l="1"/>
  <c r="B67" i="1"/>
  <c r="B56" i="1"/>
  <c r="B4" i="1"/>
  <c r="B33" i="2" s="1"/>
  <c r="B58" i="1"/>
  <c r="B85" i="1" s="1"/>
  <c r="B23" i="1"/>
  <c r="B11" i="1"/>
  <c r="B3" i="1"/>
  <c r="B33" i="1"/>
  <c r="B71" i="1"/>
  <c r="B34" i="2" s="1"/>
  <c r="B24" i="1"/>
  <c r="BJ56" i="19"/>
  <c r="BJ44" i="19"/>
  <c r="BH44" i="19"/>
  <c r="AD44" i="1" s="1"/>
  <c r="BF44" i="19"/>
  <c r="AC44" i="1" s="1"/>
  <c r="BD44" i="19"/>
  <c r="AB44" i="1" s="1"/>
  <c r="BB44" i="19"/>
  <c r="AA44" i="1" s="1"/>
  <c r="AX33" i="19"/>
  <c r="Y33" i="1" s="1"/>
  <c r="BJ54" i="19" l="1"/>
  <c r="BH54" i="19"/>
  <c r="AD54" i="1" s="1"/>
  <c r="BD54" i="19"/>
  <c r="AB54" i="1" s="1"/>
  <c r="BD78" i="19"/>
  <c r="AB78" i="1" s="1"/>
  <c r="BD72" i="19"/>
  <c r="AB72" i="1" s="1"/>
  <c r="BD71" i="19"/>
  <c r="BD69" i="19"/>
  <c r="BD68" i="19"/>
  <c r="AB68" i="1" s="1"/>
  <c r="BD67" i="19"/>
  <c r="BD65" i="19"/>
  <c r="AB65" i="1" s="1"/>
  <c r="BD64" i="19"/>
  <c r="AB64" i="1" s="1"/>
  <c r="BD62" i="19"/>
  <c r="AB62" i="1" s="1"/>
  <c r="BD61" i="19"/>
  <c r="AB61" i="1" s="1"/>
  <c r="BD60" i="19"/>
  <c r="AB60" i="1" s="1"/>
  <c r="BD59" i="19"/>
  <c r="AB59" i="1" s="1"/>
  <c r="BD58" i="19"/>
  <c r="BD57" i="19"/>
  <c r="AB57" i="1" s="1"/>
  <c r="BD56" i="19"/>
  <c r="BD55" i="19"/>
  <c r="AB55" i="1" s="1"/>
  <c r="BD51" i="19"/>
  <c r="AB51" i="1" s="1"/>
  <c r="BD50" i="19"/>
  <c r="AB50" i="1" s="1"/>
  <c r="BD49" i="19"/>
  <c r="AB49" i="1" s="1"/>
  <c r="BD48" i="19"/>
  <c r="AB48" i="1" s="1"/>
  <c r="BD47" i="19"/>
  <c r="AB47" i="1" s="1"/>
  <c r="BD46" i="19"/>
  <c r="AB46" i="1" s="1"/>
  <c r="AB67" i="1" s="1"/>
  <c r="BD45" i="19"/>
  <c r="AB45" i="1" s="1"/>
  <c r="BD43" i="19"/>
  <c r="AB43" i="1" s="1"/>
  <c r="BD42" i="19"/>
  <c r="BD40" i="19"/>
  <c r="AB40" i="1" s="1"/>
  <c r="BD39" i="19"/>
  <c r="AB39" i="1" s="1"/>
  <c r="BD38" i="19"/>
  <c r="AB38" i="1" s="1"/>
  <c r="BD37" i="19"/>
  <c r="AB37" i="1" s="1"/>
  <c r="BD36" i="19"/>
  <c r="AB36" i="1" s="1"/>
  <c r="BD35" i="19"/>
  <c r="AB35" i="1" s="1"/>
  <c r="BD34" i="19"/>
  <c r="AB34" i="1" s="1"/>
  <c r="BD33" i="19"/>
  <c r="AB33" i="1" s="1"/>
  <c r="BD32" i="19"/>
  <c r="BD31" i="19"/>
  <c r="AB31" i="1" s="1"/>
  <c r="AB30" i="1"/>
  <c r="BD28" i="19"/>
  <c r="AB28" i="1" s="1"/>
  <c r="BD25" i="19"/>
  <c r="AB25" i="1" s="1"/>
  <c r="BD24" i="19"/>
  <c r="BD23" i="19"/>
  <c r="BD22" i="19"/>
  <c r="AB22" i="1" s="1"/>
  <c r="BD18" i="19"/>
  <c r="AB18" i="1" s="1"/>
  <c r="BD17" i="19"/>
  <c r="AB17" i="1" s="1"/>
  <c r="BD15" i="19"/>
  <c r="BD14" i="19"/>
  <c r="AB14" i="1" s="1"/>
  <c r="BD13" i="19"/>
  <c r="BD12" i="19"/>
  <c r="AB12" i="1" s="1"/>
  <c r="BD11" i="19"/>
  <c r="BD9" i="19"/>
  <c r="BD7" i="19"/>
  <c r="AB7" i="1" s="1"/>
  <c r="BD6" i="19"/>
  <c r="AB6" i="1" s="1"/>
  <c r="BD5" i="19"/>
  <c r="BD4" i="19"/>
  <c r="BD3" i="19"/>
  <c r="BD2" i="19"/>
  <c r="BJ78" i="19"/>
  <c r="BJ72" i="19"/>
  <c r="AE72" i="1" s="1"/>
  <c r="BJ71" i="19"/>
  <c r="BJ70" i="19"/>
  <c r="BJ69" i="19"/>
  <c r="BJ68" i="19"/>
  <c r="BJ67" i="19"/>
  <c r="BJ65" i="19"/>
  <c r="BJ64" i="19"/>
  <c r="BJ62" i="19"/>
  <c r="BJ61" i="19"/>
  <c r="BJ60" i="19"/>
  <c r="BJ59" i="19"/>
  <c r="BJ58" i="19"/>
  <c r="BJ57" i="19"/>
  <c r="BJ55" i="19"/>
  <c r="BJ51" i="19"/>
  <c r="BJ50" i="19"/>
  <c r="BJ49" i="19"/>
  <c r="BJ48" i="19"/>
  <c r="BJ47" i="19"/>
  <c r="BJ46" i="19"/>
  <c r="BJ45" i="19"/>
  <c r="BJ43" i="19"/>
  <c r="BJ42" i="19"/>
  <c r="BJ40" i="19"/>
  <c r="BJ39" i="19"/>
  <c r="BJ38" i="19"/>
  <c r="BJ37" i="19"/>
  <c r="BJ36" i="19"/>
  <c r="BJ35" i="19"/>
  <c r="BJ34" i="19"/>
  <c r="BJ33" i="19"/>
  <c r="BJ32" i="19"/>
  <c r="BJ31" i="19"/>
  <c r="BJ28" i="19"/>
  <c r="BJ25" i="19"/>
  <c r="BJ24" i="19"/>
  <c r="BJ23" i="19"/>
  <c r="BJ22" i="19"/>
  <c r="BJ21" i="19"/>
  <c r="BJ18" i="19"/>
  <c r="BJ17" i="19"/>
  <c r="BJ15" i="19"/>
  <c r="BJ14" i="19"/>
  <c r="BJ13" i="19"/>
  <c r="BJ12" i="19"/>
  <c r="BJ11" i="19"/>
  <c r="BJ9" i="19"/>
  <c r="BJ7" i="19"/>
  <c r="BJ6" i="19"/>
  <c r="BJ5" i="19"/>
  <c r="BJ4" i="19"/>
  <c r="BJ3" i="19"/>
  <c r="BJ2" i="19"/>
  <c r="BH78" i="19"/>
  <c r="AD78" i="1" s="1"/>
  <c r="BH72" i="19"/>
  <c r="AD72" i="1" s="1"/>
  <c r="BH71" i="19"/>
  <c r="BH70" i="19"/>
  <c r="AD70" i="1" s="1"/>
  <c r="BH69" i="19"/>
  <c r="BH68" i="19"/>
  <c r="AD68" i="1" s="1"/>
  <c r="BH67" i="19"/>
  <c r="BH65" i="19"/>
  <c r="AD65" i="1" s="1"/>
  <c r="BH64" i="19"/>
  <c r="AD64" i="1" s="1"/>
  <c r="BH62" i="19"/>
  <c r="AD62" i="1" s="1"/>
  <c r="BH61" i="19"/>
  <c r="AD61" i="1" s="1"/>
  <c r="BH60" i="19"/>
  <c r="AD60" i="1" s="1"/>
  <c r="BH59" i="19"/>
  <c r="AD59" i="1" s="1"/>
  <c r="BH58" i="19"/>
  <c r="BH57" i="19"/>
  <c r="AD57" i="1" s="1"/>
  <c r="BH56" i="19"/>
  <c r="BH55" i="19"/>
  <c r="AD55" i="1" s="1"/>
  <c r="BH51" i="19"/>
  <c r="AD51" i="1" s="1"/>
  <c r="BH50" i="19"/>
  <c r="AD50" i="1" s="1"/>
  <c r="BH49" i="19"/>
  <c r="AD49" i="1" s="1"/>
  <c r="BH48" i="19"/>
  <c r="AD48" i="1" s="1"/>
  <c r="BH47" i="19"/>
  <c r="AD47" i="1" s="1"/>
  <c r="BH46" i="19"/>
  <c r="AD46" i="1" s="1"/>
  <c r="AD67" i="1" s="1"/>
  <c r="BH45" i="19"/>
  <c r="AD45" i="1" s="1"/>
  <c r="BH43" i="19"/>
  <c r="BH42" i="19"/>
  <c r="AD42" i="1" s="1"/>
  <c r="BH40" i="19"/>
  <c r="AD40" i="1" s="1"/>
  <c r="BH39" i="19"/>
  <c r="AD39" i="1" s="1"/>
  <c r="BH38" i="19"/>
  <c r="AD38" i="1" s="1"/>
  <c r="BH37" i="19"/>
  <c r="AD37" i="1" s="1"/>
  <c r="BH36" i="19"/>
  <c r="AD36" i="1" s="1"/>
  <c r="BH35" i="19"/>
  <c r="AD35" i="1" s="1"/>
  <c r="BH34" i="19"/>
  <c r="BH33" i="19"/>
  <c r="AD33" i="1" s="1"/>
  <c r="BH32" i="19"/>
  <c r="BH31" i="19"/>
  <c r="AD31" i="1" s="1"/>
  <c r="AD30" i="1"/>
  <c r="BH28" i="19"/>
  <c r="AD28" i="1" s="1"/>
  <c r="BH25" i="19"/>
  <c r="AD25" i="1" s="1"/>
  <c r="BH24" i="19"/>
  <c r="BH23" i="19"/>
  <c r="BH22" i="19"/>
  <c r="AD22" i="1" s="1"/>
  <c r="BH21" i="19"/>
  <c r="AD21" i="1" s="1"/>
  <c r="BH18" i="19"/>
  <c r="AD18" i="1" s="1"/>
  <c r="BH17" i="19"/>
  <c r="AD17" i="1" s="1"/>
  <c r="BH15" i="19"/>
  <c r="BH14" i="19"/>
  <c r="AD14" i="1" s="1"/>
  <c r="BH13" i="19"/>
  <c r="BH12" i="19"/>
  <c r="AD12" i="1" s="1"/>
  <c r="BH11" i="19"/>
  <c r="BH9" i="19"/>
  <c r="BH7" i="19"/>
  <c r="AD7" i="1" s="1"/>
  <c r="BH6" i="19"/>
  <c r="AD6" i="1" s="1"/>
  <c r="BH5" i="19"/>
  <c r="AD5" i="1" s="1"/>
  <c r="BH4" i="19"/>
  <c r="AD4" i="1" s="1"/>
  <c r="BH3" i="19"/>
  <c r="BH2" i="19"/>
  <c r="AD2" i="1" s="1"/>
  <c r="BF78" i="19"/>
  <c r="AC78" i="1" s="1"/>
  <c r="BF72" i="19"/>
  <c r="AC72" i="1" s="1"/>
  <c r="BF71" i="19"/>
  <c r="BF70" i="19"/>
  <c r="AC70" i="1" s="1"/>
  <c r="BF69" i="19"/>
  <c r="BF68" i="19"/>
  <c r="AC68" i="1" s="1"/>
  <c r="BF67" i="19"/>
  <c r="BF65" i="19"/>
  <c r="AC65" i="1" s="1"/>
  <c r="BF64" i="19"/>
  <c r="AC64" i="1" s="1"/>
  <c r="BF62" i="19"/>
  <c r="AC62" i="1" s="1"/>
  <c r="BF61" i="19"/>
  <c r="AC61" i="1" s="1"/>
  <c r="BF60" i="19"/>
  <c r="AC60" i="1" s="1"/>
  <c r="BF59" i="19"/>
  <c r="AC59" i="1" s="1"/>
  <c r="BF58" i="19"/>
  <c r="BF57" i="19"/>
  <c r="AC57" i="1" s="1"/>
  <c r="BF56" i="19"/>
  <c r="BF55" i="19"/>
  <c r="AC55" i="1" s="1"/>
  <c r="BF51" i="19"/>
  <c r="AC51" i="1" s="1"/>
  <c r="BF50" i="19"/>
  <c r="AC50" i="1" s="1"/>
  <c r="BF49" i="19"/>
  <c r="AC49" i="1" s="1"/>
  <c r="BF48" i="19"/>
  <c r="AC48" i="1" s="1"/>
  <c r="BF47" i="19"/>
  <c r="AC47" i="1" s="1"/>
  <c r="BF46" i="19"/>
  <c r="AC46" i="1" s="1"/>
  <c r="BF45" i="19"/>
  <c r="AC45" i="1" s="1"/>
  <c r="BF43" i="19"/>
  <c r="BF42" i="19"/>
  <c r="BF40" i="19"/>
  <c r="AC40" i="1" s="1"/>
  <c r="BF39" i="19"/>
  <c r="AC39" i="1" s="1"/>
  <c r="BF38" i="19"/>
  <c r="AC38" i="1" s="1"/>
  <c r="BF37" i="19"/>
  <c r="AC37" i="1" s="1"/>
  <c r="BF36" i="19"/>
  <c r="AC36" i="1" s="1"/>
  <c r="BF35" i="19"/>
  <c r="AC35" i="1" s="1"/>
  <c r="BF34" i="19"/>
  <c r="AC34" i="1" s="1"/>
  <c r="BF33" i="19"/>
  <c r="AC33" i="1" s="1"/>
  <c r="BF32" i="19"/>
  <c r="BF31" i="19"/>
  <c r="AC31" i="1" s="1"/>
  <c r="AC30" i="1"/>
  <c r="BF28" i="19"/>
  <c r="AC28" i="1" s="1"/>
  <c r="BF25" i="19"/>
  <c r="AC25" i="1" s="1"/>
  <c r="BF24" i="19"/>
  <c r="BF23" i="19"/>
  <c r="BF22" i="19"/>
  <c r="AC22" i="1" s="1"/>
  <c r="BF21" i="19"/>
  <c r="AC21" i="1" s="1"/>
  <c r="BF18" i="19"/>
  <c r="AC18" i="1" s="1"/>
  <c r="BF17" i="19"/>
  <c r="AC17" i="1" s="1"/>
  <c r="BF15" i="19"/>
  <c r="BF14" i="19"/>
  <c r="AC14" i="1" s="1"/>
  <c r="BF13" i="19"/>
  <c r="BF12" i="19"/>
  <c r="AC12" i="1" s="1"/>
  <c r="BF11" i="19"/>
  <c r="AC10" i="1"/>
  <c r="BF9" i="19"/>
  <c r="BF7" i="19"/>
  <c r="AC7" i="1" s="1"/>
  <c r="BF6" i="19"/>
  <c r="AC6" i="1" s="1"/>
  <c r="BF5" i="19"/>
  <c r="AC5" i="1" s="1"/>
  <c r="BF4" i="19"/>
  <c r="AC4" i="1" s="1"/>
  <c r="BF3" i="19"/>
  <c r="BF2" i="19"/>
  <c r="AC2" i="1" s="1"/>
  <c r="AR46" i="19"/>
  <c r="AX46" i="19"/>
  <c r="AE91" i="1" l="1"/>
  <c r="AD91" i="1"/>
  <c r="AC15" i="1"/>
  <c r="AC91" i="1"/>
  <c r="AB15" i="1"/>
  <c r="AB91" i="1"/>
  <c r="V96" i="1"/>
  <c r="AD24" i="1"/>
  <c r="AC13" i="1"/>
  <c r="AD58" i="1"/>
  <c r="AD71" i="1"/>
  <c r="AD34" i="2" s="1"/>
  <c r="AC24" i="1"/>
  <c r="AD11" i="1"/>
  <c r="AD23" i="1"/>
  <c r="AD56" i="1"/>
  <c r="AD69" i="1"/>
  <c r="AD2" i="2" s="1"/>
  <c r="AC58" i="1"/>
  <c r="AC99" i="1" s="1"/>
  <c r="AD13" i="1"/>
  <c r="AC11" i="1"/>
  <c r="AC5" i="2" s="1"/>
  <c r="AC23" i="1"/>
  <c r="AC56" i="1"/>
  <c r="AC69" i="1"/>
  <c r="AC2" i="2" s="1"/>
  <c r="AB23" i="1"/>
  <c r="AB56" i="1"/>
  <c r="AB58" i="1"/>
  <c r="AB99" i="1" s="1"/>
  <c r="AC67" i="1"/>
  <c r="AC71" i="1"/>
  <c r="AC34" i="2" s="1"/>
  <c r="AB11" i="1"/>
  <c r="AB71" i="1"/>
  <c r="AB34" i="2" s="1"/>
  <c r="AB69" i="1"/>
  <c r="AB2" i="2" s="1"/>
  <c r="AB24" i="1"/>
  <c r="AB13" i="1"/>
  <c r="AE69" i="1"/>
  <c r="AE2" i="2" s="1"/>
  <c r="AE34" i="2"/>
  <c r="AE70" i="1"/>
  <c r="AE3" i="2" s="1"/>
  <c r="AE24" i="2" s="1"/>
  <c r="AE85" i="1"/>
  <c r="AE5" i="2"/>
  <c r="AC3" i="2"/>
  <c r="AC24" i="2" s="1"/>
  <c r="AE33" i="2"/>
  <c r="AC13" i="2"/>
  <c r="AD33" i="2"/>
  <c r="AE13" i="2"/>
  <c r="AC33" i="2"/>
  <c r="AC6" i="2"/>
  <c r="AE6" i="2"/>
  <c r="AD3" i="1"/>
  <c r="AD4" i="2" s="1"/>
  <c r="AC3" i="1"/>
  <c r="AC4" i="2" s="1"/>
  <c r="AN30" i="19"/>
  <c r="AN37" i="19"/>
  <c r="AN33" i="19"/>
  <c r="T33" i="1" s="1"/>
  <c r="AN31" i="19"/>
  <c r="T31" i="1" s="1"/>
  <c r="AC85" i="1" l="1"/>
  <c r="AE14" i="2"/>
  <c r="AE22" i="2" s="1"/>
  <c r="AD14" i="2"/>
  <c r="AD22" i="2" s="1"/>
  <c r="AC14" i="2"/>
  <c r="AC22" i="2" s="1"/>
  <c r="AE7" i="2"/>
  <c r="AE4" i="2"/>
  <c r="AE10" i="2"/>
  <c r="AC10" i="2"/>
  <c r="AC7" i="2"/>
  <c r="AC12" i="2"/>
  <c r="AC11" i="2"/>
  <c r="AE12" i="2"/>
  <c r="AE11" i="2"/>
  <c r="AC9" i="2"/>
  <c r="AE9" i="2"/>
  <c r="AL30" i="19"/>
  <c r="S30" i="1" s="1"/>
  <c r="AL37" i="19"/>
  <c r="S37" i="1" s="1"/>
  <c r="AJ37" i="19" l="1"/>
  <c r="R37" i="1" s="1"/>
  <c r="P28" i="2" l="1"/>
  <c r="N41" i="1" l="1"/>
  <c r="AB42" i="19"/>
  <c r="AH37" i="19"/>
  <c r="Q37" i="1" s="1"/>
  <c r="AF37" i="19"/>
  <c r="P37" i="1" s="1"/>
  <c r="AD37" i="19"/>
  <c r="O37" i="1" s="1"/>
  <c r="AB37" i="19"/>
  <c r="N37" i="1" s="1"/>
  <c r="AH3" i="19"/>
  <c r="AH2" i="19"/>
  <c r="Q2" i="1" s="1"/>
  <c r="Q73" i="1"/>
  <c r="Q74" i="1"/>
  <c r="Q75" i="1"/>
  <c r="Q76" i="1"/>
  <c r="Q77" i="1"/>
  <c r="Q52" i="1"/>
  <c r="Q26" i="1"/>
  <c r="Q27" i="1"/>
  <c r="Q16" i="1"/>
  <c r="N53" i="1"/>
  <c r="Z3" i="19" l="1"/>
  <c r="Z37" i="19"/>
  <c r="M37" i="1" l="1"/>
  <c r="K63" i="1"/>
  <c r="K53" i="1"/>
  <c r="K52" i="1"/>
  <c r="K29" i="1"/>
  <c r="X37" i="19"/>
  <c r="V37" i="19"/>
  <c r="V13" i="19"/>
  <c r="L37" i="1" l="1"/>
  <c r="K37" i="1"/>
  <c r="J28" i="2"/>
  <c r="T42" i="19"/>
  <c r="J42" i="1" s="1"/>
  <c r="T17" i="19"/>
  <c r="J37" i="1" l="1"/>
  <c r="J17" i="1"/>
  <c r="R18" i="19"/>
  <c r="R3" i="19"/>
  <c r="P3" i="19"/>
  <c r="I18" i="1" l="1"/>
  <c r="R78" i="19"/>
  <c r="R72" i="19"/>
  <c r="R71" i="19"/>
  <c r="R70" i="19"/>
  <c r="R69" i="19"/>
  <c r="R68" i="19"/>
  <c r="R67" i="19"/>
  <c r="R65" i="19"/>
  <c r="R64" i="19"/>
  <c r="R62" i="19"/>
  <c r="R61" i="19"/>
  <c r="R60" i="19"/>
  <c r="R59" i="19"/>
  <c r="R58" i="19"/>
  <c r="R57" i="19"/>
  <c r="R56" i="19"/>
  <c r="R55" i="19"/>
  <c r="R54" i="19"/>
  <c r="I54" i="1" s="1"/>
  <c r="R51" i="19"/>
  <c r="R50" i="19"/>
  <c r="R49" i="19"/>
  <c r="R48" i="19"/>
  <c r="R47" i="19"/>
  <c r="R46" i="19"/>
  <c r="R45" i="19"/>
  <c r="R44" i="19"/>
  <c r="R43" i="19"/>
  <c r="R42" i="19"/>
  <c r="R40" i="19"/>
  <c r="R39" i="19"/>
  <c r="R38" i="19"/>
  <c r="R37" i="19"/>
  <c r="R36" i="19"/>
  <c r="I36" i="1" s="1"/>
  <c r="R35" i="19"/>
  <c r="R34" i="19"/>
  <c r="R33" i="19"/>
  <c r="R32" i="19"/>
  <c r="R31" i="19"/>
  <c r="R30" i="19"/>
  <c r="R28" i="19"/>
  <c r="R25" i="19"/>
  <c r="I25" i="1" s="1"/>
  <c r="R24" i="19"/>
  <c r="R23" i="19"/>
  <c r="R22" i="19"/>
  <c r="I22" i="1" s="1"/>
  <c r="R21" i="19"/>
  <c r="I21" i="1" s="1"/>
  <c r="R17" i="19"/>
  <c r="R15" i="19"/>
  <c r="I15" i="1" s="1"/>
  <c r="R14" i="19"/>
  <c r="I14" i="1" s="1"/>
  <c r="R13" i="19"/>
  <c r="R12" i="19"/>
  <c r="R11" i="19"/>
  <c r="R10" i="19"/>
  <c r="I10" i="1" s="1"/>
  <c r="R9" i="19"/>
  <c r="I9" i="1" s="1"/>
  <c r="R7" i="19"/>
  <c r="I7" i="1" s="1"/>
  <c r="R6" i="19"/>
  <c r="I6" i="1" s="1"/>
  <c r="R5" i="19"/>
  <c r="I5" i="1" s="1"/>
  <c r="R4" i="19"/>
  <c r="R2" i="19"/>
  <c r="I70" i="1" l="1"/>
  <c r="I65" i="1"/>
  <c r="I64" i="1"/>
  <c r="I57" i="1"/>
  <c r="I55" i="1"/>
  <c r="I49" i="1"/>
  <c r="I58" i="1" s="1"/>
  <c r="I43" i="1"/>
  <c r="I42" i="1"/>
  <c r="I37" i="1"/>
  <c r="I31" i="1"/>
  <c r="I30" i="1"/>
  <c r="I28" i="1"/>
  <c r="I24" i="1"/>
  <c r="I17" i="1"/>
  <c r="H77" i="1"/>
  <c r="H76" i="1"/>
  <c r="H75" i="1"/>
  <c r="H74" i="1"/>
  <c r="H73" i="1"/>
  <c r="H52" i="1"/>
  <c r="H27" i="1"/>
  <c r="H26" i="1"/>
  <c r="H16" i="1"/>
  <c r="P37" i="19"/>
  <c r="H37" i="1" s="1"/>
  <c r="P14" i="19"/>
  <c r="H14" i="1" s="1"/>
  <c r="N37" i="19" l="1"/>
  <c r="G37" i="1" l="1"/>
  <c r="N71" i="19"/>
  <c r="G71" i="1" s="1"/>
  <c r="N39" i="19"/>
  <c r="G39" i="1" s="1"/>
  <c r="N14" i="19"/>
  <c r="G14" i="1" l="1"/>
  <c r="F16" i="1"/>
  <c r="L18" i="19"/>
  <c r="F18" i="1" l="1"/>
  <c r="H50" i="19"/>
  <c r="D50" i="1" s="1"/>
  <c r="L37" i="19" l="1"/>
  <c r="J37" i="19"/>
  <c r="H37" i="19"/>
  <c r="D37" i="1" s="1"/>
  <c r="F37" i="19"/>
  <c r="C37" i="1" s="1"/>
  <c r="L14" i="19"/>
  <c r="F14" i="1" s="1"/>
  <c r="J14" i="19"/>
  <c r="H14" i="19"/>
  <c r="D14" i="1" s="1"/>
  <c r="F14" i="19"/>
  <c r="C14" i="1" s="1"/>
  <c r="F37" i="1" l="1"/>
  <c r="E37" i="1"/>
  <c r="H33" i="19"/>
  <c r="D33" i="1" s="1"/>
  <c r="AD2" i="19"/>
  <c r="AD3" i="19"/>
  <c r="AD4" i="19"/>
  <c r="AD5" i="19"/>
  <c r="AD6" i="19"/>
  <c r="AD7" i="19"/>
  <c r="AD9" i="19"/>
  <c r="AD10" i="19"/>
  <c r="AD11" i="19"/>
  <c r="AD12" i="19"/>
  <c r="AD13" i="19"/>
  <c r="AD14" i="19"/>
  <c r="O14" i="1" s="1"/>
  <c r="AD15" i="19"/>
  <c r="AD17" i="19"/>
  <c r="O17" i="1" s="1"/>
  <c r="AD18" i="19"/>
  <c r="O18" i="1" s="1"/>
  <c r="AD21" i="19"/>
  <c r="O21" i="1" s="1"/>
  <c r="AD22" i="19"/>
  <c r="AD23" i="19"/>
  <c r="AD24" i="19"/>
  <c r="AD25" i="19"/>
  <c r="AD28" i="19"/>
  <c r="O28" i="1" s="1"/>
  <c r="AD30" i="19"/>
  <c r="AD31" i="19"/>
  <c r="O31" i="1" s="1"/>
  <c r="AD32" i="19"/>
  <c r="AD33" i="19"/>
  <c r="AD34" i="19"/>
  <c r="AD35" i="19"/>
  <c r="AD36" i="19"/>
  <c r="AD38" i="19"/>
  <c r="AD39" i="19"/>
  <c r="AD40" i="19"/>
  <c r="AD42" i="19"/>
  <c r="O42" i="1" s="1"/>
  <c r="AD43" i="19"/>
  <c r="O43" i="1" s="1"/>
  <c r="AD45" i="19"/>
  <c r="AD46" i="19"/>
  <c r="AD48" i="19"/>
  <c r="AD49" i="19"/>
  <c r="O49" i="1" s="1"/>
  <c r="AD50" i="19"/>
  <c r="AD51" i="19"/>
  <c r="AD54" i="19"/>
  <c r="O54" i="1" s="1"/>
  <c r="AD55" i="19"/>
  <c r="O55" i="1" s="1"/>
  <c r="AD56" i="19"/>
  <c r="AD57" i="19"/>
  <c r="O57" i="1" s="1"/>
  <c r="AD58" i="19"/>
  <c r="AD59" i="19"/>
  <c r="AD60" i="19"/>
  <c r="AD61" i="19"/>
  <c r="AD62" i="19"/>
  <c r="AD64" i="19"/>
  <c r="O64" i="1" s="1"/>
  <c r="AD65" i="19"/>
  <c r="O65" i="1" s="1"/>
  <c r="AD67" i="19"/>
  <c r="AD68" i="19"/>
  <c r="AD69" i="19"/>
  <c r="AD70" i="19"/>
  <c r="AD71" i="19"/>
  <c r="AD72" i="19"/>
  <c r="AD78" i="19"/>
  <c r="AB3" i="2" l="1"/>
  <c r="AB24" i="2" s="1"/>
  <c r="O70" i="1"/>
  <c r="O30" i="1"/>
  <c r="AB9" i="2"/>
  <c r="AB6" i="2"/>
  <c r="C52" i="1"/>
  <c r="AB11" i="2" l="1"/>
  <c r="AB12" i="2"/>
  <c r="AB10" i="2"/>
  <c r="BD100" i="19"/>
  <c r="BB37" i="19" l="1"/>
  <c r="AA37" i="1" s="1"/>
  <c r="AZ37" i="19"/>
  <c r="AX37" i="19" l="1"/>
  <c r="X37" i="1" l="1"/>
  <c r="AT37" i="19"/>
  <c r="W37" i="1" s="1"/>
  <c r="AR43" i="19" l="1"/>
  <c r="AP43" i="19" l="1"/>
  <c r="AR37" i="19"/>
  <c r="AP37" i="19"/>
  <c r="AF37" i="1" l="1"/>
  <c r="S27" i="1"/>
  <c r="S26" i="1"/>
  <c r="R77" i="1" l="1"/>
  <c r="R76" i="1"/>
  <c r="R75" i="1"/>
  <c r="R74" i="1"/>
  <c r="R73" i="1"/>
  <c r="R52" i="1"/>
  <c r="R27" i="1"/>
  <c r="R26" i="1"/>
  <c r="R16" i="1"/>
  <c r="P73" i="1" l="1"/>
  <c r="P77" i="1"/>
  <c r="P44" i="1" s="1"/>
  <c r="P76" i="1"/>
  <c r="P75" i="1"/>
  <c r="P74" i="1"/>
  <c r="P52" i="1"/>
  <c r="P27" i="1"/>
  <c r="P26" i="1"/>
  <c r="P16" i="1"/>
  <c r="O77" i="1"/>
  <c r="O44" i="1" s="1"/>
  <c r="O76" i="1"/>
  <c r="O33" i="1" s="1"/>
  <c r="O75" i="1"/>
  <c r="O74" i="1"/>
  <c r="O73" i="1"/>
  <c r="O52" i="1"/>
  <c r="O27" i="1"/>
  <c r="O26" i="1"/>
  <c r="O16" i="1"/>
  <c r="N77" i="1"/>
  <c r="N44" i="1" s="1"/>
  <c r="N76" i="1"/>
  <c r="N75" i="1"/>
  <c r="N74" i="1"/>
  <c r="N73" i="1"/>
  <c r="N52" i="1"/>
  <c r="N27" i="1"/>
  <c r="N26" i="1"/>
  <c r="N16" i="1"/>
  <c r="H62" i="1" l="1"/>
  <c r="H61" i="1"/>
  <c r="P42" i="19" l="1"/>
  <c r="H42" i="1" s="1"/>
  <c r="M73" i="1"/>
  <c r="M74" i="1"/>
  <c r="M75" i="1"/>
  <c r="M76" i="1"/>
  <c r="M77" i="1"/>
  <c r="M52" i="1"/>
  <c r="M26" i="1"/>
  <c r="M27" i="1"/>
  <c r="M16" i="1"/>
  <c r="L77" i="1" l="1"/>
  <c r="L44" i="1" s="1"/>
  <c r="L76" i="1"/>
  <c r="L75" i="1"/>
  <c r="L74" i="1"/>
  <c r="L73" i="1"/>
  <c r="L52" i="1"/>
  <c r="L27" i="1"/>
  <c r="L26" i="1"/>
  <c r="L16" i="1"/>
  <c r="K77" i="1"/>
  <c r="K44" i="1" s="1"/>
  <c r="K76" i="1"/>
  <c r="K75" i="1"/>
  <c r="K74" i="1"/>
  <c r="K73" i="1"/>
  <c r="K27" i="1"/>
  <c r="K26" i="1"/>
  <c r="K16" i="1"/>
  <c r="J77" i="1"/>
  <c r="J76" i="1"/>
  <c r="J75" i="1"/>
  <c r="J74" i="1"/>
  <c r="J73" i="1"/>
  <c r="J52" i="1"/>
  <c r="J27" i="1"/>
  <c r="J26" i="1"/>
  <c r="J16" i="1"/>
  <c r="B3" i="2" l="1"/>
  <c r="B6" i="2"/>
  <c r="B13" i="2"/>
  <c r="B14" i="2"/>
  <c r="F33" i="19" l="1"/>
  <c r="B11" i="2" l="1"/>
  <c r="B10" i="2"/>
  <c r="B5" i="2"/>
  <c r="B7" i="2" l="1"/>
  <c r="B12" i="2"/>
  <c r="B8" i="2"/>
  <c r="B9" i="2"/>
  <c r="I77" i="1"/>
  <c r="I44" i="1" s="1"/>
  <c r="I76" i="1"/>
  <c r="I33" i="1" s="1"/>
  <c r="I75" i="1"/>
  <c r="I74" i="1"/>
  <c r="I73" i="1"/>
  <c r="I52" i="1"/>
  <c r="I27" i="1"/>
  <c r="I26" i="1"/>
  <c r="I16" i="1"/>
  <c r="F77" i="1"/>
  <c r="F76" i="1"/>
  <c r="F75" i="1"/>
  <c r="F74" i="1"/>
  <c r="F73" i="1"/>
  <c r="F52" i="1"/>
  <c r="F27" i="1"/>
  <c r="F26" i="1"/>
  <c r="E77" i="1"/>
  <c r="E76" i="1"/>
  <c r="E75" i="1"/>
  <c r="E74" i="1"/>
  <c r="E73" i="1"/>
  <c r="E72" i="1"/>
  <c r="E52" i="1"/>
  <c r="E27" i="1"/>
  <c r="E26" i="1"/>
  <c r="E16" i="1"/>
  <c r="AB2" i="19"/>
  <c r="AB3" i="19"/>
  <c r="AB4" i="19"/>
  <c r="AB5" i="19"/>
  <c r="AB6" i="19"/>
  <c r="N6" i="1" s="1"/>
  <c r="AB7" i="19"/>
  <c r="AB9" i="19"/>
  <c r="AB10" i="19"/>
  <c r="N10" i="1" s="1"/>
  <c r="AB11" i="19"/>
  <c r="AB12" i="19"/>
  <c r="AB13" i="19"/>
  <c r="AB14" i="19"/>
  <c r="N14" i="1" s="1"/>
  <c r="AB17" i="19"/>
  <c r="N17" i="1" s="1"/>
  <c r="AB18" i="19"/>
  <c r="N18" i="1" s="1"/>
  <c r="AB21" i="19"/>
  <c r="AB22" i="19"/>
  <c r="AB23" i="19"/>
  <c r="AB24" i="19"/>
  <c r="AB25" i="19"/>
  <c r="N25" i="1" s="1"/>
  <c r="AB28" i="19"/>
  <c r="N28" i="1" s="1"/>
  <c r="AB30" i="19"/>
  <c r="AB31" i="19"/>
  <c r="N31" i="1" s="1"/>
  <c r="AB32" i="19"/>
  <c r="AB33" i="19"/>
  <c r="N33" i="1" s="1"/>
  <c r="AB34" i="19"/>
  <c r="AB35" i="19"/>
  <c r="N35" i="1" s="1"/>
  <c r="AB36" i="19"/>
  <c r="N36" i="1" s="1"/>
  <c r="AB38" i="19"/>
  <c r="AB39" i="19"/>
  <c r="AB40" i="19"/>
  <c r="AB43" i="19"/>
  <c r="AB45" i="19"/>
  <c r="AB46" i="19"/>
  <c r="N46" i="1" s="1"/>
  <c r="AB47" i="19"/>
  <c r="AB48" i="19"/>
  <c r="AB49" i="19"/>
  <c r="N49" i="1" s="1"/>
  <c r="AB50" i="19"/>
  <c r="AB51" i="19"/>
  <c r="AB54" i="19"/>
  <c r="N54" i="1" s="1"/>
  <c r="AB55" i="19"/>
  <c r="N55" i="1" s="1"/>
  <c r="AB56" i="19"/>
  <c r="AB57" i="19"/>
  <c r="N57" i="1" s="1"/>
  <c r="AB58" i="19"/>
  <c r="AB59" i="19"/>
  <c r="AB60" i="19"/>
  <c r="AB61" i="19"/>
  <c r="AB62" i="19"/>
  <c r="AB64" i="19"/>
  <c r="N64" i="1" s="1"/>
  <c r="AB65" i="19"/>
  <c r="N65" i="1" s="1"/>
  <c r="AB67" i="19"/>
  <c r="AB68" i="19"/>
  <c r="AB69" i="19"/>
  <c r="AB70" i="19"/>
  <c r="N70" i="1" s="1"/>
  <c r="AB71" i="19"/>
  <c r="AB72" i="19"/>
  <c r="N72" i="1" s="1"/>
  <c r="AB78" i="19"/>
  <c r="N78" i="1" s="1"/>
  <c r="C77" i="1"/>
  <c r="C76" i="1"/>
  <c r="C75" i="1"/>
  <c r="C74" i="1"/>
  <c r="C73" i="1"/>
  <c r="C72" i="1"/>
  <c r="C27" i="1"/>
  <c r="C26" i="1"/>
  <c r="N9" i="1" l="1"/>
  <c r="N13" i="1"/>
  <c r="N24" i="1"/>
  <c r="AF16" i="1"/>
  <c r="AF27" i="1"/>
  <c r="AF75" i="1"/>
  <c r="AF74" i="1"/>
  <c r="AF73" i="1"/>
  <c r="AF77" i="1"/>
  <c r="AF52" i="1"/>
  <c r="AF26" i="1"/>
  <c r="C33" i="1"/>
  <c r="AF76" i="1"/>
  <c r="N67" i="1"/>
  <c r="N58" i="1"/>
  <c r="N40" i="1"/>
  <c r="N61" i="1"/>
  <c r="N68" i="1"/>
  <c r="N51" i="1"/>
  <c r="N60" i="1"/>
  <c r="N62" i="1"/>
  <c r="N71" i="1"/>
  <c r="N34" i="2" s="1"/>
  <c r="N69" i="1"/>
  <c r="N59" i="1"/>
  <c r="N56" i="1" s="1"/>
  <c r="N50" i="1"/>
  <c r="N48" i="1"/>
  <c r="N47" i="1"/>
  <c r="N45" i="1"/>
  <c r="N39" i="1"/>
  <c r="N38" i="1"/>
  <c r="N34" i="1"/>
  <c r="N23" i="1"/>
  <c r="N15" i="1"/>
  <c r="N12" i="1"/>
  <c r="N11" i="1" s="1"/>
  <c r="N7" i="1"/>
  <c r="N5" i="1"/>
  <c r="N4" i="1"/>
  <c r="N2" i="1"/>
  <c r="N10" i="2" l="1"/>
  <c r="N9" i="2"/>
  <c r="N8" i="2"/>
  <c r="N13" i="2"/>
  <c r="N12" i="2"/>
  <c r="N33" i="2"/>
  <c r="N14" i="2"/>
  <c r="N3" i="1"/>
  <c r="N4" i="2" s="1"/>
  <c r="AT43" i="19" l="1"/>
  <c r="W43" i="1" s="1"/>
  <c r="AF31" i="2" l="1"/>
  <c r="I68" i="1" l="1"/>
  <c r="AB5" i="1" l="1"/>
  <c r="AB4" i="1"/>
  <c r="AB2" i="1"/>
  <c r="BB78" i="19"/>
  <c r="AA78" i="1" s="1"/>
  <c r="BB72" i="19"/>
  <c r="AA72" i="1" s="1"/>
  <c r="BB71" i="19"/>
  <c r="BB70" i="19"/>
  <c r="AA70" i="1" s="1"/>
  <c r="AA2" i="2"/>
  <c r="BB68" i="19"/>
  <c r="AA68" i="1" s="1"/>
  <c r="BB67" i="19"/>
  <c r="BB65" i="19"/>
  <c r="AA65" i="1" s="1"/>
  <c r="BB64" i="19"/>
  <c r="BB62" i="19"/>
  <c r="AA62" i="1" s="1"/>
  <c r="BB61" i="19"/>
  <c r="AA61" i="1" s="1"/>
  <c r="BB60" i="19"/>
  <c r="AA60" i="1" s="1"/>
  <c r="BB59" i="19"/>
  <c r="AA59" i="1" s="1"/>
  <c r="BB58" i="19"/>
  <c r="BB57" i="19"/>
  <c r="AA57" i="1" s="1"/>
  <c r="BB56" i="19"/>
  <c r="BB55" i="19"/>
  <c r="BB51" i="19"/>
  <c r="AA51" i="1" s="1"/>
  <c r="BB50" i="19"/>
  <c r="BB49" i="19"/>
  <c r="BB48" i="19"/>
  <c r="BB47" i="19"/>
  <c r="AD97" i="1" s="1"/>
  <c r="BB46" i="19"/>
  <c r="AA45" i="1"/>
  <c r="BB43" i="19"/>
  <c r="BB42" i="19"/>
  <c r="BB40" i="19"/>
  <c r="AA40" i="1" s="1"/>
  <c r="BB39" i="19"/>
  <c r="AA39" i="1" s="1"/>
  <c r="BB38" i="19"/>
  <c r="AA38" i="1" s="1"/>
  <c r="BB36" i="19"/>
  <c r="BB35" i="19"/>
  <c r="BB34" i="19"/>
  <c r="BB33" i="19"/>
  <c r="BB32" i="19"/>
  <c r="BB31" i="19"/>
  <c r="AA31" i="1" s="1"/>
  <c r="BB28" i="19"/>
  <c r="AA28" i="1" s="1"/>
  <c r="BB25" i="19"/>
  <c r="AA25" i="1" s="1"/>
  <c r="BB24" i="19"/>
  <c r="BB23" i="19"/>
  <c r="BB22" i="19"/>
  <c r="BB21" i="19"/>
  <c r="BB18" i="19"/>
  <c r="BB17" i="19"/>
  <c r="AA17" i="1" s="1"/>
  <c r="BB15" i="19"/>
  <c r="BB14" i="19"/>
  <c r="BB13" i="19"/>
  <c r="BB12" i="19"/>
  <c r="BB11" i="19"/>
  <c r="BB9" i="19"/>
  <c r="BB7" i="19"/>
  <c r="AA7" i="1" s="1"/>
  <c r="BB6" i="19"/>
  <c r="AA6" i="1" s="1"/>
  <c r="BB5" i="19"/>
  <c r="AA5" i="1" s="1"/>
  <c r="BB4" i="19"/>
  <c r="AA4" i="1" s="1"/>
  <c r="BB3" i="19"/>
  <c r="BB2" i="19"/>
  <c r="AA2" i="1" s="1"/>
  <c r="AZ78" i="19"/>
  <c r="Z78" i="1" s="1"/>
  <c r="AZ72" i="19"/>
  <c r="Z72" i="1" s="1"/>
  <c r="AZ71" i="19"/>
  <c r="AZ70" i="19"/>
  <c r="AZ68" i="19"/>
  <c r="Z68" i="1" s="1"/>
  <c r="AZ67" i="19"/>
  <c r="Z67" i="1" s="1"/>
  <c r="AZ65" i="19"/>
  <c r="Z65" i="1" s="1"/>
  <c r="AZ64" i="19"/>
  <c r="Z64" i="1" s="1"/>
  <c r="AZ62" i="19"/>
  <c r="Z62" i="1" s="1"/>
  <c r="AZ61" i="19"/>
  <c r="Z61" i="1" s="1"/>
  <c r="AZ60" i="19"/>
  <c r="Z60" i="1" s="1"/>
  <c r="AZ59" i="19"/>
  <c r="Z59" i="1" s="1"/>
  <c r="AZ58" i="19"/>
  <c r="AZ57" i="19"/>
  <c r="Z57" i="1" s="1"/>
  <c r="AZ56" i="19"/>
  <c r="AZ55" i="19"/>
  <c r="AZ51" i="19"/>
  <c r="AZ50" i="19"/>
  <c r="AZ49" i="19"/>
  <c r="AZ48" i="19"/>
  <c r="AZ47" i="19"/>
  <c r="AZ46" i="19"/>
  <c r="AZ45" i="19"/>
  <c r="Z45" i="1" s="1"/>
  <c r="AZ43" i="19"/>
  <c r="AZ42" i="19"/>
  <c r="AZ40" i="19"/>
  <c r="AZ39" i="19"/>
  <c r="AZ38" i="19"/>
  <c r="AZ36" i="19"/>
  <c r="AZ35" i="19"/>
  <c r="AZ34" i="19"/>
  <c r="AZ33" i="19"/>
  <c r="Z33" i="1" s="1"/>
  <c r="AZ32" i="19"/>
  <c r="AZ31" i="19"/>
  <c r="Z31" i="1" s="1"/>
  <c r="AZ28" i="19"/>
  <c r="AZ25" i="19"/>
  <c r="Z25" i="1" s="1"/>
  <c r="AZ24" i="19"/>
  <c r="AZ23" i="19"/>
  <c r="AZ22" i="19"/>
  <c r="AZ21" i="19"/>
  <c r="AZ17" i="19"/>
  <c r="AZ15" i="19"/>
  <c r="AZ14" i="19"/>
  <c r="AZ13" i="19"/>
  <c r="AZ12" i="19"/>
  <c r="Z12" i="1" s="1"/>
  <c r="AZ11" i="19"/>
  <c r="AZ9" i="19"/>
  <c r="AZ7" i="19"/>
  <c r="Z7" i="1" s="1"/>
  <c r="AZ6" i="19"/>
  <c r="Z6" i="1" s="1"/>
  <c r="AZ5" i="19"/>
  <c r="Z5" i="1" s="1"/>
  <c r="AZ4" i="19"/>
  <c r="AZ3" i="19"/>
  <c r="AZ2" i="19"/>
  <c r="Z2" i="1" s="1"/>
  <c r="AX78" i="19"/>
  <c r="Y78" i="1" s="1"/>
  <c r="AX72" i="19"/>
  <c r="Y72" i="1" s="1"/>
  <c r="AX71" i="19"/>
  <c r="AX70" i="19"/>
  <c r="Y2" i="2"/>
  <c r="AX68" i="19"/>
  <c r="Y68" i="1" s="1"/>
  <c r="AX67" i="19"/>
  <c r="Y67" i="1" s="1"/>
  <c r="AX65" i="19"/>
  <c r="AX64" i="19"/>
  <c r="AX62" i="19"/>
  <c r="AX61" i="19"/>
  <c r="AX60" i="19"/>
  <c r="AX59" i="19"/>
  <c r="Y59" i="1" s="1"/>
  <c r="AX58" i="19"/>
  <c r="AX57" i="19"/>
  <c r="Y57" i="1" s="1"/>
  <c r="AX56" i="19"/>
  <c r="AX55" i="19"/>
  <c r="AX51" i="19"/>
  <c r="AX50" i="19"/>
  <c r="AX49" i="19"/>
  <c r="AX48" i="19"/>
  <c r="AX47" i="19"/>
  <c r="AX45" i="19"/>
  <c r="Y45" i="1" s="1"/>
  <c r="AX43" i="19"/>
  <c r="AX40" i="19"/>
  <c r="AX39" i="19"/>
  <c r="AX38" i="19"/>
  <c r="AX36" i="19"/>
  <c r="AX35" i="19"/>
  <c r="AX34" i="19"/>
  <c r="AX32" i="19"/>
  <c r="AX31" i="19"/>
  <c r="Y31" i="1" s="1"/>
  <c r="AX25" i="19"/>
  <c r="Y25" i="1" s="1"/>
  <c r="AX24" i="19"/>
  <c r="AX23" i="19"/>
  <c r="AX22" i="19"/>
  <c r="AX21" i="19"/>
  <c r="AX18" i="19"/>
  <c r="AX17" i="19"/>
  <c r="AX15" i="19"/>
  <c r="Y91" i="1" s="1"/>
  <c r="AX14" i="19"/>
  <c r="Y14" i="1" s="1"/>
  <c r="AX13" i="19"/>
  <c r="AX12" i="19"/>
  <c r="Y12" i="1" s="1"/>
  <c r="AX11" i="19"/>
  <c r="AX10" i="19"/>
  <c r="AX9" i="19"/>
  <c r="Y9" i="1" s="1"/>
  <c r="AX7" i="19"/>
  <c r="AX6" i="19"/>
  <c r="AX5" i="19"/>
  <c r="AX4" i="19"/>
  <c r="Y4" i="1" s="1"/>
  <c r="AX3" i="19"/>
  <c r="AX2" i="19"/>
  <c r="Y2" i="1" s="1"/>
  <c r="AV78" i="19"/>
  <c r="X78" i="1" s="1"/>
  <c r="AV72" i="19"/>
  <c r="X72" i="1" s="1"/>
  <c r="AV71" i="19"/>
  <c r="AV70" i="19"/>
  <c r="X70" i="1" s="1"/>
  <c r="X2" i="2"/>
  <c r="AV68" i="19"/>
  <c r="X68" i="1" s="1"/>
  <c r="AV67" i="19"/>
  <c r="X67" i="1" s="1"/>
  <c r="AV65" i="19"/>
  <c r="X65" i="1" s="1"/>
  <c r="AV64" i="19"/>
  <c r="X64" i="1" s="1"/>
  <c r="AV62" i="19"/>
  <c r="X62" i="1" s="1"/>
  <c r="AV61" i="19"/>
  <c r="X61" i="1" s="1"/>
  <c r="AV60" i="19"/>
  <c r="X60" i="1" s="1"/>
  <c r="AV59" i="19"/>
  <c r="X59" i="1" s="1"/>
  <c r="AV58" i="19"/>
  <c r="AV57" i="19"/>
  <c r="X57" i="1" s="1"/>
  <c r="AV56" i="19"/>
  <c r="AV55" i="19"/>
  <c r="X55" i="1" s="1"/>
  <c r="AV54" i="19"/>
  <c r="X54" i="1" s="1"/>
  <c r="AV51" i="19"/>
  <c r="X51" i="1" s="1"/>
  <c r="AV50" i="19"/>
  <c r="AV49" i="19"/>
  <c r="AV48" i="19"/>
  <c r="AV47" i="19"/>
  <c r="AV45" i="19"/>
  <c r="X45" i="1" s="1"/>
  <c r="AV44" i="19"/>
  <c r="X44" i="1" s="1"/>
  <c r="AV43" i="19"/>
  <c r="X43" i="1" s="1"/>
  <c r="X42" i="1"/>
  <c r="AV40" i="19"/>
  <c r="X40" i="1" s="1"/>
  <c r="AV39" i="19"/>
  <c r="X39" i="1" s="1"/>
  <c r="AV38" i="19"/>
  <c r="X38" i="1" s="1"/>
  <c r="AV36" i="19"/>
  <c r="AV35" i="19"/>
  <c r="AV34" i="19"/>
  <c r="X34" i="1" s="1"/>
  <c r="AV33" i="19"/>
  <c r="X33" i="1" s="1"/>
  <c r="AV32" i="19"/>
  <c r="AV31" i="19"/>
  <c r="X31" i="1" s="1"/>
  <c r="X30" i="1"/>
  <c r="X8" i="2" s="1"/>
  <c r="AV28" i="19"/>
  <c r="X28" i="1" s="1"/>
  <c r="AV25" i="19"/>
  <c r="X25" i="1" s="1"/>
  <c r="AV24" i="19"/>
  <c r="AV23" i="19"/>
  <c r="AV22" i="19"/>
  <c r="X22" i="1" s="1"/>
  <c r="AV21" i="19"/>
  <c r="X21" i="1" s="1"/>
  <c r="AV18" i="19"/>
  <c r="X18" i="1" s="1"/>
  <c r="AV17" i="19"/>
  <c r="X17" i="1" s="1"/>
  <c r="AV15" i="19"/>
  <c r="AV14" i="19"/>
  <c r="X14" i="1" s="1"/>
  <c r="AV13" i="19"/>
  <c r="AV12" i="19"/>
  <c r="X12" i="1" s="1"/>
  <c r="AV11" i="19"/>
  <c r="AV10" i="19"/>
  <c r="AV9" i="19"/>
  <c r="AV7" i="19"/>
  <c r="X7" i="1" s="1"/>
  <c r="AV6" i="19"/>
  <c r="X6" i="1" s="1"/>
  <c r="AV5" i="19"/>
  <c r="X5" i="1" s="1"/>
  <c r="AV4" i="19"/>
  <c r="X4" i="1" s="1"/>
  <c r="AV3" i="19"/>
  <c r="AV2" i="19"/>
  <c r="X2" i="1" s="1"/>
  <c r="AT78" i="19"/>
  <c r="W78" i="1" s="1"/>
  <c r="AT72" i="19"/>
  <c r="W72" i="1" s="1"/>
  <c r="AT71" i="19"/>
  <c r="AT70" i="19"/>
  <c r="AT69" i="19"/>
  <c r="AT68" i="19"/>
  <c r="W68" i="1" s="1"/>
  <c r="AT67" i="19"/>
  <c r="AT65" i="19"/>
  <c r="W65" i="1" s="1"/>
  <c r="AT64" i="19"/>
  <c r="W64" i="1" s="1"/>
  <c r="AT62" i="19"/>
  <c r="W62" i="1" s="1"/>
  <c r="AT61" i="19"/>
  <c r="W61" i="1" s="1"/>
  <c r="AT60" i="19"/>
  <c r="W60" i="1" s="1"/>
  <c r="AT59" i="19"/>
  <c r="W59" i="1" s="1"/>
  <c r="AT58" i="19"/>
  <c r="AT57" i="19"/>
  <c r="W57" i="1" s="1"/>
  <c r="AT56" i="19"/>
  <c r="AT55" i="19"/>
  <c r="W55" i="1" s="1"/>
  <c r="AT54" i="19"/>
  <c r="W54" i="1" s="1"/>
  <c r="AT51" i="19"/>
  <c r="W51" i="1" s="1"/>
  <c r="AT50" i="19"/>
  <c r="W50" i="1" s="1"/>
  <c r="AT49" i="19"/>
  <c r="W49" i="1" s="1"/>
  <c r="AT48" i="19"/>
  <c r="AT47" i="19"/>
  <c r="AT46" i="19"/>
  <c r="AT45" i="19"/>
  <c r="W45" i="1" s="1"/>
  <c r="AT44" i="19"/>
  <c r="W44" i="1" s="1"/>
  <c r="AT42" i="19"/>
  <c r="W42" i="1" s="1"/>
  <c r="AT40" i="19"/>
  <c r="W40" i="1" s="1"/>
  <c r="AT39" i="19"/>
  <c r="W39" i="1" s="1"/>
  <c r="AT38" i="19"/>
  <c r="W38" i="1" s="1"/>
  <c r="AT36" i="19"/>
  <c r="AT35" i="19"/>
  <c r="AT34" i="19"/>
  <c r="AT33" i="19"/>
  <c r="W33" i="1" s="1"/>
  <c r="AT32" i="19"/>
  <c r="AT31" i="19"/>
  <c r="W31" i="1" s="1"/>
  <c r="W30" i="1"/>
  <c r="AT28" i="19"/>
  <c r="W28" i="1" s="1"/>
  <c r="AT25" i="19"/>
  <c r="W25" i="1" s="1"/>
  <c r="AT24" i="19"/>
  <c r="AT23" i="19"/>
  <c r="AT22" i="19"/>
  <c r="W22" i="1" s="1"/>
  <c r="AT21" i="19"/>
  <c r="W21" i="1" s="1"/>
  <c r="AT18" i="19"/>
  <c r="W18" i="1" s="1"/>
  <c r="AT17" i="19"/>
  <c r="W17" i="1" s="1"/>
  <c r="AT15" i="19"/>
  <c r="AT14" i="19"/>
  <c r="W14" i="1" s="1"/>
  <c r="AT13" i="19"/>
  <c r="AT12" i="19"/>
  <c r="W12" i="1" s="1"/>
  <c r="AT11" i="19"/>
  <c r="AT10" i="19"/>
  <c r="AT9" i="19"/>
  <c r="AT7" i="19"/>
  <c r="AT6" i="19"/>
  <c r="W6" i="1" s="1"/>
  <c r="AT5" i="19"/>
  <c r="W5" i="1" s="1"/>
  <c r="AT4" i="19"/>
  <c r="W4" i="1" s="1"/>
  <c r="AT3" i="19"/>
  <c r="AT2" i="19"/>
  <c r="W2" i="1" s="1"/>
  <c r="AR78" i="19"/>
  <c r="AR72" i="19"/>
  <c r="AR71" i="19"/>
  <c r="AR70" i="19"/>
  <c r="AR69" i="19"/>
  <c r="AR68" i="19"/>
  <c r="V68" i="1" s="1"/>
  <c r="AR67" i="19"/>
  <c r="V67" i="1" s="1"/>
  <c r="AR65" i="19"/>
  <c r="AR64" i="19"/>
  <c r="AR62" i="19"/>
  <c r="AR61" i="19"/>
  <c r="AR60" i="19"/>
  <c r="AR59" i="19"/>
  <c r="V59" i="1" s="1"/>
  <c r="AR58" i="19"/>
  <c r="AR57" i="19"/>
  <c r="V57" i="1" s="1"/>
  <c r="AR56" i="19"/>
  <c r="AR55" i="19"/>
  <c r="V55" i="1" s="1"/>
  <c r="AR54" i="19"/>
  <c r="AR51" i="19"/>
  <c r="AR50" i="19"/>
  <c r="AR49" i="19"/>
  <c r="AR48" i="19"/>
  <c r="AR47" i="19"/>
  <c r="AR45" i="19"/>
  <c r="V45" i="1" s="1"/>
  <c r="AR42" i="19"/>
  <c r="AR40" i="19"/>
  <c r="AR39" i="19"/>
  <c r="AR38" i="19"/>
  <c r="AR36" i="19"/>
  <c r="AR35" i="19"/>
  <c r="AR34" i="19"/>
  <c r="AR33" i="19"/>
  <c r="V33" i="1" s="1"/>
  <c r="AR32" i="19"/>
  <c r="AR31" i="19"/>
  <c r="V31" i="1" s="1"/>
  <c r="AR30" i="19"/>
  <c r="AR28" i="19"/>
  <c r="AR25" i="19"/>
  <c r="V25" i="1" s="1"/>
  <c r="AR24" i="19"/>
  <c r="AR23" i="19"/>
  <c r="AR22" i="19"/>
  <c r="AR21" i="19"/>
  <c r="AR18" i="19"/>
  <c r="AR17" i="19"/>
  <c r="AR15" i="19"/>
  <c r="AR14" i="19"/>
  <c r="V14" i="1" s="1"/>
  <c r="AR13" i="19"/>
  <c r="V13" i="1" s="1"/>
  <c r="AR12" i="19"/>
  <c r="V12" i="1" s="1"/>
  <c r="AR11" i="19"/>
  <c r="AR10" i="19"/>
  <c r="AR9" i="19"/>
  <c r="AR7" i="19"/>
  <c r="AR6" i="19"/>
  <c r="AR5" i="19"/>
  <c r="AR4" i="19"/>
  <c r="V4" i="1" s="1"/>
  <c r="AR3" i="19"/>
  <c r="AR2" i="19"/>
  <c r="AP78" i="19"/>
  <c r="AP72" i="19"/>
  <c r="AP71" i="19"/>
  <c r="AP70" i="19"/>
  <c r="U3" i="2" s="1"/>
  <c r="AP69" i="19"/>
  <c r="U69" i="1" s="1"/>
  <c r="AP68" i="19"/>
  <c r="U68" i="1" s="1"/>
  <c r="AP67" i="19"/>
  <c r="AP65" i="19"/>
  <c r="AP64" i="19"/>
  <c r="AP62" i="19"/>
  <c r="AP61" i="19"/>
  <c r="AP60" i="19"/>
  <c r="AP59" i="19"/>
  <c r="U59" i="1" s="1"/>
  <c r="AP58" i="19"/>
  <c r="AP57" i="19"/>
  <c r="U57" i="1" s="1"/>
  <c r="AP56" i="19"/>
  <c r="AP55" i="19"/>
  <c r="AP54" i="19"/>
  <c r="AP51" i="19"/>
  <c r="AP50" i="19"/>
  <c r="U50" i="1" s="1"/>
  <c r="AP49" i="19"/>
  <c r="AP48" i="19"/>
  <c r="AP47" i="19"/>
  <c r="AP46" i="19"/>
  <c r="AP45" i="19"/>
  <c r="U45" i="1" s="1"/>
  <c r="AP44" i="19"/>
  <c r="U44" i="1" s="1"/>
  <c r="AP42" i="19"/>
  <c r="AP40" i="19"/>
  <c r="AP39" i="19"/>
  <c r="AP36" i="19"/>
  <c r="AP35" i="19"/>
  <c r="AP34" i="19"/>
  <c r="AP33" i="19"/>
  <c r="U33" i="1" s="1"/>
  <c r="AP32" i="19"/>
  <c r="AP31" i="19"/>
  <c r="U31" i="1" s="1"/>
  <c r="AP30" i="19"/>
  <c r="AP28" i="19"/>
  <c r="AP25" i="19"/>
  <c r="U25" i="1" s="1"/>
  <c r="AP24" i="19"/>
  <c r="AP23" i="19"/>
  <c r="AP22" i="19"/>
  <c r="AP21" i="19"/>
  <c r="AP18" i="19"/>
  <c r="AP17" i="19"/>
  <c r="AP15" i="19"/>
  <c r="AP14" i="19"/>
  <c r="U14" i="1" s="1"/>
  <c r="AP13" i="19"/>
  <c r="AP12" i="19"/>
  <c r="U12" i="1" s="1"/>
  <c r="U11" i="1" s="1"/>
  <c r="AP11" i="19"/>
  <c r="AP10" i="19"/>
  <c r="AP9" i="19"/>
  <c r="AP7" i="19"/>
  <c r="AP6" i="19"/>
  <c r="U6" i="1" s="1"/>
  <c r="AP5" i="19"/>
  <c r="U5" i="1" s="1"/>
  <c r="AP4" i="19"/>
  <c r="U4" i="1" s="1"/>
  <c r="U14" i="2" s="1"/>
  <c r="AP3" i="19"/>
  <c r="AP2" i="19"/>
  <c r="U2" i="1" s="1"/>
  <c r="AN78" i="19"/>
  <c r="T78" i="1" s="1"/>
  <c r="AN72" i="19"/>
  <c r="T72" i="1" s="1"/>
  <c r="AN71" i="19"/>
  <c r="AN70" i="19"/>
  <c r="T70" i="1" s="1"/>
  <c r="T3" i="2" s="1"/>
  <c r="AN69" i="19"/>
  <c r="AN68" i="19"/>
  <c r="T68" i="1" s="1"/>
  <c r="AN67" i="19"/>
  <c r="AN65" i="19"/>
  <c r="AN64" i="19"/>
  <c r="AN62" i="19"/>
  <c r="AN61" i="19"/>
  <c r="AN60" i="19"/>
  <c r="AN59" i="19"/>
  <c r="T59" i="1" s="1"/>
  <c r="AN58" i="19"/>
  <c r="AN57" i="19"/>
  <c r="T57" i="1" s="1"/>
  <c r="AN56" i="19"/>
  <c r="AN55" i="19"/>
  <c r="AN54" i="19"/>
  <c r="AN51" i="19"/>
  <c r="AN50" i="19"/>
  <c r="AN49" i="19"/>
  <c r="AN48" i="19"/>
  <c r="AN47" i="19"/>
  <c r="AN46" i="19"/>
  <c r="AN45" i="19"/>
  <c r="T45" i="1" s="1"/>
  <c r="AN44" i="19"/>
  <c r="T44" i="1" s="1"/>
  <c r="AN43" i="19"/>
  <c r="AN42" i="19"/>
  <c r="AN40" i="19"/>
  <c r="AN39" i="19"/>
  <c r="AN38" i="19"/>
  <c r="AN36" i="19"/>
  <c r="AN35" i="19"/>
  <c r="AN34" i="19"/>
  <c r="T34" i="1" s="1"/>
  <c r="AN32" i="19"/>
  <c r="AN28" i="19"/>
  <c r="AN25" i="19"/>
  <c r="T25" i="1" s="1"/>
  <c r="AN24" i="19"/>
  <c r="AN23" i="19"/>
  <c r="T23" i="1" s="1"/>
  <c r="AN22" i="19"/>
  <c r="AN21" i="19"/>
  <c r="AN18" i="19"/>
  <c r="AN17" i="19"/>
  <c r="T6" i="2" s="1"/>
  <c r="AN15" i="19"/>
  <c r="AN14" i="19"/>
  <c r="T14" i="1" s="1"/>
  <c r="AN13" i="19"/>
  <c r="AN12" i="19"/>
  <c r="T12" i="1" s="1"/>
  <c r="T11" i="1" s="1"/>
  <c r="AN11" i="19"/>
  <c r="AN10" i="19"/>
  <c r="AN9" i="19"/>
  <c r="AB9" i="1" s="1"/>
  <c r="AN7" i="19"/>
  <c r="AN6" i="19"/>
  <c r="AN5" i="19"/>
  <c r="AN4" i="19"/>
  <c r="T4" i="1" s="1"/>
  <c r="AN3" i="19"/>
  <c r="AN2" i="19"/>
  <c r="T2" i="1" s="1"/>
  <c r="AL78" i="19"/>
  <c r="S78" i="1" s="1"/>
  <c r="AL72" i="19"/>
  <c r="S72" i="1" s="1"/>
  <c r="AL71" i="19"/>
  <c r="S71" i="1" s="1"/>
  <c r="AL70" i="19"/>
  <c r="S70" i="1" s="1"/>
  <c r="AL69" i="19"/>
  <c r="S69" i="1" s="1"/>
  <c r="AL68" i="19"/>
  <c r="S68" i="1" s="1"/>
  <c r="AL67" i="19"/>
  <c r="AL65" i="19"/>
  <c r="S65" i="1" s="1"/>
  <c r="AL62" i="19"/>
  <c r="S62" i="1" s="1"/>
  <c r="AL61" i="19"/>
  <c r="S61" i="1" s="1"/>
  <c r="AL60" i="19"/>
  <c r="S60" i="1" s="1"/>
  <c r="AL59" i="19"/>
  <c r="S59" i="1" s="1"/>
  <c r="AL58" i="19"/>
  <c r="AL57" i="19"/>
  <c r="S57" i="1" s="1"/>
  <c r="AL55" i="19"/>
  <c r="S55" i="1" s="1"/>
  <c r="AL51" i="19"/>
  <c r="S51" i="1" s="1"/>
  <c r="AL50" i="19"/>
  <c r="S50" i="1" s="1"/>
  <c r="AL49" i="19"/>
  <c r="S49" i="1" s="1"/>
  <c r="AL47" i="19"/>
  <c r="S47" i="1" s="1"/>
  <c r="AL46" i="19"/>
  <c r="S46" i="1" s="1"/>
  <c r="AL45" i="19"/>
  <c r="S45" i="1" s="1"/>
  <c r="AL44" i="19"/>
  <c r="AL40" i="19"/>
  <c r="S40" i="1" s="1"/>
  <c r="AL39" i="19"/>
  <c r="S39" i="1" s="1"/>
  <c r="AL38" i="19"/>
  <c r="S38" i="1" s="1"/>
  <c r="AL36" i="19"/>
  <c r="S36" i="1" s="1"/>
  <c r="AL35" i="19"/>
  <c r="S35" i="1" s="1"/>
  <c r="AL34" i="19"/>
  <c r="S34" i="1" s="1"/>
  <c r="AL32" i="19"/>
  <c r="AL28" i="19"/>
  <c r="S28" i="1" s="1"/>
  <c r="AL25" i="19"/>
  <c r="S25" i="1" s="1"/>
  <c r="AL24" i="19"/>
  <c r="AL23" i="19"/>
  <c r="AL22" i="19"/>
  <c r="AL21" i="19"/>
  <c r="AL18" i="19"/>
  <c r="S18" i="1" s="1"/>
  <c r="AL15" i="19"/>
  <c r="AL13" i="19"/>
  <c r="AL12" i="19"/>
  <c r="S12" i="1" s="1"/>
  <c r="S11" i="1" s="1"/>
  <c r="AL11" i="19"/>
  <c r="AL10" i="19"/>
  <c r="AL9" i="19"/>
  <c r="AL7" i="19"/>
  <c r="AL6" i="19"/>
  <c r="AL5" i="19"/>
  <c r="AL4" i="19"/>
  <c r="S4" i="1" s="1"/>
  <c r="AL3" i="19"/>
  <c r="AL2" i="19"/>
  <c r="S2" i="1" s="1"/>
  <c r="AJ78" i="19"/>
  <c r="AJ72" i="19"/>
  <c r="R72" i="1" s="1"/>
  <c r="AJ71" i="19"/>
  <c r="R71" i="1" s="1"/>
  <c r="R34" i="2" s="1"/>
  <c r="AJ70" i="19"/>
  <c r="R70" i="1" s="1"/>
  <c r="AJ69" i="19"/>
  <c r="R69" i="1" s="1"/>
  <c r="R2" i="2" s="1"/>
  <c r="AJ68" i="19"/>
  <c r="R68" i="1" s="1"/>
  <c r="AJ67" i="19"/>
  <c r="AJ65" i="19"/>
  <c r="R65" i="1" s="1"/>
  <c r="AJ64" i="19"/>
  <c r="R64" i="1" s="1"/>
  <c r="AJ62" i="19"/>
  <c r="R62" i="1" s="1"/>
  <c r="AJ61" i="19"/>
  <c r="R61" i="1" s="1"/>
  <c r="AJ60" i="19"/>
  <c r="R60" i="1" s="1"/>
  <c r="AJ59" i="19"/>
  <c r="R59" i="1" s="1"/>
  <c r="AJ58" i="19"/>
  <c r="AJ57" i="19"/>
  <c r="R57" i="1" s="1"/>
  <c r="AJ56" i="19"/>
  <c r="AJ55" i="19"/>
  <c r="R55" i="1" s="1"/>
  <c r="AJ54" i="19"/>
  <c r="R54" i="1" s="1"/>
  <c r="AJ51" i="19"/>
  <c r="R51" i="1" s="1"/>
  <c r="AJ50" i="19"/>
  <c r="R50" i="1" s="1"/>
  <c r="AJ49" i="19"/>
  <c r="R49" i="1" s="1"/>
  <c r="AJ48" i="19"/>
  <c r="R48" i="1" s="1"/>
  <c r="AJ47" i="19"/>
  <c r="R47" i="1" s="1"/>
  <c r="AJ46" i="19"/>
  <c r="R46" i="1" s="1"/>
  <c r="AJ45" i="19"/>
  <c r="R45" i="1" s="1"/>
  <c r="AJ44" i="19"/>
  <c r="R44" i="1" s="1"/>
  <c r="AJ43" i="19"/>
  <c r="AJ42" i="19"/>
  <c r="R42" i="1" s="1"/>
  <c r="AJ40" i="19"/>
  <c r="R40" i="1" s="1"/>
  <c r="AJ39" i="19"/>
  <c r="R39" i="1" s="1"/>
  <c r="AJ38" i="19"/>
  <c r="R38" i="1" s="1"/>
  <c r="AJ36" i="19"/>
  <c r="R36" i="1" s="1"/>
  <c r="AJ35" i="19"/>
  <c r="R35" i="1" s="1"/>
  <c r="AJ34" i="19"/>
  <c r="R34" i="1" s="1"/>
  <c r="AJ33" i="19"/>
  <c r="R33" i="1" s="1"/>
  <c r="AJ32" i="19"/>
  <c r="AJ31" i="19"/>
  <c r="R31" i="1" s="1"/>
  <c r="AJ30" i="19"/>
  <c r="R30" i="1" s="1"/>
  <c r="AJ28" i="19"/>
  <c r="R28" i="1" s="1"/>
  <c r="AJ25" i="19"/>
  <c r="R25" i="1" s="1"/>
  <c r="AJ24" i="19"/>
  <c r="AJ23" i="19"/>
  <c r="AJ22" i="19"/>
  <c r="R22" i="1" s="1"/>
  <c r="AJ21" i="19"/>
  <c r="R21" i="1" s="1"/>
  <c r="AJ18" i="19"/>
  <c r="R18" i="1" s="1"/>
  <c r="AJ17" i="19"/>
  <c r="AJ15" i="19"/>
  <c r="R15" i="1" s="1"/>
  <c r="AJ14" i="19"/>
  <c r="R14" i="1" s="1"/>
  <c r="AJ13" i="19"/>
  <c r="AJ12" i="19"/>
  <c r="R12" i="1" s="1"/>
  <c r="AJ11" i="19"/>
  <c r="AJ10" i="19"/>
  <c r="AJ9" i="19"/>
  <c r="AJ7" i="19"/>
  <c r="R7" i="1" s="1"/>
  <c r="AJ6" i="19"/>
  <c r="R6" i="1" s="1"/>
  <c r="AJ5" i="19"/>
  <c r="R5" i="1" s="1"/>
  <c r="R4" i="1"/>
  <c r="AJ3" i="19"/>
  <c r="AJ2" i="19"/>
  <c r="R2" i="1" s="1"/>
  <c r="AH78" i="19"/>
  <c r="Q78" i="1" s="1"/>
  <c r="AH72" i="19"/>
  <c r="Q72" i="1" s="1"/>
  <c r="AH71" i="19"/>
  <c r="Q71" i="1" s="1"/>
  <c r="AH70" i="19"/>
  <c r="Q70" i="1" s="1"/>
  <c r="AH69" i="19"/>
  <c r="Q69" i="1" s="1"/>
  <c r="AH68" i="19"/>
  <c r="Q68" i="1" s="1"/>
  <c r="AH67" i="19"/>
  <c r="AH65" i="19"/>
  <c r="Q65" i="1" s="1"/>
  <c r="AH64" i="19"/>
  <c r="Q64" i="1" s="1"/>
  <c r="AH62" i="19"/>
  <c r="Q62" i="1" s="1"/>
  <c r="AH61" i="19"/>
  <c r="Q61" i="1" s="1"/>
  <c r="AH60" i="19"/>
  <c r="Q60" i="1" s="1"/>
  <c r="AH59" i="19"/>
  <c r="Q59" i="1" s="1"/>
  <c r="AH58" i="19"/>
  <c r="AH57" i="19"/>
  <c r="Q57" i="1" s="1"/>
  <c r="AH56" i="19"/>
  <c r="AH55" i="19"/>
  <c r="Q55" i="1" s="1"/>
  <c r="AH54" i="19"/>
  <c r="Q54" i="1" s="1"/>
  <c r="AH51" i="19"/>
  <c r="Q51" i="1" s="1"/>
  <c r="AH50" i="19"/>
  <c r="Q50" i="1" s="1"/>
  <c r="AH49" i="19"/>
  <c r="Q49" i="1" s="1"/>
  <c r="AH48" i="19"/>
  <c r="Q48" i="1" s="1"/>
  <c r="AH47" i="19"/>
  <c r="Q47" i="1" s="1"/>
  <c r="AH46" i="19"/>
  <c r="Q46" i="1" s="1"/>
  <c r="AH45" i="19"/>
  <c r="Q45" i="1" s="1"/>
  <c r="AH44" i="19"/>
  <c r="Q44" i="1" s="1"/>
  <c r="AH43" i="19"/>
  <c r="Q43" i="1" s="1"/>
  <c r="AH42" i="19"/>
  <c r="Q42" i="1" s="1"/>
  <c r="AH40" i="19"/>
  <c r="Q40" i="1" s="1"/>
  <c r="AH39" i="19"/>
  <c r="Q39" i="1" s="1"/>
  <c r="AH38" i="19"/>
  <c r="Q38" i="1" s="1"/>
  <c r="AH36" i="19"/>
  <c r="Q36" i="1" s="1"/>
  <c r="AH35" i="19"/>
  <c r="Q35" i="1" s="1"/>
  <c r="AH34" i="19"/>
  <c r="Q34" i="1" s="1"/>
  <c r="AH33" i="19"/>
  <c r="AH32" i="19"/>
  <c r="AH31" i="19"/>
  <c r="Q31" i="1" s="1"/>
  <c r="AH30" i="19"/>
  <c r="Q30" i="1" s="1"/>
  <c r="AH28" i="19"/>
  <c r="Q28" i="1" s="1"/>
  <c r="AH25" i="19"/>
  <c r="Q25" i="1" s="1"/>
  <c r="AH24" i="19"/>
  <c r="AH23" i="19"/>
  <c r="AH22" i="19"/>
  <c r="Q22" i="1" s="1"/>
  <c r="AH21" i="19"/>
  <c r="Q21" i="1" s="1"/>
  <c r="AH18" i="19"/>
  <c r="Q18" i="1" s="1"/>
  <c r="AH17" i="19"/>
  <c r="Q17" i="1" s="1"/>
  <c r="AH15" i="19"/>
  <c r="Q15" i="1" s="1"/>
  <c r="AH14" i="19"/>
  <c r="AH13" i="19"/>
  <c r="Q13" i="1" s="1"/>
  <c r="AH12" i="19"/>
  <c r="Q12" i="1" s="1"/>
  <c r="AH11" i="19"/>
  <c r="AH10" i="19"/>
  <c r="AH9" i="19"/>
  <c r="AH7" i="19"/>
  <c r="Q7" i="1" s="1"/>
  <c r="AH6" i="19"/>
  <c r="Q6" i="1" s="1"/>
  <c r="AH5" i="19"/>
  <c r="Q5" i="1" s="1"/>
  <c r="AH4" i="19"/>
  <c r="Q4" i="1" s="1"/>
  <c r="AF78" i="19"/>
  <c r="P78" i="1" s="1"/>
  <c r="AF72" i="19"/>
  <c r="P72" i="1" s="1"/>
  <c r="AF71" i="19"/>
  <c r="AF70" i="19"/>
  <c r="AF69" i="19"/>
  <c r="AF68" i="19"/>
  <c r="AF67" i="19"/>
  <c r="AF65" i="19"/>
  <c r="P65" i="1" s="1"/>
  <c r="AF64" i="19"/>
  <c r="P64" i="1" s="1"/>
  <c r="AF62" i="19"/>
  <c r="AF61" i="19"/>
  <c r="AF60" i="19"/>
  <c r="AF59" i="19"/>
  <c r="AF58" i="19"/>
  <c r="AF57" i="19"/>
  <c r="P57" i="1" s="1"/>
  <c r="AF56" i="19"/>
  <c r="AF55" i="19"/>
  <c r="P55" i="1" s="1"/>
  <c r="AF54" i="19"/>
  <c r="AF51" i="19"/>
  <c r="AF50" i="19"/>
  <c r="AF49" i="19"/>
  <c r="P49" i="1" s="1"/>
  <c r="AF48" i="19"/>
  <c r="AF47" i="19"/>
  <c r="AF46" i="19"/>
  <c r="P46" i="1" s="1"/>
  <c r="AF45" i="19"/>
  <c r="AF43" i="19"/>
  <c r="P43" i="1" s="1"/>
  <c r="AF42" i="19"/>
  <c r="AF40" i="19"/>
  <c r="AF39" i="19"/>
  <c r="AF38" i="19"/>
  <c r="AF36" i="19"/>
  <c r="P36" i="1" s="1"/>
  <c r="AF35" i="19"/>
  <c r="AF34" i="19"/>
  <c r="AF33" i="19"/>
  <c r="AF32" i="19"/>
  <c r="AF31" i="19"/>
  <c r="P31" i="1" s="1"/>
  <c r="AF30" i="19"/>
  <c r="AF28" i="19"/>
  <c r="AF25" i="19"/>
  <c r="P25" i="1" s="1"/>
  <c r="P24" i="1" s="1"/>
  <c r="AF24" i="19"/>
  <c r="AF23" i="19"/>
  <c r="AF22" i="19"/>
  <c r="AF21" i="19"/>
  <c r="P21" i="1" s="1"/>
  <c r="AF18" i="19"/>
  <c r="P18" i="1" s="1"/>
  <c r="AF17" i="19"/>
  <c r="P17" i="1" s="1"/>
  <c r="AF15" i="19"/>
  <c r="AF14" i="19"/>
  <c r="P14" i="1" s="1"/>
  <c r="AF13" i="19"/>
  <c r="AF12" i="19"/>
  <c r="AF11" i="19"/>
  <c r="AF10" i="19"/>
  <c r="AF9" i="19"/>
  <c r="AF7" i="19"/>
  <c r="AF6" i="19"/>
  <c r="AF5" i="19"/>
  <c r="AF4" i="19"/>
  <c r="AF3" i="19"/>
  <c r="AF2" i="19"/>
  <c r="P2" i="1" s="1"/>
  <c r="O78" i="1"/>
  <c r="O13" i="1" s="1"/>
  <c r="O72" i="1"/>
  <c r="O25" i="1"/>
  <c r="O24" i="1" s="1"/>
  <c r="O2" i="1"/>
  <c r="Z78" i="19"/>
  <c r="M78" i="1" s="1"/>
  <c r="Z72" i="19"/>
  <c r="M72" i="1" s="1"/>
  <c r="Z71" i="19"/>
  <c r="Z70" i="19"/>
  <c r="Z69" i="19"/>
  <c r="Z68" i="19"/>
  <c r="Z67" i="19"/>
  <c r="Z65" i="19"/>
  <c r="Z64" i="19"/>
  <c r="Z62" i="19"/>
  <c r="Z61" i="19"/>
  <c r="Z60" i="19"/>
  <c r="Z59" i="19"/>
  <c r="Z58" i="19"/>
  <c r="Z57" i="19"/>
  <c r="Z56" i="19"/>
  <c r="Z55" i="19"/>
  <c r="Z54" i="19"/>
  <c r="Z51" i="19"/>
  <c r="Z50" i="19"/>
  <c r="Z49" i="19"/>
  <c r="Z48" i="19"/>
  <c r="Z47" i="19"/>
  <c r="Z46" i="19"/>
  <c r="Z45" i="19"/>
  <c r="Z44" i="19"/>
  <c r="Z43" i="19"/>
  <c r="Z42" i="19"/>
  <c r="Z40" i="19"/>
  <c r="Z39" i="19"/>
  <c r="Z38" i="19"/>
  <c r="Z36" i="19"/>
  <c r="Z35" i="19"/>
  <c r="M35" i="1" s="1"/>
  <c r="Z34" i="19"/>
  <c r="M34" i="1" s="1"/>
  <c r="Z33" i="19"/>
  <c r="Z32" i="19"/>
  <c r="Z31" i="19"/>
  <c r="Z30" i="19"/>
  <c r="Z28" i="19"/>
  <c r="Z25" i="19"/>
  <c r="M25" i="1" s="1"/>
  <c r="Z24" i="19"/>
  <c r="Z23" i="19"/>
  <c r="Z22" i="19"/>
  <c r="Z21" i="19"/>
  <c r="Z18" i="19"/>
  <c r="Z17" i="19"/>
  <c r="Z15" i="19"/>
  <c r="M15" i="1" s="1"/>
  <c r="Z14" i="19"/>
  <c r="Z13" i="19"/>
  <c r="Z12" i="19"/>
  <c r="M12" i="1" s="1"/>
  <c r="Z11" i="19"/>
  <c r="Z10" i="19"/>
  <c r="Z9" i="19"/>
  <c r="N5" i="2" s="1"/>
  <c r="Z5" i="19"/>
  <c r="Z4" i="19"/>
  <c r="Z2" i="19"/>
  <c r="X78" i="19"/>
  <c r="L78" i="1" s="1"/>
  <c r="X72" i="19"/>
  <c r="L72" i="1" s="1"/>
  <c r="X71" i="19"/>
  <c r="X70" i="19"/>
  <c r="X69" i="19"/>
  <c r="X68" i="19"/>
  <c r="L68" i="1" s="1"/>
  <c r="X67" i="19"/>
  <c r="X65" i="19"/>
  <c r="X64" i="19"/>
  <c r="L64" i="1" s="1"/>
  <c r="X62" i="19"/>
  <c r="X61" i="19"/>
  <c r="X60" i="19"/>
  <c r="X59" i="19"/>
  <c r="L59" i="1" s="1"/>
  <c r="X58" i="19"/>
  <c r="X57" i="19"/>
  <c r="X56" i="19"/>
  <c r="X55" i="19"/>
  <c r="X54" i="19"/>
  <c r="L54" i="1" s="1"/>
  <c r="X51" i="19"/>
  <c r="X50" i="19"/>
  <c r="X49" i="19"/>
  <c r="X48" i="19"/>
  <c r="X47" i="19"/>
  <c r="X46" i="19"/>
  <c r="X45" i="19"/>
  <c r="L45" i="1" s="1"/>
  <c r="X43" i="19"/>
  <c r="L43" i="1" s="1"/>
  <c r="X42" i="19"/>
  <c r="L42" i="1" s="1"/>
  <c r="X40" i="19"/>
  <c r="X39" i="19"/>
  <c r="X38" i="19"/>
  <c r="L38" i="1" s="1"/>
  <c r="X36" i="19"/>
  <c r="X35" i="19"/>
  <c r="X34" i="19"/>
  <c r="X33" i="19"/>
  <c r="L33" i="1" s="1"/>
  <c r="X32" i="19"/>
  <c r="X31" i="19"/>
  <c r="X28" i="19"/>
  <c r="X25" i="19"/>
  <c r="L25" i="1" s="1"/>
  <c r="L24" i="1" s="1"/>
  <c r="X22" i="19"/>
  <c r="X21" i="19"/>
  <c r="L21" i="1" s="1"/>
  <c r="X18" i="19"/>
  <c r="X17" i="19"/>
  <c r="X15" i="19"/>
  <c r="X14" i="19"/>
  <c r="L14" i="1" s="1"/>
  <c r="X13" i="19"/>
  <c r="X12" i="19"/>
  <c r="L12" i="1" s="1"/>
  <c r="X11" i="19"/>
  <c r="X10" i="19"/>
  <c r="L10" i="1" s="1"/>
  <c r="X7" i="19"/>
  <c r="X6" i="19"/>
  <c r="X5" i="19"/>
  <c r="X4" i="19"/>
  <c r="X3" i="19"/>
  <c r="X2" i="19"/>
  <c r="V72" i="19"/>
  <c r="K72" i="1" s="1"/>
  <c r="V71" i="19"/>
  <c r="V70" i="19"/>
  <c r="V69" i="19"/>
  <c r="V68" i="19"/>
  <c r="V67" i="19"/>
  <c r="V65" i="19"/>
  <c r="V64" i="19"/>
  <c r="V62" i="19"/>
  <c r="V61" i="19"/>
  <c r="V60" i="19"/>
  <c r="V59" i="19"/>
  <c r="K59" i="1" s="1"/>
  <c r="V58" i="19"/>
  <c r="V57" i="19"/>
  <c r="V55" i="19"/>
  <c r="V54" i="19"/>
  <c r="K54" i="1" s="1"/>
  <c r="V51" i="19"/>
  <c r="K51" i="1" s="1"/>
  <c r="V50" i="19"/>
  <c r="K50" i="1" s="1"/>
  <c r="V49" i="19"/>
  <c r="V48" i="19"/>
  <c r="K48" i="1" s="1"/>
  <c r="V47" i="19"/>
  <c r="K47" i="1" s="1"/>
  <c r="V46" i="19"/>
  <c r="K46" i="1" s="1"/>
  <c r="V45" i="19"/>
  <c r="V43" i="19"/>
  <c r="V42" i="19"/>
  <c r="K42" i="1" s="1"/>
  <c r="V40" i="19"/>
  <c r="V39" i="19"/>
  <c r="V38" i="19"/>
  <c r="K38" i="1" s="1"/>
  <c r="V36" i="19"/>
  <c r="V35" i="19"/>
  <c r="V34" i="19"/>
  <c r="V33" i="19"/>
  <c r="V32" i="19"/>
  <c r="V31" i="19"/>
  <c r="V30" i="19"/>
  <c r="V28" i="19"/>
  <c r="V25" i="19"/>
  <c r="K25" i="1" s="1"/>
  <c r="V24" i="19"/>
  <c r="V23" i="19"/>
  <c r="V22" i="19"/>
  <c r="K22" i="1" s="1"/>
  <c r="V21" i="19"/>
  <c r="V18" i="19"/>
  <c r="V17" i="19"/>
  <c r="V15" i="19"/>
  <c r="V14" i="19"/>
  <c r="K14" i="1" s="1"/>
  <c r="V12" i="19"/>
  <c r="V11" i="19"/>
  <c r="V10" i="19"/>
  <c r="V9" i="19"/>
  <c r="V7" i="19"/>
  <c r="V6" i="19"/>
  <c r="V5" i="19"/>
  <c r="V4" i="19"/>
  <c r="V3" i="19"/>
  <c r="V2" i="19"/>
  <c r="T72" i="19"/>
  <c r="J72" i="1" s="1"/>
  <c r="T71" i="19"/>
  <c r="T70" i="19"/>
  <c r="T69" i="19"/>
  <c r="T68" i="19"/>
  <c r="J68" i="1" s="1"/>
  <c r="T67" i="19"/>
  <c r="T65" i="19"/>
  <c r="T64" i="19"/>
  <c r="T62" i="19"/>
  <c r="J62" i="1" s="1"/>
  <c r="T61" i="19"/>
  <c r="J61" i="1" s="1"/>
  <c r="T60" i="19"/>
  <c r="J60" i="1" s="1"/>
  <c r="T59" i="19"/>
  <c r="T58" i="19"/>
  <c r="T57" i="19"/>
  <c r="J57" i="1" s="1"/>
  <c r="T56" i="19"/>
  <c r="T55" i="19"/>
  <c r="J55" i="1" s="1"/>
  <c r="T54" i="19"/>
  <c r="J54" i="1" s="1"/>
  <c r="T51" i="19"/>
  <c r="J51" i="1" s="1"/>
  <c r="T50" i="19"/>
  <c r="T49" i="19"/>
  <c r="T48" i="19"/>
  <c r="T47" i="19"/>
  <c r="J47" i="1" s="1"/>
  <c r="T46" i="19"/>
  <c r="T45" i="19"/>
  <c r="T44" i="19"/>
  <c r="T43" i="19"/>
  <c r="T40" i="19"/>
  <c r="J40" i="1" s="1"/>
  <c r="T39" i="19"/>
  <c r="T38" i="19"/>
  <c r="T36" i="19"/>
  <c r="T35" i="19"/>
  <c r="T34" i="19"/>
  <c r="T33" i="19"/>
  <c r="T32" i="19"/>
  <c r="T31" i="19"/>
  <c r="T30" i="19"/>
  <c r="T28" i="19"/>
  <c r="T25" i="19"/>
  <c r="J25" i="1" s="1"/>
  <c r="T24" i="19"/>
  <c r="T23" i="19"/>
  <c r="T22" i="19"/>
  <c r="T21" i="19"/>
  <c r="T18" i="19"/>
  <c r="T15" i="19"/>
  <c r="T14" i="19"/>
  <c r="T13" i="19"/>
  <c r="T12" i="19"/>
  <c r="T11" i="19"/>
  <c r="T10" i="19"/>
  <c r="T9" i="19"/>
  <c r="T7" i="19"/>
  <c r="T6" i="19"/>
  <c r="T5" i="19"/>
  <c r="T4" i="19"/>
  <c r="T3" i="19"/>
  <c r="T2" i="19"/>
  <c r="I72" i="1"/>
  <c r="I23" i="1" s="1"/>
  <c r="I62" i="1"/>
  <c r="I61" i="1"/>
  <c r="I60" i="1"/>
  <c r="I51" i="1"/>
  <c r="I40" i="1"/>
  <c r="P78" i="19"/>
  <c r="H78" i="1" s="1"/>
  <c r="P72" i="19"/>
  <c r="H72" i="1" s="1"/>
  <c r="P71" i="19"/>
  <c r="H71" i="1" s="1"/>
  <c r="P70" i="19"/>
  <c r="H70" i="1" s="1"/>
  <c r="P69" i="19"/>
  <c r="H69" i="1" s="1"/>
  <c r="P68" i="19"/>
  <c r="H68" i="1" s="1"/>
  <c r="P67" i="19"/>
  <c r="P65" i="19"/>
  <c r="P64" i="19"/>
  <c r="H64" i="1" s="1"/>
  <c r="P62" i="19"/>
  <c r="P61" i="19"/>
  <c r="P60" i="19"/>
  <c r="H60" i="1" s="1"/>
  <c r="P59" i="19"/>
  <c r="H59" i="1" s="1"/>
  <c r="P58" i="19"/>
  <c r="P57" i="19"/>
  <c r="H57" i="1" s="1"/>
  <c r="P56" i="19"/>
  <c r="P55" i="19"/>
  <c r="H55" i="1" s="1"/>
  <c r="P54" i="19"/>
  <c r="H54" i="1" s="1"/>
  <c r="P51" i="19"/>
  <c r="H51" i="1" s="1"/>
  <c r="H50" i="1"/>
  <c r="P49" i="19"/>
  <c r="H49" i="1" s="1"/>
  <c r="P48" i="19"/>
  <c r="H48" i="1" s="1"/>
  <c r="P47" i="19"/>
  <c r="P46" i="19"/>
  <c r="H46" i="1" s="1"/>
  <c r="P45" i="19"/>
  <c r="H45" i="1" s="1"/>
  <c r="P44" i="19"/>
  <c r="H44" i="1" s="1"/>
  <c r="P43" i="19"/>
  <c r="H43" i="1" s="1"/>
  <c r="P40" i="19"/>
  <c r="H40" i="1" s="1"/>
  <c r="P39" i="19"/>
  <c r="H39" i="1" s="1"/>
  <c r="P38" i="19"/>
  <c r="H38" i="1" s="1"/>
  <c r="P36" i="19"/>
  <c r="H36" i="1" s="1"/>
  <c r="P35" i="19"/>
  <c r="H35" i="1" s="1"/>
  <c r="P34" i="19"/>
  <c r="H34" i="1" s="1"/>
  <c r="P33" i="19"/>
  <c r="H33" i="1" s="1"/>
  <c r="P32" i="19"/>
  <c r="P31" i="19"/>
  <c r="H31" i="1" s="1"/>
  <c r="P30" i="19"/>
  <c r="H30" i="1" s="1"/>
  <c r="P25" i="19"/>
  <c r="H25" i="1" s="1"/>
  <c r="P24" i="19"/>
  <c r="P23" i="19"/>
  <c r="P22" i="19"/>
  <c r="H22" i="1" s="1"/>
  <c r="P21" i="19"/>
  <c r="H21" i="1" s="1"/>
  <c r="P17" i="19"/>
  <c r="P15" i="19"/>
  <c r="H15" i="1" s="1"/>
  <c r="P13" i="19"/>
  <c r="P12" i="19"/>
  <c r="H12" i="1" s="1"/>
  <c r="P11" i="19"/>
  <c r="P10" i="19"/>
  <c r="H10" i="1" s="1"/>
  <c r="P9" i="19"/>
  <c r="H9" i="1" s="1"/>
  <c r="P7" i="19"/>
  <c r="H7" i="1" s="1"/>
  <c r="P6" i="19"/>
  <c r="H6" i="1" s="1"/>
  <c r="P5" i="19"/>
  <c r="H5" i="1" s="1"/>
  <c r="P4" i="19"/>
  <c r="H4" i="1" s="1"/>
  <c r="P2" i="19"/>
  <c r="N78" i="19"/>
  <c r="G78" i="1" s="1"/>
  <c r="N72" i="19"/>
  <c r="G72" i="1" s="1"/>
  <c r="N70" i="19"/>
  <c r="N69" i="19"/>
  <c r="G69" i="1" s="1"/>
  <c r="N68" i="19"/>
  <c r="G68" i="1" s="1"/>
  <c r="N67" i="19"/>
  <c r="N65" i="19"/>
  <c r="N64" i="19"/>
  <c r="N62" i="19"/>
  <c r="G62" i="1" s="1"/>
  <c r="N61" i="19"/>
  <c r="G61" i="1" s="1"/>
  <c r="N60" i="19"/>
  <c r="G60" i="1" s="1"/>
  <c r="N59" i="19"/>
  <c r="G59" i="1" s="1"/>
  <c r="N58" i="19"/>
  <c r="N57" i="19"/>
  <c r="N56" i="19"/>
  <c r="N55" i="19"/>
  <c r="N54" i="19"/>
  <c r="G54" i="1" s="1"/>
  <c r="N51" i="19"/>
  <c r="G51" i="1" s="1"/>
  <c r="G50" i="1"/>
  <c r="N49" i="19"/>
  <c r="N48" i="19"/>
  <c r="G48" i="1" s="1"/>
  <c r="N47" i="19"/>
  <c r="N46" i="19"/>
  <c r="G46" i="1" s="1"/>
  <c r="N45" i="19"/>
  <c r="G45" i="1" s="1"/>
  <c r="N44" i="19"/>
  <c r="G44" i="1" s="1"/>
  <c r="N43" i="19"/>
  <c r="G43" i="1" s="1"/>
  <c r="N42" i="19"/>
  <c r="G42" i="1" s="1"/>
  <c r="N40" i="19"/>
  <c r="G40" i="1" s="1"/>
  <c r="N38" i="19"/>
  <c r="G38" i="1" s="1"/>
  <c r="N36" i="19"/>
  <c r="N35" i="19"/>
  <c r="G35" i="1" s="1"/>
  <c r="N34" i="19"/>
  <c r="G34" i="1" s="1"/>
  <c r="N33" i="19"/>
  <c r="N32" i="19"/>
  <c r="N31" i="19"/>
  <c r="G31" i="1" s="1"/>
  <c r="N30" i="19"/>
  <c r="G30" i="1" s="1"/>
  <c r="N25" i="19"/>
  <c r="G25" i="1" s="1"/>
  <c r="N24" i="19"/>
  <c r="N23" i="19"/>
  <c r="N22" i="19"/>
  <c r="G22" i="1" s="1"/>
  <c r="N21" i="19"/>
  <c r="N15" i="19"/>
  <c r="G15" i="1" s="1"/>
  <c r="N13" i="19"/>
  <c r="N12" i="19"/>
  <c r="G12" i="1" s="1"/>
  <c r="G11" i="1" s="1"/>
  <c r="N11" i="19"/>
  <c r="N10" i="19"/>
  <c r="G10" i="1" s="1"/>
  <c r="N9" i="19"/>
  <c r="G9" i="1" s="1"/>
  <c r="N7" i="19"/>
  <c r="G7" i="1" s="1"/>
  <c r="N6" i="19"/>
  <c r="G6" i="1" s="1"/>
  <c r="N5" i="19"/>
  <c r="G5" i="1" s="1"/>
  <c r="N4" i="19"/>
  <c r="G4" i="1" s="1"/>
  <c r="N3" i="19"/>
  <c r="N2" i="19"/>
  <c r="G2" i="1" s="1"/>
  <c r="AD100" i="1" l="1"/>
  <c r="AA49" i="1"/>
  <c r="AD99" i="1"/>
  <c r="AA48" i="1"/>
  <c r="AD98" i="1"/>
  <c r="AA46" i="1"/>
  <c r="AA67" i="1" s="1"/>
  <c r="AD96" i="1"/>
  <c r="AA36" i="1"/>
  <c r="AC94" i="1"/>
  <c r="AA35" i="1"/>
  <c r="AC92" i="1"/>
  <c r="Z34" i="1"/>
  <c r="AA34" i="1"/>
  <c r="AC93" i="1"/>
  <c r="AA15" i="1"/>
  <c r="AA91" i="1"/>
  <c r="AB100" i="1"/>
  <c r="Z98" i="1"/>
  <c r="AB98" i="1"/>
  <c r="Z97" i="1"/>
  <c r="AB97" i="1"/>
  <c r="Z96" i="1"/>
  <c r="AB96" i="1"/>
  <c r="Z35" i="1"/>
  <c r="Z91" i="1"/>
  <c r="Y58" i="1"/>
  <c r="Y99" i="1" s="1"/>
  <c r="X50" i="1"/>
  <c r="X49" i="1"/>
  <c r="X48" i="1"/>
  <c r="X98" i="1"/>
  <c r="X47" i="1"/>
  <c r="X97" i="1"/>
  <c r="X36" i="1"/>
  <c r="X35" i="1"/>
  <c r="X13" i="1"/>
  <c r="X15" i="1"/>
  <c r="X91" i="1"/>
  <c r="W48" i="1"/>
  <c r="W47" i="1"/>
  <c r="W46" i="1"/>
  <c r="W67" i="1" s="1"/>
  <c r="W36" i="1"/>
  <c r="W35" i="1"/>
  <c r="W34" i="1"/>
  <c r="W93" i="1"/>
  <c r="W15" i="1"/>
  <c r="W91" i="1"/>
  <c r="U98" i="1"/>
  <c r="V98" i="1"/>
  <c r="U97" i="1"/>
  <c r="V97" i="1"/>
  <c r="U96" i="1"/>
  <c r="U94" i="1"/>
  <c r="V94" i="1"/>
  <c r="U92" i="1"/>
  <c r="V34" i="1"/>
  <c r="V93" i="1"/>
  <c r="U34" i="1"/>
  <c r="U93" i="1"/>
  <c r="V91" i="1"/>
  <c r="U91" i="1"/>
  <c r="T8" i="2"/>
  <c r="T5" i="2"/>
  <c r="U5" i="2"/>
  <c r="T13" i="2"/>
  <c r="U13" i="2"/>
  <c r="S13" i="1"/>
  <c r="S6" i="2"/>
  <c r="W11" i="1"/>
  <c r="H11" i="1"/>
  <c r="H24" i="1"/>
  <c r="S23" i="1"/>
  <c r="S7" i="2" s="1"/>
  <c r="H56" i="1"/>
  <c r="W23" i="1"/>
  <c r="R58" i="1"/>
  <c r="H67" i="1"/>
  <c r="Z56" i="1"/>
  <c r="AA24" i="1"/>
  <c r="AA11" i="1"/>
  <c r="AA5" i="2" s="1"/>
  <c r="AA56" i="1"/>
  <c r="AA58" i="1"/>
  <c r="Z23" i="1"/>
  <c r="Z58" i="1"/>
  <c r="Z99" i="1" s="1"/>
  <c r="Z71" i="1"/>
  <c r="Z34" i="2" s="1"/>
  <c r="Y56" i="1"/>
  <c r="Z11" i="1"/>
  <c r="Z5" i="2" s="1"/>
  <c r="Z6" i="2"/>
  <c r="Z70" i="1"/>
  <c r="Z3" i="2" s="1"/>
  <c r="Z24" i="2" s="1"/>
  <c r="Y24" i="1"/>
  <c r="Z24" i="1"/>
  <c r="Z13" i="1"/>
  <c r="X24" i="1"/>
  <c r="Y11" i="1"/>
  <c r="Y5" i="2" s="1"/>
  <c r="Y23" i="1"/>
  <c r="Y70" i="1"/>
  <c r="Y3" i="2" s="1"/>
  <c r="Y24" i="2" s="1"/>
  <c r="X58" i="1"/>
  <c r="Y13" i="1"/>
  <c r="W58" i="1"/>
  <c r="W99" i="1" s="1"/>
  <c r="X71" i="1"/>
  <c r="X14" i="2" s="1"/>
  <c r="X22" i="2" s="1"/>
  <c r="X11" i="1"/>
  <c r="X5" i="2" s="1"/>
  <c r="X23" i="1"/>
  <c r="X56" i="1"/>
  <c r="W56" i="1"/>
  <c r="W69" i="1"/>
  <c r="W2" i="2" s="1"/>
  <c r="W13" i="1"/>
  <c r="W70" i="1"/>
  <c r="W3" i="2" s="1"/>
  <c r="W24" i="2" s="1"/>
  <c r="W24" i="1"/>
  <c r="W71" i="1"/>
  <c r="W34" i="2" s="1"/>
  <c r="V11" i="1"/>
  <c r="V5" i="2" s="1"/>
  <c r="U24" i="1"/>
  <c r="V23" i="1"/>
  <c r="V34" i="2"/>
  <c r="V24" i="1"/>
  <c r="V58" i="1"/>
  <c r="V99" i="1" s="1"/>
  <c r="V56" i="1"/>
  <c r="V2" i="2"/>
  <c r="U23" i="1"/>
  <c r="U67" i="1"/>
  <c r="U58" i="1"/>
  <c r="U56" i="1"/>
  <c r="T58" i="1"/>
  <c r="T71" i="1"/>
  <c r="T14" i="2" s="1"/>
  <c r="T24" i="1"/>
  <c r="T7" i="2" s="1"/>
  <c r="T56" i="1"/>
  <c r="T69" i="1"/>
  <c r="T2" i="2" s="1"/>
  <c r="S67" i="1"/>
  <c r="T67" i="1"/>
  <c r="T12" i="2" s="1"/>
  <c r="S24" i="1"/>
  <c r="S58" i="1"/>
  <c r="S56" i="1"/>
  <c r="R11" i="1"/>
  <c r="R56" i="1"/>
  <c r="R24" i="1"/>
  <c r="R67" i="1"/>
  <c r="P67" i="1"/>
  <c r="AD13" i="2"/>
  <c r="P28" i="1"/>
  <c r="AC8" i="2"/>
  <c r="AC15" i="2" s="1"/>
  <c r="AC17" i="2" s="1"/>
  <c r="AC20" i="2" s="1"/>
  <c r="P33" i="1"/>
  <c r="P58" i="1"/>
  <c r="P13" i="1"/>
  <c r="H23" i="1"/>
  <c r="H13" i="1"/>
  <c r="H65" i="1"/>
  <c r="H58" i="1" s="1"/>
  <c r="N6" i="2"/>
  <c r="H17" i="1"/>
  <c r="R23" i="1"/>
  <c r="Q33" i="2"/>
  <c r="Q24" i="1"/>
  <c r="Q58" i="1"/>
  <c r="AA18" i="1"/>
  <c r="AA6" i="2" s="1"/>
  <c r="AA71" i="1"/>
  <c r="AA14" i="2" s="1"/>
  <c r="AA22" i="2" s="1"/>
  <c r="Z4" i="1"/>
  <c r="Z3" i="1" s="1"/>
  <c r="Z4" i="2" s="1"/>
  <c r="Y71" i="1"/>
  <c r="Y34" i="2" s="1"/>
  <c r="Q67" i="1"/>
  <c r="Q56" i="1"/>
  <c r="AE8" i="2"/>
  <c r="AE15" i="2" s="1"/>
  <c r="AE17" i="2" s="1"/>
  <c r="AE20" i="2" s="1"/>
  <c r="Q33" i="1"/>
  <c r="Q23" i="1"/>
  <c r="AB8" i="2"/>
  <c r="Q14" i="1"/>
  <c r="Q11" i="1"/>
  <c r="AD5" i="2"/>
  <c r="AD3" i="2"/>
  <c r="AD24" i="2" s="1"/>
  <c r="P70" i="1"/>
  <c r="P24" i="2" s="1"/>
  <c r="AD9" i="2"/>
  <c r="AD7" i="2"/>
  <c r="AD8" i="2"/>
  <c r="AD6" i="2"/>
  <c r="AB5" i="2"/>
  <c r="M70" i="1"/>
  <c r="M3" i="2" s="1"/>
  <c r="X3" i="2"/>
  <c r="X24" i="2" s="1"/>
  <c r="M65" i="1"/>
  <c r="M64" i="1"/>
  <c r="M57" i="1"/>
  <c r="M55" i="1"/>
  <c r="M49" i="1"/>
  <c r="M44" i="1"/>
  <c r="M36" i="1"/>
  <c r="M33" i="1"/>
  <c r="M31" i="1"/>
  <c r="M30" i="1"/>
  <c r="M28" i="1"/>
  <c r="M24" i="1"/>
  <c r="M17" i="1"/>
  <c r="X6" i="2"/>
  <c r="M14" i="1"/>
  <c r="M11" i="1"/>
  <c r="L70" i="1"/>
  <c r="L3" i="2" s="1"/>
  <c r="V3" i="2"/>
  <c r="V24" i="2" s="1"/>
  <c r="L57" i="1"/>
  <c r="L55" i="1"/>
  <c r="L65" i="1"/>
  <c r="L49" i="1"/>
  <c r="L36" i="1"/>
  <c r="L31" i="1"/>
  <c r="L28" i="1"/>
  <c r="L18" i="1"/>
  <c r="L13" i="1" s="1"/>
  <c r="L17" i="1"/>
  <c r="K70" i="1"/>
  <c r="T24" i="2"/>
  <c r="K67" i="1"/>
  <c r="K65" i="1"/>
  <c r="K64" i="1"/>
  <c r="K57" i="1"/>
  <c r="K55" i="1"/>
  <c r="K49" i="1"/>
  <c r="K43" i="1"/>
  <c r="K36" i="1"/>
  <c r="K33" i="1"/>
  <c r="K31" i="1"/>
  <c r="K30" i="1"/>
  <c r="K28" i="1"/>
  <c r="K23" i="1" s="1"/>
  <c r="K24" i="1"/>
  <c r="K21" i="1"/>
  <c r="K18" i="1"/>
  <c r="K17" i="1"/>
  <c r="K10" i="1"/>
  <c r="K9" i="1"/>
  <c r="R24" i="2"/>
  <c r="J70" i="1"/>
  <c r="J67" i="1"/>
  <c r="J65" i="1"/>
  <c r="J64" i="1"/>
  <c r="J49" i="1"/>
  <c r="J44" i="1"/>
  <c r="J43" i="1"/>
  <c r="J36" i="1"/>
  <c r="J33" i="1"/>
  <c r="J31" i="1"/>
  <c r="J30" i="1"/>
  <c r="J28" i="1"/>
  <c r="J24" i="1"/>
  <c r="J21" i="1"/>
  <c r="J18" i="1"/>
  <c r="J14" i="1"/>
  <c r="J10" i="1"/>
  <c r="J9" i="1"/>
  <c r="N85" i="1"/>
  <c r="N7" i="2"/>
  <c r="G70" i="1"/>
  <c r="G67" i="1"/>
  <c r="G65" i="1"/>
  <c r="G64" i="1"/>
  <c r="G57" i="1"/>
  <c r="G55" i="1"/>
  <c r="G49" i="1"/>
  <c r="G36" i="1"/>
  <c r="G33" i="1"/>
  <c r="G24" i="1"/>
  <c r="G23" i="1"/>
  <c r="G21" i="1"/>
  <c r="G17" i="1"/>
  <c r="G13" i="1"/>
  <c r="AA13" i="2"/>
  <c r="AA3" i="2"/>
  <c r="AA24" i="2" s="1"/>
  <c r="Z13" i="2"/>
  <c r="Y6" i="2"/>
  <c r="AB13" i="2"/>
  <c r="AB14" i="2"/>
  <c r="AB22" i="2" s="1"/>
  <c r="AB33" i="2"/>
  <c r="AA33" i="2"/>
  <c r="Y13" i="2"/>
  <c r="Y33" i="2"/>
  <c r="W13" i="2"/>
  <c r="W6" i="2"/>
  <c r="X13" i="2"/>
  <c r="X33" i="2"/>
  <c r="W33" i="2"/>
  <c r="V6" i="2"/>
  <c r="H2" i="1"/>
  <c r="H3" i="1"/>
  <c r="H14" i="2"/>
  <c r="G33" i="2"/>
  <c r="G3" i="1"/>
  <c r="S3" i="1"/>
  <c r="S4" i="2" s="1"/>
  <c r="V3" i="1"/>
  <c r="V2" i="1"/>
  <c r="V33" i="2"/>
  <c r="V14" i="2"/>
  <c r="W5" i="2"/>
  <c r="W3" i="1"/>
  <c r="W4" i="2" s="1"/>
  <c r="U3" i="1"/>
  <c r="U4" i="2" s="1"/>
  <c r="AB3" i="1"/>
  <c r="AB4" i="2" s="1"/>
  <c r="AA3" i="1"/>
  <c r="AA4" i="2" s="1"/>
  <c r="X3" i="1"/>
  <c r="X4" i="2" s="1"/>
  <c r="Y3" i="1"/>
  <c r="Y4" i="2" s="1"/>
  <c r="T3" i="1"/>
  <c r="T4" i="2" s="1"/>
  <c r="T33" i="2"/>
  <c r="R13" i="1"/>
  <c r="R3" i="1"/>
  <c r="R33" i="2"/>
  <c r="K61" i="1"/>
  <c r="P61" i="1"/>
  <c r="K68" i="1"/>
  <c r="P40" i="1"/>
  <c r="P59" i="1"/>
  <c r="P56" i="1" s="1"/>
  <c r="P69" i="1"/>
  <c r="P71" i="1"/>
  <c r="P34" i="2" s="1"/>
  <c r="K40" i="1"/>
  <c r="K60" i="1"/>
  <c r="M60" i="1"/>
  <c r="P22" i="1"/>
  <c r="P50" i="1"/>
  <c r="P60" i="1"/>
  <c r="M61" i="1"/>
  <c r="P34" i="1"/>
  <c r="K62" i="1"/>
  <c r="M62" i="1"/>
  <c r="O68" i="1"/>
  <c r="P4" i="1"/>
  <c r="P35" i="1"/>
  <c r="P62" i="1"/>
  <c r="M51" i="1"/>
  <c r="P51" i="1"/>
  <c r="L40" i="1"/>
  <c r="O40" i="1"/>
  <c r="P5" i="1"/>
  <c r="P45" i="1"/>
  <c r="P12" i="1"/>
  <c r="P11" i="1" s="1"/>
  <c r="L60" i="1"/>
  <c r="O60" i="1"/>
  <c r="P6" i="1"/>
  <c r="P15" i="1"/>
  <c r="L51" i="1"/>
  <c r="L61" i="1"/>
  <c r="O51" i="1"/>
  <c r="O61" i="1"/>
  <c r="P7" i="1"/>
  <c r="P38" i="1"/>
  <c r="L62" i="1"/>
  <c r="M68" i="1"/>
  <c r="O62" i="1"/>
  <c r="P39" i="1"/>
  <c r="P48" i="1"/>
  <c r="P68" i="1"/>
  <c r="O69" i="1"/>
  <c r="O71" i="1"/>
  <c r="O34" i="2" s="1"/>
  <c r="O59" i="1"/>
  <c r="O56" i="1" s="1"/>
  <c r="O50" i="1"/>
  <c r="O48" i="1"/>
  <c r="O47" i="1"/>
  <c r="O46" i="1"/>
  <c r="O67" i="1" s="1"/>
  <c r="O45" i="1"/>
  <c r="O39" i="1"/>
  <c r="O38" i="1"/>
  <c r="O35" i="1"/>
  <c r="O34" i="1"/>
  <c r="O22" i="1"/>
  <c r="O23" i="1" s="1"/>
  <c r="O12" i="1"/>
  <c r="O11" i="1" s="1"/>
  <c r="O7" i="1"/>
  <c r="O6" i="1"/>
  <c r="O5" i="1"/>
  <c r="O4" i="1"/>
  <c r="O14" i="2" s="1"/>
  <c r="M71" i="1"/>
  <c r="M34" i="2" s="1"/>
  <c r="M59" i="1"/>
  <c r="M50" i="1"/>
  <c r="M48" i="1"/>
  <c r="M47" i="1"/>
  <c r="M46" i="1"/>
  <c r="M67" i="1" s="1"/>
  <c r="M45" i="1"/>
  <c r="M39" i="1"/>
  <c r="M38" i="1"/>
  <c r="M23" i="1"/>
  <c r="M5" i="1"/>
  <c r="M69" i="1"/>
  <c r="M4" i="1"/>
  <c r="M14" i="2" s="1"/>
  <c r="M2" i="1"/>
  <c r="L71" i="1"/>
  <c r="L34" i="2" s="1"/>
  <c r="U34" i="2"/>
  <c r="U24" i="2"/>
  <c r="L69" i="1"/>
  <c r="L2" i="2" s="1"/>
  <c r="U2" i="2"/>
  <c r="L50" i="1"/>
  <c r="L48" i="1"/>
  <c r="L47" i="1"/>
  <c r="L46" i="1"/>
  <c r="L67" i="1" s="1"/>
  <c r="L39" i="1"/>
  <c r="L35" i="1"/>
  <c r="L34" i="1"/>
  <c r="L22" i="1"/>
  <c r="L15" i="1"/>
  <c r="L11" i="1"/>
  <c r="L7" i="1"/>
  <c r="L6" i="1"/>
  <c r="L5" i="1"/>
  <c r="L4" i="1"/>
  <c r="L14" i="2" s="1"/>
  <c r="L2" i="1"/>
  <c r="K78" i="1"/>
  <c r="K71" i="1"/>
  <c r="K34" i="2" s="1"/>
  <c r="S34" i="2"/>
  <c r="S24" i="2"/>
  <c r="K69" i="1"/>
  <c r="S2" i="2"/>
  <c r="K45" i="1"/>
  <c r="K39" i="1"/>
  <c r="K35" i="1"/>
  <c r="K34" i="1"/>
  <c r="K15" i="1"/>
  <c r="K12" i="1"/>
  <c r="K11" i="1" s="1"/>
  <c r="K7" i="1"/>
  <c r="K6" i="1"/>
  <c r="K5" i="1"/>
  <c r="K4" i="1"/>
  <c r="K33" i="2" s="1"/>
  <c r="K2" i="1"/>
  <c r="J78" i="1"/>
  <c r="J71" i="1"/>
  <c r="J34" i="2" s="1"/>
  <c r="Q34" i="2"/>
  <c r="Q3" i="2"/>
  <c r="Q24" i="2" s="1"/>
  <c r="J69" i="1"/>
  <c r="J2" i="2" s="1"/>
  <c r="Q2" i="2"/>
  <c r="J59" i="1"/>
  <c r="J56" i="1" s="1"/>
  <c r="J50" i="1"/>
  <c r="J48" i="1"/>
  <c r="J45" i="1"/>
  <c r="J39" i="1"/>
  <c r="J38" i="1"/>
  <c r="J35" i="1"/>
  <c r="J34" i="1"/>
  <c r="J22" i="1"/>
  <c r="J23" i="1" s="1"/>
  <c r="J15" i="1"/>
  <c r="J12" i="1"/>
  <c r="J11" i="1" s="1"/>
  <c r="J7" i="1"/>
  <c r="J6" i="1"/>
  <c r="J5" i="1"/>
  <c r="J4" i="1"/>
  <c r="J2" i="1"/>
  <c r="I71" i="1"/>
  <c r="I34" i="2" s="1"/>
  <c r="I69" i="1"/>
  <c r="I78" i="1"/>
  <c r="I13" i="1" s="1"/>
  <c r="I59" i="1"/>
  <c r="I56" i="1" s="1"/>
  <c r="I50" i="1"/>
  <c r="I48" i="1"/>
  <c r="I47" i="1"/>
  <c r="I46" i="1"/>
  <c r="I67" i="1" s="1"/>
  <c r="I45" i="1"/>
  <c r="I39" i="1"/>
  <c r="I38" i="1"/>
  <c r="I35" i="1"/>
  <c r="I34" i="1"/>
  <c r="I12" i="1"/>
  <c r="I11" i="1" s="1"/>
  <c r="I4" i="1"/>
  <c r="I2" i="1"/>
  <c r="H34" i="2"/>
  <c r="H33" i="2"/>
  <c r="G34" i="2"/>
  <c r="AA7" i="2" l="1"/>
  <c r="AA85" i="1"/>
  <c r="Y8" i="2"/>
  <c r="X11" i="2"/>
  <c r="W12" i="2"/>
  <c r="AF96" i="1"/>
  <c r="W7" i="2"/>
  <c r="W100" i="1"/>
  <c r="AF93" i="1"/>
  <c r="W8" i="2"/>
  <c r="V11" i="2"/>
  <c r="U11" i="2"/>
  <c r="U99" i="1"/>
  <c r="AF98" i="1"/>
  <c r="AF97" i="1"/>
  <c r="AF94" i="1"/>
  <c r="V100" i="1"/>
  <c r="AF92" i="1"/>
  <c r="V85" i="1"/>
  <c r="AF91" i="1"/>
  <c r="U100" i="1"/>
  <c r="T9" i="2"/>
  <c r="T99" i="1"/>
  <c r="U12" i="2"/>
  <c r="T11" i="2"/>
  <c r="T10" i="2"/>
  <c r="U10" i="2"/>
  <c r="U9" i="2"/>
  <c r="U7" i="2"/>
  <c r="U8" i="2"/>
  <c r="S8" i="2"/>
  <c r="S15" i="2" s="1"/>
  <c r="O13" i="2"/>
  <c r="L3" i="1"/>
  <c r="L13" i="2"/>
  <c r="O12" i="2"/>
  <c r="M13" i="2"/>
  <c r="L23" i="1"/>
  <c r="L8" i="2" s="1"/>
  <c r="O9" i="2"/>
  <c r="K13" i="2"/>
  <c r="T34" i="2"/>
  <c r="X7" i="2"/>
  <c r="P23" i="1"/>
  <c r="W14" i="2"/>
  <c r="W22" i="2" s="1"/>
  <c r="G56" i="1"/>
  <c r="Z33" i="2"/>
  <c r="Z7" i="2"/>
  <c r="Z14" i="2"/>
  <c r="Z22" i="2" s="1"/>
  <c r="X34" i="2"/>
  <c r="L4" i="2"/>
  <c r="Y14" i="2"/>
  <c r="Y22" i="2" s="1"/>
  <c r="K56" i="1"/>
  <c r="L58" i="1"/>
  <c r="L9" i="2" s="1"/>
  <c r="AA34" i="2"/>
  <c r="AD85" i="1"/>
  <c r="AE29" i="2"/>
  <c r="AE21" i="2"/>
  <c r="AE18" i="2"/>
  <c r="AD12" i="2"/>
  <c r="AD11" i="2"/>
  <c r="AD10" i="2"/>
  <c r="AC29" i="2"/>
  <c r="AC21" i="2"/>
  <c r="AC30" i="2" s="1"/>
  <c r="AC18" i="2"/>
  <c r="M58" i="1"/>
  <c r="V13" i="2"/>
  <c r="V10" i="2"/>
  <c r="M56" i="1"/>
  <c r="V7" i="2"/>
  <c r="L56" i="1"/>
  <c r="L10" i="2" s="1"/>
  <c r="T85" i="1"/>
  <c r="K13" i="1"/>
  <c r="K8" i="2" s="1"/>
  <c r="J58" i="1"/>
  <c r="K58" i="1"/>
  <c r="K85" i="1" s="1"/>
  <c r="J13" i="1"/>
  <c r="J8" i="2" s="1"/>
  <c r="N11" i="2"/>
  <c r="G58" i="1"/>
  <c r="G85" i="1" s="1"/>
  <c r="AA8" i="2"/>
  <c r="AA9" i="2"/>
  <c r="AA12" i="2"/>
  <c r="AA10" i="2"/>
  <c r="AA11" i="2"/>
  <c r="Z8" i="2"/>
  <c r="V12" i="2"/>
  <c r="Z9" i="2"/>
  <c r="Z12" i="2"/>
  <c r="Z11" i="2"/>
  <c r="Z10" i="2"/>
  <c r="Y12" i="2"/>
  <c r="V9" i="2"/>
  <c r="Y10" i="2"/>
  <c r="Y9" i="2"/>
  <c r="Y11" i="2"/>
  <c r="Y7" i="2"/>
  <c r="X9" i="2"/>
  <c r="W9" i="2"/>
  <c r="W11" i="2"/>
  <c r="X10" i="2"/>
  <c r="W10" i="2"/>
  <c r="X12" i="2"/>
  <c r="M3" i="1"/>
  <c r="M4" i="2" s="1"/>
  <c r="P22" i="2"/>
  <c r="P33" i="2"/>
  <c r="J5" i="2"/>
  <c r="H4" i="2"/>
  <c r="V4" i="2"/>
  <c r="J33" i="2"/>
  <c r="J14" i="2"/>
  <c r="J22" i="2" s="1"/>
  <c r="X85" i="1"/>
  <c r="R85" i="1"/>
  <c r="AB85" i="1"/>
  <c r="Z85" i="1"/>
  <c r="Y85" i="1"/>
  <c r="V8" i="2"/>
  <c r="P85" i="1"/>
  <c r="O3" i="1"/>
  <c r="O4" i="2" s="1"/>
  <c r="U6" i="2"/>
  <c r="P3" i="1"/>
  <c r="K14" i="2"/>
  <c r="L6" i="2"/>
  <c r="M6" i="2"/>
  <c r="L5" i="2"/>
  <c r="U33" i="2"/>
  <c r="L33" i="2"/>
  <c r="S85" i="1"/>
  <c r="Q6" i="2"/>
  <c r="Q85" i="1"/>
  <c r="Q13" i="2"/>
  <c r="K3" i="1"/>
  <c r="K4" i="2" s="1"/>
  <c r="S33" i="2"/>
  <c r="Q8" i="2"/>
  <c r="Q7" i="2"/>
  <c r="I6" i="2"/>
  <c r="O6" i="2"/>
  <c r="Q5" i="2"/>
  <c r="J3" i="1"/>
  <c r="J4" i="2" s="1"/>
  <c r="Q14" i="2"/>
  <c r="Q4" i="2"/>
  <c r="M7" i="2"/>
  <c r="I13" i="2"/>
  <c r="O8" i="2"/>
  <c r="O7" i="2"/>
  <c r="O5" i="2"/>
  <c r="I5" i="2"/>
  <c r="I3" i="1"/>
  <c r="I4" i="2" s="1"/>
  <c r="M33" i="2"/>
  <c r="I33" i="2"/>
  <c r="I14" i="2"/>
  <c r="O33" i="2"/>
  <c r="G6" i="2"/>
  <c r="K6" i="2"/>
  <c r="M5" i="2"/>
  <c r="G13" i="2"/>
  <c r="G7" i="2"/>
  <c r="K7" i="2"/>
  <c r="G5" i="2"/>
  <c r="K5" i="2"/>
  <c r="G14" i="2"/>
  <c r="G4" i="2"/>
  <c r="AF99" i="1" l="1"/>
  <c r="AF100" i="1"/>
  <c r="T15" i="2"/>
  <c r="T17" i="2" s="1"/>
  <c r="U15" i="2"/>
  <c r="M10" i="2"/>
  <c r="M12" i="2"/>
  <c r="L12" i="2"/>
  <c r="L7" i="2"/>
  <c r="G9" i="2"/>
  <c r="AE32" i="2"/>
  <c r="AE23" i="2"/>
  <c r="AD15" i="2"/>
  <c r="AD17" i="2" s="1"/>
  <c r="AD20" i="2" s="1"/>
  <c r="AD29" i="2" s="1"/>
  <c r="AC32" i="2"/>
  <c r="AC23" i="2"/>
  <c r="N15" i="2"/>
  <c r="AA15" i="2"/>
  <c r="AA17" i="2" s="1"/>
  <c r="AA18" i="2" s="1"/>
  <c r="Z15" i="2"/>
  <c r="Z17" i="2" s="1"/>
  <c r="Z18" i="2" s="1"/>
  <c r="Y15" i="2"/>
  <c r="Y17" i="2" s="1"/>
  <c r="Y18" i="2" s="1"/>
  <c r="X15" i="2"/>
  <c r="X17" i="2" s="1"/>
  <c r="X20" i="2" s="1"/>
  <c r="X29" i="2" s="1"/>
  <c r="W15" i="2"/>
  <c r="W17" i="2" s="1"/>
  <c r="W20" i="2" s="1"/>
  <c r="W29" i="2" s="1"/>
  <c r="I10" i="2"/>
  <c r="M85" i="1"/>
  <c r="O10" i="2"/>
  <c r="W85" i="1"/>
  <c r="V15" i="2"/>
  <c r="V17" i="2" s="1"/>
  <c r="V21" i="2" s="1"/>
  <c r="V30" i="2" s="1"/>
  <c r="U85" i="1"/>
  <c r="R17" i="2"/>
  <c r="O85" i="1"/>
  <c r="O11" i="2"/>
  <c r="L85" i="1"/>
  <c r="L11" i="2"/>
  <c r="I85" i="1"/>
  <c r="I12" i="2"/>
  <c r="I11" i="2"/>
  <c r="I9" i="2"/>
  <c r="I7" i="2"/>
  <c r="M11" i="2"/>
  <c r="K11" i="2"/>
  <c r="G11" i="2"/>
  <c r="K12" i="2"/>
  <c r="K10" i="2"/>
  <c r="G8" i="2"/>
  <c r="G10" i="2"/>
  <c r="G12" i="2"/>
  <c r="K9" i="2"/>
  <c r="L17" i="19"/>
  <c r="F17" i="1" s="1"/>
  <c r="AE25" i="2" l="1"/>
  <c r="AE27" i="2" s="1"/>
  <c r="AE26" i="2"/>
  <c r="AD21" i="2"/>
  <c r="AD30" i="2" s="1"/>
  <c r="AD35" i="2" s="1"/>
  <c r="AD18" i="2"/>
  <c r="AC25" i="2"/>
  <c r="AC27" i="2" s="1"/>
  <c r="AC26" i="2"/>
  <c r="J6" i="2"/>
  <c r="V32" i="2"/>
  <c r="AA21" i="2"/>
  <c r="AA30" i="2" s="1"/>
  <c r="AA20" i="2"/>
  <c r="AA29" i="2" s="1"/>
  <c r="Z21" i="2"/>
  <c r="Z30" i="2" s="1"/>
  <c r="Z20" i="2"/>
  <c r="Z29" i="2" s="1"/>
  <c r="Y20" i="2"/>
  <c r="Y29" i="2" s="1"/>
  <c r="Y21" i="2"/>
  <c r="Y30" i="2" s="1"/>
  <c r="W21" i="2"/>
  <c r="W30" i="2" s="1"/>
  <c r="X21" i="2"/>
  <c r="X18" i="2"/>
  <c r="W18" i="2"/>
  <c r="P21" i="2"/>
  <c r="P30" i="2" s="1"/>
  <c r="S17" i="2"/>
  <c r="O15" i="2"/>
  <c r="U17" i="2"/>
  <c r="L15" i="2"/>
  <c r="L17" i="2" s="1"/>
  <c r="Q15" i="2"/>
  <c r="Q17" i="2" s="1"/>
  <c r="M15" i="2"/>
  <c r="K15" i="2"/>
  <c r="G15" i="2"/>
  <c r="J17" i="19"/>
  <c r="X30" i="2" l="1"/>
  <c r="X32" i="2"/>
  <c r="AD32" i="2"/>
  <c r="AD23" i="2"/>
  <c r="AA32" i="2"/>
  <c r="Y32" i="2"/>
  <c r="Z32" i="2"/>
  <c r="W32" i="2"/>
  <c r="E17" i="1"/>
  <c r="X23" i="2"/>
  <c r="X26" i="2" s="1"/>
  <c r="AA23" i="2"/>
  <c r="AA26" i="2" s="1"/>
  <c r="Z23" i="2"/>
  <c r="Z25" i="2" s="1"/>
  <c r="Z27" i="2" s="1"/>
  <c r="W23" i="2"/>
  <c r="W25" i="2" s="1"/>
  <c r="W27" i="2" s="1"/>
  <c r="Y23" i="2"/>
  <c r="Y25" i="2" s="1"/>
  <c r="Y27" i="2" s="1"/>
  <c r="P20" i="2"/>
  <c r="P29" i="2" s="1"/>
  <c r="H17" i="19"/>
  <c r="D17" i="1" s="1"/>
  <c r="AD25" i="2" l="1"/>
  <c r="AD27" i="2" s="1"/>
  <c r="AD26" i="2"/>
  <c r="X25" i="2"/>
  <c r="X27" i="2" s="1"/>
  <c r="AA25" i="2"/>
  <c r="AA27" i="2" s="1"/>
  <c r="Z26" i="2"/>
  <c r="W26" i="2"/>
  <c r="Y26" i="2"/>
  <c r="P23" i="2"/>
  <c r="P25" i="2" s="1"/>
  <c r="P27" i="2" s="1"/>
  <c r="F17" i="19"/>
  <c r="AF17" i="1" l="1"/>
  <c r="P26" i="2"/>
  <c r="C28" i="2"/>
  <c r="D28" i="2"/>
  <c r="E28" i="2"/>
  <c r="F28" i="2"/>
  <c r="G28" i="2"/>
  <c r="H28" i="2"/>
  <c r="I28" i="2"/>
  <c r="K28" i="2"/>
  <c r="L28" i="2"/>
  <c r="M28" i="2"/>
  <c r="N28" i="2"/>
  <c r="O28" i="2"/>
  <c r="Q28" i="2"/>
  <c r="R28" i="2"/>
  <c r="S28" i="2"/>
  <c r="T28" i="2"/>
  <c r="U28" i="2"/>
  <c r="V28" i="2"/>
  <c r="C22" i="7" l="1"/>
  <c r="E8" i="7"/>
  <c r="E7" i="7"/>
  <c r="O15" i="8"/>
  <c r="L15" i="8"/>
  <c r="I15" i="8"/>
  <c r="F15" i="8"/>
  <c r="C15" i="8"/>
  <c r="O12" i="8"/>
  <c r="L12" i="8"/>
  <c r="I12" i="8"/>
  <c r="F12" i="8"/>
  <c r="C12" i="8"/>
  <c r="O11" i="8"/>
  <c r="L11" i="8"/>
  <c r="I11" i="8"/>
  <c r="F11" i="8"/>
  <c r="C11" i="8"/>
  <c r="O10" i="8"/>
  <c r="L10" i="8"/>
  <c r="I10" i="8"/>
  <c r="F10" i="8"/>
  <c r="C10" i="8"/>
  <c r="O9" i="8"/>
  <c r="L9" i="8"/>
  <c r="I9" i="8"/>
  <c r="F9" i="8"/>
  <c r="C9" i="8"/>
  <c r="O8" i="8"/>
  <c r="L8" i="8"/>
  <c r="I8" i="8"/>
  <c r="F8" i="8"/>
  <c r="C8" i="8"/>
  <c r="O7" i="8"/>
  <c r="L7" i="8"/>
  <c r="I7" i="8"/>
  <c r="F7" i="8"/>
  <c r="C7" i="8"/>
  <c r="O6" i="8"/>
  <c r="L6" i="8"/>
  <c r="I6" i="8"/>
  <c r="F6" i="8"/>
  <c r="C6" i="8"/>
  <c r="O5" i="8"/>
  <c r="L5" i="8"/>
  <c r="I5" i="8"/>
  <c r="F5" i="8"/>
  <c r="C5" i="8"/>
  <c r="J34" i="14"/>
  <c r="K34" i="14" s="1"/>
  <c r="G34" i="14"/>
  <c r="H34" i="14" s="1"/>
  <c r="C34" i="14"/>
  <c r="D34" i="14" s="1"/>
  <c r="J33" i="14"/>
  <c r="K33" i="14" s="1"/>
  <c r="G33" i="14"/>
  <c r="H33" i="14" s="1"/>
  <c r="C33" i="14"/>
  <c r="D33" i="14" s="1"/>
  <c r="J32" i="14"/>
  <c r="K32" i="14" s="1"/>
  <c r="G32" i="14"/>
  <c r="H32" i="14" s="1"/>
  <c r="C32" i="14"/>
  <c r="D32" i="14" s="1"/>
  <c r="J31" i="14"/>
  <c r="K31" i="14" s="1"/>
  <c r="G31" i="14"/>
  <c r="H31" i="14" s="1"/>
  <c r="C31" i="14"/>
  <c r="D31" i="14" s="1"/>
  <c r="J30" i="14"/>
  <c r="K30" i="14" s="1"/>
  <c r="G30" i="14"/>
  <c r="H30" i="14" s="1"/>
  <c r="C30" i="14"/>
  <c r="D30" i="14" s="1"/>
  <c r="J29" i="14"/>
  <c r="K29" i="14" s="1"/>
  <c r="G29" i="14"/>
  <c r="H29" i="14" s="1"/>
  <c r="C29" i="14"/>
  <c r="D29" i="14" s="1"/>
  <c r="J28" i="14"/>
  <c r="K28" i="14" s="1"/>
  <c r="G28" i="14"/>
  <c r="H28" i="14" s="1"/>
  <c r="C28" i="14"/>
  <c r="D28" i="14" s="1"/>
  <c r="J27" i="14"/>
  <c r="K27" i="14" s="1"/>
  <c r="M27" i="14" s="1"/>
  <c r="G27" i="14"/>
  <c r="H27" i="14" s="1"/>
  <c r="L27" i="14" s="1"/>
  <c r="C27" i="14"/>
  <c r="D27" i="14" s="1"/>
  <c r="J26" i="14"/>
  <c r="K26" i="14" s="1"/>
  <c r="G26" i="14"/>
  <c r="H26" i="14" s="1"/>
  <c r="C26" i="14"/>
  <c r="D26" i="14" s="1"/>
  <c r="J25" i="14"/>
  <c r="K25" i="14" s="1"/>
  <c r="G25" i="14"/>
  <c r="H25" i="14" s="1"/>
  <c r="C25" i="14"/>
  <c r="D25" i="14" s="1"/>
  <c r="J24" i="14"/>
  <c r="K24" i="14" s="1"/>
  <c r="G24" i="14"/>
  <c r="H24" i="14" s="1"/>
  <c r="C24" i="14"/>
  <c r="D24" i="14" s="1"/>
  <c r="J23" i="14"/>
  <c r="K23" i="14" s="1"/>
  <c r="G23" i="14"/>
  <c r="H23" i="14" s="1"/>
  <c r="C23" i="14"/>
  <c r="D23" i="14" s="1"/>
  <c r="J22" i="14"/>
  <c r="K22" i="14" s="1"/>
  <c r="G22" i="14"/>
  <c r="H22" i="14" s="1"/>
  <c r="C22" i="14"/>
  <c r="D22" i="14" s="1"/>
  <c r="J21" i="14"/>
  <c r="K21" i="14" s="1"/>
  <c r="G21" i="14"/>
  <c r="H21" i="14" s="1"/>
  <c r="C21" i="14"/>
  <c r="D21" i="14" s="1"/>
  <c r="J20" i="14"/>
  <c r="K20" i="14" s="1"/>
  <c r="G20" i="14"/>
  <c r="H20" i="14" s="1"/>
  <c r="C20" i="14"/>
  <c r="D20" i="14" s="1"/>
  <c r="J19" i="14"/>
  <c r="K19" i="14" s="1"/>
  <c r="G19" i="14"/>
  <c r="H19" i="14" s="1"/>
  <c r="C19" i="14"/>
  <c r="D19" i="14" s="1"/>
  <c r="J18" i="14"/>
  <c r="K18" i="14" s="1"/>
  <c r="G18" i="14"/>
  <c r="H18" i="14" s="1"/>
  <c r="C18" i="14"/>
  <c r="D18" i="14" s="1"/>
  <c r="J17" i="14"/>
  <c r="K17" i="14" s="1"/>
  <c r="G17" i="14"/>
  <c r="H17" i="14" s="1"/>
  <c r="C17" i="14"/>
  <c r="D17" i="14" s="1"/>
  <c r="J16" i="14"/>
  <c r="K16" i="14" s="1"/>
  <c r="G16" i="14"/>
  <c r="H16" i="14" s="1"/>
  <c r="C16" i="14"/>
  <c r="D16" i="14" s="1"/>
  <c r="J15" i="14"/>
  <c r="K15" i="14" s="1"/>
  <c r="G15" i="14"/>
  <c r="H15" i="14" s="1"/>
  <c r="C15" i="14"/>
  <c r="D15" i="14" s="1"/>
  <c r="J14" i="14"/>
  <c r="K14" i="14" s="1"/>
  <c r="G14" i="14"/>
  <c r="H14" i="14" s="1"/>
  <c r="C14" i="14"/>
  <c r="D14" i="14" s="1"/>
  <c r="J13" i="14"/>
  <c r="K13" i="14" s="1"/>
  <c r="G13" i="14"/>
  <c r="H13" i="14" s="1"/>
  <c r="C13" i="14"/>
  <c r="D13" i="14" s="1"/>
  <c r="J12" i="14"/>
  <c r="K12" i="14" s="1"/>
  <c r="G12" i="14"/>
  <c r="H12" i="14" s="1"/>
  <c r="C12" i="14"/>
  <c r="D12" i="14" s="1"/>
  <c r="J11" i="14"/>
  <c r="K11" i="14" s="1"/>
  <c r="G11" i="14"/>
  <c r="H11" i="14" s="1"/>
  <c r="C11" i="14"/>
  <c r="D11" i="14" s="1"/>
  <c r="J10" i="14"/>
  <c r="K10" i="14" s="1"/>
  <c r="G10" i="14"/>
  <c r="H10" i="14" s="1"/>
  <c r="C10" i="14"/>
  <c r="D10" i="14" s="1"/>
  <c r="J9" i="14"/>
  <c r="K9" i="14" s="1"/>
  <c r="G9" i="14"/>
  <c r="H9" i="14" s="1"/>
  <c r="C9" i="14"/>
  <c r="D9" i="14" s="1"/>
  <c r="J8" i="14"/>
  <c r="K8" i="14" s="1"/>
  <c r="G8" i="14"/>
  <c r="H8" i="14" s="1"/>
  <c r="C8" i="14"/>
  <c r="D8" i="14" s="1"/>
  <c r="J7" i="14"/>
  <c r="K7" i="14" s="1"/>
  <c r="G7" i="14"/>
  <c r="H7" i="14" s="1"/>
  <c r="C7" i="14"/>
  <c r="D7" i="14" s="1"/>
  <c r="J6" i="14"/>
  <c r="K6" i="14" s="1"/>
  <c r="G6" i="14"/>
  <c r="H6" i="14" s="1"/>
  <c r="C6" i="14"/>
  <c r="D6" i="14" s="1"/>
  <c r="J5" i="14"/>
  <c r="K5" i="14" s="1"/>
  <c r="G5" i="14"/>
  <c r="H5" i="14" s="1"/>
  <c r="C5" i="14"/>
  <c r="D5" i="14" s="1"/>
  <c r="J4" i="14"/>
  <c r="K4" i="14" s="1"/>
  <c r="G4" i="14"/>
  <c r="H4" i="14" s="1"/>
  <c r="C4" i="14"/>
  <c r="D4" i="14" s="1"/>
  <c r="J3" i="14"/>
  <c r="K3" i="14" s="1"/>
  <c r="G3" i="14"/>
  <c r="H3" i="14" s="1"/>
  <c r="C3" i="14"/>
  <c r="D3" i="14" s="1"/>
  <c r="J2" i="14"/>
  <c r="K2" i="14" s="1"/>
  <c r="G2" i="14"/>
  <c r="H2" i="14" s="1"/>
  <c r="C2" i="14"/>
  <c r="D2" i="14" s="1"/>
  <c r="BM84" i="16"/>
  <c r="BL84" i="16"/>
  <c r="BK84" i="16"/>
  <c r="BJ84" i="16"/>
  <c r="BI84" i="16"/>
  <c r="BH84" i="16"/>
  <c r="BG84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BM83" i="16"/>
  <c r="BL83" i="16"/>
  <c r="BK83" i="16"/>
  <c r="BJ83" i="16"/>
  <c r="BI83" i="16"/>
  <c r="BH83" i="16"/>
  <c r="BG83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BM82" i="16"/>
  <c r="BL82" i="16"/>
  <c r="BK82" i="16"/>
  <c r="BJ82" i="16"/>
  <c r="BI82" i="16"/>
  <c r="BH82" i="16"/>
  <c r="BG82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BM81" i="16"/>
  <c r="BL81" i="16"/>
  <c r="BK81" i="16"/>
  <c r="BJ81" i="16"/>
  <c r="BI81" i="16"/>
  <c r="BH81" i="16"/>
  <c r="BG81" i="16"/>
  <c r="BF81" i="16"/>
  <c r="BE81" i="16"/>
  <c r="BD81" i="16"/>
  <c r="BC81" i="16"/>
  <c r="BB81" i="16"/>
  <c r="BA81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BM80" i="16"/>
  <c r="BL80" i="16"/>
  <c r="BK80" i="16"/>
  <c r="BJ80" i="16"/>
  <c r="BI80" i="16"/>
  <c r="BH80" i="16"/>
  <c r="BG80" i="16"/>
  <c r="BF80" i="16"/>
  <c r="BE80" i="16"/>
  <c r="BD80" i="16"/>
  <c r="BC80" i="16"/>
  <c r="BB80" i="16"/>
  <c r="BA80" i="16"/>
  <c r="AZ80" i="16"/>
  <c r="AY80" i="16"/>
  <c r="AX80" i="16"/>
  <c r="AW80" i="16"/>
  <c r="AV80" i="16"/>
  <c r="AU80" i="16"/>
  <c r="AT80" i="16"/>
  <c r="AS80" i="16"/>
  <c r="AR80" i="16"/>
  <c r="AQ80" i="16"/>
  <c r="AP80" i="16"/>
  <c r="AO80" i="16"/>
  <c r="AN80" i="16"/>
  <c r="AM80" i="16"/>
  <c r="AL80" i="16"/>
  <c r="AK80" i="16"/>
  <c r="AJ80" i="16"/>
  <c r="AI80" i="16"/>
  <c r="BM79" i="16"/>
  <c r="BL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BM77" i="16"/>
  <c r="BL77" i="16"/>
  <c r="BK77" i="16"/>
  <c r="BJ77" i="16"/>
  <c r="BI77" i="16"/>
  <c r="BH77" i="16"/>
  <c r="BG77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BM73" i="16"/>
  <c r="BL73" i="16"/>
  <c r="BK73" i="16"/>
  <c r="BJ73" i="16"/>
  <c r="BI73" i="16"/>
  <c r="BH73" i="16"/>
  <c r="BG73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BM72" i="16"/>
  <c r="BL72" i="16"/>
  <c r="BK72" i="16"/>
  <c r="BJ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BM71" i="16"/>
  <c r="BL71" i="16"/>
  <c r="BK71" i="16"/>
  <c r="BJ71" i="16"/>
  <c r="BI71" i="16"/>
  <c r="BH71" i="16"/>
  <c r="BG71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BM70" i="16"/>
  <c r="BL70" i="16"/>
  <c r="BK70" i="16"/>
  <c r="BJ70" i="16"/>
  <c r="BI70" i="16"/>
  <c r="BH70" i="16"/>
  <c r="BG70" i="16"/>
  <c r="BF70" i="16"/>
  <c r="BE70" i="16"/>
  <c r="BD70" i="16"/>
  <c r="BC70" i="16"/>
  <c r="BB70" i="16"/>
  <c r="BA70" i="16"/>
  <c r="AZ70" i="16"/>
  <c r="AY70" i="16"/>
  <c r="AX70" i="16"/>
  <c r="AW70" i="16"/>
  <c r="AV70" i="16"/>
  <c r="AU70" i="16"/>
  <c r="AT70" i="16"/>
  <c r="AS70" i="16"/>
  <c r="AR70" i="16"/>
  <c r="AQ70" i="16"/>
  <c r="AP70" i="16"/>
  <c r="AO70" i="16"/>
  <c r="AN70" i="16"/>
  <c r="AM70" i="16"/>
  <c r="AL70" i="16"/>
  <c r="AK70" i="16"/>
  <c r="AJ70" i="16"/>
  <c r="AI70" i="16"/>
  <c r="BM69" i="16"/>
  <c r="BL69" i="16"/>
  <c r="BK69" i="16"/>
  <c r="BJ69" i="16"/>
  <c r="BI69" i="16"/>
  <c r="BH69" i="16"/>
  <c r="BG69" i="16"/>
  <c r="BF69" i="16"/>
  <c r="BE69" i="16"/>
  <c r="BD69" i="16"/>
  <c r="BC69" i="16"/>
  <c r="BB69" i="16"/>
  <c r="BA69" i="16"/>
  <c r="AZ69" i="16"/>
  <c r="AY69" i="16"/>
  <c r="AX69" i="16"/>
  <c r="AW69" i="16"/>
  <c r="AV69" i="16"/>
  <c r="AU69" i="16"/>
  <c r="AT69" i="16"/>
  <c r="AS69" i="16"/>
  <c r="AR69" i="16"/>
  <c r="AQ69" i="16"/>
  <c r="AP69" i="16"/>
  <c r="AO69" i="16"/>
  <c r="AN69" i="16"/>
  <c r="AM69" i="16"/>
  <c r="AL69" i="16"/>
  <c r="AK69" i="16"/>
  <c r="AJ69" i="16"/>
  <c r="AI69" i="16"/>
  <c r="BM68" i="16"/>
  <c r="BL68" i="16"/>
  <c r="BK68" i="16"/>
  <c r="BJ68" i="16"/>
  <c r="BI68" i="16"/>
  <c r="BH68" i="16"/>
  <c r="BG68" i="16"/>
  <c r="BF68" i="16"/>
  <c r="BE68" i="16"/>
  <c r="BD68" i="16"/>
  <c r="BC68" i="16"/>
  <c r="BB68" i="16"/>
  <c r="BA68" i="16"/>
  <c r="AZ68" i="16"/>
  <c r="AY68" i="16"/>
  <c r="AX68" i="16"/>
  <c r="AW68" i="16"/>
  <c r="AV68" i="16"/>
  <c r="AU68" i="16"/>
  <c r="AT68" i="16"/>
  <c r="AS68" i="16"/>
  <c r="AR68" i="16"/>
  <c r="AQ68" i="16"/>
  <c r="AP68" i="16"/>
  <c r="AO68" i="16"/>
  <c r="AN68" i="16"/>
  <c r="AM68" i="16"/>
  <c r="AL68" i="16"/>
  <c r="AK68" i="16"/>
  <c r="AJ68" i="16"/>
  <c r="AI68" i="16"/>
  <c r="BM67" i="16"/>
  <c r="BL67" i="16"/>
  <c r="BK67" i="16"/>
  <c r="BJ67" i="16"/>
  <c r="BI67" i="16"/>
  <c r="BH67" i="16"/>
  <c r="BG67" i="16"/>
  <c r="BF67" i="16"/>
  <c r="BE67" i="16"/>
  <c r="BD67" i="16"/>
  <c r="BC67" i="16"/>
  <c r="BB67" i="16"/>
  <c r="BA67" i="16"/>
  <c r="AZ67" i="16"/>
  <c r="AY67" i="16"/>
  <c r="AX67" i="16"/>
  <c r="AW67" i="16"/>
  <c r="AV67" i="16"/>
  <c r="AU67" i="16"/>
  <c r="AT67" i="16"/>
  <c r="AS67" i="16"/>
  <c r="AR67" i="16"/>
  <c r="AQ67" i="16"/>
  <c r="AP67" i="16"/>
  <c r="AO67" i="16"/>
  <c r="AN67" i="16"/>
  <c r="AM67" i="16"/>
  <c r="AL67" i="16"/>
  <c r="AK67" i="16"/>
  <c r="AJ67" i="16"/>
  <c r="AI67" i="16"/>
  <c r="BM66" i="16"/>
  <c r="BL66" i="16"/>
  <c r="BK66" i="16"/>
  <c r="BJ66" i="16"/>
  <c r="BI66" i="16"/>
  <c r="BH66" i="16"/>
  <c r="BG66" i="16"/>
  <c r="BF66" i="16"/>
  <c r="BE66" i="16"/>
  <c r="BD66" i="16"/>
  <c r="BC66" i="16"/>
  <c r="BB66" i="16"/>
  <c r="BA66" i="16"/>
  <c r="AZ66" i="16"/>
  <c r="AY66" i="16"/>
  <c r="AX66" i="16"/>
  <c r="AW66" i="16"/>
  <c r="AV66" i="16"/>
  <c r="AU66" i="16"/>
  <c r="AT66" i="16"/>
  <c r="AS66" i="16"/>
  <c r="AR66" i="16"/>
  <c r="AQ66" i="16"/>
  <c r="AP66" i="16"/>
  <c r="AO66" i="16"/>
  <c r="AN66" i="16"/>
  <c r="AM66" i="16"/>
  <c r="AL66" i="16"/>
  <c r="AK66" i="16"/>
  <c r="AJ66" i="16"/>
  <c r="AI66" i="16"/>
  <c r="BM65" i="16"/>
  <c r="BL65" i="16"/>
  <c r="BK65" i="16"/>
  <c r="BJ65" i="16"/>
  <c r="BI65" i="16"/>
  <c r="BH65" i="16"/>
  <c r="BG65" i="16"/>
  <c r="BF65" i="16"/>
  <c r="BE65" i="16"/>
  <c r="BD65" i="16"/>
  <c r="BC65" i="16"/>
  <c r="BB65" i="16"/>
  <c r="BA65" i="16"/>
  <c r="AZ65" i="16"/>
  <c r="AY65" i="16"/>
  <c r="AX65" i="16"/>
  <c r="AW65" i="16"/>
  <c r="AV65" i="16"/>
  <c r="AU65" i="16"/>
  <c r="AT65" i="16"/>
  <c r="AS65" i="16"/>
  <c r="AR65" i="16"/>
  <c r="AQ65" i="16"/>
  <c r="AP65" i="16"/>
  <c r="AO65" i="16"/>
  <c r="AN65" i="16"/>
  <c r="AM65" i="16"/>
  <c r="AL65" i="16"/>
  <c r="AK65" i="16"/>
  <c r="AJ65" i="16"/>
  <c r="AI65" i="16"/>
  <c r="BM64" i="16"/>
  <c r="BL64" i="16"/>
  <c r="BK64" i="16"/>
  <c r="BJ64" i="16"/>
  <c r="BI64" i="16"/>
  <c r="BH64" i="16"/>
  <c r="BG64" i="16"/>
  <c r="BF64" i="16"/>
  <c r="BE64" i="16"/>
  <c r="BD64" i="16"/>
  <c r="BC64" i="16"/>
  <c r="BB64" i="16"/>
  <c r="BA64" i="16"/>
  <c r="AZ64" i="16"/>
  <c r="AY64" i="16"/>
  <c r="AX64" i="16"/>
  <c r="AW64" i="16"/>
  <c r="AV64" i="16"/>
  <c r="AU64" i="16"/>
  <c r="AT64" i="16"/>
  <c r="AS64" i="16"/>
  <c r="AR64" i="16"/>
  <c r="AQ64" i="16"/>
  <c r="AP64" i="16"/>
  <c r="AO64" i="16"/>
  <c r="AN64" i="16"/>
  <c r="AM64" i="16"/>
  <c r="AL64" i="16"/>
  <c r="AK64" i="16"/>
  <c r="AJ64" i="16"/>
  <c r="AI64" i="16"/>
  <c r="BM63" i="16"/>
  <c r="BL63" i="16"/>
  <c r="BK63" i="16"/>
  <c r="BJ63" i="16"/>
  <c r="BI63" i="16"/>
  <c r="BH63" i="16"/>
  <c r="BG63" i="16"/>
  <c r="BF63" i="16"/>
  <c r="BE63" i="16"/>
  <c r="BD63" i="16"/>
  <c r="BC63" i="16"/>
  <c r="BB63" i="16"/>
  <c r="BA63" i="16"/>
  <c r="AZ63" i="16"/>
  <c r="AY63" i="16"/>
  <c r="AX63" i="16"/>
  <c r="AW63" i="16"/>
  <c r="AV63" i="16"/>
  <c r="AU63" i="16"/>
  <c r="AT63" i="16"/>
  <c r="AS63" i="16"/>
  <c r="AR63" i="16"/>
  <c r="AQ63" i="16"/>
  <c r="AP63" i="16"/>
  <c r="AO63" i="16"/>
  <c r="AN63" i="16"/>
  <c r="AM63" i="16"/>
  <c r="AL63" i="16"/>
  <c r="AK63" i="16"/>
  <c r="AJ63" i="16"/>
  <c r="AI63" i="16"/>
  <c r="BM62" i="16"/>
  <c r="BL62" i="16"/>
  <c r="BK62" i="16"/>
  <c r="BJ62" i="16"/>
  <c r="BI62" i="16"/>
  <c r="BH62" i="16"/>
  <c r="BG62" i="16"/>
  <c r="BF62" i="16"/>
  <c r="BE62" i="16"/>
  <c r="BD62" i="16"/>
  <c r="BC62" i="16"/>
  <c r="BB62" i="16"/>
  <c r="BA62" i="16"/>
  <c r="AZ62" i="16"/>
  <c r="AY62" i="16"/>
  <c r="AX62" i="16"/>
  <c r="AW62" i="16"/>
  <c r="AV62" i="16"/>
  <c r="AU62" i="16"/>
  <c r="AT62" i="16"/>
  <c r="AS62" i="16"/>
  <c r="AR62" i="16"/>
  <c r="AQ62" i="16"/>
  <c r="AP62" i="16"/>
  <c r="AO62" i="16"/>
  <c r="AN62" i="16"/>
  <c r="AM62" i="16"/>
  <c r="AL62" i="16"/>
  <c r="AK62" i="16"/>
  <c r="AJ62" i="16"/>
  <c r="AI62" i="16"/>
  <c r="BM61" i="16"/>
  <c r="BL61" i="16"/>
  <c r="BK61" i="16"/>
  <c r="BJ61" i="16"/>
  <c r="BI61" i="16"/>
  <c r="BH61" i="16"/>
  <c r="BG61" i="16"/>
  <c r="BF61" i="16"/>
  <c r="BE61" i="16"/>
  <c r="BD61" i="16"/>
  <c r="BC61" i="16"/>
  <c r="BB61" i="16"/>
  <c r="BA61" i="16"/>
  <c r="AZ61" i="16"/>
  <c r="AY61" i="16"/>
  <c r="AX61" i="16"/>
  <c r="AW61" i="16"/>
  <c r="AV61" i="16"/>
  <c r="AU61" i="16"/>
  <c r="AT61" i="16"/>
  <c r="AS61" i="16"/>
  <c r="AR61" i="16"/>
  <c r="AQ61" i="16"/>
  <c r="AP61" i="16"/>
  <c r="AO61" i="16"/>
  <c r="AN61" i="16"/>
  <c r="AM61" i="16"/>
  <c r="AL61" i="16"/>
  <c r="AK61" i="16"/>
  <c r="AJ61" i="16"/>
  <c r="AI61" i="16"/>
  <c r="BM60" i="16"/>
  <c r="BL60" i="16"/>
  <c r="BK60" i="16"/>
  <c r="BJ60" i="16"/>
  <c r="BI60" i="16"/>
  <c r="BH60" i="16"/>
  <c r="BG60" i="16"/>
  <c r="BF60" i="16"/>
  <c r="BE60" i="16"/>
  <c r="BD60" i="16"/>
  <c r="BC60" i="16"/>
  <c r="BB60" i="16"/>
  <c r="BA60" i="16"/>
  <c r="AZ60" i="16"/>
  <c r="AY60" i="16"/>
  <c r="AX60" i="16"/>
  <c r="AW60" i="16"/>
  <c r="AV60" i="16"/>
  <c r="AU60" i="16"/>
  <c r="AT60" i="16"/>
  <c r="AS60" i="16"/>
  <c r="AR60" i="16"/>
  <c r="AQ60" i="16"/>
  <c r="AP60" i="16"/>
  <c r="AO60" i="16"/>
  <c r="AN60" i="16"/>
  <c r="AM60" i="16"/>
  <c r="AL60" i="16"/>
  <c r="AK60" i="16"/>
  <c r="AJ60" i="16"/>
  <c r="AI60" i="16"/>
  <c r="AJ59" i="16"/>
  <c r="AK59" i="16" s="1"/>
  <c r="AL59" i="16" s="1"/>
  <c r="AM59" i="16" s="1"/>
  <c r="AN59" i="16" s="1"/>
  <c r="AO59" i="16" s="1"/>
  <c r="AP59" i="16" s="1"/>
  <c r="AQ59" i="16" s="1"/>
  <c r="AR59" i="16" s="1"/>
  <c r="AS59" i="16" s="1"/>
  <c r="AT59" i="16" s="1"/>
  <c r="AU59" i="16" s="1"/>
  <c r="AV59" i="16" s="1"/>
  <c r="AW59" i="16" s="1"/>
  <c r="AX59" i="16" s="1"/>
  <c r="AY59" i="16" s="1"/>
  <c r="AZ59" i="16" s="1"/>
  <c r="BA59" i="16" s="1"/>
  <c r="BB59" i="16" s="1"/>
  <c r="BC59" i="16" s="1"/>
  <c r="BD59" i="16" s="1"/>
  <c r="BE59" i="16" s="1"/>
  <c r="BF59" i="16" s="1"/>
  <c r="BG59" i="16" s="1"/>
  <c r="BH59" i="16" s="1"/>
  <c r="BI59" i="16" s="1"/>
  <c r="BJ59" i="16" s="1"/>
  <c r="BK59" i="16" s="1"/>
  <c r="BL59" i="16" s="1"/>
  <c r="BM59" i="16" s="1"/>
  <c r="D59" i="16"/>
  <c r="E59" i="16" s="1"/>
  <c r="F59" i="16" s="1"/>
  <c r="G59" i="16" s="1"/>
  <c r="H59" i="16" s="1"/>
  <c r="I59" i="16" s="1"/>
  <c r="J59" i="16" s="1"/>
  <c r="K59" i="16" s="1"/>
  <c r="L59" i="16" s="1"/>
  <c r="M59" i="16" s="1"/>
  <c r="N59" i="16" s="1"/>
  <c r="O59" i="16" s="1"/>
  <c r="P59" i="16" s="1"/>
  <c r="Q59" i="16" s="1"/>
  <c r="R59" i="16" s="1"/>
  <c r="S59" i="16" s="1"/>
  <c r="T59" i="16" s="1"/>
  <c r="U59" i="16" s="1"/>
  <c r="V59" i="16" s="1"/>
  <c r="W59" i="16" s="1"/>
  <c r="X59" i="16" s="1"/>
  <c r="Y59" i="16" s="1"/>
  <c r="Z59" i="16" s="1"/>
  <c r="AA59" i="16" s="1"/>
  <c r="AB59" i="16" s="1"/>
  <c r="AC59" i="16" s="1"/>
  <c r="AD59" i="16" s="1"/>
  <c r="AE59" i="16" s="1"/>
  <c r="AF59" i="16" s="1"/>
  <c r="AG59" i="16" s="1"/>
  <c r="BM55" i="16"/>
  <c r="BL55" i="16"/>
  <c r="BK55" i="16"/>
  <c r="BJ55" i="16"/>
  <c r="BI55" i="16"/>
  <c r="BH55" i="16"/>
  <c r="BG55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BM54" i="16"/>
  <c r="BL54" i="16"/>
  <c r="BK54" i="16"/>
  <c r="BJ54" i="16"/>
  <c r="BI54" i="16"/>
  <c r="BH54" i="16"/>
  <c r="BG54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BM53" i="16"/>
  <c r="BL53" i="16"/>
  <c r="BK53" i="16"/>
  <c r="BJ53" i="16"/>
  <c r="BI53" i="16"/>
  <c r="BH53" i="16"/>
  <c r="BG53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BM52" i="16"/>
  <c r="BL52" i="16"/>
  <c r="BK52" i="16"/>
  <c r="BJ52" i="16"/>
  <c r="BI52" i="16"/>
  <c r="BH52" i="16"/>
  <c r="BG52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BM51" i="16"/>
  <c r="BL51" i="16"/>
  <c r="BK51" i="16"/>
  <c r="BJ51" i="16"/>
  <c r="BI51" i="16"/>
  <c r="BH51" i="16"/>
  <c r="BG51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BM50" i="16"/>
  <c r="BL50" i="16"/>
  <c r="BK50" i="16"/>
  <c r="BJ50" i="16"/>
  <c r="BI50" i="16"/>
  <c r="BH50" i="16"/>
  <c r="BG50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BM49" i="16"/>
  <c r="BL49" i="16"/>
  <c r="BK49" i="16"/>
  <c r="BJ49" i="16"/>
  <c r="BI49" i="16"/>
  <c r="BH49" i="16"/>
  <c r="BG49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BM48" i="16"/>
  <c r="BL48" i="16"/>
  <c r="BK48" i="16"/>
  <c r="BJ48" i="16"/>
  <c r="BI48" i="16"/>
  <c r="BH48" i="16"/>
  <c r="BG48" i="16"/>
  <c r="BF48" i="16"/>
  <c r="BE48" i="16"/>
  <c r="BD48" i="16"/>
  <c r="BC48" i="16"/>
  <c r="BB48" i="16"/>
  <c r="BA48" i="16"/>
  <c r="AZ48" i="16"/>
  <c r="AY48" i="16"/>
  <c r="AX48" i="16"/>
  <c r="AW48" i="16"/>
  <c r="AV48" i="16"/>
  <c r="AU48" i="16"/>
  <c r="AT48" i="16"/>
  <c r="AS48" i="16"/>
  <c r="AR48" i="16"/>
  <c r="AQ48" i="16"/>
  <c r="AP48" i="16"/>
  <c r="AO48" i="16"/>
  <c r="AN48" i="16"/>
  <c r="AM48" i="16"/>
  <c r="AL48" i="16"/>
  <c r="AK48" i="16"/>
  <c r="AJ48" i="16"/>
  <c r="AI48" i="16"/>
  <c r="BM47" i="16"/>
  <c r="BL47" i="16"/>
  <c r="BK47" i="16"/>
  <c r="BJ47" i="16"/>
  <c r="BI47" i="16"/>
  <c r="BH47" i="16"/>
  <c r="BG47" i="16"/>
  <c r="BF47" i="16"/>
  <c r="BE47" i="16"/>
  <c r="BD47" i="16"/>
  <c r="BC47" i="16"/>
  <c r="BB47" i="16"/>
  <c r="BA47" i="16"/>
  <c r="AZ47" i="16"/>
  <c r="AY47" i="16"/>
  <c r="AX47" i="16"/>
  <c r="AW47" i="16"/>
  <c r="AV47" i="16"/>
  <c r="AU47" i="16"/>
  <c r="AT47" i="16"/>
  <c r="AS47" i="16"/>
  <c r="AR47" i="16"/>
  <c r="AQ47" i="16"/>
  <c r="AP47" i="16"/>
  <c r="AO47" i="16"/>
  <c r="AN47" i="16"/>
  <c r="AM47" i="16"/>
  <c r="AL47" i="16"/>
  <c r="AK47" i="16"/>
  <c r="AJ47" i="16"/>
  <c r="AI47" i="16"/>
  <c r="BM46" i="16"/>
  <c r="BL46" i="16"/>
  <c r="BK46" i="16"/>
  <c r="BJ46" i="16"/>
  <c r="BI46" i="16"/>
  <c r="BH46" i="16"/>
  <c r="BG46" i="16"/>
  <c r="BF46" i="16"/>
  <c r="BE46" i="16"/>
  <c r="BD46" i="16"/>
  <c r="BC46" i="16"/>
  <c r="BB46" i="16"/>
  <c r="BA46" i="16"/>
  <c r="AZ46" i="16"/>
  <c r="AY46" i="16"/>
  <c r="AX46" i="16"/>
  <c r="AW46" i="16"/>
  <c r="AV46" i="16"/>
  <c r="AU46" i="16"/>
  <c r="AT46" i="16"/>
  <c r="AS46" i="16"/>
  <c r="AR46" i="16"/>
  <c r="AQ46" i="16"/>
  <c r="AP46" i="16"/>
  <c r="AO46" i="16"/>
  <c r="AN46" i="16"/>
  <c r="AM46" i="16"/>
  <c r="AL46" i="16"/>
  <c r="AK46" i="16"/>
  <c r="AJ46" i="16"/>
  <c r="AI46" i="16"/>
  <c r="BM45" i="16"/>
  <c r="BL45" i="16"/>
  <c r="BK45" i="16"/>
  <c r="BJ45" i="16"/>
  <c r="BI45" i="16"/>
  <c r="BH45" i="16"/>
  <c r="BG45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BM44" i="16"/>
  <c r="BL44" i="16"/>
  <c r="BK44" i="16"/>
  <c r="BJ44" i="16"/>
  <c r="BI44" i="16"/>
  <c r="BH44" i="16"/>
  <c r="BG44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BM43" i="16"/>
  <c r="BL43" i="16"/>
  <c r="BK43" i="16"/>
  <c r="BJ43" i="16"/>
  <c r="BI43" i="16"/>
  <c r="BH43" i="16"/>
  <c r="BG43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BM42" i="16"/>
  <c r="BL42" i="16"/>
  <c r="BK42" i="16"/>
  <c r="BJ42" i="16"/>
  <c r="BI42" i="16"/>
  <c r="BH42" i="16"/>
  <c r="BG42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BM41" i="16"/>
  <c r="BL41" i="16"/>
  <c r="BK41" i="16"/>
  <c r="BJ41" i="16"/>
  <c r="BI41" i="16"/>
  <c r="BH41" i="16"/>
  <c r="BG41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BM40" i="16"/>
  <c r="BL40" i="16"/>
  <c r="BK40" i="16"/>
  <c r="BJ40" i="16"/>
  <c r="BI40" i="16"/>
  <c r="BH40" i="16"/>
  <c r="BG40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BM39" i="16"/>
  <c r="BL39" i="16"/>
  <c r="BK39" i="16"/>
  <c r="BJ39" i="16"/>
  <c r="BI39" i="16"/>
  <c r="BH39" i="16"/>
  <c r="BG39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BM38" i="16"/>
  <c r="BL38" i="16"/>
  <c r="BK38" i="16"/>
  <c r="BJ38" i="16"/>
  <c r="BI38" i="16"/>
  <c r="BH38" i="16"/>
  <c r="BG38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BM37" i="16"/>
  <c r="BL37" i="16"/>
  <c r="BK37" i="16"/>
  <c r="BJ37" i="16"/>
  <c r="BI37" i="16"/>
  <c r="BH37" i="16"/>
  <c r="BG37" i="16"/>
  <c r="BF37" i="16"/>
  <c r="BE37" i="16"/>
  <c r="BD37" i="16"/>
  <c r="BC37" i="16"/>
  <c r="BB37" i="16"/>
  <c r="BA37" i="16"/>
  <c r="AZ37" i="16"/>
  <c r="AY37" i="16"/>
  <c r="AX37" i="16"/>
  <c r="AW37" i="16"/>
  <c r="AV37" i="16"/>
  <c r="AU37" i="16"/>
  <c r="AT37" i="16"/>
  <c r="AS37" i="16"/>
  <c r="AR37" i="16"/>
  <c r="AQ37" i="16"/>
  <c r="AP37" i="16"/>
  <c r="AO37" i="16"/>
  <c r="AN37" i="16"/>
  <c r="AM37" i="16"/>
  <c r="AL37" i="16"/>
  <c r="AK37" i="16"/>
  <c r="AJ37" i="16"/>
  <c r="AI37" i="16"/>
  <c r="BM36" i="16"/>
  <c r="BL36" i="16"/>
  <c r="BK36" i="16"/>
  <c r="BJ36" i="16"/>
  <c r="BI36" i="16"/>
  <c r="BH36" i="16"/>
  <c r="BG36" i="16"/>
  <c r="BF36" i="16"/>
  <c r="BE36" i="16"/>
  <c r="BD36" i="16"/>
  <c r="BC36" i="16"/>
  <c r="BB36" i="16"/>
  <c r="BA36" i="16"/>
  <c r="AZ36" i="16"/>
  <c r="AY36" i="16"/>
  <c r="AX36" i="16"/>
  <c r="AW36" i="16"/>
  <c r="AV36" i="16"/>
  <c r="AU36" i="16"/>
  <c r="AT36" i="16"/>
  <c r="AS36" i="16"/>
  <c r="AR36" i="16"/>
  <c r="AQ36" i="16"/>
  <c r="AP36" i="16"/>
  <c r="AO36" i="16"/>
  <c r="AN36" i="16"/>
  <c r="AM36" i="16"/>
  <c r="AL36" i="16"/>
  <c r="AK36" i="16"/>
  <c r="AJ36" i="16"/>
  <c r="AI36" i="16"/>
  <c r="BM35" i="16"/>
  <c r="BL35" i="16"/>
  <c r="BK35" i="16"/>
  <c r="BJ35" i="16"/>
  <c r="BI35" i="16"/>
  <c r="BH35" i="16"/>
  <c r="BG35" i="16"/>
  <c r="BF35" i="16"/>
  <c r="BE35" i="16"/>
  <c r="BD35" i="16"/>
  <c r="BC35" i="16"/>
  <c r="BB35" i="16"/>
  <c r="BA35" i="16"/>
  <c r="AZ35" i="16"/>
  <c r="AY35" i="16"/>
  <c r="AX35" i="16"/>
  <c r="AW35" i="16"/>
  <c r="AV35" i="16"/>
  <c r="AU35" i="16"/>
  <c r="AT35" i="16"/>
  <c r="AS35" i="16"/>
  <c r="AR35" i="16"/>
  <c r="AQ35" i="16"/>
  <c r="AP35" i="16"/>
  <c r="AO35" i="16"/>
  <c r="AN35" i="16"/>
  <c r="AM35" i="16"/>
  <c r="AL35" i="16"/>
  <c r="AK35" i="16"/>
  <c r="AJ35" i="16"/>
  <c r="AI35" i="16"/>
  <c r="BM34" i="16"/>
  <c r="BL34" i="16"/>
  <c r="BK34" i="16"/>
  <c r="BJ34" i="16"/>
  <c r="BI34" i="16"/>
  <c r="BH34" i="16"/>
  <c r="BG34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BM33" i="16"/>
  <c r="BL33" i="16"/>
  <c r="BK33" i="16"/>
  <c r="BJ33" i="16"/>
  <c r="BI33" i="16"/>
  <c r="BH33" i="16"/>
  <c r="BG33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J32" i="16"/>
  <c r="AK32" i="16" s="1"/>
  <c r="AL32" i="16" s="1"/>
  <c r="AM32" i="16" s="1"/>
  <c r="AN32" i="16" s="1"/>
  <c r="AO32" i="16" s="1"/>
  <c r="AP32" i="16" s="1"/>
  <c r="AQ32" i="16" s="1"/>
  <c r="AR32" i="16" s="1"/>
  <c r="AS32" i="16" s="1"/>
  <c r="AT32" i="16" s="1"/>
  <c r="AU32" i="16" s="1"/>
  <c r="AV32" i="16" s="1"/>
  <c r="AW32" i="16" s="1"/>
  <c r="AX32" i="16" s="1"/>
  <c r="AY32" i="16" s="1"/>
  <c r="AZ32" i="16" s="1"/>
  <c r="BA32" i="16" s="1"/>
  <c r="BB32" i="16" s="1"/>
  <c r="BC32" i="16" s="1"/>
  <c r="BD32" i="16" s="1"/>
  <c r="BE32" i="16" s="1"/>
  <c r="BF32" i="16" s="1"/>
  <c r="BG32" i="16" s="1"/>
  <c r="BH32" i="16" s="1"/>
  <c r="BI32" i="16" s="1"/>
  <c r="BJ32" i="16" s="1"/>
  <c r="BK32" i="16" s="1"/>
  <c r="BL32" i="16" s="1"/>
  <c r="BM32" i="16" s="1"/>
  <c r="D32" i="16"/>
  <c r="E32" i="16" s="1"/>
  <c r="F32" i="16" s="1"/>
  <c r="G32" i="16" s="1"/>
  <c r="H32" i="16" s="1"/>
  <c r="I32" i="16" s="1"/>
  <c r="J32" i="16" s="1"/>
  <c r="K32" i="16" s="1"/>
  <c r="L32" i="16" s="1"/>
  <c r="M32" i="16" s="1"/>
  <c r="N32" i="16" s="1"/>
  <c r="O32" i="16" s="1"/>
  <c r="P32" i="16" s="1"/>
  <c r="Q32" i="16" s="1"/>
  <c r="R32" i="16" s="1"/>
  <c r="S32" i="16" s="1"/>
  <c r="T32" i="16" s="1"/>
  <c r="U32" i="16" s="1"/>
  <c r="V32" i="16" s="1"/>
  <c r="W32" i="16" s="1"/>
  <c r="X32" i="16" s="1"/>
  <c r="Y32" i="16" s="1"/>
  <c r="Z32" i="16" s="1"/>
  <c r="AA32" i="16" s="1"/>
  <c r="AB32" i="16" s="1"/>
  <c r="AC32" i="16" s="1"/>
  <c r="AD32" i="16" s="1"/>
  <c r="AE32" i="16" s="1"/>
  <c r="AF32" i="16" s="1"/>
  <c r="AG32" i="16" s="1"/>
  <c r="BM27" i="16"/>
  <c r="BL27" i="16"/>
  <c r="BK27" i="16"/>
  <c r="BJ27" i="16"/>
  <c r="BI27" i="16"/>
  <c r="BH27" i="16"/>
  <c r="BG27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BM26" i="16"/>
  <c r="BL26" i="16"/>
  <c r="BK26" i="16"/>
  <c r="BJ26" i="16"/>
  <c r="BI26" i="16"/>
  <c r="BH26" i="16"/>
  <c r="BG26" i="16"/>
  <c r="BF26" i="16"/>
  <c r="BE26" i="16"/>
  <c r="BD26" i="16"/>
  <c r="BC26" i="16"/>
  <c r="BB26" i="16"/>
  <c r="BA26" i="16"/>
  <c r="AZ26" i="16"/>
  <c r="AY26" i="16"/>
  <c r="AX26" i="16"/>
  <c r="AW26" i="16"/>
  <c r="AV26" i="16"/>
  <c r="AU26" i="16"/>
  <c r="AT26" i="16"/>
  <c r="AS26" i="16"/>
  <c r="AR26" i="16"/>
  <c r="AQ26" i="16"/>
  <c r="AP26" i="16"/>
  <c r="AO26" i="16"/>
  <c r="AN26" i="16"/>
  <c r="AM26" i="16"/>
  <c r="AL26" i="16"/>
  <c r="AK26" i="16"/>
  <c r="AJ26" i="16"/>
  <c r="AI26" i="16"/>
  <c r="BM25" i="16"/>
  <c r="BL25" i="16"/>
  <c r="BK25" i="16"/>
  <c r="BJ25" i="16"/>
  <c r="BI25" i="16"/>
  <c r="BH25" i="16"/>
  <c r="BG25" i="16"/>
  <c r="BF25" i="16"/>
  <c r="BE25" i="16"/>
  <c r="BD25" i="16"/>
  <c r="BC25" i="16"/>
  <c r="BB25" i="16"/>
  <c r="BA25" i="16"/>
  <c r="AZ25" i="16"/>
  <c r="AY25" i="16"/>
  <c r="AX25" i="16"/>
  <c r="AW25" i="16"/>
  <c r="AV25" i="16"/>
  <c r="AU25" i="16"/>
  <c r="AT25" i="16"/>
  <c r="AS25" i="16"/>
  <c r="AR25" i="16"/>
  <c r="AQ25" i="16"/>
  <c r="AP25" i="16"/>
  <c r="AO25" i="16"/>
  <c r="AN25" i="16"/>
  <c r="AM25" i="16"/>
  <c r="AL25" i="16"/>
  <c r="AK25" i="16"/>
  <c r="AJ25" i="16"/>
  <c r="AI25" i="16"/>
  <c r="BM24" i="16"/>
  <c r="BL24" i="16"/>
  <c r="BK24" i="16"/>
  <c r="BJ24" i="16"/>
  <c r="BI24" i="16"/>
  <c r="BH24" i="16"/>
  <c r="BG24" i="16"/>
  <c r="BF24" i="16"/>
  <c r="BE24" i="16"/>
  <c r="BD24" i="16"/>
  <c r="BC24" i="16"/>
  <c r="BB24" i="16"/>
  <c r="BA24" i="16"/>
  <c r="AZ24" i="16"/>
  <c r="AY24" i="16"/>
  <c r="AX24" i="16"/>
  <c r="AW24" i="16"/>
  <c r="AV24" i="16"/>
  <c r="AU24" i="16"/>
  <c r="AT24" i="16"/>
  <c r="AS24" i="16"/>
  <c r="AR24" i="16"/>
  <c r="AQ24" i="16"/>
  <c r="AP24" i="16"/>
  <c r="AO24" i="16"/>
  <c r="AN24" i="16"/>
  <c r="AM24" i="16"/>
  <c r="AL24" i="16"/>
  <c r="AK24" i="16"/>
  <c r="AJ24" i="16"/>
  <c r="AI24" i="16"/>
  <c r="BM23" i="16"/>
  <c r="BL23" i="16"/>
  <c r="BK23" i="16"/>
  <c r="BJ23" i="16"/>
  <c r="BI23" i="16"/>
  <c r="BH23" i="16"/>
  <c r="BG23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BM22" i="16"/>
  <c r="BL22" i="16"/>
  <c r="BK22" i="16"/>
  <c r="BJ22" i="16"/>
  <c r="BI22" i="16"/>
  <c r="BH22" i="16"/>
  <c r="BG22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BM21" i="16"/>
  <c r="BL21" i="16"/>
  <c r="BK21" i="16"/>
  <c r="BJ21" i="16"/>
  <c r="BI21" i="16"/>
  <c r="BH21" i="16"/>
  <c r="BG21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BM20" i="16"/>
  <c r="BL20" i="16"/>
  <c r="BK20" i="16"/>
  <c r="BJ20" i="16"/>
  <c r="BI20" i="16"/>
  <c r="BH20" i="16"/>
  <c r="BG20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BM19" i="16"/>
  <c r="BL19" i="16"/>
  <c r="BK19" i="16"/>
  <c r="BJ19" i="16"/>
  <c r="BI19" i="16"/>
  <c r="BH19" i="16"/>
  <c r="BG19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BM18" i="16"/>
  <c r="BL18" i="16"/>
  <c r="BK18" i="16"/>
  <c r="BJ18" i="16"/>
  <c r="BI18" i="16"/>
  <c r="BH18" i="16"/>
  <c r="BG18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BM17" i="16"/>
  <c r="BL17" i="16"/>
  <c r="BK17" i="16"/>
  <c r="BJ17" i="16"/>
  <c r="BI17" i="16"/>
  <c r="BH17" i="16"/>
  <c r="BG17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BM16" i="16"/>
  <c r="BL16" i="16"/>
  <c r="BK16" i="16"/>
  <c r="BJ16" i="16"/>
  <c r="BI16" i="16"/>
  <c r="BH16" i="16"/>
  <c r="BG16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BM15" i="16"/>
  <c r="BL15" i="16"/>
  <c r="BK15" i="16"/>
  <c r="BJ15" i="16"/>
  <c r="BI15" i="16"/>
  <c r="BH15" i="16"/>
  <c r="BG15" i="16"/>
  <c r="BF15" i="16"/>
  <c r="BE15" i="16"/>
  <c r="BD15" i="16"/>
  <c r="BC15" i="16"/>
  <c r="BB15" i="16"/>
  <c r="BA15" i="16"/>
  <c r="AZ15" i="16"/>
  <c r="AY15" i="16"/>
  <c r="AX15" i="16"/>
  <c r="AW15" i="16"/>
  <c r="AV15" i="16"/>
  <c r="AU15" i="16"/>
  <c r="AT15" i="16"/>
  <c r="AS15" i="16"/>
  <c r="AR15" i="16"/>
  <c r="AQ15" i="16"/>
  <c r="AP15" i="16"/>
  <c r="AO15" i="16"/>
  <c r="AN15" i="16"/>
  <c r="AM15" i="16"/>
  <c r="AL15" i="16"/>
  <c r="AK15" i="16"/>
  <c r="AJ15" i="16"/>
  <c r="AI15" i="16"/>
  <c r="BM14" i="16"/>
  <c r="BL14" i="16"/>
  <c r="BK14" i="16"/>
  <c r="BJ14" i="16"/>
  <c r="BI14" i="16"/>
  <c r="BH14" i="16"/>
  <c r="BG14" i="16"/>
  <c r="BF14" i="16"/>
  <c r="BE14" i="16"/>
  <c r="BD14" i="16"/>
  <c r="BC14" i="16"/>
  <c r="BB14" i="16"/>
  <c r="BA14" i="16"/>
  <c r="AZ14" i="16"/>
  <c r="AY14" i="16"/>
  <c r="AX14" i="16"/>
  <c r="AW14" i="16"/>
  <c r="AV14" i="16"/>
  <c r="AU14" i="16"/>
  <c r="AT14" i="16"/>
  <c r="AS14" i="16"/>
  <c r="AR14" i="16"/>
  <c r="AQ14" i="16"/>
  <c r="AP14" i="16"/>
  <c r="AO14" i="16"/>
  <c r="AN14" i="16"/>
  <c r="AM14" i="16"/>
  <c r="AL14" i="16"/>
  <c r="AK14" i="16"/>
  <c r="AJ14" i="16"/>
  <c r="AI14" i="16"/>
  <c r="BM13" i="16"/>
  <c r="BL13" i="16"/>
  <c r="BK13" i="16"/>
  <c r="BJ13" i="16"/>
  <c r="BI13" i="16"/>
  <c r="BH13" i="16"/>
  <c r="BG13" i="16"/>
  <c r="BF13" i="16"/>
  <c r="BE13" i="16"/>
  <c r="BD13" i="16"/>
  <c r="BC13" i="16"/>
  <c r="BB13" i="16"/>
  <c r="BA13" i="16"/>
  <c r="AZ13" i="16"/>
  <c r="AY13" i="16"/>
  <c r="AX13" i="16"/>
  <c r="AW13" i="16"/>
  <c r="AV13" i="16"/>
  <c r="AU13" i="16"/>
  <c r="AT13" i="16"/>
  <c r="AS13" i="16"/>
  <c r="AR13" i="16"/>
  <c r="AQ13" i="16"/>
  <c r="AP13" i="16"/>
  <c r="AO13" i="16"/>
  <c r="AN13" i="16"/>
  <c r="AM13" i="16"/>
  <c r="AL13" i="16"/>
  <c r="AK13" i="16"/>
  <c r="AJ13" i="16"/>
  <c r="AI13" i="16"/>
  <c r="BM12" i="16"/>
  <c r="BL12" i="16"/>
  <c r="BK12" i="16"/>
  <c r="BJ12" i="16"/>
  <c r="BI12" i="16"/>
  <c r="BH12" i="16"/>
  <c r="BG12" i="16"/>
  <c r="BF12" i="16"/>
  <c r="BE12" i="16"/>
  <c r="BD12" i="16"/>
  <c r="BC12" i="16"/>
  <c r="BB12" i="16"/>
  <c r="BA12" i="16"/>
  <c r="AZ12" i="16"/>
  <c r="AY12" i="16"/>
  <c r="AX12" i="16"/>
  <c r="AW12" i="16"/>
  <c r="AV12" i="16"/>
  <c r="AU12" i="16"/>
  <c r="AT12" i="16"/>
  <c r="AS12" i="16"/>
  <c r="AR12" i="16"/>
  <c r="AQ12" i="16"/>
  <c r="AP12" i="16"/>
  <c r="AO12" i="16"/>
  <c r="AN12" i="16"/>
  <c r="AM12" i="16"/>
  <c r="AL12" i="16"/>
  <c r="AK12" i="16"/>
  <c r="AJ12" i="16"/>
  <c r="AI12" i="16"/>
  <c r="BM11" i="16"/>
  <c r="BL11" i="16"/>
  <c r="BK11" i="16"/>
  <c r="BJ11" i="16"/>
  <c r="BI11" i="16"/>
  <c r="BH11" i="16"/>
  <c r="BG11" i="16"/>
  <c r="BF11" i="16"/>
  <c r="BE11" i="16"/>
  <c r="BD11" i="16"/>
  <c r="BC11" i="16"/>
  <c r="BB11" i="16"/>
  <c r="BA11" i="16"/>
  <c r="AZ11" i="16"/>
  <c r="AY11" i="16"/>
  <c r="AX11" i="16"/>
  <c r="AW11" i="16"/>
  <c r="AV11" i="16"/>
  <c r="AU11" i="16"/>
  <c r="AT11" i="16"/>
  <c r="AS11" i="16"/>
  <c r="AR11" i="16"/>
  <c r="AQ11" i="16"/>
  <c r="AP11" i="16"/>
  <c r="AO11" i="16"/>
  <c r="AN11" i="16"/>
  <c r="AM11" i="16"/>
  <c r="AL11" i="16"/>
  <c r="AK11" i="16"/>
  <c r="AJ11" i="16"/>
  <c r="AI11" i="16"/>
  <c r="BM10" i="16"/>
  <c r="BL10" i="16"/>
  <c r="BK10" i="16"/>
  <c r="BJ10" i="16"/>
  <c r="BI10" i="16"/>
  <c r="BH10" i="16"/>
  <c r="BG10" i="16"/>
  <c r="BF10" i="16"/>
  <c r="BE10" i="16"/>
  <c r="BD10" i="16"/>
  <c r="BC10" i="16"/>
  <c r="BB10" i="16"/>
  <c r="BA10" i="16"/>
  <c r="AZ10" i="16"/>
  <c r="AY10" i="16"/>
  <c r="AX10" i="16"/>
  <c r="AW10" i="16"/>
  <c r="AV10" i="16"/>
  <c r="AU10" i="16"/>
  <c r="AT10" i="16"/>
  <c r="AS10" i="16"/>
  <c r="AR10" i="16"/>
  <c r="AQ10" i="16"/>
  <c r="AP10" i="16"/>
  <c r="AO10" i="16"/>
  <c r="AN10" i="16"/>
  <c r="AM10" i="16"/>
  <c r="AL10" i="16"/>
  <c r="AK10" i="16"/>
  <c r="AJ10" i="16"/>
  <c r="AI10" i="16"/>
  <c r="BM9" i="16"/>
  <c r="BL9" i="16"/>
  <c r="BK9" i="16"/>
  <c r="BJ9" i="16"/>
  <c r="BI9" i="16"/>
  <c r="BH9" i="16"/>
  <c r="BG9" i="16"/>
  <c r="BF9" i="16"/>
  <c r="BE9" i="16"/>
  <c r="BD9" i="16"/>
  <c r="BC9" i="16"/>
  <c r="BB9" i="16"/>
  <c r="BA9" i="16"/>
  <c r="AZ9" i="16"/>
  <c r="AY9" i="16"/>
  <c r="AX9" i="16"/>
  <c r="AW9" i="16"/>
  <c r="AV9" i="16"/>
  <c r="AU9" i="16"/>
  <c r="AT9" i="16"/>
  <c r="AS9" i="16"/>
  <c r="AR9" i="16"/>
  <c r="AQ9" i="16"/>
  <c r="AP9" i="16"/>
  <c r="AO9" i="16"/>
  <c r="AN9" i="16"/>
  <c r="AM9" i="16"/>
  <c r="AL9" i="16"/>
  <c r="AK9" i="16"/>
  <c r="AJ9" i="16"/>
  <c r="AI9" i="16"/>
  <c r="BM8" i="16"/>
  <c r="BL8" i="16"/>
  <c r="BK8" i="16"/>
  <c r="BJ8" i="16"/>
  <c r="BI8" i="16"/>
  <c r="BH8" i="16"/>
  <c r="BG8" i="16"/>
  <c r="BF8" i="16"/>
  <c r="BE8" i="16"/>
  <c r="BD8" i="16"/>
  <c r="BC8" i="16"/>
  <c r="BB8" i="16"/>
  <c r="BA8" i="16"/>
  <c r="AZ8" i="16"/>
  <c r="AY8" i="16"/>
  <c r="AX8" i="16"/>
  <c r="AW8" i="16"/>
  <c r="AV8" i="16"/>
  <c r="AU8" i="16"/>
  <c r="AT8" i="16"/>
  <c r="AS8" i="16"/>
  <c r="AR8" i="16"/>
  <c r="AQ8" i="16"/>
  <c r="AP8" i="16"/>
  <c r="AO8" i="16"/>
  <c r="AN8" i="16"/>
  <c r="AM8" i="16"/>
  <c r="AL8" i="16"/>
  <c r="AK8" i="16"/>
  <c r="AJ8" i="16"/>
  <c r="AI8" i="16"/>
  <c r="BM7" i="16"/>
  <c r="BL7" i="16"/>
  <c r="BK7" i="16"/>
  <c r="BJ7" i="16"/>
  <c r="BI7" i="16"/>
  <c r="BH7" i="16"/>
  <c r="BG7" i="16"/>
  <c r="BF7" i="16"/>
  <c r="BE7" i="16"/>
  <c r="BD7" i="16"/>
  <c r="BC7" i="16"/>
  <c r="BB7" i="16"/>
  <c r="BA7" i="16"/>
  <c r="AZ7" i="16"/>
  <c r="AY7" i="16"/>
  <c r="AX7" i="16"/>
  <c r="AW7" i="16"/>
  <c r="AV7" i="16"/>
  <c r="AU7" i="16"/>
  <c r="AT7" i="16"/>
  <c r="AS7" i="16"/>
  <c r="AR7" i="16"/>
  <c r="AQ7" i="16"/>
  <c r="AP7" i="16"/>
  <c r="AO7" i="16"/>
  <c r="AN7" i="16"/>
  <c r="AM7" i="16"/>
  <c r="AL7" i="16"/>
  <c r="AK7" i="16"/>
  <c r="AJ7" i="16"/>
  <c r="AI7" i="16"/>
  <c r="BM6" i="16"/>
  <c r="BL6" i="16"/>
  <c r="BK6" i="16"/>
  <c r="BJ6" i="16"/>
  <c r="BI6" i="16"/>
  <c r="BH6" i="16"/>
  <c r="BG6" i="16"/>
  <c r="BF6" i="16"/>
  <c r="BE6" i="16"/>
  <c r="BD6" i="16"/>
  <c r="BC6" i="16"/>
  <c r="BB6" i="16"/>
  <c r="BA6" i="16"/>
  <c r="AZ6" i="16"/>
  <c r="AY6" i="16"/>
  <c r="AX6" i="16"/>
  <c r="AW6" i="16"/>
  <c r="AV6" i="16"/>
  <c r="AU6" i="16"/>
  <c r="AT6" i="16"/>
  <c r="AS6" i="16"/>
  <c r="AR6" i="16"/>
  <c r="AQ6" i="16"/>
  <c r="AP6" i="16"/>
  <c r="AO6" i="16"/>
  <c r="AN6" i="16"/>
  <c r="AM6" i="16"/>
  <c r="AL6" i="16"/>
  <c r="AK6" i="16"/>
  <c r="AJ6" i="16"/>
  <c r="AI6" i="16"/>
  <c r="BM5" i="16"/>
  <c r="BL5" i="16"/>
  <c r="BK5" i="16"/>
  <c r="BJ5" i="16"/>
  <c r="BI5" i="16"/>
  <c r="BH5" i="16"/>
  <c r="BG5" i="16"/>
  <c r="BF5" i="16"/>
  <c r="BE5" i="16"/>
  <c r="BD5" i="16"/>
  <c r="BC5" i="16"/>
  <c r="BB5" i="16"/>
  <c r="BA5" i="16"/>
  <c r="AZ5" i="16"/>
  <c r="AY5" i="16"/>
  <c r="AX5" i="16"/>
  <c r="AW5" i="16"/>
  <c r="AV5" i="16"/>
  <c r="AU5" i="16"/>
  <c r="AT5" i="16"/>
  <c r="AS5" i="16"/>
  <c r="AR5" i="16"/>
  <c r="AQ5" i="16"/>
  <c r="AP5" i="16"/>
  <c r="AO5" i="16"/>
  <c r="AN5" i="16"/>
  <c r="AM5" i="16"/>
  <c r="AL5" i="16"/>
  <c r="AK5" i="16"/>
  <c r="AJ5" i="16"/>
  <c r="AI5" i="16"/>
  <c r="BM4" i="16"/>
  <c r="BL4" i="16"/>
  <c r="BK4" i="16"/>
  <c r="BJ4" i="16"/>
  <c r="BI4" i="16"/>
  <c r="BH4" i="16"/>
  <c r="BG4" i="16"/>
  <c r="BF4" i="16"/>
  <c r="BE4" i="16"/>
  <c r="BD4" i="16"/>
  <c r="BC4" i="16"/>
  <c r="BB4" i="16"/>
  <c r="BA4" i="16"/>
  <c r="AZ4" i="16"/>
  <c r="AY4" i="16"/>
  <c r="AX4" i="16"/>
  <c r="AW4" i="16"/>
  <c r="AV4" i="16"/>
  <c r="AU4" i="16"/>
  <c r="AT4" i="16"/>
  <c r="AS4" i="16"/>
  <c r="AR4" i="16"/>
  <c r="AQ4" i="16"/>
  <c r="AP4" i="16"/>
  <c r="AO4" i="16"/>
  <c r="AN4" i="16"/>
  <c r="AM4" i="16"/>
  <c r="AL4" i="16"/>
  <c r="AK4" i="16"/>
  <c r="AJ4" i="16"/>
  <c r="AI4" i="16"/>
  <c r="BM3" i="16"/>
  <c r="BL3" i="16"/>
  <c r="BK3" i="16"/>
  <c r="BJ3" i="16"/>
  <c r="BI3" i="16"/>
  <c r="BH3" i="16"/>
  <c r="BG3" i="16"/>
  <c r="BF3" i="16"/>
  <c r="BE3" i="16"/>
  <c r="BD3" i="16"/>
  <c r="BC3" i="16"/>
  <c r="BB3" i="16"/>
  <c r="BA3" i="16"/>
  <c r="AZ3" i="16"/>
  <c r="AY3" i="16"/>
  <c r="AX3" i="16"/>
  <c r="AW3" i="16"/>
  <c r="AV3" i="16"/>
  <c r="AU3" i="16"/>
  <c r="AT3" i="16"/>
  <c r="AS3" i="16"/>
  <c r="AR3" i="16"/>
  <c r="AQ3" i="16"/>
  <c r="AP3" i="16"/>
  <c r="AO3" i="16"/>
  <c r="AN3" i="16"/>
  <c r="AM3" i="16"/>
  <c r="AL3" i="16"/>
  <c r="AK3" i="16"/>
  <c r="AJ3" i="16"/>
  <c r="AI3" i="16"/>
  <c r="AJ2" i="16"/>
  <c r="AK2" i="16" s="1"/>
  <c r="AL2" i="16" s="1"/>
  <c r="AM2" i="16" s="1"/>
  <c r="AN2" i="16" s="1"/>
  <c r="AO2" i="16" s="1"/>
  <c r="AP2" i="16" s="1"/>
  <c r="AQ2" i="16" s="1"/>
  <c r="AR2" i="16" s="1"/>
  <c r="AS2" i="16" s="1"/>
  <c r="AT2" i="16" s="1"/>
  <c r="AU2" i="16" s="1"/>
  <c r="AV2" i="16" s="1"/>
  <c r="AW2" i="16" s="1"/>
  <c r="AX2" i="16" s="1"/>
  <c r="AY2" i="16" s="1"/>
  <c r="AZ2" i="16" s="1"/>
  <c r="BA2" i="16" s="1"/>
  <c r="BB2" i="16" s="1"/>
  <c r="BC2" i="16" s="1"/>
  <c r="BD2" i="16" s="1"/>
  <c r="BE2" i="16" s="1"/>
  <c r="BF2" i="16" s="1"/>
  <c r="BG2" i="16" s="1"/>
  <c r="BH2" i="16" s="1"/>
  <c r="BI2" i="16" s="1"/>
  <c r="BJ2" i="16" s="1"/>
  <c r="BK2" i="16" s="1"/>
  <c r="BL2" i="16" s="1"/>
  <c r="BM2" i="16" s="1"/>
  <c r="D2" i="16"/>
  <c r="E2" i="16" s="1"/>
  <c r="F2" i="16" s="1"/>
  <c r="G2" i="16" s="1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AG2" i="16" s="1"/>
  <c r="H89" i="19"/>
  <c r="F89" i="19"/>
  <c r="D89" i="19"/>
  <c r="H88" i="19"/>
  <c r="F88" i="19"/>
  <c r="D88" i="19"/>
  <c r="H87" i="19"/>
  <c r="F87" i="19"/>
  <c r="D87" i="19"/>
  <c r="H86" i="19"/>
  <c r="F86" i="19"/>
  <c r="D86" i="19"/>
  <c r="H85" i="19"/>
  <c r="F85" i="19"/>
  <c r="D85" i="19"/>
  <c r="H84" i="19"/>
  <c r="F84" i="19"/>
  <c r="D84" i="19"/>
  <c r="L78" i="19"/>
  <c r="F78" i="1" s="1"/>
  <c r="J78" i="19"/>
  <c r="E78" i="1" s="1"/>
  <c r="H78" i="19"/>
  <c r="D78" i="1" s="1"/>
  <c r="F78" i="19"/>
  <c r="C78" i="1" s="1"/>
  <c r="L72" i="19"/>
  <c r="F72" i="1" s="1"/>
  <c r="AF72" i="1" s="1"/>
  <c r="L71" i="19"/>
  <c r="F71" i="1" s="1"/>
  <c r="F34" i="2" s="1"/>
  <c r="J71" i="19"/>
  <c r="E71" i="1" s="1"/>
  <c r="E34" i="2" s="1"/>
  <c r="H71" i="19"/>
  <c r="F71" i="19"/>
  <c r="C71" i="1" s="1"/>
  <c r="L70" i="19"/>
  <c r="J70" i="19"/>
  <c r="H70" i="19"/>
  <c r="D70" i="1" s="1"/>
  <c r="F70" i="19"/>
  <c r="C70" i="1" s="1"/>
  <c r="I2" i="2"/>
  <c r="L69" i="19"/>
  <c r="F69" i="1" s="1"/>
  <c r="F2" i="2" s="1"/>
  <c r="J69" i="19"/>
  <c r="E69" i="1" s="1"/>
  <c r="E2" i="2" s="1"/>
  <c r="H69" i="19"/>
  <c r="D69" i="1" s="1"/>
  <c r="F69" i="19"/>
  <c r="C69" i="1" s="1"/>
  <c r="L68" i="19"/>
  <c r="F68" i="1" s="1"/>
  <c r="J68" i="19"/>
  <c r="E68" i="1" s="1"/>
  <c r="H68" i="19"/>
  <c r="D68" i="1" s="1"/>
  <c r="F68" i="19"/>
  <c r="C68" i="1" s="1"/>
  <c r="L67" i="19"/>
  <c r="J67" i="19"/>
  <c r="H67" i="19"/>
  <c r="F67" i="19"/>
  <c r="L65" i="19"/>
  <c r="J65" i="19"/>
  <c r="H65" i="19"/>
  <c r="F65" i="19"/>
  <c r="L64" i="19"/>
  <c r="J64" i="19"/>
  <c r="H64" i="19"/>
  <c r="D64" i="1" s="1"/>
  <c r="F64" i="19"/>
  <c r="L62" i="19"/>
  <c r="F62" i="1" s="1"/>
  <c r="J62" i="19"/>
  <c r="E62" i="1" s="1"/>
  <c r="H62" i="19"/>
  <c r="D62" i="1" s="1"/>
  <c r="F62" i="19"/>
  <c r="C62" i="1" s="1"/>
  <c r="L61" i="19"/>
  <c r="F61" i="1" s="1"/>
  <c r="J61" i="19"/>
  <c r="E61" i="1" s="1"/>
  <c r="H61" i="19"/>
  <c r="D61" i="1" s="1"/>
  <c r="F61" i="19"/>
  <c r="C61" i="1" s="1"/>
  <c r="L60" i="19"/>
  <c r="F60" i="1" s="1"/>
  <c r="J60" i="19"/>
  <c r="E60" i="1" s="1"/>
  <c r="H60" i="19"/>
  <c r="D60" i="1" s="1"/>
  <c r="F60" i="19"/>
  <c r="C60" i="1" s="1"/>
  <c r="L59" i="19"/>
  <c r="F59" i="1" s="1"/>
  <c r="J59" i="19"/>
  <c r="E59" i="1" s="1"/>
  <c r="H59" i="19"/>
  <c r="D59" i="1" s="1"/>
  <c r="F59" i="19"/>
  <c r="C59" i="1" s="1"/>
  <c r="L58" i="19"/>
  <c r="J58" i="19"/>
  <c r="H58" i="19"/>
  <c r="F58" i="19"/>
  <c r="L57" i="19"/>
  <c r="J57" i="19"/>
  <c r="H57" i="19"/>
  <c r="D57" i="1" s="1"/>
  <c r="F57" i="19"/>
  <c r="L56" i="19"/>
  <c r="J56" i="19"/>
  <c r="H56" i="19"/>
  <c r="F56" i="19"/>
  <c r="L55" i="19"/>
  <c r="J55" i="19"/>
  <c r="E55" i="1" s="1"/>
  <c r="H55" i="19"/>
  <c r="D55" i="1" s="1"/>
  <c r="F55" i="19"/>
  <c r="L54" i="19"/>
  <c r="F54" i="1" s="1"/>
  <c r="J54" i="19"/>
  <c r="E54" i="1" s="1"/>
  <c r="H54" i="19"/>
  <c r="D54" i="1" s="1"/>
  <c r="F54" i="19"/>
  <c r="C54" i="1" s="1"/>
  <c r="L51" i="19"/>
  <c r="F51" i="1" s="1"/>
  <c r="J51" i="19"/>
  <c r="E51" i="1" s="1"/>
  <c r="H51" i="19"/>
  <c r="D51" i="1" s="1"/>
  <c r="F51" i="19"/>
  <c r="C51" i="1" s="1"/>
  <c r="F50" i="1"/>
  <c r="E50" i="1"/>
  <c r="F50" i="19"/>
  <c r="C50" i="1" s="1"/>
  <c r="AF50" i="1" s="1"/>
  <c r="L49" i="19"/>
  <c r="J49" i="19"/>
  <c r="H49" i="19"/>
  <c r="D49" i="1" s="1"/>
  <c r="F49" i="19"/>
  <c r="L48" i="19"/>
  <c r="F48" i="1" s="1"/>
  <c r="J48" i="19"/>
  <c r="E48" i="1" s="1"/>
  <c r="H48" i="19"/>
  <c r="D48" i="1" s="1"/>
  <c r="L47" i="19"/>
  <c r="J47" i="19"/>
  <c r="H47" i="19"/>
  <c r="F47" i="19"/>
  <c r="L46" i="19"/>
  <c r="F46" i="1" s="1"/>
  <c r="J46" i="19"/>
  <c r="E46" i="1" s="1"/>
  <c r="H46" i="19"/>
  <c r="D46" i="1" s="1"/>
  <c r="F46" i="19"/>
  <c r="C46" i="1" s="1"/>
  <c r="L45" i="19"/>
  <c r="F45" i="1" s="1"/>
  <c r="J45" i="19"/>
  <c r="E45" i="1" s="1"/>
  <c r="H45" i="19"/>
  <c r="D45" i="1" s="1"/>
  <c r="F45" i="19"/>
  <c r="C45" i="1" s="1"/>
  <c r="L44" i="19"/>
  <c r="J44" i="19"/>
  <c r="H44" i="19"/>
  <c r="D44" i="1" s="1"/>
  <c r="F44" i="19"/>
  <c r="C44" i="1" s="1"/>
  <c r="L43" i="19"/>
  <c r="J43" i="19"/>
  <c r="E43" i="1" s="1"/>
  <c r="H43" i="19"/>
  <c r="D43" i="1" s="1"/>
  <c r="F43" i="19"/>
  <c r="C43" i="1" s="1"/>
  <c r="L42" i="19"/>
  <c r="F42" i="1" s="1"/>
  <c r="J42" i="19"/>
  <c r="E42" i="1" s="1"/>
  <c r="H42" i="19"/>
  <c r="D42" i="1" s="1"/>
  <c r="F42" i="19"/>
  <c r="C42" i="1" s="1"/>
  <c r="L40" i="19"/>
  <c r="F40" i="1" s="1"/>
  <c r="J40" i="19"/>
  <c r="E40" i="1" s="1"/>
  <c r="H40" i="19"/>
  <c r="D40" i="1" s="1"/>
  <c r="F40" i="19"/>
  <c r="C40" i="1" s="1"/>
  <c r="L39" i="19"/>
  <c r="F39" i="1" s="1"/>
  <c r="J39" i="19"/>
  <c r="E39" i="1" s="1"/>
  <c r="H39" i="19"/>
  <c r="D39" i="1" s="1"/>
  <c r="F39" i="19"/>
  <c r="C39" i="1" s="1"/>
  <c r="L38" i="19"/>
  <c r="F38" i="1" s="1"/>
  <c r="J38" i="19"/>
  <c r="E38" i="1" s="1"/>
  <c r="H38" i="19"/>
  <c r="D38" i="1" s="1"/>
  <c r="F38" i="19"/>
  <c r="C38" i="1" s="1"/>
  <c r="L36" i="19"/>
  <c r="J36" i="19"/>
  <c r="H36" i="19"/>
  <c r="D36" i="1" s="1"/>
  <c r="F36" i="19"/>
  <c r="C36" i="1" s="1"/>
  <c r="L35" i="19"/>
  <c r="F35" i="1" s="1"/>
  <c r="E35" i="1"/>
  <c r="H35" i="19"/>
  <c r="D35" i="1" s="1"/>
  <c r="F35" i="19"/>
  <c r="C35" i="1" s="1"/>
  <c r="L34" i="19"/>
  <c r="F34" i="1" s="1"/>
  <c r="J34" i="19"/>
  <c r="E34" i="1" s="1"/>
  <c r="H34" i="19"/>
  <c r="D34" i="1" s="1"/>
  <c r="F34" i="19"/>
  <c r="C34" i="1" s="1"/>
  <c r="L33" i="19"/>
  <c r="F33" i="1" s="1"/>
  <c r="J33" i="19"/>
  <c r="E33" i="1" s="1"/>
  <c r="L32" i="19"/>
  <c r="J32" i="19"/>
  <c r="H32" i="19"/>
  <c r="F32" i="19"/>
  <c r="L31" i="19"/>
  <c r="J31" i="19"/>
  <c r="E31" i="1" s="1"/>
  <c r="H31" i="19"/>
  <c r="D31" i="1" s="1"/>
  <c r="F31" i="19"/>
  <c r="C31" i="1" s="1"/>
  <c r="L30" i="19"/>
  <c r="F30" i="1" s="1"/>
  <c r="J30" i="19"/>
  <c r="E30" i="1" s="1"/>
  <c r="H30" i="19"/>
  <c r="D30" i="1" s="1"/>
  <c r="F30" i="19"/>
  <c r="C30" i="1" s="1"/>
  <c r="H28" i="19"/>
  <c r="D28" i="1" s="1"/>
  <c r="F28" i="19"/>
  <c r="C28" i="1" s="1"/>
  <c r="L25" i="19"/>
  <c r="F25" i="1" s="1"/>
  <c r="J25" i="19"/>
  <c r="E25" i="1" s="1"/>
  <c r="H25" i="19"/>
  <c r="D25" i="1" s="1"/>
  <c r="F25" i="19"/>
  <c r="C25" i="1" s="1"/>
  <c r="J24" i="19"/>
  <c r="H24" i="19"/>
  <c r="F24" i="19"/>
  <c r="L23" i="19"/>
  <c r="J23" i="19"/>
  <c r="H23" i="19"/>
  <c r="F23" i="19"/>
  <c r="L22" i="19"/>
  <c r="F22" i="1" s="1"/>
  <c r="F23" i="1" s="1"/>
  <c r="J22" i="19"/>
  <c r="E22" i="1" s="1"/>
  <c r="H22" i="19"/>
  <c r="D22" i="1" s="1"/>
  <c r="F22" i="19"/>
  <c r="C22" i="1" s="1"/>
  <c r="L21" i="19"/>
  <c r="F21" i="1" s="1"/>
  <c r="J21" i="19"/>
  <c r="E21" i="1" s="1"/>
  <c r="H21" i="19"/>
  <c r="D21" i="1" s="1"/>
  <c r="F21" i="19"/>
  <c r="C21" i="1" s="1"/>
  <c r="J18" i="19"/>
  <c r="H18" i="19"/>
  <c r="D18" i="1" s="1"/>
  <c r="F18" i="19"/>
  <c r="C18" i="1" s="1"/>
  <c r="L15" i="19"/>
  <c r="F15" i="1" s="1"/>
  <c r="J15" i="19"/>
  <c r="E15" i="1" s="1"/>
  <c r="H15" i="19"/>
  <c r="D15" i="1" s="1"/>
  <c r="F15" i="19"/>
  <c r="C15" i="1" s="1"/>
  <c r="E14" i="1"/>
  <c r="L13" i="19"/>
  <c r="J13" i="19"/>
  <c r="H13" i="19"/>
  <c r="F13" i="19"/>
  <c r="L12" i="19"/>
  <c r="F12" i="1" s="1"/>
  <c r="J12" i="19"/>
  <c r="E12" i="1" s="1"/>
  <c r="H12" i="19"/>
  <c r="D12" i="1" s="1"/>
  <c r="F12" i="19"/>
  <c r="C12" i="1" s="1"/>
  <c r="L11" i="19"/>
  <c r="J11" i="19"/>
  <c r="H11" i="19"/>
  <c r="F11" i="19"/>
  <c r="L10" i="19"/>
  <c r="F10" i="1" s="1"/>
  <c r="J10" i="19"/>
  <c r="E10" i="1" s="1"/>
  <c r="H10" i="19"/>
  <c r="D10" i="1" s="1"/>
  <c r="F10" i="19"/>
  <c r="C10" i="1" s="1"/>
  <c r="L9" i="19"/>
  <c r="F9" i="1" s="1"/>
  <c r="J9" i="19"/>
  <c r="E9" i="1" s="1"/>
  <c r="H9" i="19"/>
  <c r="D9" i="1" s="1"/>
  <c r="F9" i="19"/>
  <c r="C9" i="1" s="1"/>
  <c r="L7" i="19"/>
  <c r="F7" i="1" s="1"/>
  <c r="J7" i="19"/>
  <c r="E7" i="1" s="1"/>
  <c r="H7" i="19"/>
  <c r="D7" i="1" s="1"/>
  <c r="F7" i="19"/>
  <c r="C7" i="1" s="1"/>
  <c r="L6" i="19"/>
  <c r="F6" i="1" s="1"/>
  <c r="J6" i="19"/>
  <c r="E6" i="1" s="1"/>
  <c r="H6" i="19"/>
  <c r="D6" i="1" s="1"/>
  <c r="F6" i="19"/>
  <c r="C6" i="1" s="1"/>
  <c r="L5" i="19"/>
  <c r="F5" i="1" s="1"/>
  <c r="J5" i="19"/>
  <c r="E5" i="1" s="1"/>
  <c r="H5" i="19"/>
  <c r="D5" i="1" s="1"/>
  <c r="F5" i="19"/>
  <c r="C5" i="1" s="1"/>
  <c r="L4" i="19"/>
  <c r="F4" i="1" s="1"/>
  <c r="F33" i="2" s="1"/>
  <c r="J4" i="19"/>
  <c r="E4" i="1" s="1"/>
  <c r="H4" i="19"/>
  <c r="D4" i="1" s="1"/>
  <c r="F4" i="19"/>
  <c r="C4" i="1" s="1"/>
  <c r="L3" i="19"/>
  <c r="J3" i="19"/>
  <c r="H3" i="19"/>
  <c r="F3" i="19"/>
  <c r="L2" i="19"/>
  <c r="F2" i="1" s="1"/>
  <c r="J2" i="19"/>
  <c r="E2" i="1" s="1"/>
  <c r="H2" i="19"/>
  <c r="D2" i="1" s="1"/>
  <c r="F2" i="19"/>
  <c r="C2" i="1" s="1"/>
  <c r="B4" i="2"/>
  <c r="B15" i="2" s="1"/>
  <c r="V22" i="2"/>
  <c r="U22" i="2"/>
  <c r="T22" i="2"/>
  <c r="S22" i="2"/>
  <c r="R22" i="2"/>
  <c r="Q22" i="2"/>
  <c r="O22" i="2"/>
  <c r="N22" i="2"/>
  <c r="M22" i="2"/>
  <c r="L22" i="2"/>
  <c r="K22" i="2"/>
  <c r="I22" i="2"/>
  <c r="H22" i="2"/>
  <c r="G22" i="2"/>
  <c r="B22" i="2"/>
  <c r="O3" i="2"/>
  <c r="O24" i="2" s="1"/>
  <c r="N3" i="2"/>
  <c r="N24" i="2" s="1"/>
  <c r="M24" i="2"/>
  <c r="L24" i="2"/>
  <c r="K3" i="2"/>
  <c r="K24" i="2" s="1"/>
  <c r="I3" i="2"/>
  <c r="I24" i="2" s="1"/>
  <c r="G3" i="2"/>
  <c r="G24" i="2" s="1"/>
  <c r="B24" i="2"/>
  <c r="O2" i="2"/>
  <c r="N2" i="2"/>
  <c r="M2" i="2"/>
  <c r="M17" i="2" s="1"/>
  <c r="K2" i="2"/>
  <c r="H2" i="2"/>
  <c r="G2" i="2"/>
  <c r="C1" i="2"/>
  <c r="D1" i="2" s="1"/>
  <c r="E1" i="2" s="1"/>
  <c r="F1" i="2" s="1"/>
  <c r="G1" i="2" s="1"/>
  <c r="H1" i="2" s="1"/>
  <c r="C1" i="1"/>
  <c r="BQ70" i="18"/>
  <c r="C70" i="18" s="1"/>
  <c r="BQ69" i="18"/>
  <c r="C69" i="18" s="1"/>
  <c r="BQ68" i="18"/>
  <c r="C68" i="18" s="1"/>
  <c r="BP66" i="18"/>
  <c r="BO66" i="18"/>
  <c r="BO26" i="18" s="1"/>
  <c r="BN66" i="18"/>
  <c r="BN26" i="18" s="1"/>
  <c r="BM66" i="18"/>
  <c r="BM26" i="18" s="1"/>
  <c r="BL66" i="18"/>
  <c r="BK66" i="18"/>
  <c r="BK26" i="18" s="1"/>
  <c r="BJ66" i="18"/>
  <c r="BJ26" i="18" s="1"/>
  <c r="BI66" i="18"/>
  <c r="BI26" i="18" s="1"/>
  <c r="BH66" i="18"/>
  <c r="BG66" i="18"/>
  <c r="BF66" i="18"/>
  <c r="BE66" i="18"/>
  <c r="BE26" i="18" s="1"/>
  <c r="BD66" i="18"/>
  <c r="BC66" i="18"/>
  <c r="BB66" i="18"/>
  <c r="BB26" i="18" s="1"/>
  <c r="BA66" i="18"/>
  <c r="BA26" i="18" s="1"/>
  <c r="AZ66" i="18"/>
  <c r="AY66" i="18"/>
  <c r="AX66" i="18"/>
  <c r="AX26" i="18" s="1"/>
  <c r="AW66" i="18"/>
  <c r="AW26" i="18" s="1"/>
  <c r="AV66" i="18"/>
  <c r="AU66" i="18"/>
  <c r="AU26" i="18" s="1"/>
  <c r="AT66" i="18"/>
  <c r="AT26" i="18" s="1"/>
  <c r="AS66" i="18"/>
  <c r="AS26" i="18" s="1"/>
  <c r="AR66" i="18"/>
  <c r="AQ66" i="18"/>
  <c r="AP66" i="18"/>
  <c r="AP26" i="18" s="1"/>
  <c r="AO66" i="18"/>
  <c r="AO26" i="18" s="1"/>
  <c r="AN66" i="18"/>
  <c r="AM66" i="18"/>
  <c r="AM26" i="18" s="1"/>
  <c r="AL66" i="18"/>
  <c r="AL26" i="18" s="1"/>
  <c r="B66" i="18"/>
  <c r="BP65" i="18"/>
  <c r="BO65" i="18"/>
  <c r="BN65" i="18"/>
  <c r="BN67" i="18" s="1"/>
  <c r="BN36" i="18" s="1"/>
  <c r="BM65" i="18"/>
  <c r="BM67" i="18" s="1"/>
  <c r="BM36" i="18" s="1"/>
  <c r="BL65" i="18"/>
  <c r="BL67" i="18" s="1"/>
  <c r="BL36" i="18" s="1"/>
  <c r="BK65" i="18"/>
  <c r="BK67" i="18" s="1"/>
  <c r="BJ65" i="18"/>
  <c r="BI65" i="18"/>
  <c r="BI67" i="18" s="1"/>
  <c r="BI36" i="18" s="1"/>
  <c r="BH65" i="18"/>
  <c r="BG65" i="18"/>
  <c r="BF65" i="18"/>
  <c r="BF67" i="18" s="1"/>
  <c r="BF36" i="18" s="1"/>
  <c r="BE65" i="18"/>
  <c r="BE67" i="18" s="1"/>
  <c r="BE36" i="18" s="1"/>
  <c r="BD65" i="18"/>
  <c r="BD67" i="18" s="1"/>
  <c r="BD36" i="18" s="1"/>
  <c r="BC65" i="18"/>
  <c r="BC67" i="18" s="1"/>
  <c r="BC36" i="18" s="1"/>
  <c r="BB65" i="18"/>
  <c r="BA65" i="18"/>
  <c r="BA67" i="18" s="1"/>
  <c r="BA36" i="18" s="1"/>
  <c r="AZ65" i="18"/>
  <c r="AY65" i="18"/>
  <c r="AX65" i="18"/>
  <c r="AX67" i="18" s="1"/>
  <c r="AX36" i="18" s="1"/>
  <c r="AW65" i="18"/>
  <c r="AW67" i="18" s="1"/>
  <c r="AW36" i="18" s="1"/>
  <c r="AV65" i="18"/>
  <c r="AV67" i="18" s="1"/>
  <c r="AV36" i="18" s="1"/>
  <c r="AU65" i="18"/>
  <c r="AU67" i="18" s="1"/>
  <c r="AU36" i="18" s="1"/>
  <c r="AT65" i="18"/>
  <c r="AS65" i="18"/>
  <c r="AS67" i="18" s="1"/>
  <c r="AS36" i="18" s="1"/>
  <c r="AR65" i="18"/>
  <c r="AQ65" i="18"/>
  <c r="AP65" i="18"/>
  <c r="AP67" i="18" s="1"/>
  <c r="AP36" i="18" s="1"/>
  <c r="AO65" i="18"/>
  <c r="AO67" i="18" s="1"/>
  <c r="AO36" i="18" s="1"/>
  <c r="AN65" i="18"/>
  <c r="AN67" i="18" s="1"/>
  <c r="AN36" i="18" s="1"/>
  <c r="AM65" i="18"/>
  <c r="AM67" i="18" s="1"/>
  <c r="AL65" i="18"/>
  <c r="B65" i="18"/>
  <c r="BQ64" i="18"/>
  <c r="C64" i="18" s="1"/>
  <c r="BQ63" i="18"/>
  <c r="C63" i="18" s="1"/>
  <c r="BP62" i="18"/>
  <c r="BP18" i="18" s="1"/>
  <c r="BO62" i="18"/>
  <c r="BO18" i="18" s="1"/>
  <c r="BN62" i="18"/>
  <c r="BM62" i="18"/>
  <c r="BL62" i="18"/>
  <c r="BL18" i="18" s="1"/>
  <c r="BK62" i="18"/>
  <c r="BJ62" i="18"/>
  <c r="BI62" i="18"/>
  <c r="BH62" i="18"/>
  <c r="BH18" i="18" s="1"/>
  <c r="BG62" i="18"/>
  <c r="BG18" i="18" s="1"/>
  <c r="BF62" i="18"/>
  <c r="BE62" i="18"/>
  <c r="BD62" i="18"/>
  <c r="BD18" i="18" s="1"/>
  <c r="BC62" i="18"/>
  <c r="BB62" i="18"/>
  <c r="BA62" i="18"/>
  <c r="AZ62" i="18"/>
  <c r="AZ18" i="18" s="1"/>
  <c r="AY62" i="18"/>
  <c r="AY18" i="18" s="1"/>
  <c r="AX62" i="18"/>
  <c r="AW62" i="18"/>
  <c r="AV62" i="18"/>
  <c r="AV18" i="18" s="1"/>
  <c r="AU62" i="18"/>
  <c r="AT62" i="18"/>
  <c r="AS62" i="18"/>
  <c r="AR62" i="18"/>
  <c r="AR18" i="18" s="1"/>
  <c r="AQ62" i="18"/>
  <c r="AP62" i="18"/>
  <c r="AO62" i="18"/>
  <c r="AN62" i="18"/>
  <c r="AN18" i="18" s="1"/>
  <c r="AM62" i="18"/>
  <c r="AL62" i="18"/>
  <c r="B62" i="18"/>
  <c r="BQ61" i="18"/>
  <c r="C61" i="18" s="1"/>
  <c r="BQ60" i="18"/>
  <c r="C60" i="18" s="1"/>
  <c r="BQ59" i="18"/>
  <c r="C59" i="18" s="1"/>
  <c r="BQ58" i="18"/>
  <c r="C58" i="18" s="1"/>
  <c r="BQ57" i="18"/>
  <c r="C57" i="18" s="1"/>
  <c r="BQ56" i="18"/>
  <c r="C56" i="18" s="1"/>
  <c r="BQ55" i="18"/>
  <c r="C55" i="18"/>
  <c r="BQ54" i="18"/>
  <c r="C54" i="18" s="1"/>
  <c r="BQ53" i="18"/>
  <c r="C53" i="18" s="1"/>
  <c r="BQ52" i="18"/>
  <c r="C52" i="18" s="1"/>
  <c r="BQ51" i="18"/>
  <c r="C51" i="18" s="1"/>
  <c r="BQ50" i="18"/>
  <c r="C50" i="18" s="1"/>
  <c r="BQ49" i="18"/>
  <c r="C49" i="18" s="1"/>
  <c r="BP48" i="18"/>
  <c r="BO48" i="18"/>
  <c r="BN48" i="18"/>
  <c r="BM48" i="18"/>
  <c r="BL48" i="18"/>
  <c r="BK48" i="18"/>
  <c r="BJ48" i="18"/>
  <c r="BI48" i="18"/>
  <c r="BH48" i="18"/>
  <c r="BG48" i="18"/>
  <c r="BF48" i="18"/>
  <c r="BE48" i="18"/>
  <c r="BD48" i="18"/>
  <c r="BC48" i="18"/>
  <c r="BB48" i="18"/>
  <c r="BA48" i="18"/>
  <c r="AZ48" i="18"/>
  <c r="AY48" i="18"/>
  <c r="AX48" i="18"/>
  <c r="AW48" i="18"/>
  <c r="AV48" i="18"/>
  <c r="AU48" i="18"/>
  <c r="AT48" i="18"/>
  <c r="AS48" i="18"/>
  <c r="AR48" i="18"/>
  <c r="AQ48" i="18"/>
  <c r="AP48" i="18"/>
  <c r="AO48" i="18"/>
  <c r="AN48" i="18"/>
  <c r="AM48" i="18"/>
  <c r="AL48" i="18"/>
  <c r="B48" i="18"/>
  <c r="BQ47" i="18"/>
  <c r="C47" i="18" s="1"/>
  <c r="BQ46" i="18"/>
  <c r="C46" i="18" s="1"/>
  <c r="BQ45" i="18"/>
  <c r="BQ44" i="18"/>
  <c r="C44" i="18" s="1"/>
  <c r="BQ43" i="18"/>
  <c r="C43" i="18" s="1"/>
  <c r="BQ42" i="18"/>
  <c r="C42" i="18" s="1"/>
  <c r="BQ41" i="18"/>
  <c r="C41" i="18" s="1"/>
  <c r="BQ40" i="18"/>
  <c r="C40" i="18" s="1"/>
  <c r="BQ39" i="18"/>
  <c r="C39" i="18" s="1"/>
  <c r="BQ38" i="18"/>
  <c r="C38" i="18"/>
  <c r="BQ37" i="18"/>
  <c r="C37" i="18" s="1"/>
  <c r="BK36" i="18"/>
  <c r="AM36" i="18"/>
  <c r="BQ35" i="18"/>
  <c r="C35" i="18" s="1"/>
  <c r="BQ34" i="18"/>
  <c r="C34" i="18" s="1"/>
  <c r="BQ33" i="18"/>
  <c r="C33" i="18" s="1"/>
  <c r="BQ32" i="18"/>
  <c r="C32" i="18" s="1"/>
  <c r="BQ31" i="18"/>
  <c r="C31" i="18" s="1"/>
  <c r="BQ30" i="18"/>
  <c r="C30" i="18" s="1"/>
  <c r="BQ29" i="18"/>
  <c r="C29" i="18" s="1"/>
  <c r="BQ28" i="18"/>
  <c r="C28" i="18" s="1"/>
  <c r="BQ27" i="18"/>
  <c r="C27" i="18" s="1"/>
  <c r="BL26" i="18"/>
  <c r="BF26" i="18"/>
  <c r="BD26" i="18"/>
  <c r="BC26" i="18"/>
  <c r="AV26" i="18"/>
  <c r="AN26" i="18"/>
  <c r="BQ25" i="18"/>
  <c r="C25" i="18" s="1"/>
  <c r="BQ24" i="18"/>
  <c r="C24" i="18" s="1"/>
  <c r="BQ23" i="18"/>
  <c r="C23" i="18" s="1"/>
  <c r="BQ22" i="18"/>
  <c r="C22" i="18" s="1"/>
  <c r="BQ21" i="18"/>
  <c r="C21" i="18" s="1"/>
  <c r="BQ20" i="18"/>
  <c r="C20" i="18" s="1"/>
  <c r="AJ20" i="18"/>
  <c r="BQ19" i="18"/>
  <c r="C19" i="18" s="1"/>
  <c r="AJ19" i="18"/>
  <c r="F8" i="18" s="1"/>
  <c r="AJ18" i="18"/>
  <c r="F7" i="18" s="1"/>
  <c r="BQ17" i="18"/>
  <c r="C17" i="18" s="1"/>
  <c r="AJ17" i="18"/>
  <c r="F6" i="18" s="1"/>
  <c r="BQ16" i="18"/>
  <c r="C16" i="18" s="1"/>
  <c r="AJ16" i="18"/>
  <c r="F5" i="18" s="1"/>
  <c r="BQ15" i="18"/>
  <c r="C15" i="18" s="1"/>
  <c r="AJ15" i="18"/>
  <c r="F4" i="18" s="1"/>
  <c r="BQ14" i="18"/>
  <c r="C14" i="18" s="1"/>
  <c r="AJ14" i="18"/>
  <c r="F3" i="18" s="1"/>
  <c r="BP13" i="18"/>
  <c r="BO13" i="18"/>
  <c r="BN13" i="18"/>
  <c r="BM13" i="18"/>
  <c r="BL13" i="18"/>
  <c r="BK13" i="18"/>
  <c r="BJ13" i="18"/>
  <c r="BI13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U13" i="18"/>
  <c r="AT13" i="18"/>
  <c r="AS13" i="18"/>
  <c r="AR13" i="18"/>
  <c r="AQ13" i="18"/>
  <c r="AP13" i="18"/>
  <c r="AO13" i="18"/>
  <c r="AN13" i="18"/>
  <c r="AM13" i="18"/>
  <c r="AL13" i="18"/>
  <c r="AJ13" i="18"/>
  <c r="F2" i="18" s="1"/>
  <c r="B13" i="18"/>
  <c r="BQ12" i="18"/>
  <c r="C12" i="18" s="1"/>
  <c r="BP11" i="18"/>
  <c r="BO11" i="18"/>
  <c r="BN11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B11" i="18"/>
  <c r="BQ10" i="18"/>
  <c r="C10" i="18" s="1"/>
  <c r="BQ9" i="18"/>
  <c r="C9" i="18" s="1"/>
  <c r="F9" i="18"/>
  <c r="BQ8" i="18"/>
  <c r="C8" i="18" s="1"/>
  <c r="BQ7" i="18"/>
  <c r="C7" i="18" s="1"/>
  <c r="BQ6" i="18"/>
  <c r="C6" i="18" s="1"/>
  <c r="BQ5" i="18"/>
  <c r="C5" i="18" s="1"/>
  <c r="BQ4" i="18"/>
  <c r="C4" i="18" s="1"/>
  <c r="BP3" i="18"/>
  <c r="BO3" i="18"/>
  <c r="BN3" i="18"/>
  <c r="BM3" i="18"/>
  <c r="BL3" i="18"/>
  <c r="BK3" i="18"/>
  <c r="BJ3" i="18"/>
  <c r="BI3" i="18"/>
  <c r="BH3" i="18"/>
  <c r="BG3" i="18"/>
  <c r="BF3" i="18"/>
  <c r="BE3" i="18"/>
  <c r="BD3" i="18"/>
  <c r="BC3" i="18"/>
  <c r="BB3" i="18"/>
  <c r="BA3" i="18"/>
  <c r="AZ3" i="18"/>
  <c r="AY3" i="18"/>
  <c r="AX3" i="18"/>
  <c r="AW3" i="18"/>
  <c r="AV3" i="18"/>
  <c r="AU3" i="18"/>
  <c r="AT3" i="18"/>
  <c r="AS3" i="18"/>
  <c r="AR3" i="18"/>
  <c r="AQ3" i="18"/>
  <c r="AP3" i="18"/>
  <c r="AO3" i="18"/>
  <c r="AN3" i="18"/>
  <c r="AM3" i="18"/>
  <c r="AL3" i="18"/>
  <c r="B3" i="18"/>
  <c r="BQ2" i="18"/>
  <c r="C2" i="18" s="1"/>
  <c r="AM1" i="18"/>
  <c r="AN1" i="18" s="1"/>
  <c r="AO1" i="18" s="1"/>
  <c r="AP1" i="18" s="1"/>
  <c r="AQ1" i="18" s="1"/>
  <c r="AR1" i="18" s="1"/>
  <c r="AS1" i="18" s="1"/>
  <c r="AT1" i="18" s="1"/>
  <c r="AU1" i="18" s="1"/>
  <c r="AV1" i="18" s="1"/>
  <c r="AW1" i="18" s="1"/>
  <c r="AX1" i="18" s="1"/>
  <c r="AY1" i="18" s="1"/>
  <c r="AZ1" i="18" s="1"/>
  <c r="BA1" i="18" s="1"/>
  <c r="BB1" i="18" s="1"/>
  <c r="BC1" i="18" s="1"/>
  <c r="BD1" i="18" s="1"/>
  <c r="BE1" i="18" s="1"/>
  <c r="BF1" i="18" s="1"/>
  <c r="BG1" i="18" s="1"/>
  <c r="BH1" i="18" s="1"/>
  <c r="BI1" i="18" s="1"/>
  <c r="BJ1" i="18" s="1"/>
  <c r="BK1" i="18" s="1"/>
  <c r="BL1" i="18" s="1"/>
  <c r="BM1" i="18" s="1"/>
  <c r="BN1" i="18" s="1"/>
  <c r="BO1" i="18" s="1"/>
  <c r="BP1" i="18" s="1"/>
  <c r="E11" i="1" l="1"/>
  <c r="E5" i="2" s="1"/>
  <c r="E23" i="1"/>
  <c r="F11" i="1"/>
  <c r="C24" i="1"/>
  <c r="D67" i="1"/>
  <c r="D11" i="1"/>
  <c r="D56" i="1"/>
  <c r="D58" i="1"/>
  <c r="D85" i="1" s="1"/>
  <c r="AF33" i="1"/>
  <c r="F13" i="1"/>
  <c r="AF51" i="1"/>
  <c r="AF59" i="1"/>
  <c r="AF60" i="1"/>
  <c r="AF61" i="1"/>
  <c r="AF62" i="1"/>
  <c r="AF68" i="1"/>
  <c r="AF2" i="1"/>
  <c r="AF4" i="1"/>
  <c r="AF5" i="1"/>
  <c r="AF6" i="1"/>
  <c r="AF7" i="1"/>
  <c r="AF9" i="1"/>
  <c r="AF10" i="1"/>
  <c r="AF12" i="1"/>
  <c r="AF14" i="1"/>
  <c r="AF28" i="1"/>
  <c r="AF34" i="1"/>
  <c r="AF35" i="1"/>
  <c r="AF38" i="1"/>
  <c r="AF39" i="1"/>
  <c r="AF40" i="1"/>
  <c r="AF42" i="1"/>
  <c r="AF45" i="1"/>
  <c r="AF46" i="1"/>
  <c r="AF47" i="1"/>
  <c r="AF21" i="1"/>
  <c r="AF48" i="1"/>
  <c r="AF78" i="1"/>
  <c r="AF25" i="1"/>
  <c r="C34" i="2"/>
  <c r="C2" i="2"/>
  <c r="AF69" i="1"/>
  <c r="AF2" i="2" s="1"/>
  <c r="C23" i="1"/>
  <c r="AF22" i="1"/>
  <c r="AF15" i="1"/>
  <c r="D24" i="1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D3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C67" i="1"/>
  <c r="F70" i="1"/>
  <c r="F3" i="2" s="1"/>
  <c r="F24" i="2" s="1"/>
  <c r="J3" i="2"/>
  <c r="J24" i="2" s="1"/>
  <c r="F67" i="1"/>
  <c r="F65" i="1"/>
  <c r="F13" i="2" s="1"/>
  <c r="J13" i="2"/>
  <c r="F64" i="1"/>
  <c r="F57" i="1"/>
  <c r="F55" i="1"/>
  <c r="F49" i="1"/>
  <c r="F44" i="1"/>
  <c r="F43" i="1"/>
  <c r="F36" i="1"/>
  <c r="I8" i="2"/>
  <c r="I15" i="2" s="1"/>
  <c r="F31" i="1"/>
  <c r="AF31" i="1" s="1"/>
  <c r="F24" i="1"/>
  <c r="D71" i="1"/>
  <c r="AF71" i="1" s="1"/>
  <c r="AF34" i="2" s="1"/>
  <c r="E70" i="1"/>
  <c r="E3" i="2" s="1"/>
  <c r="E24" i="2" s="1"/>
  <c r="H3" i="2"/>
  <c r="H24" i="2" s="1"/>
  <c r="E67" i="1"/>
  <c r="E65" i="1"/>
  <c r="E13" i="2" s="1"/>
  <c r="H13" i="2"/>
  <c r="E64" i="1"/>
  <c r="E57" i="1"/>
  <c r="E56" i="1" s="1"/>
  <c r="AF54" i="1"/>
  <c r="E49" i="1"/>
  <c r="E44" i="1"/>
  <c r="AF44" i="1" s="1"/>
  <c r="E36" i="1"/>
  <c r="AF30" i="1"/>
  <c r="E24" i="1"/>
  <c r="D23" i="1"/>
  <c r="H7" i="2"/>
  <c r="E18" i="1"/>
  <c r="E13" i="1" s="1"/>
  <c r="D13" i="1"/>
  <c r="C64" i="1"/>
  <c r="C57" i="1"/>
  <c r="C55" i="1"/>
  <c r="C49" i="1"/>
  <c r="C3" i="2"/>
  <c r="C24" i="2" s="1"/>
  <c r="D3" i="2"/>
  <c r="D24" i="2" s="1"/>
  <c r="C6" i="2"/>
  <c r="C11" i="1"/>
  <c r="K17" i="2"/>
  <c r="C13" i="1"/>
  <c r="B18" i="18"/>
  <c r="BA18" i="18"/>
  <c r="BQ48" i="18"/>
  <c r="C48" i="18" s="1"/>
  <c r="BE18" i="18"/>
  <c r="AW18" i="18"/>
  <c r="BM18" i="18"/>
  <c r="BF18" i="18"/>
  <c r="AX18" i="18"/>
  <c r="BN18" i="18"/>
  <c r="AO18" i="18"/>
  <c r="AP18" i="18"/>
  <c r="AY67" i="18"/>
  <c r="AY36" i="18" s="1"/>
  <c r="BG67" i="18"/>
  <c r="BG36" i="18" s="1"/>
  <c r="BO67" i="18"/>
  <c r="BO36" i="18" s="1"/>
  <c r="BQ13" i="18"/>
  <c r="C13" i="18" s="1"/>
  <c r="BQ11" i="18"/>
  <c r="C11" i="18" s="1"/>
  <c r="BQ3" i="18"/>
  <c r="C3" i="18" s="1"/>
  <c r="C13" i="2"/>
  <c r="BQ65" i="18"/>
  <c r="C65" i="18" s="1"/>
  <c r="BP67" i="18"/>
  <c r="BP36" i="18" s="1"/>
  <c r="BP26" i="18"/>
  <c r="BG26" i="18"/>
  <c r="AL67" i="18"/>
  <c r="AL18" i="18"/>
  <c r="BJ67" i="18"/>
  <c r="BJ36" i="18" s="1"/>
  <c r="BJ18" i="18"/>
  <c r="E33" i="2"/>
  <c r="E14" i="2"/>
  <c r="E22" i="2" s="1"/>
  <c r="BH67" i="18"/>
  <c r="BH36" i="18" s="1"/>
  <c r="BH26" i="18"/>
  <c r="AZ67" i="18"/>
  <c r="AZ36" i="18" s="1"/>
  <c r="AZ26" i="18"/>
  <c r="AQ67" i="18"/>
  <c r="AQ36" i="18" s="1"/>
  <c r="BQ66" i="18"/>
  <c r="C66" i="18" s="1"/>
  <c r="AT67" i="18"/>
  <c r="AT36" i="18" s="1"/>
  <c r="AT18" i="18"/>
  <c r="AY26" i="18"/>
  <c r="BB18" i="18"/>
  <c r="BB67" i="18"/>
  <c r="BB36" i="18" s="1"/>
  <c r="AS18" i="18"/>
  <c r="AQ18" i="18"/>
  <c r="BQ62" i="18"/>
  <c r="C62" i="18" s="1"/>
  <c r="BI18" i="18"/>
  <c r="AR67" i="18"/>
  <c r="AR36" i="18" s="1"/>
  <c r="AR26" i="18"/>
  <c r="B26" i="18"/>
  <c r="B67" i="18"/>
  <c r="B36" i="18" s="1"/>
  <c r="AQ26" i="18"/>
  <c r="AM18" i="18"/>
  <c r="AU18" i="18"/>
  <c r="BC18" i="18"/>
  <c r="BK18" i="18"/>
  <c r="C33" i="2"/>
  <c r="C14" i="2"/>
  <c r="C22" i="2" s="1"/>
  <c r="F6" i="2"/>
  <c r="F14" i="2"/>
  <c r="F22" i="2" s="1"/>
  <c r="F3" i="1"/>
  <c r="F4" i="2" s="1"/>
  <c r="E3" i="1"/>
  <c r="E4" i="2" s="1"/>
  <c r="D5" i="2"/>
  <c r="C3" i="1"/>
  <c r="D2" i="2"/>
  <c r="D33" i="2"/>
  <c r="O17" i="2"/>
  <c r="O21" i="2" s="1"/>
  <c r="O30" i="2" s="1"/>
  <c r="N17" i="2"/>
  <c r="AF13" i="1" l="1"/>
  <c r="AF36" i="1"/>
  <c r="AF57" i="1"/>
  <c r="AF11" i="1"/>
  <c r="AF5" i="2" s="1"/>
  <c r="AF65" i="1"/>
  <c r="AF43" i="1"/>
  <c r="AF64" i="1"/>
  <c r="AF23" i="1"/>
  <c r="AF70" i="1"/>
  <c r="AF3" i="2" s="1"/>
  <c r="AF18" i="1"/>
  <c r="AF67" i="1"/>
  <c r="C4" i="2"/>
  <c r="AF3" i="1"/>
  <c r="C58" i="1"/>
  <c r="C11" i="2" s="1"/>
  <c r="AF49" i="1"/>
  <c r="D14" i="2"/>
  <c r="D22" i="2" s="1"/>
  <c r="C56" i="1"/>
  <c r="AF55" i="1"/>
  <c r="D34" i="2"/>
  <c r="C5" i="2"/>
  <c r="AF24" i="1"/>
  <c r="O32" i="2"/>
  <c r="F58" i="1"/>
  <c r="F85" i="1" s="1"/>
  <c r="F56" i="1"/>
  <c r="H5" i="2"/>
  <c r="F5" i="2"/>
  <c r="J7" i="2"/>
  <c r="J85" i="1"/>
  <c r="H9" i="2"/>
  <c r="J12" i="2"/>
  <c r="E58" i="1"/>
  <c r="E12" i="2" s="1"/>
  <c r="E6" i="2"/>
  <c r="H8" i="2"/>
  <c r="H6" i="2"/>
  <c r="AF24" i="2"/>
  <c r="D6" i="2"/>
  <c r="F7" i="2"/>
  <c r="AF33" i="2"/>
  <c r="AF14" i="2"/>
  <c r="AF22" i="2" s="1"/>
  <c r="E8" i="2"/>
  <c r="C8" i="2"/>
  <c r="C7" i="2"/>
  <c r="D7" i="2"/>
  <c r="BQ26" i="18"/>
  <c r="C26" i="18" s="1"/>
  <c r="D12" i="2"/>
  <c r="E7" i="2"/>
  <c r="BQ18" i="18"/>
  <c r="C18" i="18" s="1"/>
  <c r="D13" i="2"/>
  <c r="BQ67" i="18"/>
  <c r="C67" i="18" s="1"/>
  <c r="AL36" i="18"/>
  <c r="BQ36" i="18" s="1"/>
  <c r="C36" i="18" s="1"/>
  <c r="D8" i="2"/>
  <c r="F8" i="2"/>
  <c r="D4" i="2"/>
  <c r="I17" i="2"/>
  <c r="I18" i="2" s="1"/>
  <c r="S21" i="2"/>
  <c r="S30" i="2" s="1"/>
  <c r="S20" i="2"/>
  <c r="S29" i="2" s="1"/>
  <c r="Q18" i="2"/>
  <c r="Q20" i="2"/>
  <c r="Q29" i="2" s="1"/>
  <c r="Q21" i="2"/>
  <c r="Q30" i="2" s="1"/>
  <c r="L18" i="2"/>
  <c r="L20" i="2"/>
  <c r="L29" i="2" s="1"/>
  <c r="L21" i="2"/>
  <c r="L30" i="2" s="1"/>
  <c r="V20" i="2"/>
  <c r="V29" i="2" s="1"/>
  <c r="R21" i="2"/>
  <c r="R20" i="2"/>
  <c r="R29" i="2" s="1"/>
  <c r="O20" i="2"/>
  <c r="M18" i="2"/>
  <c r="M20" i="2"/>
  <c r="M29" i="2" s="1"/>
  <c r="M21" i="2"/>
  <c r="M30" i="2" s="1"/>
  <c r="U18" i="2"/>
  <c r="U20" i="2"/>
  <c r="U29" i="2" s="1"/>
  <c r="U21" i="2"/>
  <c r="U30" i="2" s="1"/>
  <c r="N18" i="2"/>
  <c r="N20" i="2"/>
  <c r="N29" i="2" s="1"/>
  <c r="N21" i="2"/>
  <c r="N30" i="2" s="1"/>
  <c r="K21" i="2"/>
  <c r="K30" i="2" s="1"/>
  <c r="K20" i="2"/>
  <c r="K29" i="2" s="1"/>
  <c r="V18" i="2"/>
  <c r="O18" i="2"/>
  <c r="R18" i="2"/>
  <c r="K18" i="2"/>
  <c r="S18" i="2"/>
  <c r="G17" i="2"/>
  <c r="R30" i="2" l="1"/>
  <c r="Q32" i="2"/>
  <c r="F10" i="2"/>
  <c r="E10" i="2"/>
  <c r="C85" i="1"/>
  <c r="C12" i="2"/>
  <c r="C10" i="2"/>
  <c r="E9" i="2"/>
  <c r="AF56" i="1"/>
  <c r="AF58" i="1"/>
  <c r="AF12" i="2" s="1"/>
  <c r="C9" i="2"/>
  <c r="F12" i="2"/>
  <c r="F11" i="2"/>
  <c r="F9" i="2"/>
  <c r="U32" i="2"/>
  <c r="S32" i="2"/>
  <c r="H12" i="2"/>
  <c r="H85" i="1"/>
  <c r="O23" i="2"/>
  <c r="O29" i="2"/>
  <c r="M32" i="2"/>
  <c r="N32" i="2"/>
  <c r="J11" i="2"/>
  <c r="J10" i="2"/>
  <c r="K32" i="2"/>
  <c r="L32" i="2"/>
  <c r="H10" i="2"/>
  <c r="H11" i="2"/>
  <c r="J9" i="2"/>
  <c r="E85" i="1"/>
  <c r="E11" i="2"/>
  <c r="D10" i="2"/>
  <c r="D9" i="2"/>
  <c r="D11" i="2"/>
  <c r="AF13" i="2"/>
  <c r="AF4" i="2"/>
  <c r="I21" i="2"/>
  <c r="I30" i="2" s="1"/>
  <c r="I20" i="2"/>
  <c r="I29" i="2" s="1"/>
  <c r="M23" i="2"/>
  <c r="R23" i="2"/>
  <c r="U23" i="2"/>
  <c r="Q23" i="2"/>
  <c r="T18" i="2"/>
  <c r="T21" i="2"/>
  <c r="T30" i="2" s="1"/>
  <c r="T20" i="2"/>
  <c r="T29" i="2" s="1"/>
  <c r="L23" i="2"/>
  <c r="S23" i="2"/>
  <c r="K23" i="2"/>
  <c r="N23" i="2"/>
  <c r="G21" i="2"/>
  <c r="G30" i="2" s="1"/>
  <c r="G20" i="2"/>
  <c r="G29" i="2" s="1"/>
  <c r="V23" i="2"/>
  <c r="G18" i="2"/>
  <c r="R32" i="2" l="1"/>
  <c r="E15" i="2"/>
  <c r="E17" i="2" s="1"/>
  <c r="E21" i="2" s="1"/>
  <c r="E30" i="2" s="1"/>
  <c r="C15" i="2"/>
  <c r="C17" i="2" s="1"/>
  <c r="C21" i="2" s="1"/>
  <c r="C30" i="2" s="1"/>
  <c r="AF85" i="1"/>
  <c r="F15" i="2"/>
  <c r="F17" i="2" s="1"/>
  <c r="F20" i="2" s="1"/>
  <c r="F29" i="2" s="1"/>
  <c r="T32" i="2"/>
  <c r="H15" i="2"/>
  <c r="H17" i="2" s="1"/>
  <c r="H21" i="2" s="1"/>
  <c r="H30" i="2" s="1"/>
  <c r="J15" i="2"/>
  <c r="J17" i="2" s="1"/>
  <c r="J20" i="2" s="1"/>
  <c r="J29" i="2" s="1"/>
  <c r="I32" i="2"/>
  <c r="G32" i="2"/>
  <c r="AF9" i="2"/>
  <c r="AF11" i="2"/>
  <c r="AF10" i="2"/>
  <c r="D15" i="2"/>
  <c r="I23" i="2"/>
  <c r="I25" i="2" s="1"/>
  <c r="I27" i="2" s="1"/>
  <c r="T23" i="2"/>
  <c r="Q25" i="2"/>
  <c r="Q27" i="2" s="1"/>
  <c r="Q26" i="2"/>
  <c r="R26" i="2"/>
  <c r="R25" i="2"/>
  <c r="R27" i="2" s="1"/>
  <c r="M25" i="2"/>
  <c r="M27" i="2" s="1"/>
  <c r="M26" i="2"/>
  <c r="V25" i="2"/>
  <c r="V27" i="2" s="1"/>
  <c r="V26" i="2"/>
  <c r="N26" i="2"/>
  <c r="N25" i="2"/>
  <c r="N27" i="2" s="1"/>
  <c r="K26" i="2"/>
  <c r="K25" i="2"/>
  <c r="K27" i="2" s="1"/>
  <c r="S26" i="2"/>
  <c r="S25" i="2"/>
  <c r="S27" i="2" s="1"/>
  <c r="L26" i="2"/>
  <c r="L25" i="2"/>
  <c r="L27" i="2" s="1"/>
  <c r="G23" i="2"/>
  <c r="U25" i="2"/>
  <c r="U27" i="2" s="1"/>
  <c r="U26" i="2"/>
  <c r="O26" i="2"/>
  <c r="O25" i="2"/>
  <c r="O27" i="2" s="1"/>
  <c r="F18" i="2" l="1"/>
  <c r="F21" i="2"/>
  <c r="E18" i="2"/>
  <c r="E20" i="2"/>
  <c r="E29" i="2" s="1"/>
  <c r="E32" i="2"/>
  <c r="C32" i="2"/>
  <c r="C20" i="2"/>
  <c r="C23" i="2" s="1"/>
  <c r="C26" i="2" s="1"/>
  <c r="C18" i="2"/>
  <c r="H20" i="2"/>
  <c r="H29" i="2" s="1"/>
  <c r="H18" i="2"/>
  <c r="J18" i="2"/>
  <c r="J21" i="2"/>
  <c r="J30" i="2" s="1"/>
  <c r="H32" i="2"/>
  <c r="I26" i="2"/>
  <c r="G26" i="2"/>
  <c r="G25" i="2"/>
  <c r="G27" i="2" s="1"/>
  <c r="T26" i="2"/>
  <c r="T25" i="2"/>
  <c r="T27" i="2" s="1"/>
  <c r="F30" i="2" l="1"/>
  <c r="F32" i="2" s="1"/>
  <c r="F23" i="2"/>
  <c r="F26" i="2" s="1"/>
  <c r="C25" i="2"/>
  <c r="C27" i="2" s="1"/>
  <c r="E23" i="2"/>
  <c r="E26" i="2" s="1"/>
  <c r="C29" i="2"/>
  <c r="J32" i="2"/>
  <c r="H23" i="2"/>
  <c r="H26" i="2" s="1"/>
  <c r="J23" i="2"/>
  <c r="J25" i="2" s="1"/>
  <c r="J27" i="2" s="1"/>
  <c r="F25" i="2" l="1"/>
  <c r="F27" i="2" s="1"/>
  <c r="E25" i="2"/>
  <c r="E27" i="2" s="1"/>
  <c r="H25" i="2"/>
  <c r="H27" i="2" s="1"/>
  <c r="J26" i="2"/>
  <c r="B17" i="2"/>
  <c r="B21" i="2" s="1"/>
  <c r="B30" i="2" s="1"/>
  <c r="B32" i="2" l="1"/>
  <c r="B18" i="2"/>
  <c r="B20" i="2"/>
  <c r="B29" i="2" s="1"/>
  <c r="B23" i="2" l="1"/>
  <c r="B25" i="2" s="1"/>
  <c r="B27" i="2" s="1"/>
  <c r="B26" i="2" l="1"/>
  <c r="AF8" i="2" l="1"/>
  <c r="AF6" i="2"/>
  <c r="D17" i="2"/>
  <c r="D20" i="2" l="1"/>
  <c r="D29" i="2" s="1"/>
  <c r="D21" i="2"/>
  <c r="D30" i="2" s="1"/>
  <c r="D18" i="2"/>
  <c r="D32" i="2" l="1"/>
  <c r="D23" i="2"/>
  <c r="D26" i="2" s="1"/>
  <c r="D25" i="2" l="1"/>
  <c r="D27" i="2" s="1"/>
  <c r="AB7" i="2" l="1"/>
  <c r="AB15" i="2" l="1"/>
  <c r="AB17" i="2" s="1"/>
  <c r="AF7" i="2"/>
  <c r="AF15" i="2" l="1"/>
  <c r="AF17" i="2" s="1"/>
  <c r="AF20" i="2" s="1"/>
  <c r="AB18" i="2"/>
  <c r="AB21" i="2"/>
  <c r="AB30" i="2" s="1"/>
  <c r="AB20" i="2"/>
  <c r="AB29" i="2" s="1"/>
  <c r="AB32" i="2" l="1"/>
  <c r="AF29" i="2"/>
  <c r="AB23" i="2"/>
  <c r="AF18" i="2"/>
  <c r="AF21" i="2"/>
  <c r="AF23" i="2" s="1"/>
  <c r="AF25" i="2" l="1"/>
  <c r="AF27" i="2" s="1"/>
  <c r="AF26" i="2"/>
  <c r="AB25" i="2"/>
  <c r="AB27" i="2" s="1"/>
  <c r="AB26" i="2"/>
  <c r="AF30" i="2" l="1"/>
  <c r="P32" i="2"/>
  <c r="AF3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N6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due to more running of power plant coal belts</t>
        </r>
      </text>
    </comment>
    <comment ref="BN6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Adjusted due to more running of power plant coal belts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137792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6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3157.1084</t>
        </r>
      </text>
    </comment>
  </commentList>
</comments>
</file>

<file path=xl/sharedStrings.xml><?xml version="1.0" encoding="utf-8"?>
<sst xmlns="http://schemas.openxmlformats.org/spreadsheetml/2006/main" count="653" uniqueCount="359">
  <si>
    <t>Crusher</t>
  </si>
  <si>
    <t>211IC1</t>
  </si>
  <si>
    <t>LC-1 LIGHTING</t>
  </si>
  <si>
    <t>Welding DB + A/C</t>
  </si>
  <si>
    <t>Rawmill</t>
  </si>
  <si>
    <t>321RM1</t>
  </si>
  <si>
    <t>IMCC-3</t>
  </si>
  <si>
    <t>COAL MILL</t>
  </si>
  <si>
    <t>521CM1</t>
  </si>
  <si>
    <t>KILN</t>
  </si>
  <si>
    <t>IMCC-4</t>
  </si>
  <si>
    <t>BOOSTER FAN</t>
  </si>
  <si>
    <t>LC-2 LIGHTING TRAFO</t>
  </si>
  <si>
    <t>CEMENT MILL</t>
  </si>
  <si>
    <t>631BM1</t>
  </si>
  <si>
    <t>LC-4 LIGHTING</t>
  </si>
  <si>
    <t>IMCC-6</t>
  </si>
  <si>
    <t>POWER IMPORT TO CEMENT PLANT</t>
  </si>
  <si>
    <t>COAL VIBRATOR RUNNING HOUR</t>
  </si>
  <si>
    <t>ROLLER CRUSHER RUNNING HRS(601BE1)</t>
  </si>
  <si>
    <t>Total consumption of roller crusher</t>
  </si>
  <si>
    <t>Power import to cement plant</t>
  </si>
  <si>
    <t>Crusher &amp; auxiliries</t>
  </si>
  <si>
    <t>rawmill</t>
  </si>
  <si>
    <t>coal mill</t>
  </si>
  <si>
    <t>kiln</t>
  </si>
  <si>
    <t>cement mill</t>
  </si>
  <si>
    <t>packing plant</t>
  </si>
  <si>
    <t>Total power consumption</t>
  </si>
  <si>
    <t>Total losses</t>
  </si>
  <si>
    <t>% of Loss</t>
  </si>
  <si>
    <t xml:space="preserve">                                                         </t>
  </si>
  <si>
    <t xml:space="preserve">Crusher </t>
  </si>
  <si>
    <t>utilities</t>
  </si>
  <si>
    <t>% of loss</t>
  </si>
  <si>
    <t>Roller crusher running hrs: 0:00 hrs added in cement mill auxiliries(IMCC-5)</t>
  </si>
  <si>
    <t>Roller crusher auxiliries(IPMCC-4)-65UNITS/HR</t>
  </si>
  <si>
    <t>Roller crusher main drives(IPMCC-3)-30uNITS/HR</t>
  </si>
  <si>
    <t>COMPRESSOR-1(PCC-1@321CP1)</t>
  </si>
  <si>
    <t>COMPRESSOR-2(PCC-2 @ 321CP2)</t>
  </si>
  <si>
    <t>POWER PLANT COAL FEEDING(157units/hr)</t>
  </si>
  <si>
    <t>Cumulative</t>
  </si>
  <si>
    <t>COMPRESSOR-4(PCC-2 @321CP4)</t>
  </si>
  <si>
    <t>Workshop Consumption</t>
  </si>
  <si>
    <t>Compressor -3 (321CP3)</t>
  </si>
  <si>
    <t>IMCC5 + ROLLER CRUSHER</t>
  </si>
  <si>
    <t>Total Consumption</t>
  </si>
  <si>
    <t>Running hrs</t>
  </si>
  <si>
    <t>Production</t>
  </si>
  <si>
    <t>Cement mill main drive</t>
  </si>
  <si>
    <t>Cement mill fan</t>
  </si>
  <si>
    <t>Cement mill auxiliries</t>
  </si>
  <si>
    <t>Cement mill Classifer</t>
  </si>
  <si>
    <t>Compressor-6</t>
  </si>
  <si>
    <t>Compressor-7</t>
  </si>
  <si>
    <t>Hotdust blower &amp; fk pump</t>
  </si>
  <si>
    <t>TR-5(IPMCC-2 = BAGHOUSE FAN +BAG HOUSE AUX.+COMPRESSOR -3 (321CP3)- WORKSHOP)</t>
  </si>
  <si>
    <t>211IC1 run time</t>
  </si>
  <si>
    <t>211BC4 run time</t>
  </si>
  <si>
    <t>Initial reading</t>
  </si>
  <si>
    <t>Final reading</t>
  </si>
  <si>
    <t>Total run hours</t>
  </si>
  <si>
    <t>As per production report</t>
  </si>
  <si>
    <t>As per mining report</t>
  </si>
  <si>
    <t>Boom conveyor</t>
  </si>
  <si>
    <t>211BC4</t>
  </si>
  <si>
    <t>211BC3</t>
  </si>
  <si>
    <t>211BC2</t>
  </si>
  <si>
    <t>211BC1</t>
  </si>
  <si>
    <t>211FN1</t>
  </si>
  <si>
    <t>211AC1</t>
  </si>
  <si>
    <t>211FN2</t>
  </si>
  <si>
    <t>211AC2</t>
  </si>
  <si>
    <t>EQUIPMENT LIST</t>
  </si>
  <si>
    <t>KW</t>
  </si>
  <si>
    <t>TOTAL KW</t>
  </si>
  <si>
    <t>Difference of running hours between auxiliries &amp; crusher</t>
  </si>
  <si>
    <t>05:11 hrs</t>
  </si>
  <si>
    <t>Average idle run power consumption</t>
  </si>
  <si>
    <t>100 units/hr</t>
  </si>
  <si>
    <t>511 units/5.11hrs</t>
  </si>
  <si>
    <t>LIMESTONE crusher power consumption analysis</t>
  </si>
  <si>
    <t>Equipment tag</t>
  </si>
  <si>
    <t>611BC3</t>
  </si>
  <si>
    <t>611FN1</t>
  </si>
  <si>
    <t>611FN2</t>
  </si>
  <si>
    <t>611FN3</t>
  </si>
  <si>
    <t>611FN4</t>
  </si>
  <si>
    <t>611FN5</t>
  </si>
  <si>
    <t>611AC1</t>
  </si>
  <si>
    <t>611AC2</t>
  </si>
  <si>
    <t>611AC3</t>
  </si>
  <si>
    <t>611AC4</t>
  </si>
  <si>
    <t>611AC5</t>
  </si>
  <si>
    <t>611BC4</t>
  </si>
  <si>
    <t>611BC5</t>
  </si>
  <si>
    <t>611BC7</t>
  </si>
  <si>
    <t>631FN1</t>
  </si>
  <si>
    <t>631AC1</t>
  </si>
  <si>
    <t>COMPACT B/F</t>
  </si>
  <si>
    <t>631CM1J</t>
  </si>
  <si>
    <t>I/L HP PUMP</t>
  </si>
  <si>
    <t>I/L LP PUMP</t>
  </si>
  <si>
    <t>O/L HP PUMP</t>
  </si>
  <si>
    <t>O/L LP PUMP</t>
  </si>
  <si>
    <t>A/C Supply LC-3</t>
  </si>
  <si>
    <t>A/C Supply LC-2</t>
  </si>
  <si>
    <t>COLONY (TENESCO from LC-1)</t>
  </si>
  <si>
    <t>471FN2 -Chlorine bypass fan</t>
  </si>
  <si>
    <t>COLONY (TENESCO from LC-4)250KVA</t>
  </si>
  <si>
    <t>WELDING DB(PACKING &amp; CEMENTMILL)</t>
  </si>
  <si>
    <t>WELDING SUPPLY COAL MILL &amp; KILN</t>
  </si>
  <si>
    <t>SECTION</t>
  </si>
  <si>
    <t>Per Hour Avg power</t>
  </si>
  <si>
    <t>Supply  for CCR</t>
  </si>
  <si>
    <t>Units/Hr</t>
  </si>
  <si>
    <t>Average TPH</t>
  </si>
  <si>
    <t>PRE-HEATER FAN(TR2)</t>
  </si>
  <si>
    <t>COAL MILL AUXILIRIES-IPMCC4(TR8)</t>
  </si>
  <si>
    <t>COOLER DRIVES(IPMCC-3)(TR7)</t>
  </si>
  <si>
    <t>KILN MAIN DRIVE(441MU1)</t>
  </si>
  <si>
    <t>HOTDUST BLOWER &amp; FK PUMP(461BL11)</t>
  </si>
  <si>
    <t>CRUSHER AUXILIRIES(IPMCC-1)-TR3</t>
  </si>
  <si>
    <t>321FN3-TR1</t>
  </si>
  <si>
    <t>631CF1 (631FN6)</t>
  </si>
  <si>
    <t>COMPRESSOR-6-(CP1)</t>
  </si>
  <si>
    <t>COMPRESSOR-7-(CP2)</t>
  </si>
  <si>
    <t>CLASSFIER (631HC1)</t>
  </si>
  <si>
    <t>Commulative</t>
  </si>
  <si>
    <t>IMCC-2/RECLAIMER</t>
  </si>
  <si>
    <t>COMPRESSOR-8-(CP3)</t>
  </si>
  <si>
    <t>TR3</t>
  </si>
  <si>
    <t>IMCC1</t>
  </si>
  <si>
    <t>IMCC2</t>
  </si>
  <si>
    <t>LTRANS</t>
  </si>
  <si>
    <t>WELDING</t>
  </si>
  <si>
    <t>IMCC3</t>
  </si>
  <si>
    <t>321CP4</t>
  </si>
  <si>
    <t>IMCC4</t>
  </si>
  <si>
    <t>441MU1</t>
  </si>
  <si>
    <t>461BL11</t>
  </si>
  <si>
    <t>321CP2</t>
  </si>
  <si>
    <t>ACSUPPLY</t>
  </si>
  <si>
    <t>TR1</t>
  </si>
  <si>
    <t>TR5</t>
  </si>
  <si>
    <t>TR2</t>
  </si>
  <si>
    <t>TR7</t>
  </si>
  <si>
    <t>TR8</t>
  </si>
  <si>
    <t>WORKS</t>
  </si>
  <si>
    <t>FN6</t>
  </si>
  <si>
    <t>IMCC5</t>
  </si>
  <si>
    <t>CP3</t>
  </si>
  <si>
    <t>HC1</t>
  </si>
  <si>
    <t>CP2</t>
  </si>
  <si>
    <t>IMCC6</t>
  </si>
  <si>
    <t>CCR</t>
  </si>
  <si>
    <t xml:space="preserve">READINGS FROM LC-1 </t>
  </si>
  <si>
    <t>CONSUMPTIONS</t>
  </si>
  <si>
    <t>INCOMER</t>
  </si>
  <si>
    <t>211-IC1</t>
  </si>
  <si>
    <t>TR-3</t>
  </si>
  <si>
    <t>IPMCC-1</t>
  </si>
  <si>
    <t>IMCC-1</t>
  </si>
  <si>
    <t>IMCC-2</t>
  </si>
  <si>
    <t>L/TRANS</t>
  </si>
  <si>
    <t>TANESCO</t>
  </si>
  <si>
    <t>PCC-1</t>
  </si>
  <si>
    <t>321 CP-1</t>
  </si>
  <si>
    <t>321 CP-4</t>
  </si>
  <si>
    <t>PCC-2</t>
  </si>
  <si>
    <t>441 MU1</t>
  </si>
  <si>
    <t>461 BL 11</t>
  </si>
  <si>
    <t>321 CP-2</t>
  </si>
  <si>
    <t>AC-SUPPLY</t>
  </si>
  <si>
    <t>READINGS FROM LC-2</t>
  </si>
  <si>
    <t>IPMCC-2</t>
  </si>
  <si>
    <t>461 FN-1</t>
  </si>
  <si>
    <t>WORK SHOP</t>
  </si>
  <si>
    <t>321 RM1</t>
  </si>
  <si>
    <t>TR-4</t>
  </si>
  <si>
    <t>TR-1</t>
  </si>
  <si>
    <t>TR-5</t>
  </si>
  <si>
    <t>LC-1</t>
  </si>
  <si>
    <t>LC-2</t>
  </si>
  <si>
    <t>LC-3</t>
  </si>
  <si>
    <t>LC-4</t>
  </si>
  <si>
    <t>TR-2</t>
  </si>
  <si>
    <t>TR-6</t>
  </si>
  <si>
    <t>521 CM-1</t>
  </si>
  <si>
    <t>TR-7</t>
  </si>
  <si>
    <t>TR-8</t>
  </si>
  <si>
    <t>READINGS FROM LC-4</t>
  </si>
  <si>
    <t>631 BM1</t>
  </si>
  <si>
    <t>TR-09</t>
  </si>
  <si>
    <t>631 FN-6</t>
  </si>
  <si>
    <t>TR-10</t>
  </si>
  <si>
    <t>PCC3</t>
  </si>
  <si>
    <t>IMCC-5</t>
  </si>
  <si>
    <t>CP-3</t>
  </si>
  <si>
    <t>631 HC-1</t>
  </si>
  <si>
    <t>CP-1</t>
  </si>
  <si>
    <t>CP-2</t>
  </si>
  <si>
    <t>PCC-4</t>
  </si>
  <si>
    <t>IPMCC-4</t>
  </si>
  <si>
    <t>CCR-SUPPLY</t>
  </si>
  <si>
    <t>CLINKER</t>
  </si>
  <si>
    <t>CEMENT</t>
  </si>
  <si>
    <t>TOTAL UNIT</t>
  </si>
  <si>
    <t>TANESCO UNIT</t>
  </si>
  <si>
    <t>CPP UNIT</t>
  </si>
  <si>
    <t>TANESCO UNITS FOR CLINKER</t>
  </si>
  <si>
    <t>CPP UNIT FOR CLINKER</t>
  </si>
  <si>
    <t>TANESCO UNITS FOR CEMENT</t>
  </si>
  <si>
    <t>CPP UNIT FOR CEMENT</t>
  </si>
  <si>
    <t>% OF TOTAL UNIT CONSUMED TANESCO</t>
  </si>
  <si>
    <t>% OF TOTAL UNIT CONSUMED CPP</t>
  </si>
  <si>
    <t>Colony</t>
  </si>
  <si>
    <t>colony power</t>
  </si>
  <si>
    <t>RECLAIMER</t>
  </si>
  <si>
    <t>TANESCO UNIT  FOR COLONY</t>
  </si>
  <si>
    <t>CPP UNIT FOR COLONY</t>
  </si>
  <si>
    <t>MTD</t>
  </si>
  <si>
    <t>TODATE FIGURE</t>
  </si>
  <si>
    <t>MTD FIGURE</t>
  </si>
  <si>
    <t>CRUSHER</t>
  </si>
  <si>
    <t>RAW MILL</t>
  </si>
  <si>
    <t>STACKER(IMCC1)</t>
  </si>
  <si>
    <t>CEMENT MILL-1</t>
  </si>
  <si>
    <t>CEMENT MILL-2</t>
  </si>
  <si>
    <t>PACKING PLANT-1</t>
  </si>
  <si>
    <t>PACKING PLANT-2</t>
  </si>
  <si>
    <t>SPECIFICATION</t>
  </si>
  <si>
    <t>PRODUCTION (MT)</t>
  </si>
  <si>
    <t>BM2</t>
  </si>
  <si>
    <t>CEMENT BAG HOUSE FAN</t>
  </si>
  <si>
    <t>IMCC + ROLLER CRUSHER</t>
  </si>
  <si>
    <t>CLASSFIER (HC1)</t>
  </si>
  <si>
    <t>COMPRESSOR(CP)</t>
  </si>
  <si>
    <t>PACKING PLANT -1</t>
  </si>
  <si>
    <t>PACKING PLANT -2</t>
  </si>
  <si>
    <t>IMCC-</t>
  </si>
  <si>
    <t>Total Loss</t>
  </si>
  <si>
    <t>cement mill-2</t>
  </si>
  <si>
    <t>cement mill-1</t>
  </si>
  <si>
    <t>packing plant-1</t>
  </si>
  <si>
    <t>packing plant-2</t>
  </si>
  <si>
    <t>632BM2</t>
  </si>
  <si>
    <t xml:space="preserve">NEW IMCC </t>
  </si>
  <si>
    <t>461FN1-TR1</t>
  </si>
  <si>
    <t>321FN3 RM FAN</t>
  </si>
  <si>
    <t>TR-5(IPMCC-2 = BAG HOUSE AUX.- WORKSHOP)</t>
  </si>
  <si>
    <t>NEW COAL MILL AUX. NEW MCC (TR12)</t>
  </si>
  <si>
    <t>431FN1 PRE-HEATER FAN</t>
  </si>
  <si>
    <t>KILN MAIN DRIVE(441MU1-TR14)</t>
  </si>
  <si>
    <t>COMPRESSOR-3 (321CP3)</t>
  </si>
  <si>
    <t>LC-2A LIGHTING TR</t>
  </si>
  <si>
    <t>TANESCO UNITS FOR COAL MILL &amp;CRUSHER</t>
  </si>
  <si>
    <t>TANESCO UNIT FOR CM-1</t>
  </si>
  <si>
    <t>TANESCO UNIT FOR CM-2</t>
  </si>
  <si>
    <t>CPP UNIT FOR CM-1</t>
  </si>
  <si>
    <t>TANESCO UNIT FOR COAL MILL,LST&amp;COLONY</t>
  </si>
  <si>
    <t>CPP UNIT FOR COAL MILL,LST&amp;COLONY</t>
  </si>
  <si>
    <t>CPP UNIT FOR CM-2</t>
  </si>
  <si>
    <r>
      <t>COMPRESSOR(CP)-</t>
    </r>
    <r>
      <rPr>
        <b/>
        <sz val="11"/>
        <color theme="1"/>
        <rFont val="Calibri"/>
        <family val="2"/>
        <scheme val="minor"/>
      </rPr>
      <t>PCC4</t>
    </r>
  </si>
  <si>
    <t>IMCC-6A</t>
  </si>
  <si>
    <t>100RM1</t>
  </si>
  <si>
    <t>100FN2</t>
  </si>
  <si>
    <t>Raw Mill-1</t>
  </si>
  <si>
    <t>Raw Mill-2</t>
  </si>
  <si>
    <t>TANESCO-COLONY</t>
  </si>
  <si>
    <t>CLASSFIER (632RS1)</t>
  </si>
  <si>
    <t>CEMENT BAG HOUSE FAN(632FN11)</t>
  </si>
  <si>
    <t>TANESCO COLONY</t>
  </si>
  <si>
    <t>632BM1</t>
  </si>
  <si>
    <t>COLONY (TENESCO from LC-4)</t>
  </si>
  <si>
    <t>631FN6</t>
  </si>
  <si>
    <t>LC-4A LIGHTING</t>
  </si>
  <si>
    <t>521FN1</t>
  </si>
  <si>
    <t>521 FN1</t>
  </si>
  <si>
    <t>Rawmill-2 Auxil</t>
  </si>
  <si>
    <t>TOTAL COMPRESSOR POWER</t>
  </si>
  <si>
    <t>COMPRESSOR-7-(CP3)</t>
  </si>
  <si>
    <t>COMPRESSOR-8-(CP2)</t>
  </si>
  <si>
    <t>Section</t>
  </si>
  <si>
    <t xml:space="preserve"> </t>
  </si>
  <si>
    <t xml:space="preserve">  </t>
  </si>
  <si>
    <t>Section.</t>
  </si>
  <si>
    <t>01-June Reading</t>
  </si>
  <si>
    <t>2-June Reading</t>
  </si>
  <si>
    <t>02-june Consumption</t>
  </si>
  <si>
    <t>03-june Reading</t>
  </si>
  <si>
    <t>03-june Consumption</t>
  </si>
  <si>
    <t>04-june Reading</t>
  </si>
  <si>
    <t>04-june Consumption</t>
  </si>
  <si>
    <t>05-june Consumption</t>
  </si>
  <si>
    <t>06-june Reading</t>
  </si>
  <si>
    <t>06-june Consumption</t>
  </si>
  <si>
    <t>07-june Reading</t>
  </si>
  <si>
    <t>08-june Reading</t>
  </si>
  <si>
    <t>09-june Reading</t>
  </si>
  <si>
    <t>09-june Consumption</t>
  </si>
  <si>
    <t>10-june Consumption</t>
  </si>
  <si>
    <t>11-june Reading</t>
  </si>
  <si>
    <t>12-june Reading</t>
  </si>
  <si>
    <t>13-june Reading</t>
  </si>
  <si>
    <t>14-june Reading</t>
  </si>
  <si>
    <t>14-june Consumption</t>
  </si>
  <si>
    <t>15-june Reading</t>
  </si>
  <si>
    <t>15-june Consumption</t>
  </si>
  <si>
    <t>16-june Reading</t>
  </si>
  <si>
    <t>16-june Consumption</t>
  </si>
  <si>
    <t>17-june Reading</t>
  </si>
  <si>
    <t>17-june Consumption</t>
  </si>
  <si>
    <t>18-june Reading</t>
  </si>
  <si>
    <t>18-june Consumption</t>
  </si>
  <si>
    <t>19-june Reading</t>
  </si>
  <si>
    <t>19-june Consumption</t>
  </si>
  <si>
    <t>20-june Reading</t>
  </si>
  <si>
    <t>20-june Consumption</t>
  </si>
  <si>
    <t>21-june Reading</t>
  </si>
  <si>
    <t>21-june Consumption</t>
  </si>
  <si>
    <t>22-june Reading</t>
  </si>
  <si>
    <t>22-june Consumption</t>
  </si>
  <si>
    <t>23-june Reading</t>
  </si>
  <si>
    <t>23-june Consumption</t>
  </si>
  <si>
    <t>24-june Reading</t>
  </si>
  <si>
    <t>24-june Consumption</t>
  </si>
  <si>
    <t>25-june Reading</t>
  </si>
  <si>
    <t>25-june Consumption</t>
  </si>
  <si>
    <t>26-june Reading</t>
  </si>
  <si>
    <t>26-june Consumption</t>
  </si>
  <si>
    <t>27-june Reading</t>
  </si>
  <si>
    <t>27-june Consumption</t>
  </si>
  <si>
    <t>28-june Reading</t>
  </si>
  <si>
    <t>28-june Consumption</t>
  </si>
  <si>
    <t>29-june Reading</t>
  </si>
  <si>
    <t>29-june Consumption</t>
  </si>
  <si>
    <t>30-june Reading</t>
  </si>
  <si>
    <t>30-june Consumption</t>
  </si>
  <si>
    <t>31-May reading</t>
  </si>
  <si>
    <t>05-june Reading</t>
  </si>
  <si>
    <t>07-june Consumption</t>
  </si>
  <si>
    <t>08-june Consumption</t>
  </si>
  <si>
    <t>10-june Reading</t>
  </si>
  <si>
    <t>11-june Consumption</t>
  </si>
  <si>
    <t>12-june Consumption</t>
  </si>
  <si>
    <t>13-june Consumption</t>
  </si>
  <si>
    <t>junech</t>
  </si>
  <si>
    <t>PYRO SECTION</t>
  </si>
  <si>
    <t>COMPRESSOR-1(321CP1)</t>
  </si>
  <si>
    <t>COMPRESSOR-2(321CP2)</t>
  </si>
  <si>
    <t>COMPRESSOR-3(321CP3)</t>
  </si>
  <si>
    <t>COMPRESSOR-4(321CP4)</t>
  </si>
  <si>
    <t>GRINDING SECTION</t>
  </si>
  <si>
    <t>COMPRESSOR-6-(811CP1)</t>
  </si>
  <si>
    <t>COMPRESSOR-7-(811CP2)</t>
  </si>
  <si>
    <t>COMPRESSOR-8-(811CP3)</t>
  </si>
  <si>
    <t>COMPRESSOR-9-(811CP4)</t>
  </si>
  <si>
    <t>TOTAL 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</si>
</sst>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\-mmm\-yy;@"/>
    <numFmt numFmtId="166" formatCode="0;[Red]0"/>
    <numFmt numFmtId="167" formatCode="[$-F800]dddd\,\ mmmm\ dd\,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theme="5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9" fontId="8" fillId="0" borderId="0" applyFont="0" applyFill="0" applyBorder="0" applyAlignment="0" applyProtection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164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5" fillId="0" borderId="0" xfId="0" applyFont="1"/>
    <xf numFmtId="1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7" fillId="0" borderId="2" xfId="0" applyFont="1" applyBorder="1" applyAlignment="1">
      <alignment horizontal="center" vertical="center"/>
    </xf>
    <xf numFmtId="0" fontId="7" fillId="0" borderId="0" xfId="0" applyFont="1"/>
    <xf numFmtId="0" fontId="0" fillId="0" borderId="2" xfId="0" applyBorder="1"/>
    <xf numFmtId="0" fontId="1" fillId="0" borderId="1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 applyAlignment="1">
      <alignment horizontal="center"/>
    </xf>
    <xf numFmtId="164" fontId="0" fillId="0" borderId="2" xfId="0" applyNumberFormat="1" applyBorder="1"/>
    <xf numFmtId="1" fontId="0" fillId="0" borderId="2" xfId="0" applyNumberFormat="1" applyBorder="1"/>
    <xf numFmtId="10" fontId="0" fillId="0" borderId="2" xfId="0" applyNumberFormat="1" applyBorder="1"/>
    <xf numFmtId="0" fontId="1" fillId="0" borderId="2" xfId="0" applyFont="1" applyBorder="1"/>
    <xf numFmtId="164" fontId="1" fillId="0" borderId="3" xfId="0" applyNumberFormat="1" applyFont="1" applyBorder="1"/>
    <xf numFmtId="164" fontId="1" fillId="0" borderId="4" xfId="0" applyNumberFormat="1" applyFont="1" applyBorder="1"/>
    <xf numFmtId="0" fontId="4" fillId="0" borderId="0" xfId="0" applyFont="1"/>
    <xf numFmtId="0" fontId="6" fillId="0" borderId="2" xfId="0" applyFont="1" applyBorder="1"/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6" fillId="0" borderId="0" xfId="0" applyFont="1"/>
    <xf numFmtId="0" fontId="0" fillId="3" borderId="2" xfId="0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1" fillId="4" borderId="2" xfId="0" applyFont="1" applyFill="1" applyBorder="1" applyAlignment="1">
      <alignment horizontal="center"/>
    </xf>
    <xf numFmtId="0" fontId="6" fillId="0" borderId="1" xfId="0" applyFont="1" applyBorder="1"/>
    <xf numFmtId="0" fontId="0" fillId="2" borderId="2" xfId="0" applyFill="1" applyBorder="1"/>
    <xf numFmtId="0" fontId="1" fillId="5" borderId="2" xfId="0" applyFont="1" applyFill="1" applyBorder="1"/>
    <xf numFmtId="0" fontId="1" fillId="6" borderId="2" xfId="0" applyFont="1" applyFill="1" applyBorder="1"/>
    <xf numFmtId="0" fontId="1" fillId="6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0" fillId="2" borderId="0" xfId="0" applyFill="1"/>
    <xf numFmtId="1" fontId="0" fillId="0" borderId="0" xfId="0" applyNumberFormat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9" xfId="0" applyNumberFormat="1" applyBorder="1"/>
    <xf numFmtId="14" fontId="0" fillId="0" borderId="11" xfId="0" applyNumberFormat="1" applyBorder="1"/>
    <xf numFmtId="166" fontId="0" fillId="0" borderId="2" xfId="2" applyNumberFormat="1" applyFont="1" applyBorder="1"/>
    <xf numFmtId="164" fontId="0" fillId="0" borderId="8" xfId="0" applyNumberFormat="1" applyBorder="1" applyAlignment="1">
      <alignment horizontal="center"/>
    </xf>
    <xf numFmtId="0" fontId="0" fillId="0" borderId="18" xfId="0" applyBorder="1"/>
    <xf numFmtId="0" fontId="0" fillId="0" borderId="19" xfId="0" applyBorder="1"/>
    <xf numFmtId="14" fontId="0" fillId="0" borderId="17" xfId="0" applyNumberFormat="1" applyBorder="1"/>
    <xf numFmtId="14" fontId="0" fillId="0" borderId="0" xfId="0" applyNumberFormat="1"/>
    <xf numFmtId="14" fontId="0" fillId="0" borderId="20" xfId="0" applyNumberFormat="1" applyBorder="1"/>
    <xf numFmtId="14" fontId="0" fillId="0" borderId="12" xfId="0" applyNumberFormat="1" applyBorder="1"/>
    <xf numFmtId="14" fontId="0" fillId="0" borderId="16" xfId="0" applyNumberFormat="1" applyBorder="1"/>
    <xf numFmtId="2" fontId="0" fillId="0" borderId="2" xfId="0" applyNumberFormat="1" applyBorder="1"/>
    <xf numFmtId="164" fontId="0" fillId="0" borderId="8" xfId="0" applyNumberFormat="1" applyBorder="1"/>
    <xf numFmtId="0" fontId="1" fillId="0" borderId="0" xfId="0" applyFont="1" applyAlignment="1">
      <alignment horizontal="center"/>
    </xf>
    <xf numFmtId="0" fontId="1" fillId="0" borderId="0" xfId="0" applyFont="1"/>
    <xf numFmtId="164" fontId="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15" fontId="13" fillId="0" borderId="0" xfId="0" applyNumberFormat="1" applyFont="1"/>
    <xf numFmtId="0" fontId="1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5" fontId="13" fillId="0" borderId="2" xfId="0" applyNumberFormat="1" applyFont="1" applyBorder="1"/>
    <xf numFmtId="2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13" fillId="0" borderId="2" xfId="0" applyFont="1" applyBorder="1"/>
    <xf numFmtId="2" fontId="1" fillId="0" borderId="2" xfId="0" applyNumberFormat="1" applyFont="1" applyBorder="1"/>
    <xf numFmtId="4" fontId="13" fillId="0" borderId="0" xfId="0" applyNumberFormat="1" applyFont="1" applyAlignment="1">
      <alignment horizontal="center" vertical="center"/>
    </xf>
    <xf numFmtId="0" fontId="13" fillId="0" borderId="0" xfId="0" applyFont="1"/>
    <xf numFmtId="1" fontId="0" fillId="3" borderId="2" xfId="0" applyNumberForma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6" fillId="3" borderId="2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0" fillId="0" borderId="2" xfId="2" applyNumberFormat="1" applyFont="1" applyBorder="1" applyAlignment="1"/>
    <xf numFmtId="166" fontId="0" fillId="0" borderId="0" xfId="0" applyNumberFormat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14" fontId="0" fillId="7" borderId="2" xfId="0" applyNumberForma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7" fillId="3" borderId="1" xfId="0" applyFont="1" applyFill="1" applyBorder="1"/>
    <xf numFmtId="0" fontId="0" fillId="9" borderId="2" xfId="0" applyFill="1" applyBorder="1"/>
    <xf numFmtId="1" fontId="0" fillId="9" borderId="2" xfId="0" applyNumberFormat="1" applyFill="1" applyBorder="1" applyAlignment="1">
      <alignment horizontal="center" vertical="center"/>
    </xf>
    <xf numFmtId="0" fontId="1" fillId="0" borderId="2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12" fillId="0" borderId="2" xfId="0" applyFont="1" applyBorder="1" applyProtection="1">
      <protection locked="0"/>
    </xf>
    <xf numFmtId="0" fontId="0" fillId="0" borderId="0" xfId="0" applyProtection="1">
      <protection locked="0"/>
    </xf>
    <xf numFmtId="10" fontId="0" fillId="0" borderId="0" xfId="2" applyNumberFormat="1" applyFont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166" fontId="0" fillId="0" borderId="0" xfId="0" applyNumberFormat="1"/>
    <xf numFmtId="9" fontId="0" fillId="0" borderId="0" xfId="2" applyFont="1"/>
    <xf numFmtId="166" fontId="0" fillId="0" borderId="2" xfId="2" applyNumberFormat="1" applyFont="1" applyFill="1" applyBorder="1" applyAlignment="1"/>
    <xf numFmtId="0" fontId="0" fillId="11" borderId="2" xfId="0" applyFill="1" applyBorder="1" applyAlignment="1">
      <alignment horizontal="center" vertical="center"/>
    </xf>
    <xf numFmtId="167" fontId="0" fillId="7" borderId="2" xfId="0" applyNumberForma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center" vertical="center"/>
    </xf>
    <xf numFmtId="1" fontId="0" fillId="11" borderId="2" xfId="0" applyNumberFormat="1" applyFill="1" applyBorder="1" applyAlignment="1">
      <alignment horizontal="center" vertical="center"/>
    </xf>
    <xf numFmtId="1" fontId="6" fillId="11" borderId="2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0" borderId="2" xfId="0" applyFont="1" applyBorder="1" applyAlignment="1">
      <alignment wrapText="1"/>
    </xf>
    <xf numFmtId="0" fontId="7" fillId="0" borderId="2" xfId="0" applyFont="1" applyBorder="1"/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" fontId="0" fillId="0" borderId="21" xfId="0" applyNumberFormat="1" applyBorder="1" applyAlignment="1">
      <alignment horizontal="center" vertical="center"/>
    </xf>
    <xf numFmtId="0" fontId="0" fillId="11" borderId="21" xfId="0" applyFill="1" applyBorder="1" applyAlignment="1">
      <alignment horizontal="center" vertical="center"/>
    </xf>
    <xf numFmtId="0" fontId="0" fillId="0" borderId="21" xfId="0" applyBorder="1"/>
    <xf numFmtId="0" fontId="0" fillId="0" borderId="3" xfId="0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11" borderId="22" xfId="0" applyFill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/>
    </xf>
    <xf numFmtId="15" fontId="0" fillId="0" borderId="3" xfId="0" applyNumberFormat="1" applyBorder="1" applyAlignment="1">
      <alignment horizontal="center" vertical="center"/>
    </xf>
    <xf numFmtId="15" fontId="0" fillId="0" borderId="5" xfId="0" applyNumberFormat="1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IMS%20Report%20of%20FEBRU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5"/>
      <sheetName val="IMS DATA"/>
      <sheetName val="CUMULATIVE DAILY"/>
      <sheetName val="Energy Readings"/>
      <sheetName val="READINGS"/>
      <sheetName val="Sheet8"/>
      <sheetName val="Sheet6"/>
      <sheetName val="Sheet7"/>
      <sheetName val="Sheet9"/>
      <sheetName val="Sheet1"/>
      <sheetName val="Sheet3"/>
      <sheetName val="Sheet2"/>
      <sheetName val="CORRECTIONS IF ANY"/>
    </sheetNames>
    <sheetDataSet>
      <sheetData sheetId="0"/>
      <sheetData sheetId="1"/>
      <sheetData sheetId="2"/>
      <sheetData sheetId="3">
        <row r="60">
          <cell r="P60">
            <v>0</v>
          </cell>
        </row>
        <row r="61">
          <cell r="P61">
            <v>0</v>
          </cell>
        </row>
        <row r="62">
          <cell r="P62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70"/>
  <sheetViews>
    <sheetView topLeftCell="AE1" workbookViewId="0">
      <selection activeCell="AN2" sqref="AN2"/>
    </sheetView>
  </sheetViews>
  <sheetFormatPr defaultRowHeight="15" x14ac:dyDescent="0.25"/>
  <cols>
    <col min="1" max="1" width="36.5703125" bestFit="1" customWidth="1"/>
    <col min="2" max="2" width="10.140625" bestFit="1" customWidth="1"/>
    <col min="4" max="4" width="24.42578125" customWidth="1"/>
    <col min="5" max="7" width="18" bestFit="1" customWidth="1"/>
    <col min="8" max="8" width="12.28515625" customWidth="1"/>
    <col min="9" max="9" width="10.5703125" customWidth="1"/>
    <col min="10" max="35" width="11.5703125" customWidth="1"/>
  </cols>
  <sheetData>
    <row r="1" spans="1:69" s="69" customFormat="1" ht="18.75" x14ac:dyDescent="0.3">
      <c r="A1" s="2" t="s">
        <v>0</v>
      </c>
      <c r="B1" s="3">
        <v>45414</v>
      </c>
      <c r="C1" s="68" t="s">
        <v>221</v>
      </c>
      <c r="D1" s="68"/>
      <c r="E1" s="68" t="s">
        <v>222</v>
      </c>
      <c r="F1" s="68" t="s">
        <v>223</v>
      </c>
      <c r="AL1" s="70">
        <v>45413</v>
      </c>
      <c r="AM1" s="70">
        <f>AL1+1</f>
        <v>45414</v>
      </c>
      <c r="AN1" s="70">
        <f t="shared" ref="AN1:BP1" si="0">AM1+1</f>
        <v>45415</v>
      </c>
      <c r="AO1" s="70">
        <f t="shared" si="0"/>
        <v>45416</v>
      </c>
      <c r="AP1" s="70">
        <f t="shared" si="0"/>
        <v>45417</v>
      </c>
      <c r="AQ1" s="70">
        <f t="shared" si="0"/>
        <v>45418</v>
      </c>
      <c r="AR1" s="70">
        <f t="shared" si="0"/>
        <v>45419</v>
      </c>
      <c r="AS1" s="70">
        <f t="shared" si="0"/>
        <v>45420</v>
      </c>
      <c r="AT1" s="70">
        <f t="shared" si="0"/>
        <v>45421</v>
      </c>
      <c r="AU1" s="70">
        <f t="shared" si="0"/>
        <v>45422</v>
      </c>
      <c r="AV1" s="70">
        <f t="shared" si="0"/>
        <v>45423</v>
      </c>
      <c r="AW1" s="70">
        <f t="shared" si="0"/>
        <v>45424</v>
      </c>
      <c r="AX1" s="70">
        <f t="shared" si="0"/>
        <v>45425</v>
      </c>
      <c r="AY1" s="70">
        <f t="shared" si="0"/>
        <v>45426</v>
      </c>
      <c r="AZ1" s="70">
        <f t="shared" si="0"/>
        <v>45427</v>
      </c>
      <c r="BA1" s="70">
        <f t="shared" si="0"/>
        <v>45428</v>
      </c>
      <c r="BB1" s="70">
        <f t="shared" si="0"/>
        <v>45429</v>
      </c>
      <c r="BC1" s="70">
        <f t="shared" si="0"/>
        <v>45430</v>
      </c>
      <c r="BD1" s="70">
        <f t="shared" si="0"/>
        <v>45431</v>
      </c>
      <c r="BE1" s="70">
        <f t="shared" si="0"/>
        <v>45432</v>
      </c>
      <c r="BF1" s="70">
        <f t="shared" si="0"/>
        <v>45433</v>
      </c>
      <c r="BG1" s="70">
        <f t="shared" si="0"/>
        <v>45434</v>
      </c>
      <c r="BH1" s="70">
        <f t="shared" si="0"/>
        <v>45435</v>
      </c>
      <c r="BI1" s="70">
        <f t="shared" si="0"/>
        <v>45436</v>
      </c>
      <c r="BJ1" s="70">
        <f t="shared" si="0"/>
        <v>45437</v>
      </c>
      <c r="BK1" s="70">
        <f t="shared" si="0"/>
        <v>45438</v>
      </c>
      <c r="BL1" s="70">
        <f t="shared" si="0"/>
        <v>45439</v>
      </c>
      <c r="BM1" s="70">
        <f t="shared" si="0"/>
        <v>45440</v>
      </c>
      <c r="BN1" s="70">
        <f t="shared" si="0"/>
        <v>45441</v>
      </c>
      <c r="BO1" s="70">
        <f t="shared" si="0"/>
        <v>45442</v>
      </c>
      <c r="BP1" s="70">
        <f t="shared" si="0"/>
        <v>45443</v>
      </c>
      <c r="BQ1" s="68" t="s">
        <v>221</v>
      </c>
    </row>
    <row r="2" spans="1:69" x14ac:dyDescent="0.25">
      <c r="A2" s="4" t="s">
        <v>1</v>
      </c>
      <c r="B2" s="5">
        <v>163</v>
      </c>
      <c r="C2">
        <f>BQ2</f>
        <v>373</v>
      </c>
      <c r="D2" s="17" t="s">
        <v>224</v>
      </c>
      <c r="E2" s="71">
        <v>2618.9</v>
      </c>
      <c r="F2" s="72">
        <f>AJ13</f>
        <v>5020.16</v>
      </c>
      <c r="AL2" s="5">
        <v>210</v>
      </c>
      <c r="AM2" s="5">
        <v>163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>
        <f>SUM(AL2:BP2)</f>
        <v>373</v>
      </c>
    </row>
    <row r="3" spans="1:69" x14ac:dyDescent="0.25">
      <c r="A3" s="26" t="s">
        <v>122</v>
      </c>
      <c r="B3" s="27">
        <f>4660-B4-B6-B7</f>
        <v>2099</v>
      </c>
      <c r="C3">
        <f t="shared" ref="C3:C66" si="1">BQ3</f>
        <v>3217</v>
      </c>
      <c r="D3" s="17" t="s">
        <v>225</v>
      </c>
      <c r="E3" s="71">
        <v>1793</v>
      </c>
      <c r="F3" s="72">
        <f t="shared" ref="F3:F9" si="2">AJ14</f>
        <v>3418</v>
      </c>
      <c r="AL3" s="27">
        <f>3633-AL4-AL6-AL7</f>
        <v>1118</v>
      </c>
      <c r="AM3" s="27">
        <f>4660-AM4-AM6-AM7</f>
        <v>2099</v>
      </c>
      <c r="AN3" s="27">
        <f t="shared" ref="AN3:BP3" si="3">0-AN4-AN6-AN7</f>
        <v>0</v>
      </c>
      <c r="AO3" s="27">
        <f t="shared" si="3"/>
        <v>0</v>
      </c>
      <c r="AP3" s="27">
        <f t="shared" si="3"/>
        <v>0</v>
      </c>
      <c r="AQ3" s="27">
        <f t="shared" si="3"/>
        <v>0</v>
      </c>
      <c r="AR3" s="27">
        <f t="shared" si="3"/>
        <v>0</v>
      </c>
      <c r="AS3" s="27">
        <f t="shared" si="3"/>
        <v>0</v>
      </c>
      <c r="AT3" s="27">
        <f t="shared" si="3"/>
        <v>0</v>
      </c>
      <c r="AU3" s="27">
        <f t="shared" si="3"/>
        <v>0</v>
      </c>
      <c r="AV3" s="27">
        <f t="shared" si="3"/>
        <v>0</v>
      </c>
      <c r="AW3" s="27">
        <f t="shared" si="3"/>
        <v>0</v>
      </c>
      <c r="AX3" s="27">
        <f t="shared" si="3"/>
        <v>0</v>
      </c>
      <c r="AY3" s="27">
        <f t="shared" si="3"/>
        <v>0</v>
      </c>
      <c r="AZ3" s="27">
        <f t="shared" si="3"/>
        <v>0</v>
      </c>
      <c r="BA3" s="27">
        <f t="shared" si="3"/>
        <v>0</v>
      </c>
      <c r="BB3" s="27">
        <f t="shared" si="3"/>
        <v>0</v>
      </c>
      <c r="BC3" s="27">
        <f t="shared" si="3"/>
        <v>0</v>
      </c>
      <c r="BD3" s="27">
        <f t="shared" si="3"/>
        <v>0</v>
      </c>
      <c r="BE3" s="27">
        <f t="shared" si="3"/>
        <v>0</v>
      </c>
      <c r="BF3" s="27">
        <f t="shared" si="3"/>
        <v>0</v>
      </c>
      <c r="BG3" s="27">
        <f t="shared" si="3"/>
        <v>0</v>
      </c>
      <c r="BH3" s="27">
        <f t="shared" si="3"/>
        <v>0</v>
      </c>
      <c r="BI3" s="27">
        <f t="shared" si="3"/>
        <v>0</v>
      </c>
      <c r="BJ3" s="27">
        <f t="shared" si="3"/>
        <v>0</v>
      </c>
      <c r="BK3" s="27">
        <f t="shared" si="3"/>
        <v>0</v>
      </c>
      <c r="BL3" s="27">
        <f t="shared" si="3"/>
        <v>0</v>
      </c>
      <c r="BM3" s="27">
        <f t="shared" si="3"/>
        <v>0</v>
      </c>
      <c r="BN3" s="27">
        <f t="shared" si="3"/>
        <v>0</v>
      </c>
      <c r="BO3" s="27">
        <f t="shared" si="3"/>
        <v>0</v>
      </c>
      <c r="BP3" s="27">
        <f t="shared" si="3"/>
        <v>0</v>
      </c>
      <c r="BQ3">
        <f t="shared" ref="BQ3:BQ66" si="4">SUM(AL3:BP3)</f>
        <v>3217</v>
      </c>
    </row>
    <row r="4" spans="1:69" x14ac:dyDescent="0.25">
      <c r="A4" s="40" t="s">
        <v>107</v>
      </c>
      <c r="B4" s="9">
        <v>2229</v>
      </c>
      <c r="C4">
        <f t="shared" si="1"/>
        <v>4465</v>
      </c>
      <c r="D4" s="17" t="s">
        <v>7</v>
      </c>
      <c r="E4" s="71">
        <v>179</v>
      </c>
      <c r="F4" s="72">
        <f t="shared" si="2"/>
        <v>334</v>
      </c>
      <c r="AL4" s="9">
        <v>2236</v>
      </c>
      <c r="AM4" s="9">
        <v>2229</v>
      </c>
      <c r="AN4" s="9">
        <v>0</v>
      </c>
      <c r="AO4" s="9">
        <v>0</v>
      </c>
      <c r="AP4" s="9">
        <v>0</v>
      </c>
      <c r="AQ4" s="9">
        <v>0</v>
      </c>
      <c r="AR4" s="9">
        <v>0</v>
      </c>
      <c r="AS4" s="9">
        <v>0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>
        <v>0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>
        <v>0</v>
      </c>
      <c r="BI4" s="9">
        <v>0</v>
      </c>
      <c r="BJ4" s="9">
        <v>0</v>
      </c>
      <c r="BK4" s="9">
        <v>0</v>
      </c>
      <c r="BL4" s="9">
        <v>0</v>
      </c>
      <c r="BM4" s="9">
        <v>0</v>
      </c>
      <c r="BN4" s="9">
        <v>0</v>
      </c>
      <c r="BO4" s="9">
        <v>0</v>
      </c>
      <c r="BP4" s="9">
        <v>0</v>
      </c>
      <c r="BQ4">
        <f t="shared" si="4"/>
        <v>4465</v>
      </c>
    </row>
    <row r="5" spans="1:69" x14ac:dyDescent="0.25">
      <c r="A5" s="40" t="s">
        <v>226</v>
      </c>
      <c r="B5" s="9">
        <v>217</v>
      </c>
      <c r="C5">
        <f t="shared" si="1"/>
        <v>429</v>
      </c>
      <c r="D5" s="17" t="s">
        <v>9</v>
      </c>
      <c r="E5" s="71">
        <v>1077</v>
      </c>
      <c r="F5" s="72">
        <f t="shared" si="2"/>
        <v>1913</v>
      </c>
      <c r="AL5" s="9">
        <v>212</v>
      </c>
      <c r="AM5" s="9">
        <v>217</v>
      </c>
      <c r="AN5" s="9">
        <v>0</v>
      </c>
      <c r="AO5" s="9">
        <v>0</v>
      </c>
      <c r="AP5" s="9">
        <v>0</v>
      </c>
      <c r="AQ5" s="9">
        <v>0</v>
      </c>
      <c r="AR5" s="9">
        <v>0</v>
      </c>
      <c r="AS5" s="9">
        <v>0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>
        <v>0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>
        <v>0</v>
      </c>
      <c r="BI5" s="9">
        <v>0</v>
      </c>
      <c r="BJ5" s="9">
        <v>0</v>
      </c>
      <c r="BK5" s="9">
        <v>0</v>
      </c>
      <c r="BL5" s="9">
        <v>0</v>
      </c>
      <c r="BM5" s="9">
        <v>0</v>
      </c>
      <c r="BN5" s="9">
        <v>0</v>
      </c>
      <c r="BO5" s="9">
        <v>0</v>
      </c>
      <c r="BP5" s="9">
        <v>0</v>
      </c>
      <c r="BQ5">
        <f t="shared" si="4"/>
        <v>429</v>
      </c>
    </row>
    <row r="6" spans="1:69" x14ac:dyDescent="0.25">
      <c r="A6" s="4" t="s">
        <v>2</v>
      </c>
      <c r="B6" s="5">
        <v>107</v>
      </c>
      <c r="C6">
        <f t="shared" si="1"/>
        <v>216</v>
      </c>
      <c r="D6" s="17" t="s">
        <v>227</v>
      </c>
      <c r="E6" s="71">
        <v>0</v>
      </c>
      <c r="F6" s="72">
        <f t="shared" si="2"/>
        <v>0</v>
      </c>
      <c r="AL6" s="5">
        <v>109</v>
      </c>
      <c r="AM6" s="5">
        <v>107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>
        <f t="shared" si="4"/>
        <v>216</v>
      </c>
    </row>
    <row r="7" spans="1:69" x14ac:dyDescent="0.25">
      <c r="A7" s="4" t="s">
        <v>3</v>
      </c>
      <c r="B7" s="5">
        <v>225</v>
      </c>
      <c r="C7">
        <f t="shared" si="1"/>
        <v>395</v>
      </c>
      <c r="D7" s="17" t="s">
        <v>228</v>
      </c>
      <c r="E7" s="71">
        <v>0</v>
      </c>
      <c r="F7" s="72">
        <f t="shared" si="2"/>
        <v>1125</v>
      </c>
      <c r="AL7" s="5">
        <v>170</v>
      </c>
      <c r="AM7" s="5">
        <v>225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>
        <f t="shared" si="4"/>
        <v>395</v>
      </c>
    </row>
    <row r="8" spans="1:69" ht="18.75" x14ac:dyDescent="0.3">
      <c r="A8" s="2" t="s">
        <v>4</v>
      </c>
      <c r="B8" s="5"/>
      <c r="C8">
        <f t="shared" si="1"/>
        <v>0</v>
      </c>
      <c r="D8" s="17" t="s">
        <v>229</v>
      </c>
      <c r="E8" s="71">
        <v>183.96</v>
      </c>
      <c r="F8" s="72">
        <f>AJ19</f>
        <v>446.46000000000004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>
        <f t="shared" si="4"/>
        <v>0</v>
      </c>
    </row>
    <row r="9" spans="1:69" x14ac:dyDescent="0.25">
      <c r="A9" s="4" t="s">
        <v>5</v>
      </c>
      <c r="B9" s="5">
        <v>15836</v>
      </c>
      <c r="C9">
        <f t="shared" si="1"/>
        <v>26922</v>
      </c>
      <c r="D9" s="17" t="s">
        <v>230</v>
      </c>
      <c r="E9" s="35">
        <v>0</v>
      </c>
      <c r="F9" s="72">
        <f t="shared" si="2"/>
        <v>0</v>
      </c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68"/>
      <c r="AK9" s="68"/>
      <c r="AL9" s="5">
        <v>11086</v>
      </c>
      <c r="AM9" s="5">
        <v>15836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>
        <f t="shared" si="4"/>
        <v>26922</v>
      </c>
    </row>
    <row r="10" spans="1:69" x14ac:dyDescent="0.25">
      <c r="A10" s="4" t="s">
        <v>123</v>
      </c>
      <c r="B10" s="5">
        <v>15308</v>
      </c>
      <c r="C10" s="14">
        <f t="shared" si="1"/>
        <v>27064</v>
      </c>
      <c r="D10" s="74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68"/>
      <c r="S10" s="75"/>
      <c r="T10" s="75"/>
      <c r="U10" s="75"/>
      <c r="V10" s="75"/>
      <c r="W10" s="75"/>
      <c r="X10" s="75"/>
      <c r="Y10" s="68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68"/>
      <c r="AK10" s="68"/>
      <c r="AL10" s="5">
        <v>11756</v>
      </c>
      <c r="AM10" s="5">
        <v>15308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>
        <f t="shared" si="4"/>
        <v>27064</v>
      </c>
    </row>
    <row r="11" spans="1:69" x14ac:dyDescent="0.25">
      <c r="A11" s="26" t="s">
        <v>6</v>
      </c>
      <c r="B11" s="27">
        <f>7292-B12</f>
        <v>6397</v>
      </c>
      <c r="C11">
        <f t="shared" si="1"/>
        <v>12336</v>
      </c>
      <c r="D11" s="14"/>
      <c r="E11" s="76">
        <v>45413</v>
      </c>
      <c r="F11" s="76">
        <v>45414</v>
      </c>
      <c r="G11" s="76">
        <v>45415</v>
      </c>
      <c r="H11" s="76">
        <v>45416</v>
      </c>
      <c r="I11" s="76">
        <v>45417</v>
      </c>
      <c r="J11" s="76">
        <v>45418</v>
      </c>
      <c r="K11" s="76">
        <v>45419</v>
      </c>
      <c r="L11" s="76">
        <v>45420</v>
      </c>
      <c r="M11" s="76">
        <v>45421</v>
      </c>
      <c r="N11" s="76">
        <v>45422</v>
      </c>
      <c r="O11" s="76">
        <v>45423</v>
      </c>
      <c r="P11" s="76">
        <v>45424</v>
      </c>
      <c r="Q11" s="76">
        <v>45425</v>
      </c>
      <c r="R11" s="76">
        <v>45426</v>
      </c>
      <c r="S11" s="76">
        <v>45427</v>
      </c>
      <c r="T11" s="76">
        <v>45428</v>
      </c>
      <c r="U11" s="76">
        <v>45429</v>
      </c>
      <c r="V11" s="76">
        <v>45430</v>
      </c>
      <c r="W11" s="76">
        <v>45431</v>
      </c>
      <c r="X11" s="76">
        <v>45432</v>
      </c>
      <c r="Y11" s="76">
        <v>45433</v>
      </c>
      <c r="Z11" s="76">
        <v>45434</v>
      </c>
      <c r="AA11" s="76">
        <v>45435</v>
      </c>
      <c r="AB11" s="76">
        <v>45436</v>
      </c>
      <c r="AC11" s="76">
        <v>45437</v>
      </c>
      <c r="AD11" s="76">
        <v>45438</v>
      </c>
      <c r="AE11" s="76">
        <v>45439</v>
      </c>
      <c r="AF11" s="76">
        <v>45440</v>
      </c>
      <c r="AG11" s="76">
        <v>45441</v>
      </c>
      <c r="AH11" s="76">
        <v>45442</v>
      </c>
      <c r="AI11" s="76">
        <v>45443</v>
      </c>
      <c r="AJ11" s="68"/>
      <c r="AK11" s="77"/>
      <c r="AL11" s="27">
        <f>6921-AL12</f>
        <v>5939</v>
      </c>
      <c r="AM11" s="27">
        <f>7292-AM12</f>
        <v>6397</v>
      </c>
      <c r="AN11" s="27">
        <f t="shared" ref="AN11:BP11" si="5">0-AN12</f>
        <v>0</v>
      </c>
      <c r="AO11" s="27">
        <f t="shared" si="5"/>
        <v>0</v>
      </c>
      <c r="AP11" s="27">
        <f t="shared" si="5"/>
        <v>0</v>
      </c>
      <c r="AQ11" s="27">
        <f t="shared" si="5"/>
        <v>0</v>
      </c>
      <c r="AR11" s="27">
        <f t="shared" si="5"/>
        <v>0</v>
      </c>
      <c r="AS11" s="27">
        <f t="shared" si="5"/>
        <v>0</v>
      </c>
      <c r="AT11" s="27">
        <f t="shared" si="5"/>
        <v>0</v>
      </c>
      <c r="AU11" s="27">
        <f t="shared" si="5"/>
        <v>0</v>
      </c>
      <c r="AV11" s="27">
        <f t="shared" si="5"/>
        <v>0</v>
      </c>
      <c r="AW11" s="27">
        <f t="shared" si="5"/>
        <v>0</v>
      </c>
      <c r="AX11" s="27">
        <f t="shared" si="5"/>
        <v>0</v>
      </c>
      <c r="AY11" s="27">
        <f t="shared" si="5"/>
        <v>0</v>
      </c>
      <c r="AZ11" s="27">
        <f t="shared" si="5"/>
        <v>0</v>
      </c>
      <c r="BA11" s="27">
        <f t="shared" si="5"/>
        <v>0</v>
      </c>
      <c r="BB11" s="27">
        <f t="shared" si="5"/>
        <v>0</v>
      </c>
      <c r="BC11" s="27">
        <f t="shared" si="5"/>
        <v>0</v>
      </c>
      <c r="BD11" s="27">
        <f t="shared" si="5"/>
        <v>0</v>
      </c>
      <c r="BE11" s="27">
        <f t="shared" si="5"/>
        <v>0</v>
      </c>
      <c r="BF11" s="27">
        <f t="shared" si="5"/>
        <v>0</v>
      </c>
      <c r="BG11" s="27">
        <f t="shared" si="5"/>
        <v>0</v>
      </c>
      <c r="BH11" s="27">
        <f t="shared" si="5"/>
        <v>0</v>
      </c>
      <c r="BI11" s="27">
        <f t="shared" si="5"/>
        <v>0</v>
      </c>
      <c r="BJ11" s="27">
        <f t="shared" si="5"/>
        <v>0</v>
      </c>
      <c r="BK11" s="27">
        <f t="shared" si="5"/>
        <v>0</v>
      </c>
      <c r="BL11" s="27">
        <f t="shared" si="5"/>
        <v>0</v>
      </c>
      <c r="BM11" s="27">
        <f t="shared" si="5"/>
        <v>0</v>
      </c>
      <c r="BN11" s="27">
        <f t="shared" si="5"/>
        <v>0</v>
      </c>
      <c r="BO11" s="27">
        <f t="shared" si="5"/>
        <v>0</v>
      </c>
      <c r="BP11" s="27">
        <f t="shared" si="5"/>
        <v>0</v>
      </c>
      <c r="BQ11">
        <f t="shared" si="4"/>
        <v>12336</v>
      </c>
    </row>
    <row r="12" spans="1:69" x14ac:dyDescent="0.25">
      <c r="A12" s="40" t="s">
        <v>129</v>
      </c>
      <c r="B12" s="9">
        <v>895</v>
      </c>
      <c r="C12">
        <f t="shared" si="1"/>
        <v>1877</v>
      </c>
      <c r="D12" s="78" t="s">
        <v>231</v>
      </c>
      <c r="E12" s="71" t="s">
        <v>232</v>
      </c>
      <c r="F12" s="71" t="s">
        <v>232</v>
      </c>
      <c r="G12" s="71" t="s">
        <v>232</v>
      </c>
      <c r="H12" s="71" t="s">
        <v>232</v>
      </c>
      <c r="I12" s="71" t="s">
        <v>232</v>
      </c>
      <c r="J12" s="71" t="s">
        <v>232</v>
      </c>
      <c r="K12" s="71" t="s">
        <v>232</v>
      </c>
      <c r="L12" s="71" t="s">
        <v>232</v>
      </c>
      <c r="M12" s="71" t="s">
        <v>232</v>
      </c>
      <c r="N12" s="71" t="s">
        <v>232</v>
      </c>
      <c r="O12" s="71" t="s">
        <v>232</v>
      </c>
      <c r="P12" s="71" t="s">
        <v>232</v>
      </c>
      <c r="Q12" s="71" t="s">
        <v>232</v>
      </c>
      <c r="R12" s="17" t="s">
        <v>232</v>
      </c>
      <c r="S12" s="71" t="s">
        <v>232</v>
      </c>
      <c r="T12" s="71" t="s">
        <v>232</v>
      </c>
      <c r="U12" s="71" t="s">
        <v>232</v>
      </c>
      <c r="V12" s="71" t="s">
        <v>232</v>
      </c>
      <c r="W12" s="71" t="s">
        <v>232</v>
      </c>
      <c r="X12" s="71" t="s">
        <v>232</v>
      </c>
      <c r="Y12" s="17" t="s">
        <v>232</v>
      </c>
      <c r="Z12" s="71" t="s">
        <v>232</v>
      </c>
      <c r="AA12" s="71" t="s">
        <v>232</v>
      </c>
      <c r="AB12" s="71" t="s">
        <v>232</v>
      </c>
      <c r="AC12" s="71" t="s">
        <v>232</v>
      </c>
      <c r="AD12" s="71" t="s">
        <v>232</v>
      </c>
      <c r="AE12" s="71" t="s">
        <v>232</v>
      </c>
      <c r="AF12" s="71" t="s">
        <v>232</v>
      </c>
      <c r="AG12" s="71" t="s">
        <v>232</v>
      </c>
      <c r="AH12" s="71" t="s">
        <v>232</v>
      </c>
      <c r="AI12" s="71" t="s">
        <v>232</v>
      </c>
      <c r="AJ12" s="68"/>
      <c r="AK12" s="77"/>
      <c r="AL12" s="9">
        <v>982</v>
      </c>
      <c r="AM12" s="9">
        <v>895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  <c r="AY12" s="9">
        <v>0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>
        <v>0</v>
      </c>
      <c r="BI12" s="9">
        <v>0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>
        <f t="shared" si="4"/>
        <v>1877</v>
      </c>
    </row>
    <row r="13" spans="1:69" ht="45" x14ac:dyDescent="0.25">
      <c r="A13" s="28" t="s">
        <v>56</v>
      </c>
      <c r="B13" s="30">
        <f>8430-B68</f>
        <v>7956</v>
      </c>
      <c r="C13">
        <f t="shared" si="1"/>
        <v>15730</v>
      </c>
      <c r="D13" s="78" t="s">
        <v>224</v>
      </c>
      <c r="E13" s="21">
        <v>2401.2600000000002</v>
      </c>
      <c r="F13" s="79">
        <v>2618.9</v>
      </c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21"/>
      <c r="AI13" s="21"/>
      <c r="AJ13" s="77">
        <f>SUM(E13:AI13)</f>
        <v>5020.16</v>
      </c>
      <c r="AK13" s="77"/>
      <c r="AL13" s="30">
        <f>8273-AL68</f>
        <v>7774</v>
      </c>
      <c r="AM13" s="30">
        <f>8430-AM68</f>
        <v>7956</v>
      </c>
      <c r="AN13" s="30">
        <f t="shared" ref="AN13:BP13" si="6">0-AN68</f>
        <v>0</v>
      </c>
      <c r="AO13" s="30">
        <f t="shared" si="6"/>
        <v>0</v>
      </c>
      <c r="AP13" s="30">
        <f t="shared" si="6"/>
        <v>0</v>
      </c>
      <c r="AQ13" s="30">
        <f t="shared" si="6"/>
        <v>0</v>
      </c>
      <c r="AR13" s="30">
        <f t="shared" si="6"/>
        <v>0</v>
      </c>
      <c r="AS13" s="30">
        <f t="shared" si="6"/>
        <v>0</v>
      </c>
      <c r="AT13" s="30">
        <f t="shared" si="6"/>
        <v>0</v>
      </c>
      <c r="AU13" s="30">
        <f t="shared" si="6"/>
        <v>0</v>
      </c>
      <c r="AV13" s="30">
        <f t="shared" si="6"/>
        <v>0</v>
      </c>
      <c r="AW13" s="30">
        <f t="shared" si="6"/>
        <v>0</v>
      </c>
      <c r="AX13" s="30">
        <f t="shared" si="6"/>
        <v>0</v>
      </c>
      <c r="AY13" s="30">
        <f t="shared" si="6"/>
        <v>0</v>
      </c>
      <c r="AZ13" s="30">
        <f t="shared" si="6"/>
        <v>0</v>
      </c>
      <c r="BA13" s="30">
        <f t="shared" si="6"/>
        <v>0</v>
      </c>
      <c r="BB13" s="30">
        <f t="shared" si="6"/>
        <v>0</v>
      </c>
      <c r="BC13" s="30">
        <f t="shared" si="6"/>
        <v>0</v>
      </c>
      <c r="BD13" s="30">
        <f t="shared" si="6"/>
        <v>0</v>
      </c>
      <c r="BE13" s="30">
        <f t="shared" si="6"/>
        <v>0</v>
      </c>
      <c r="BF13" s="30">
        <f t="shared" si="6"/>
        <v>0</v>
      </c>
      <c r="BG13" s="30">
        <f t="shared" si="6"/>
        <v>0</v>
      </c>
      <c r="BH13" s="30">
        <f t="shared" si="6"/>
        <v>0</v>
      </c>
      <c r="BI13" s="30">
        <f t="shared" si="6"/>
        <v>0</v>
      </c>
      <c r="BJ13" s="30">
        <f t="shared" si="6"/>
        <v>0</v>
      </c>
      <c r="BK13" s="30">
        <f t="shared" si="6"/>
        <v>0</v>
      </c>
      <c r="BL13" s="30">
        <f t="shared" si="6"/>
        <v>0</v>
      </c>
      <c r="BM13" s="30">
        <f t="shared" si="6"/>
        <v>0</v>
      </c>
      <c r="BN13" s="30">
        <f t="shared" si="6"/>
        <v>0</v>
      </c>
      <c r="BO13" s="30">
        <f t="shared" si="6"/>
        <v>0</v>
      </c>
      <c r="BP13" s="30">
        <f t="shared" si="6"/>
        <v>0</v>
      </c>
      <c r="BQ13">
        <f t="shared" si="4"/>
        <v>15730</v>
      </c>
    </row>
    <row r="14" spans="1:69" x14ac:dyDescent="0.25">
      <c r="A14" s="47" t="s">
        <v>38</v>
      </c>
      <c r="B14" s="9">
        <v>0</v>
      </c>
      <c r="C14">
        <f t="shared" si="1"/>
        <v>0</v>
      </c>
      <c r="D14" s="78" t="s">
        <v>225</v>
      </c>
      <c r="E14" s="21">
        <v>1625</v>
      </c>
      <c r="F14" s="79">
        <v>1793</v>
      </c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21"/>
      <c r="AI14" s="21"/>
      <c r="AJ14" s="77">
        <f t="shared" ref="AJ14:AJ20" si="7">SUM(E14:AI14)</f>
        <v>3418</v>
      </c>
      <c r="AK14" s="77"/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>
        <v>0</v>
      </c>
      <c r="BI14" s="9">
        <v>0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>
        <f t="shared" si="4"/>
        <v>0</v>
      </c>
    </row>
    <row r="15" spans="1:69" x14ac:dyDescent="0.25">
      <c r="A15" s="10" t="s">
        <v>3</v>
      </c>
      <c r="B15" s="5">
        <v>130</v>
      </c>
      <c r="C15">
        <f t="shared" si="1"/>
        <v>270</v>
      </c>
      <c r="D15" s="78" t="s">
        <v>7</v>
      </c>
      <c r="E15" s="80">
        <v>155</v>
      </c>
      <c r="F15" s="79">
        <v>179</v>
      </c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80"/>
      <c r="AI15" s="80"/>
      <c r="AJ15" s="77">
        <f t="shared" si="7"/>
        <v>334</v>
      </c>
      <c r="AK15" s="77"/>
      <c r="AL15" s="5">
        <v>140</v>
      </c>
      <c r="AM15" s="5">
        <v>130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>
        <f t="shared" si="4"/>
        <v>270</v>
      </c>
    </row>
    <row r="16" spans="1:69" ht="18.75" x14ac:dyDescent="0.3">
      <c r="A16" s="2" t="s">
        <v>7</v>
      </c>
      <c r="B16" s="5"/>
      <c r="C16">
        <f t="shared" si="1"/>
        <v>0</v>
      </c>
      <c r="D16" s="78" t="s">
        <v>9</v>
      </c>
      <c r="E16" s="80">
        <v>836</v>
      </c>
      <c r="F16" s="79">
        <v>1077</v>
      </c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80"/>
      <c r="AI16" s="80"/>
      <c r="AJ16" s="77">
        <f t="shared" si="7"/>
        <v>1913</v>
      </c>
      <c r="AK16" s="81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>
        <f t="shared" si="4"/>
        <v>0</v>
      </c>
    </row>
    <row r="17" spans="1:69" x14ac:dyDescent="0.25">
      <c r="A17" s="4" t="s">
        <v>8</v>
      </c>
      <c r="B17" s="5">
        <v>4996</v>
      </c>
      <c r="C17">
        <f t="shared" si="1"/>
        <v>9664</v>
      </c>
      <c r="D17" s="78" t="s">
        <v>227</v>
      </c>
      <c r="E17" s="80">
        <v>0</v>
      </c>
      <c r="F17" s="79">
        <v>0</v>
      </c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80"/>
      <c r="AI17" s="80"/>
      <c r="AJ17" s="77">
        <f t="shared" si="7"/>
        <v>0</v>
      </c>
      <c r="AL17" s="5">
        <v>4668</v>
      </c>
      <c r="AM17" s="5">
        <v>4996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>
        <f t="shared" si="4"/>
        <v>9664</v>
      </c>
    </row>
    <row r="18" spans="1:69" x14ac:dyDescent="0.25">
      <c r="A18" s="29" t="s">
        <v>118</v>
      </c>
      <c r="B18" s="30">
        <f>7430-B19-B20-B21-B62-B65</f>
        <v>5106.3999999999996</v>
      </c>
      <c r="C18">
        <f t="shared" si="1"/>
        <v>9855.2999999999993</v>
      </c>
      <c r="D18" s="78" t="s">
        <v>228</v>
      </c>
      <c r="E18" s="80">
        <v>1125</v>
      </c>
      <c r="F18" s="79">
        <v>0</v>
      </c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80"/>
      <c r="AI18" s="80"/>
      <c r="AJ18" s="77">
        <f t="shared" si="7"/>
        <v>1125</v>
      </c>
      <c r="AL18" s="30">
        <f>6943-AL19-AL20-AL21-AL62-AL65</f>
        <v>4748.8999999999996</v>
      </c>
      <c r="AM18" s="30">
        <f>7430-AM19-AM20-AM21-AM62-AM65</f>
        <v>5106.3999999999996</v>
      </c>
      <c r="AN18" s="30">
        <f t="shared" ref="AN18:BP18" si="8">0-AN19-AN20-AN21-AN62-AN65</f>
        <v>0</v>
      </c>
      <c r="AO18" s="30">
        <f t="shared" si="8"/>
        <v>0</v>
      </c>
      <c r="AP18" s="30">
        <f t="shared" si="8"/>
        <v>0</v>
      </c>
      <c r="AQ18" s="30">
        <f t="shared" si="8"/>
        <v>0</v>
      </c>
      <c r="AR18" s="30">
        <f t="shared" si="8"/>
        <v>0</v>
      </c>
      <c r="AS18" s="30">
        <f t="shared" si="8"/>
        <v>0</v>
      </c>
      <c r="AT18" s="30">
        <f t="shared" si="8"/>
        <v>0</v>
      </c>
      <c r="AU18" s="30">
        <f t="shared" si="8"/>
        <v>0</v>
      </c>
      <c r="AV18" s="30">
        <f t="shared" si="8"/>
        <v>0</v>
      </c>
      <c r="AW18" s="30">
        <f t="shared" si="8"/>
        <v>0</v>
      </c>
      <c r="AX18" s="30">
        <f t="shared" si="8"/>
        <v>0</v>
      </c>
      <c r="AY18" s="30">
        <f t="shared" si="8"/>
        <v>0</v>
      </c>
      <c r="AZ18" s="30">
        <f t="shared" si="8"/>
        <v>0</v>
      </c>
      <c r="BA18" s="30">
        <f t="shared" si="8"/>
        <v>0</v>
      </c>
      <c r="BB18" s="30">
        <f t="shared" si="8"/>
        <v>0</v>
      </c>
      <c r="BC18" s="30">
        <f t="shared" si="8"/>
        <v>0</v>
      </c>
      <c r="BD18" s="30">
        <f t="shared" si="8"/>
        <v>0</v>
      </c>
      <c r="BE18" s="30">
        <f t="shared" si="8"/>
        <v>0</v>
      </c>
      <c r="BF18" s="30">
        <f t="shared" si="8"/>
        <v>0</v>
      </c>
      <c r="BG18" s="30">
        <f t="shared" si="8"/>
        <v>0</v>
      </c>
      <c r="BH18" s="30">
        <f t="shared" si="8"/>
        <v>0</v>
      </c>
      <c r="BI18" s="30">
        <f t="shared" si="8"/>
        <v>0</v>
      </c>
      <c r="BJ18" s="30">
        <f t="shared" si="8"/>
        <v>0</v>
      </c>
      <c r="BK18" s="30">
        <f t="shared" si="8"/>
        <v>0</v>
      </c>
      <c r="BL18" s="30">
        <f t="shared" si="8"/>
        <v>0</v>
      </c>
      <c r="BM18" s="30">
        <f t="shared" si="8"/>
        <v>0</v>
      </c>
      <c r="BN18" s="30">
        <f t="shared" si="8"/>
        <v>0</v>
      </c>
      <c r="BO18" s="30">
        <f t="shared" si="8"/>
        <v>0</v>
      </c>
      <c r="BP18" s="30">
        <f t="shared" si="8"/>
        <v>0</v>
      </c>
      <c r="BQ18">
        <f t="shared" si="4"/>
        <v>9855.2999999999993</v>
      </c>
    </row>
    <row r="19" spans="1:69" x14ac:dyDescent="0.25">
      <c r="A19" s="40" t="s">
        <v>111</v>
      </c>
      <c r="B19" s="9">
        <v>168</v>
      </c>
      <c r="C19">
        <f t="shared" si="1"/>
        <v>348</v>
      </c>
      <c r="D19" s="78" t="s">
        <v>229</v>
      </c>
      <c r="E19" s="79">
        <v>262.5</v>
      </c>
      <c r="F19" s="79">
        <v>183.96</v>
      </c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7">
        <f t="shared" si="7"/>
        <v>446.46000000000004</v>
      </c>
      <c r="AL19" s="9">
        <v>180</v>
      </c>
      <c r="AM19" s="9">
        <v>168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9">
        <v>0</v>
      </c>
      <c r="BJ19" s="9">
        <v>0</v>
      </c>
      <c r="BK19" s="9">
        <v>0</v>
      </c>
      <c r="BL19" s="9">
        <v>0</v>
      </c>
      <c r="BM19" s="9">
        <v>0</v>
      </c>
      <c r="BN19" s="9">
        <v>0</v>
      </c>
      <c r="BO19" s="9">
        <v>0</v>
      </c>
      <c r="BP19" s="9">
        <v>0</v>
      </c>
      <c r="BQ19">
        <f t="shared" si="4"/>
        <v>348</v>
      </c>
    </row>
    <row r="20" spans="1:69" x14ac:dyDescent="0.25">
      <c r="A20" s="40" t="s">
        <v>105</v>
      </c>
      <c r="B20" s="9">
        <v>50</v>
      </c>
      <c r="C20">
        <f t="shared" si="1"/>
        <v>100</v>
      </c>
      <c r="D20" s="78" t="s">
        <v>230</v>
      </c>
      <c r="E20" s="14">
        <v>0</v>
      </c>
      <c r="F20" s="14">
        <v>0</v>
      </c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77">
        <f t="shared" si="7"/>
        <v>0</v>
      </c>
      <c r="AL20" s="9">
        <v>50</v>
      </c>
      <c r="AM20" s="9">
        <v>50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>
        <f t="shared" si="4"/>
        <v>100</v>
      </c>
    </row>
    <row r="21" spans="1:69" x14ac:dyDescent="0.25">
      <c r="A21" s="40" t="s">
        <v>114</v>
      </c>
      <c r="B21" s="9">
        <v>1038</v>
      </c>
      <c r="C21">
        <f t="shared" si="1"/>
        <v>1856</v>
      </c>
      <c r="H21" s="82"/>
      <c r="AL21" s="9">
        <v>818</v>
      </c>
      <c r="AM21" s="9">
        <v>1038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0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0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>
        <f t="shared" si="4"/>
        <v>1856</v>
      </c>
    </row>
    <row r="22" spans="1:69" ht="18.75" x14ac:dyDescent="0.3">
      <c r="A22" s="2" t="s">
        <v>9</v>
      </c>
      <c r="B22" s="5"/>
      <c r="C22">
        <f t="shared" si="1"/>
        <v>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>
        <f t="shared" si="4"/>
        <v>0</v>
      </c>
    </row>
    <row r="23" spans="1:69" x14ac:dyDescent="0.25">
      <c r="A23" s="4" t="s">
        <v>117</v>
      </c>
      <c r="B23" s="5">
        <v>10706</v>
      </c>
      <c r="C23">
        <f t="shared" si="1"/>
        <v>18631</v>
      </c>
      <c r="AL23" s="5">
        <v>7925</v>
      </c>
      <c r="AM23" s="5">
        <v>10706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>
        <f t="shared" si="4"/>
        <v>18631</v>
      </c>
    </row>
    <row r="24" spans="1:69" x14ac:dyDescent="0.25">
      <c r="A24" s="11" t="s">
        <v>10</v>
      </c>
      <c r="B24" s="12">
        <v>4857</v>
      </c>
      <c r="C24">
        <f t="shared" si="1"/>
        <v>9272</v>
      </c>
      <c r="AL24" s="12">
        <v>4415</v>
      </c>
      <c r="AM24" s="12">
        <v>4857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>
        <f t="shared" si="4"/>
        <v>9272</v>
      </c>
    </row>
    <row r="25" spans="1:69" x14ac:dyDescent="0.25">
      <c r="A25" s="4" t="s">
        <v>11</v>
      </c>
      <c r="B25" s="5">
        <v>0</v>
      </c>
      <c r="C25">
        <f t="shared" si="1"/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>
        <f t="shared" si="4"/>
        <v>0</v>
      </c>
    </row>
    <row r="26" spans="1:69" x14ac:dyDescent="0.25">
      <c r="A26" s="29" t="s">
        <v>119</v>
      </c>
      <c r="B26" s="30">
        <f>5730-B66</f>
        <v>5730</v>
      </c>
      <c r="C26">
        <f t="shared" si="1"/>
        <v>10032</v>
      </c>
      <c r="AL26" s="30">
        <f>4302-AL66</f>
        <v>4302</v>
      </c>
      <c r="AM26" s="30">
        <f>5730-AM66</f>
        <v>5730</v>
      </c>
      <c r="AN26" s="30">
        <f t="shared" ref="AN26:BP26" si="9">0-AN66</f>
        <v>0</v>
      </c>
      <c r="AO26" s="30">
        <f t="shared" si="9"/>
        <v>0</v>
      </c>
      <c r="AP26" s="30">
        <f t="shared" si="9"/>
        <v>0</v>
      </c>
      <c r="AQ26" s="30">
        <f t="shared" si="9"/>
        <v>0</v>
      </c>
      <c r="AR26" s="30">
        <f t="shared" si="9"/>
        <v>0</v>
      </c>
      <c r="AS26" s="30">
        <f t="shared" si="9"/>
        <v>0</v>
      </c>
      <c r="AT26" s="30">
        <f t="shared" si="9"/>
        <v>0</v>
      </c>
      <c r="AU26" s="30">
        <f t="shared" si="9"/>
        <v>0</v>
      </c>
      <c r="AV26" s="30">
        <f t="shared" si="9"/>
        <v>0</v>
      </c>
      <c r="AW26" s="30">
        <f t="shared" si="9"/>
        <v>0</v>
      </c>
      <c r="AX26" s="30">
        <f t="shared" si="9"/>
        <v>0</v>
      </c>
      <c r="AY26" s="30">
        <f t="shared" si="9"/>
        <v>0</v>
      </c>
      <c r="AZ26" s="30">
        <f t="shared" si="9"/>
        <v>0</v>
      </c>
      <c r="BA26" s="30">
        <f t="shared" si="9"/>
        <v>0</v>
      </c>
      <c r="BB26" s="30">
        <f t="shared" si="9"/>
        <v>0</v>
      </c>
      <c r="BC26" s="30">
        <f t="shared" si="9"/>
        <v>0</v>
      </c>
      <c r="BD26" s="30">
        <f t="shared" si="9"/>
        <v>0</v>
      </c>
      <c r="BE26" s="30">
        <f t="shared" si="9"/>
        <v>0</v>
      </c>
      <c r="BF26" s="30">
        <f t="shared" si="9"/>
        <v>0</v>
      </c>
      <c r="BG26" s="30">
        <f t="shared" si="9"/>
        <v>0</v>
      </c>
      <c r="BH26" s="30">
        <f t="shared" si="9"/>
        <v>0</v>
      </c>
      <c r="BI26" s="30">
        <f t="shared" si="9"/>
        <v>0</v>
      </c>
      <c r="BJ26" s="30">
        <f t="shared" si="9"/>
        <v>0</v>
      </c>
      <c r="BK26" s="30">
        <f t="shared" si="9"/>
        <v>0</v>
      </c>
      <c r="BL26" s="30">
        <f t="shared" si="9"/>
        <v>0</v>
      </c>
      <c r="BM26" s="30">
        <f t="shared" si="9"/>
        <v>0</v>
      </c>
      <c r="BN26" s="30">
        <f t="shared" si="9"/>
        <v>0</v>
      </c>
      <c r="BO26" s="30">
        <f t="shared" si="9"/>
        <v>0</v>
      </c>
      <c r="BP26" s="30">
        <f t="shared" si="9"/>
        <v>0</v>
      </c>
      <c r="BQ26">
        <f t="shared" si="4"/>
        <v>10032</v>
      </c>
    </row>
    <row r="27" spans="1:69" x14ac:dyDescent="0.25">
      <c r="A27" s="11" t="s">
        <v>39</v>
      </c>
      <c r="B27" s="12">
        <v>2674</v>
      </c>
      <c r="C27">
        <f t="shared" si="1"/>
        <v>5339</v>
      </c>
      <c r="AL27" s="12">
        <v>2665</v>
      </c>
      <c r="AM27" s="12">
        <v>2674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2">
        <v>0</v>
      </c>
      <c r="BN27" s="12">
        <v>0</v>
      </c>
      <c r="BO27" s="12">
        <v>0</v>
      </c>
      <c r="BP27" s="12">
        <v>0</v>
      </c>
      <c r="BQ27">
        <f t="shared" si="4"/>
        <v>5339</v>
      </c>
    </row>
    <row r="28" spans="1:69" x14ac:dyDescent="0.25">
      <c r="A28" s="11" t="s">
        <v>42</v>
      </c>
      <c r="B28" s="12">
        <v>2696</v>
      </c>
      <c r="C28">
        <f t="shared" si="1"/>
        <v>5483</v>
      </c>
      <c r="AL28" s="12">
        <v>2787</v>
      </c>
      <c r="AM28" s="12">
        <v>2696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2">
        <v>0</v>
      </c>
      <c r="BN28" s="12">
        <v>0</v>
      </c>
      <c r="BO28" s="12">
        <v>0</v>
      </c>
      <c r="BP28" s="12">
        <v>0</v>
      </c>
      <c r="BQ28">
        <f t="shared" si="4"/>
        <v>5483</v>
      </c>
    </row>
    <row r="29" spans="1:69" x14ac:dyDescent="0.25">
      <c r="A29" s="11" t="s">
        <v>120</v>
      </c>
      <c r="B29" s="12">
        <v>1291</v>
      </c>
      <c r="C29">
        <f t="shared" si="1"/>
        <v>2379</v>
      </c>
      <c r="AL29" s="12">
        <v>1088</v>
      </c>
      <c r="AM29" s="12">
        <v>1291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2">
        <v>0</v>
      </c>
      <c r="BN29" s="12">
        <v>0</v>
      </c>
      <c r="BO29" s="12">
        <v>0</v>
      </c>
      <c r="BP29" s="12">
        <v>0</v>
      </c>
      <c r="BQ29">
        <f t="shared" si="4"/>
        <v>2379</v>
      </c>
    </row>
    <row r="30" spans="1:69" x14ac:dyDescent="0.25">
      <c r="A30" s="11" t="s">
        <v>12</v>
      </c>
      <c r="B30" s="12">
        <v>387</v>
      </c>
      <c r="C30">
        <f t="shared" si="1"/>
        <v>778</v>
      </c>
      <c r="AL30" s="12">
        <v>391</v>
      </c>
      <c r="AM30" s="12">
        <v>387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0</v>
      </c>
      <c r="BM30" s="12">
        <v>0</v>
      </c>
      <c r="BN30" s="12">
        <v>0</v>
      </c>
      <c r="BO30" s="12">
        <v>0</v>
      </c>
      <c r="BP30" s="12">
        <v>0</v>
      </c>
      <c r="BQ30">
        <f t="shared" si="4"/>
        <v>778</v>
      </c>
    </row>
    <row r="31" spans="1:69" x14ac:dyDescent="0.25">
      <c r="A31" s="11" t="s">
        <v>106</v>
      </c>
      <c r="B31" s="12">
        <v>426</v>
      </c>
      <c r="C31">
        <f t="shared" si="1"/>
        <v>848</v>
      </c>
      <c r="AL31" s="12">
        <v>422</v>
      </c>
      <c r="AM31" s="12">
        <v>426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2">
        <v>0</v>
      </c>
      <c r="BN31" s="12">
        <v>0</v>
      </c>
      <c r="BO31" s="12">
        <v>0</v>
      </c>
      <c r="BP31" s="12">
        <v>0</v>
      </c>
      <c r="BQ31">
        <f t="shared" si="4"/>
        <v>848</v>
      </c>
    </row>
    <row r="32" spans="1:69" x14ac:dyDescent="0.25">
      <c r="A32" s="13" t="s">
        <v>108</v>
      </c>
      <c r="B32" s="5">
        <v>0</v>
      </c>
      <c r="C32">
        <f t="shared" si="1"/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>
        <f t="shared" si="4"/>
        <v>0</v>
      </c>
    </row>
    <row r="33" spans="1:69" ht="18.75" x14ac:dyDescent="0.3">
      <c r="A33" s="2" t="s">
        <v>227</v>
      </c>
      <c r="B33" s="5"/>
      <c r="C33">
        <f t="shared" si="1"/>
        <v>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>
        <f t="shared" si="4"/>
        <v>0</v>
      </c>
    </row>
    <row r="34" spans="1:69" x14ac:dyDescent="0.25">
      <c r="A34" s="4" t="s">
        <v>14</v>
      </c>
      <c r="B34" s="5">
        <v>0</v>
      </c>
      <c r="C34">
        <f t="shared" si="1"/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>
        <f t="shared" si="4"/>
        <v>0</v>
      </c>
    </row>
    <row r="35" spans="1:69" x14ac:dyDescent="0.25">
      <c r="A35" s="4" t="s">
        <v>124</v>
      </c>
      <c r="B35" s="5">
        <v>0</v>
      </c>
      <c r="C35">
        <f t="shared" si="1"/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>
        <f t="shared" si="4"/>
        <v>0</v>
      </c>
    </row>
    <row r="36" spans="1:69" x14ac:dyDescent="0.25">
      <c r="A36" s="29" t="s">
        <v>45</v>
      </c>
      <c r="B36" s="30">
        <f>0+B67</f>
        <v>0</v>
      </c>
      <c r="C36">
        <f t="shared" si="1"/>
        <v>0</v>
      </c>
      <c r="AL36" s="30">
        <f>0+AL67</f>
        <v>0</v>
      </c>
      <c r="AM36" s="30">
        <f>0+AM67</f>
        <v>0</v>
      </c>
      <c r="AN36" s="30">
        <f t="shared" ref="AN36:BP36" si="10">0+AN67</f>
        <v>0</v>
      </c>
      <c r="AO36" s="30">
        <f t="shared" si="10"/>
        <v>0</v>
      </c>
      <c r="AP36" s="30">
        <f t="shared" si="10"/>
        <v>0</v>
      </c>
      <c r="AQ36" s="30">
        <f t="shared" si="10"/>
        <v>0</v>
      </c>
      <c r="AR36" s="30">
        <f t="shared" si="10"/>
        <v>0</v>
      </c>
      <c r="AS36" s="30">
        <f t="shared" si="10"/>
        <v>0</v>
      </c>
      <c r="AT36" s="30">
        <f t="shared" si="10"/>
        <v>0</v>
      </c>
      <c r="AU36" s="30">
        <f t="shared" si="10"/>
        <v>0</v>
      </c>
      <c r="AV36" s="30">
        <f t="shared" si="10"/>
        <v>0</v>
      </c>
      <c r="AW36" s="30">
        <f t="shared" si="10"/>
        <v>0</v>
      </c>
      <c r="AX36" s="30">
        <f t="shared" si="10"/>
        <v>0</v>
      </c>
      <c r="AY36" s="30">
        <f t="shared" si="10"/>
        <v>0</v>
      </c>
      <c r="AZ36" s="30">
        <f t="shared" si="10"/>
        <v>0</v>
      </c>
      <c r="BA36" s="30">
        <f t="shared" si="10"/>
        <v>0</v>
      </c>
      <c r="BB36" s="30">
        <f t="shared" si="10"/>
        <v>0</v>
      </c>
      <c r="BC36" s="30">
        <f t="shared" si="10"/>
        <v>0</v>
      </c>
      <c r="BD36" s="30">
        <f t="shared" si="10"/>
        <v>0</v>
      </c>
      <c r="BE36" s="30">
        <f t="shared" si="10"/>
        <v>0</v>
      </c>
      <c r="BF36" s="30">
        <f t="shared" si="10"/>
        <v>0</v>
      </c>
      <c r="BG36" s="30">
        <f t="shared" si="10"/>
        <v>0</v>
      </c>
      <c r="BH36" s="30">
        <f t="shared" si="10"/>
        <v>0</v>
      </c>
      <c r="BI36" s="30">
        <f t="shared" si="10"/>
        <v>0</v>
      </c>
      <c r="BJ36" s="30">
        <f t="shared" si="10"/>
        <v>0</v>
      </c>
      <c r="BK36" s="30">
        <f t="shared" si="10"/>
        <v>0</v>
      </c>
      <c r="BL36" s="30">
        <f t="shared" si="10"/>
        <v>0</v>
      </c>
      <c r="BM36" s="30">
        <f t="shared" si="10"/>
        <v>0</v>
      </c>
      <c r="BN36" s="30">
        <f t="shared" si="10"/>
        <v>0</v>
      </c>
      <c r="BO36" s="30">
        <f t="shared" si="10"/>
        <v>0</v>
      </c>
      <c r="BP36" s="30">
        <f t="shared" si="10"/>
        <v>0</v>
      </c>
      <c r="BQ36">
        <f t="shared" si="4"/>
        <v>0</v>
      </c>
    </row>
    <row r="37" spans="1:69" x14ac:dyDescent="0.25">
      <c r="A37" s="4" t="s">
        <v>127</v>
      </c>
      <c r="B37" s="5">
        <v>0</v>
      </c>
      <c r="C37">
        <f t="shared" si="1"/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>
        <f t="shared" si="4"/>
        <v>0</v>
      </c>
    </row>
    <row r="38" spans="1:69" x14ac:dyDescent="0.25">
      <c r="A38" s="4" t="s">
        <v>125</v>
      </c>
      <c r="B38" s="5">
        <v>0</v>
      </c>
      <c r="C38">
        <f t="shared" si="1"/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>
        <f t="shared" si="4"/>
        <v>0</v>
      </c>
    </row>
    <row r="39" spans="1:69" x14ac:dyDescent="0.25">
      <c r="A39" s="4" t="s">
        <v>126</v>
      </c>
      <c r="B39" s="5">
        <v>0</v>
      </c>
      <c r="C39">
        <f t="shared" si="1"/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>
        <f t="shared" si="4"/>
        <v>0</v>
      </c>
    </row>
    <row r="40" spans="1:69" x14ac:dyDescent="0.25">
      <c r="A40" s="4" t="s">
        <v>130</v>
      </c>
      <c r="B40" s="5">
        <v>0</v>
      </c>
      <c r="C40">
        <f t="shared" si="1"/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>
        <f t="shared" si="4"/>
        <v>0</v>
      </c>
    </row>
    <row r="41" spans="1:69" x14ac:dyDescent="0.25">
      <c r="A41" s="14" t="s">
        <v>15</v>
      </c>
      <c r="B41" s="5">
        <v>0</v>
      </c>
      <c r="C41">
        <f t="shared" si="1"/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>
        <f t="shared" si="4"/>
        <v>0</v>
      </c>
    </row>
    <row r="42" spans="1:69" x14ac:dyDescent="0.25">
      <c r="A42" s="25" t="s">
        <v>121</v>
      </c>
      <c r="B42" s="9">
        <v>0</v>
      </c>
      <c r="C42">
        <f t="shared" si="1"/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</v>
      </c>
      <c r="BA42" s="9">
        <v>0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>
        <f t="shared" si="4"/>
        <v>0</v>
      </c>
    </row>
    <row r="43" spans="1:69" x14ac:dyDescent="0.25">
      <c r="A43" s="25" t="s">
        <v>109</v>
      </c>
      <c r="B43" s="9">
        <v>0</v>
      </c>
      <c r="C43">
        <f t="shared" si="1"/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>
        <f t="shared" si="4"/>
        <v>0</v>
      </c>
    </row>
    <row r="44" spans="1:69" x14ac:dyDescent="0.25">
      <c r="A44" s="14" t="s">
        <v>3</v>
      </c>
      <c r="B44" s="5">
        <v>0</v>
      </c>
      <c r="C44">
        <f t="shared" si="1"/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>
        <f t="shared" si="4"/>
        <v>0</v>
      </c>
    </row>
    <row r="45" spans="1:69" ht="18.75" x14ac:dyDescent="0.3">
      <c r="A45" s="2" t="s">
        <v>228</v>
      </c>
      <c r="B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>
        <f t="shared" si="4"/>
        <v>0</v>
      </c>
    </row>
    <row r="46" spans="1:69" x14ac:dyDescent="0.25">
      <c r="A46" s="4" t="s">
        <v>233</v>
      </c>
      <c r="B46" s="5">
        <v>0</v>
      </c>
      <c r="C46">
        <f t="shared" si="1"/>
        <v>41294</v>
      </c>
      <c r="AL46" s="5">
        <v>41294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>
        <f t="shared" si="4"/>
        <v>41294</v>
      </c>
    </row>
    <row r="47" spans="1:69" x14ac:dyDescent="0.25">
      <c r="A47" s="4" t="s">
        <v>234</v>
      </c>
      <c r="B47" s="5">
        <v>0</v>
      </c>
      <c r="C47">
        <f t="shared" si="1"/>
        <v>7514</v>
      </c>
      <c r="AL47" s="5">
        <v>7514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>
        <f t="shared" si="4"/>
        <v>7514</v>
      </c>
    </row>
    <row r="48" spans="1:69" x14ac:dyDescent="0.25">
      <c r="A48" s="29" t="s">
        <v>235</v>
      </c>
      <c r="B48" s="30">
        <f>2331+B71</f>
        <v>2331</v>
      </c>
      <c r="C48">
        <f t="shared" si="1"/>
        <v>6415</v>
      </c>
      <c r="AL48" s="30">
        <f>4084+AL71</f>
        <v>4084</v>
      </c>
      <c r="AM48" s="30">
        <f>2331+AM71</f>
        <v>2331</v>
      </c>
      <c r="AN48" s="30">
        <f t="shared" ref="AN48:BP48" si="11">0+AN71</f>
        <v>0</v>
      </c>
      <c r="AO48" s="30">
        <f t="shared" si="11"/>
        <v>0</v>
      </c>
      <c r="AP48" s="30">
        <f t="shared" si="11"/>
        <v>0</v>
      </c>
      <c r="AQ48" s="30">
        <f t="shared" si="11"/>
        <v>0</v>
      </c>
      <c r="AR48" s="30">
        <f t="shared" si="11"/>
        <v>0</v>
      </c>
      <c r="AS48" s="30">
        <f t="shared" si="11"/>
        <v>0</v>
      </c>
      <c r="AT48" s="30">
        <f t="shared" si="11"/>
        <v>0</v>
      </c>
      <c r="AU48" s="30">
        <f t="shared" si="11"/>
        <v>0</v>
      </c>
      <c r="AV48" s="30">
        <f t="shared" si="11"/>
        <v>0</v>
      </c>
      <c r="AW48" s="30">
        <f t="shared" si="11"/>
        <v>0</v>
      </c>
      <c r="AX48" s="30">
        <f t="shared" si="11"/>
        <v>0</v>
      </c>
      <c r="AY48" s="30">
        <f t="shared" si="11"/>
        <v>0</v>
      </c>
      <c r="AZ48" s="30">
        <f t="shared" si="11"/>
        <v>0</v>
      </c>
      <c r="BA48" s="30">
        <f t="shared" si="11"/>
        <v>0</v>
      </c>
      <c r="BB48" s="30">
        <f t="shared" si="11"/>
        <v>0</v>
      </c>
      <c r="BC48" s="30">
        <f t="shared" si="11"/>
        <v>0</v>
      </c>
      <c r="BD48" s="30">
        <f t="shared" si="11"/>
        <v>0</v>
      </c>
      <c r="BE48" s="30">
        <f t="shared" si="11"/>
        <v>0</v>
      </c>
      <c r="BF48" s="30">
        <f t="shared" si="11"/>
        <v>0</v>
      </c>
      <c r="BG48" s="30">
        <f t="shared" si="11"/>
        <v>0</v>
      </c>
      <c r="BH48" s="30">
        <f t="shared" si="11"/>
        <v>0</v>
      </c>
      <c r="BI48" s="30">
        <f t="shared" si="11"/>
        <v>0</v>
      </c>
      <c r="BJ48" s="30">
        <f t="shared" si="11"/>
        <v>0</v>
      </c>
      <c r="BK48" s="30">
        <f t="shared" si="11"/>
        <v>0</v>
      </c>
      <c r="BL48" s="30">
        <f t="shared" si="11"/>
        <v>0</v>
      </c>
      <c r="BM48" s="30">
        <f t="shared" si="11"/>
        <v>0</v>
      </c>
      <c r="BN48" s="30">
        <f t="shared" si="11"/>
        <v>0</v>
      </c>
      <c r="BO48" s="30">
        <f t="shared" si="11"/>
        <v>0</v>
      </c>
      <c r="BP48" s="30">
        <f t="shared" si="11"/>
        <v>0</v>
      </c>
      <c r="BQ48">
        <f t="shared" si="4"/>
        <v>6415</v>
      </c>
    </row>
    <row r="49" spans="1:69" x14ac:dyDescent="0.25">
      <c r="A49" s="4" t="s">
        <v>236</v>
      </c>
      <c r="B49" s="5">
        <v>0</v>
      </c>
      <c r="C49">
        <f t="shared" si="1"/>
        <v>309</v>
      </c>
      <c r="AL49" s="5">
        <v>309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>
        <f t="shared" si="4"/>
        <v>309</v>
      </c>
    </row>
    <row r="50" spans="1:69" x14ac:dyDescent="0.25">
      <c r="A50" s="4" t="s">
        <v>237</v>
      </c>
      <c r="B50" s="5">
        <v>5877</v>
      </c>
      <c r="C50">
        <f t="shared" si="1"/>
        <v>11051</v>
      </c>
      <c r="AL50" s="5">
        <v>5174</v>
      </c>
      <c r="AM50" s="5">
        <v>5877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>
        <f t="shared" si="4"/>
        <v>11051</v>
      </c>
    </row>
    <row r="51" spans="1:69" x14ac:dyDescent="0.25">
      <c r="A51" s="14" t="s">
        <v>15</v>
      </c>
      <c r="B51" s="5">
        <v>243</v>
      </c>
      <c r="C51">
        <f t="shared" si="1"/>
        <v>488</v>
      </c>
      <c r="AL51" s="5">
        <v>245</v>
      </c>
      <c r="AM51" s="5">
        <v>243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>
        <f t="shared" si="4"/>
        <v>488</v>
      </c>
    </row>
    <row r="52" spans="1:69" x14ac:dyDescent="0.25">
      <c r="A52" s="25" t="s">
        <v>121</v>
      </c>
      <c r="B52" s="9">
        <v>0</v>
      </c>
      <c r="C52">
        <f t="shared" si="1"/>
        <v>867</v>
      </c>
      <c r="AL52" s="9">
        <v>867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>
        <f t="shared" si="4"/>
        <v>867</v>
      </c>
    </row>
    <row r="53" spans="1:69" x14ac:dyDescent="0.25">
      <c r="A53" s="25" t="s">
        <v>109</v>
      </c>
      <c r="B53" s="9">
        <v>0</v>
      </c>
      <c r="C53">
        <f t="shared" si="1"/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R53" s="9">
        <v>0</v>
      </c>
      <c r="AS53" s="9">
        <v>0</v>
      </c>
      <c r="AT53" s="9">
        <v>0</v>
      </c>
      <c r="AU53" s="9">
        <v>0</v>
      </c>
      <c r="AV53" s="9">
        <v>0</v>
      </c>
      <c r="AW53" s="9">
        <v>0</v>
      </c>
      <c r="AX53" s="9">
        <v>0</v>
      </c>
      <c r="AY53" s="9">
        <v>0</v>
      </c>
      <c r="AZ53" s="9">
        <v>0</v>
      </c>
      <c r="BA53" s="9">
        <v>0</v>
      </c>
      <c r="BB53" s="9">
        <v>0</v>
      </c>
      <c r="BC53" s="9">
        <v>0</v>
      </c>
      <c r="BD53" s="9">
        <v>0</v>
      </c>
      <c r="BE53" s="9">
        <v>0</v>
      </c>
      <c r="BF53" s="9">
        <v>0</v>
      </c>
      <c r="BG53" s="9">
        <v>0</v>
      </c>
      <c r="BH53" s="9">
        <v>0</v>
      </c>
      <c r="BI53" s="9">
        <v>0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>
        <f t="shared" si="4"/>
        <v>0</v>
      </c>
    </row>
    <row r="54" spans="1:69" x14ac:dyDescent="0.25">
      <c r="A54" s="14" t="s">
        <v>3</v>
      </c>
      <c r="B54" s="5">
        <v>34</v>
      </c>
      <c r="C54">
        <f t="shared" si="1"/>
        <v>66</v>
      </c>
      <c r="AL54" s="5">
        <v>32</v>
      </c>
      <c r="AM54" s="5">
        <v>34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>
        <f t="shared" si="4"/>
        <v>66</v>
      </c>
    </row>
    <row r="55" spans="1:69" ht="18.75" x14ac:dyDescent="0.3">
      <c r="A55" s="2" t="s">
        <v>238</v>
      </c>
      <c r="B55" s="5"/>
      <c r="C55">
        <f t="shared" si="1"/>
        <v>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>
        <f t="shared" si="4"/>
        <v>0</v>
      </c>
    </row>
    <row r="56" spans="1:69" x14ac:dyDescent="0.25">
      <c r="A56" s="4" t="s">
        <v>16</v>
      </c>
      <c r="B56" s="5">
        <v>2343</v>
      </c>
      <c r="C56">
        <f t="shared" si="1"/>
        <v>4614</v>
      </c>
      <c r="AL56" s="5">
        <v>2271</v>
      </c>
      <c r="AM56" s="5">
        <v>2343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>
        <f t="shared" si="4"/>
        <v>4614</v>
      </c>
    </row>
    <row r="57" spans="1:69" x14ac:dyDescent="0.25">
      <c r="A57" s="4" t="s">
        <v>110</v>
      </c>
      <c r="B57" s="5">
        <v>84</v>
      </c>
      <c r="C57">
        <f t="shared" si="1"/>
        <v>153</v>
      </c>
      <c r="AL57" s="5">
        <v>69</v>
      </c>
      <c r="AM57" s="5">
        <v>84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>
        <f t="shared" si="4"/>
        <v>153</v>
      </c>
    </row>
    <row r="58" spans="1:69" ht="18.75" x14ac:dyDescent="0.3">
      <c r="A58" s="2" t="s">
        <v>239</v>
      </c>
      <c r="B58" s="5"/>
      <c r="C58">
        <f t="shared" si="1"/>
        <v>0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>
        <f t="shared" si="4"/>
        <v>0</v>
      </c>
    </row>
    <row r="59" spans="1:69" x14ac:dyDescent="0.25">
      <c r="A59" s="4" t="s">
        <v>240</v>
      </c>
      <c r="B59" s="5">
        <v>0</v>
      </c>
      <c r="C59">
        <f t="shared" si="1"/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>
        <f t="shared" si="4"/>
        <v>0</v>
      </c>
    </row>
    <row r="60" spans="1:69" x14ac:dyDescent="0.25">
      <c r="A60" s="4" t="s">
        <v>110</v>
      </c>
      <c r="B60" s="5">
        <v>0</v>
      </c>
      <c r="C60">
        <f t="shared" si="1"/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>
        <f t="shared" si="4"/>
        <v>0</v>
      </c>
    </row>
    <row r="61" spans="1:69" x14ac:dyDescent="0.25">
      <c r="A61" s="15" t="s">
        <v>17</v>
      </c>
      <c r="B61" s="48">
        <v>103876</v>
      </c>
      <c r="C61">
        <f>BQ61</f>
        <v>243560</v>
      </c>
      <c r="AL61" s="48">
        <v>139684</v>
      </c>
      <c r="AM61" s="48">
        <v>103876</v>
      </c>
      <c r="AN61" s="48">
        <v>0</v>
      </c>
      <c r="AO61" s="48">
        <v>0</v>
      </c>
      <c r="AP61" s="48">
        <v>0</v>
      </c>
      <c r="AQ61" s="48">
        <v>0</v>
      </c>
      <c r="AR61" s="48">
        <v>0</v>
      </c>
      <c r="AS61" s="48">
        <v>0</v>
      </c>
      <c r="AT61" s="48">
        <v>0</v>
      </c>
      <c r="AU61" s="48">
        <v>0</v>
      </c>
      <c r="AV61" s="48">
        <v>0</v>
      </c>
      <c r="AW61" s="48">
        <v>0</v>
      </c>
      <c r="AX61" s="48">
        <v>0</v>
      </c>
      <c r="AY61" s="48">
        <v>0</v>
      </c>
      <c r="AZ61" s="48">
        <v>0</v>
      </c>
      <c r="BA61" s="48">
        <v>0</v>
      </c>
      <c r="BB61" s="48">
        <v>0</v>
      </c>
      <c r="BC61" s="48">
        <v>0</v>
      </c>
      <c r="BD61" s="48">
        <v>0</v>
      </c>
      <c r="BE61" s="48">
        <v>0</v>
      </c>
      <c r="BF61" s="48">
        <v>0</v>
      </c>
      <c r="BG61" s="48">
        <v>0</v>
      </c>
      <c r="BH61" s="48">
        <v>0</v>
      </c>
      <c r="BI61" s="48">
        <v>0</v>
      </c>
      <c r="BJ61" s="48">
        <v>0</v>
      </c>
      <c r="BK61" s="48">
        <v>0</v>
      </c>
      <c r="BL61" s="48">
        <v>0</v>
      </c>
      <c r="BM61" s="48">
        <v>0</v>
      </c>
      <c r="BN61" s="48">
        <v>0</v>
      </c>
      <c r="BO61" s="48">
        <v>0</v>
      </c>
      <c r="BP61" s="48">
        <v>0</v>
      </c>
      <c r="BQ61">
        <f t="shared" si="4"/>
        <v>243560</v>
      </c>
    </row>
    <row r="62" spans="1:69" ht="30" x14ac:dyDescent="0.25">
      <c r="A62" s="33" t="s">
        <v>40</v>
      </c>
      <c r="B62" s="27">
        <f>B63*157</f>
        <v>1067.5999999999999</v>
      </c>
      <c r="C62">
        <f t="shared" si="1"/>
        <v>2213.6999999999998</v>
      </c>
      <c r="AL62" s="27">
        <f t="shared" ref="AL62:BP62" si="12">AL63*157</f>
        <v>1146.0999999999999</v>
      </c>
      <c r="AM62" s="27">
        <f t="shared" si="12"/>
        <v>1067.5999999999999</v>
      </c>
      <c r="AN62" s="27">
        <f t="shared" si="12"/>
        <v>0</v>
      </c>
      <c r="AO62" s="27">
        <f t="shared" si="12"/>
        <v>0</v>
      </c>
      <c r="AP62" s="27">
        <f t="shared" si="12"/>
        <v>0</v>
      </c>
      <c r="AQ62" s="27">
        <f t="shared" si="12"/>
        <v>0</v>
      </c>
      <c r="AR62" s="27">
        <f t="shared" si="12"/>
        <v>0</v>
      </c>
      <c r="AS62" s="27">
        <f t="shared" si="12"/>
        <v>0</v>
      </c>
      <c r="AT62" s="27">
        <f t="shared" si="12"/>
        <v>0</v>
      </c>
      <c r="AU62" s="27">
        <f t="shared" si="12"/>
        <v>0</v>
      </c>
      <c r="AV62" s="27">
        <f t="shared" si="12"/>
        <v>0</v>
      </c>
      <c r="AW62" s="27">
        <f t="shared" si="12"/>
        <v>0</v>
      </c>
      <c r="AX62" s="27">
        <f t="shared" si="12"/>
        <v>0</v>
      </c>
      <c r="AY62" s="27">
        <f t="shared" si="12"/>
        <v>0</v>
      </c>
      <c r="AZ62" s="27">
        <f t="shared" si="12"/>
        <v>0</v>
      </c>
      <c r="BA62" s="27">
        <f t="shared" si="12"/>
        <v>0</v>
      </c>
      <c r="BB62" s="27">
        <f t="shared" si="12"/>
        <v>0</v>
      </c>
      <c r="BC62" s="27">
        <f t="shared" si="12"/>
        <v>0</v>
      </c>
      <c r="BD62" s="27">
        <f t="shared" si="12"/>
        <v>0</v>
      </c>
      <c r="BE62" s="27">
        <f t="shared" si="12"/>
        <v>0</v>
      </c>
      <c r="BF62" s="27">
        <f t="shared" si="12"/>
        <v>0</v>
      </c>
      <c r="BG62" s="27">
        <f t="shared" si="12"/>
        <v>0</v>
      </c>
      <c r="BH62" s="27">
        <f t="shared" si="12"/>
        <v>0</v>
      </c>
      <c r="BI62" s="27">
        <f t="shared" si="12"/>
        <v>0</v>
      </c>
      <c r="BJ62" s="27">
        <f t="shared" si="12"/>
        <v>0</v>
      </c>
      <c r="BK62" s="27">
        <f t="shared" si="12"/>
        <v>0</v>
      </c>
      <c r="BL62" s="27">
        <f t="shared" si="12"/>
        <v>0</v>
      </c>
      <c r="BM62" s="27">
        <f t="shared" si="12"/>
        <v>0</v>
      </c>
      <c r="BN62" s="27">
        <f t="shared" si="12"/>
        <v>0</v>
      </c>
      <c r="BO62" s="27">
        <f t="shared" si="12"/>
        <v>0</v>
      </c>
      <c r="BP62" s="27">
        <f t="shared" si="12"/>
        <v>0</v>
      </c>
      <c r="BQ62">
        <f t="shared" si="4"/>
        <v>2213.6999999999998</v>
      </c>
    </row>
    <row r="63" spans="1:69" x14ac:dyDescent="0.25">
      <c r="A63" s="14" t="s">
        <v>18</v>
      </c>
      <c r="B63" s="5">
        <v>6.8</v>
      </c>
      <c r="C63">
        <f t="shared" si="1"/>
        <v>14.1</v>
      </c>
      <c r="AL63" s="5">
        <v>7.3</v>
      </c>
      <c r="AM63" s="5">
        <v>6.8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>
        <f t="shared" si="4"/>
        <v>14.1</v>
      </c>
    </row>
    <row r="64" spans="1:69" ht="30" x14ac:dyDescent="0.25">
      <c r="A64" s="16" t="s">
        <v>19</v>
      </c>
      <c r="B64" s="5">
        <v>0</v>
      </c>
      <c r="C64">
        <f t="shared" si="1"/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>
        <f t="shared" si="4"/>
        <v>0</v>
      </c>
    </row>
    <row r="65" spans="1:69" ht="30" x14ac:dyDescent="0.25">
      <c r="A65" s="16" t="s">
        <v>36</v>
      </c>
      <c r="B65" s="5">
        <f>B64*65</f>
        <v>0</v>
      </c>
      <c r="C65">
        <f t="shared" si="1"/>
        <v>0</v>
      </c>
      <c r="AL65" s="5">
        <f>AL64*65</f>
        <v>0</v>
      </c>
      <c r="AM65" s="5">
        <f t="shared" ref="AM65:BP65" si="13">AM64*65</f>
        <v>0</v>
      </c>
      <c r="AN65" s="5">
        <f t="shared" si="13"/>
        <v>0</v>
      </c>
      <c r="AO65" s="5">
        <f t="shared" si="13"/>
        <v>0</v>
      </c>
      <c r="AP65" s="5">
        <f t="shared" si="13"/>
        <v>0</v>
      </c>
      <c r="AQ65" s="5">
        <f t="shared" si="13"/>
        <v>0</v>
      </c>
      <c r="AR65" s="5">
        <f t="shared" si="13"/>
        <v>0</v>
      </c>
      <c r="AS65" s="5">
        <f t="shared" si="13"/>
        <v>0</v>
      </c>
      <c r="AT65" s="5">
        <f t="shared" si="13"/>
        <v>0</v>
      </c>
      <c r="AU65" s="5">
        <f t="shared" si="13"/>
        <v>0</v>
      </c>
      <c r="AV65" s="5">
        <f t="shared" si="13"/>
        <v>0</v>
      </c>
      <c r="AW65" s="5">
        <f t="shared" si="13"/>
        <v>0</v>
      </c>
      <c r="AX65" s="5">
        <f t="shared" si="13"/>
        <v>0</v>
      </c>
      <c r="AY65" s="5">
        <f t="shared" si="13"/>
        <v>0</v>
      </c>
      <c r="AZ65" s="5">
        <f t="shared" si="13"/>
        <v>0</v>
      </c>
      <c r="BA65" s="5">
        <f t="shared" si="13"/>
        <v>0</v>
      </c>
      <c r="BB65" s="5">
        <f t="shared" si="13"/>
        <v>0</v>
      </c>
      <c r="BC65" s="5">
        <f t="shared" si="13"/>
        <v>0</v>
      </c>
      <c r="BD65" s="5">
        <f t="shared" si="13"/>
        <v>0</v>
      </c>
      <c r="BE65" s="5">
        <f t="shared" si="13"/>
        <v>0</v>
      </c>
      <c r="BF65" s="5">
        <f t="shared" si="13"/>
        <v>0</v>
      </c>
      <c r="BG65" s="5">
        <f t="shared" si="13"/>
        <v>0</v>
      </c>
      <c r="BH65" s="5">
        <f t="shared" si="13"/>
        <v>0</v>
      </c>
      <c r="BI65" s="5">
        <f t="shared" si="13"/>
        <v>0</v>
      </c>
      <c r="BJ65" s="5">
        <f t="shared" si="13"/>
        <v>0</v>
      </c>
      <c r="BK65" s="5">
        <f t="shared" si="13"/>
        <v>0</v>
      </c>
      <c r="BL65" s="5">
        <f t="shared" si="13"/>
        <v>0</v>
      </c>
      <c r="BM65" s="5">
        <f t="shared" si="13"/>
        <v>0</v>
      </c>
      <c r="BN65" s="5">
        <f t="shared" si="13"/>
        <v>0</v>
      </c>
      <c r="BO65" s="5">
        <f t="shared" si="13"/>
        <v>0</v>
      </c>
      <c r="BP65" s="5">
        <f t="shared" si="13"/>
        <v>0</v>
      </c>
      <c r="BQ65">
        <f t="shared" si="4"/>
        <v>0</v>
      </c>
    </row>
    <row r="66" spans="1:69" ht="30" x14ac:dyDescent="0.25">
      <c r="A66" s="16" t="s">
        <v>37</v>
      </c>
      <c r="B66" s="5">
        <f>B64*30</f>
        <v>0</v>
      </c>
      <c r="C66">
        <f t="shared" si="1"/>
        <v>0</v>
      </c>
      <c r="AL66" s="5">
        <f>AL64*30</f>
        <v>0</v>
      </c>
      <c r="AM66" s="5">
        <f t="shared" ref="AM66:BP66" si="14">AM64*30</f>
        <v>0</v>
      </c>
      <c r="AN66" s="5">
        <f t="shared" si="14"/>
        <v>0</v>
      </c>
      <c r="AO66" s="5">
        <f t="shared" si="14"/>
        <v>0</v>
      </c>
      <c r="AP66" s="5">
        <f t="shared" si="14"/>
        <v>0</v>
      </c>
      <c r="AQ66" s="5">
        <f t="shared" si="14"/>
        <v>0</v>
      </c>
      <c r="AR66" s="5">
        <f t="shared" si="14"/>
        <v>0</v>
      </c>
      <c r="AS66" s="5">
        <f t="shared" si="14"/>
        <v>0</v>
      </c>
      <c r="AT66" s="5">
        <f t="shared" si="14"/>
        <v>0</v>
      </c>
      <c r="AU66" s="5">
        <f t="shared" si="14"/>
        <v>0</v>
      </c>
      <c r="AV66" s="5">
        <f t="shared" si="14"/>
        <v>0</v>
      </c>
      <c r="AW66" s="5">
        <f t="shared" si="14"/>
        <v>0</v>
      </c>
      <c r="AX66" s="5">
        <f t="shared" si="14"/>
        <v>0</v>
      </c>
      <c r="AY66" s="5">
        <f t="shared" si="14"/>
        <v>0</v>
      </c>
      <c r="AZ66" s="5">
        <f t="shared" si="14"/>
        <v>0</v>
      </c>
      <c r="BA66" s="5">
        <f t="shared" si="14"/>
        <v>0</v>
      </c>
      <c r="BB66" s="5">
        <f t="shared" si="14"/>
        <v>0</v>
      </c>
      <c r="BC66" s="5">
        <f t="shared" si="14"/>
        <v>0</v>
      </c>
      <c r="BD66" s="5">
        <f t="shared" si="14"/>
        <v>0</v>
      </c>
      <c r="BE66" s="5">
        <f t="shared" si="14"/>
        <v>0</v>
      </c>
      <c r="BF66" s="5">
        <f t="shared" si="14"/>
        <v>0</v>
      </c>
      <c r="BG66" s="5">
        <f t="shared" si="14"/>
        <v>0</v>
      </c>
      <c r="BH66" s="5">
        <f t="shared" si="14"/>
        <v>0</v>
      </c>
      <c r="BI66" s="5">
        <f t="shared" si="14"/>
        <v>0</v>
      </c>
      <c r="BJ66" s="5">
        <f t="shared" si="14"/>
        <v>0</v>
      </c>
      <c r="BK66" s="5">
        <f t="shared" si="14"/>
        <v>0</v>
      </c>
      <c r="BL66" s="5">
        <f t="shared" si="14"/>
        <v>0</v>
      </c>
      <c r="BM66" s="5">
        <f t="shared" si="14"/>
        <v>0</v>
      </c>
      <c r="BN66" s="5">
        <f t="shared" si="14"/>
        <v>0</v>
      </c>
      <c r="BO66" s="5">
        <f t="shared" si="14"/>
        <v>0</v>
      </c>
      <c r="BP66" s="5">
        <f t="shared" si="14"/>
        <v>0</v>
      </c>
      <c r="BQ66">
        <f t="shared" si="4"/>
        <v>0</v>
      </c>
    </row>
    <row r="67" spans="1:69" x14ac:dyDescent="0.25">
      <c r="A67" s="31" t="s">
        <v>20</v>
      </c>
      <c r="B67" s="27">
        <f>B65+B66</f>
        <v>0</v>
      </c>
      <c r="C67">
        <f>BQ67</f>
        <v>0</v>
      </c>
      <c r="AL67" s="27">
        <f>AL65+AL66</f>
        <v>0</v>
      </c>
      <c r="AM67" s="27">
        <f t="shared" ref="AM67:BP67" si="15">AM65+AM66</f>
        <v>0</v>
      </c>
      <c r="AN67" s="27">
        <f t="shared" si="15"/>
        <v>0</v>
      </c>
      <c r="AO67" s="27">
        <f t="shared" si="15"/>
        <v>0</v>
      </c>
      <c r="AP67" s="27">
        <f t="shared" si="15"/>
        <v>0</v>
      </c>
      <c r="AQ67" s="27">
        <f t="shared" si="15"/>
        <v>0</v>
      </c>
      <c r="AR67" s="27">
        <f t="shared" si="15"/>
        <v>0</v>
      </c>
      <c r="AS67" s="27">
        <f t="shared" si="15"/>
        <v>0</v>
      </c>
      <c r="AT67" s="27">
        <f t="shared" si="15"/>
        <v>0</v>
      </c>
      <c r="AU67" s="27">
        <f t="shared" si="15"/>
        <v>0</v>
      </c>
      <c r="AV67" s="27">
        <f t="shared" si="15"/>
        <v>0</v>
      </c>
      <c r="AW67" s="27">
        <f t="shared" si="15"/>
        <v>0</v>
      </c>
      <c r="AX67" s="27">
        <f t="shared" si="15"/>
        <v>0</v>
      </c>
      <c r="AY67" s="27">
        <f t="shared" si="15"/>
        <v>0</v>
      </c>
      <c r="AZ67" s="27">
        <f t="shared" si="15"/>
        <v>0</v>
      </c>
      <c r="BA67" s="27">
        <f t="shared" si="15"/>
        <v>0</v>
      </c>
      <c r="BB67" s="27">
        <f t="shared" si="15"/>
        <v>0</v>
      </c>
      <c r="BC67" s="27">
        <f t="shared" si="15"/>
        <v>0</v>
      </c>
      <c r="BD67" s="27">
        <f t="shared" si="15"/>
        <v>0</v>
      </c>
      <c r="BE67" s="27">
        <f t="shared" si="15"/>
        <v>0</v>
      </c>
      <c r="BF67" s="27">
        <f t="shared" si="15"/>
        <v>0</v>
      </c>
      <c r="BG67" s="27">
        <f t="shared" si="15"/>
        <v>0</v>
      </c>
      <c r="BH67" s="27">
        <f t="shared" si="15"/>
        <v>0</v>
      </c>
      <c r="BI67" s="27">
        <f t="shared" si="15"/>
        <v>0</v>
      </c>
      <c r="BJ67" s="27">
        <f t="shared" si="15"/>
        <v>0</v>
      </c>
      <c r="BK67" s="27">
        <f t="shared" si="15"/>
        <v>0</v>
      </c>
      <c r="BL67" s="27">
        <f t="shared" si="15"/>
        <v>0</v>
      </c>
      <c r="BM67" s="27">
        <f t="shared" si="15"/>
        <v>0</v>
      </c>
      <c r="BN67" s="27">
        <f t="shared" si="15"/>
        <v>0</v>
      </c>
      <c r="BO67" s="27">
        <f t="shared" si="15"/>
        <v>0</v>
      </c>
      <c r="BP67" s="27">
        <f t="shared" si="15"/>
        <v>0</v>
      </c>
      <c r="BQ67">
        <f>SUM(AL67:BP67)</f>
        <v>0</v>
      </c>
    </row>
    <row r="68" spans="1:69" x14ac:dyDescent="0.25">
      <c r="A68" s="16" t="s">
        <v>43</v>
      </c>
      <c r="B68" s="5">
        <v>474</v>
      </c>
      <c r="C68">
        <f>BQ68</f>
        <v>973</v>
      </c>
      <c r="AL68" s="5">
        <v>499</v>
      </c>
      <c r="AM68" s="5">
        <v>474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>
        <f>SUM(AL68:BP68)</f>
        <v>973</v>
      </c>
    </row>
    <row r="69" spans="1:69" x14ac:dyDescent="0.25">
      <c r="A69" s="16" t="s">
        <v>44</v>
      </c>
      <c r="B69" s="5">
        <v>0</v>
      </c>
      <c r="C69">
        <f>BQ69</f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>
        <f>SUM(AL69:BP69)</f>
        <v>0</v>
      </c>
    </row>
    <row r="70" spans="1:69" x14ac:dyDescent="0.25">
      <c r="A70" s="16" t="s">
        <v>241</v>
      </c>
      <c r="B70" s="14">
        <v>887</v>
      </c>
      <c r="C70">
        <f>BQ70</f>
        <v>2090</v>
      </c>
      <c r="AL70" s="14">
        <v>1203</v>
      </c>
      <c r="AM70" s="14">
        <v>887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>
        <f>SUM(AL70:BP70)</f>
        <v>2090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04"/>
  <sheetViews>
    <sheetView zoomScale="85" zoomScaleNormal="85" zoomScaleSheetLayoutView="100" workbookViewId="0">
      <pane xSplit="1" topLeftCell="R1" activePane="topRight" state="frozen"/>
      <selection activeCell="E9" sqref="E9"/>
      <selection pane="topRight" activeCell="AA102" sqref="AA102"/>
    </sheetView>
  </sheetViews>
  <sheetFormatPr defaultRowHeight="15" x14ac:dyDescent="0.25"/>
  <cols>
    <col min="1" max="1" width="39.140625" customWidth="1"/>
    <col min="2" max="2" width="12.28515625" style="1" customWidth="1"/>
    <col min="3" max="3" width="11.85546875" style="1" customWidth="1"/>
    <col min="4" max="4" width="12.140625" style="1" customWidth="1"/>
    <col min="5" max="5" width="11.42578125" style="1" customWidth="1"/>
    <col min="6" max="6" width="11.28515625" style="1" customWidth="1"/>
    <col min="7" max="7" width="12.28515625" style="1" customWidth="1"/>
    <col min="8" max="8" width="11" style="90" customWidth="1"/>
    <col min="9" max="9" width="10.7109375" style="1" customWidth="1"/>
    <col min="10" max="10" width="11.140625" style="1" customWidth="1"/>
    <col min="11" max="11" width="12" style="1" customWidth="1"/>
    <col min="12" max="12" width="11.5703125" style="50" customWidth="1"/>
    <col min="13" max="13" width="11.140625" style="1" customWidth="1"/>
    <col min="14" max="14" width="11.5703125" style="116" customWidth="1"/>
    <col min="15" max="15" width="12.5703125" style="1" customWidth="1"/>
    <col min="16" max="16" width="11.140625" style="1" customWidth="1"/>
    <col min="17" max="17" width="11" style="1" customWidth="1"/>
    <col min="18" max="18" width="10.7109375" style="50" customWidth="1"/>
    <col min="19" max="19" width="11" style="1" customWidth="1"/>
    <col min="20" max="20" width="10.85546875" style="50" customWidth="1"/>
    <col min="21" max="21" width="11.42578125" style="1" customWidth="1"/>
    <col min="22" max="22" width="11.5703125" style="1" customWidth="1"/>
    <col min="23" max="23" width="11.28515625" style="1" customWidth="1"/>
    <col min="24" max="24" width="11.85546875" style="1" customWidth="1"/>
    <col min="25" max="25" width="11.140625" style="1" customWidth="1"/>
    <col min="26" max="26" width="10.7109375" style="1" customWidth="1"/>
    <col min="27" max="27" width="12.140625" style="1" customWidth="1"/>
    <col min="28" max="31" width="12.5703125" style="1" customWidth="1"/>
    <col min="32" max="32" width="11.7109375" customWidth="1"/>
  </cols>
  <sheetData>
    <row r="1" spans="1:34" ht="27.75" customHeight="1" x14ac:dyDescent="0.3">
      <c r="A1" s="2" t="s">
        <v>0</v>
      </c>
      <c r="B1" s="3">
        <v>46174</v>
      </c>
      <c r="C1" s="3">
        <f>B1+1</f>
        <v>46175</v>
      </c>
      <c r="D1" s="3">
        <f t="shared" ref="D1:J1" si="0">C1+1</f>
        <v>46176</v>
      </c>
      <c r="E1" s="3">
        <f t="shared" si="0"/>
        <v>46177</v>
      </c>
      <c r="F1" s="3">
        <f t="shared" si="0"/>
        <v>46178</v>
      </c>
      <c r="G1" s="3">
        <f>F1+1</f>
        <v>46179</v>
      </c>
      <c r="H1" s="3">
        <f>G1+1</f>
        <v>46180</v>
      </c>
      <c r="I1" s="3">
        <f>H1+1</f>
        <v>46181</v>
      </c>
      <c r="J1" s="3">
        <f t="shared" si="0"/>
        <v>46182</v>
      </c>
      <c r="K1" s="3">
        <f>J1+1</f>
        <v>46183</v>
      </c>
      <c r="L1" s="3">
        <f>K1+1</f>
        <v>46184</v>
      </c>
      <c r="M1" s="3">
        <f>L1+1</f>
        <v>46185</v>
      </c>
      <c r="N1" s="113">
        <f t="shared" ref="N1:W1" si="1">M1+1</f>
        <v>46186</v>
      </c>
      <c r="O1" s="3">
        <f t="shared" si="1"/>
        <v>46187</v>
      </c>
      <c r="P1" s="3">
        <f t="shared" si="1"/>
        <v>46188</v>
      </c>
      <c r="Q1" s="3">
        <f t="shared" si="1"/>
        <v>46189</v>
      </c>
      <c r="R1" s="3">
        <f t="shared" si="1"/>
        <v>46190</v>
      </c>
      <c r="S1" s="3">
        <f t="shared" si="1"/>
        <v>46191</v>
      </c>
      <c r="T1" s="3">
        <f t="shared" si="1"/>
        <v>46192</v>
      </c>
      <c r="U1" s="3">
        <f t="shared" si="1"/>
        <v>46193</v>
      </c>
      <c r="V1" s="3">
        <f t="shared" si="1"/>
        <v>46194</v>
      </c>
      <c r="W1" s="3">
        <f t="shared" si="1"/>
        <v>46195</v>
      </c>
      <c r="X1" s="3">
        <f t="shared" ref="X1:AB1" si="2">W1+1</f>
        <v>46196</v>
      </c>
      <c r="Y1" s="3">
        <f t="shared" si="2"/>
        <v>46197</v>
      </c>
      <c r="Z1" s="3">
        <f t="shared" si="2"/>
        <v>46198</v>
      </c>
      <c r="AA1" s="3">
        <f t="shared" si="2"/>
        <v>46199</v>
      </c>
      <c r="AB1" s="3">
        <f t="shared" si="2"/>
        <v>46200</v>
      </c>
      <c r="AC1" s="3">
        <f t="shared" ref="AC1" si="3">AB1+1</f>
        <v>46201</v>
      </c>
      <c r="AD1" s="3">
        <f t="shared" ref="AD1" si="4">AC1+1</f>
        <v>46202</v>
      </c>
      <c r="AE1" s="3">
        <f t="shared" ref="AE1" si="5">AD1+1</f>
        <v>46203</v>
      </c>
      <c r="AF1" s="5" t="s">
        <v>41</v>
      </c>
    </row>
    <row r="2" spans="1:34" x14ac:dyDescent="0.25">
      <c r="A2" s="4" t="s">
        <v>1</v>
      </c>
      <c r="B2" s="6">
        <f>'Energy Readings'!D2</f>
        <v>220.02999999999884</v>
      </c>
      <c r="C2" s="6">
        <f>'Energy Readings'!F2</f>
        <v>213.30999999999767</v>
      </c>
      <c r="D2" s="6">
        <f>'Energy Readings'!H2</f>
        <v>227.47000000000116</v>
      </c>
      <c r="E2" s="6">
        <f>'Energy Readings'!J2</f>
        <v>162.20000000001164</v>
      </c>
      <c r="F2" s="6">
        <f>'Energy Readings'!L2</f>
        <v>241.95999999999185</v>
      </c>
      <c r="G2" s="6">
        <f>'Energy Readings'!N2</f>
        <v>286.35999999998603</v>
      </c>
      <c r="H2" s="6">
        <f>'Energy Readings'!P2</f>
        <v>247.65000000002328</v>
      </c>
      <c r="I2" s="6">
        <f>'Energy Readings'!R2</f>
        <v>310.39999999999418</v>
      </c>
      <c r="J2" s="6">
        <f>'Energy Readings'!T2</f>
        <v>236.60999999998603</v>
      </c>
      <c r="K2" s="6">
        <f>'Energy Readings'!V2</f>
        <v>278.13000000000466</v>
      </c>
      <c r="L2" s="6">
        <f>'Energy Readings'!X2</f>
        <v>243.48999999999069</v>
      </c>
      <c r="M2" s="6">
        <f>'Energy Readings'!Z2</f>
        <v>317.89600000000792</v>
      </c>
      <c r="N2" s="114">
        <f>'Energy Readings'!AB2</f>
        <v>245.12400000001071</v>
      </c>
      <c r="O2" s="6">
        <f>'Energy Readings'!AD2</f>
        <v>196.33999999999651</v>
      </c>
      <c r="P2" s="6">
        <f>'Energy Readings'!AF2</f>
        <v>208.22000000000116</v>
      </c>
      <c r="Q2" s="6">
        <f>'Energy Readings'!AH2</f>
        <v>227.76000000000931</v>
      </c>
      <c r="R2" s="6">
        <f>'Energy Readings'!AJ2</f>
        <v>209.97999999998137</v>
      </c>
      <c r="S2" s="6">
        <f>'Energy Readings'!AL2</f>
        <v>191.72000000000116</v>
      </c>
      <c r="T2" s="6">
        <f>'Energy Readings'!AN2</f>
        <v>297.16000000000349</v>
      </c>
      <c r="U2" s="6">
        <f>'Energy Readings'!AP2</f>
        <v>177.19000000000233</v>
      </c>
      <c r="V2" s="6">
        <f>'Energy Readings'!AR2</f>
        <v>317.38000000000466</v>
      </c>
      <c r="W2" s="6">
        <f>'Energy Readings'!AT2</f>
        <v>304.47999999998137</v>
      </c>
      <c r="X2" s="6">
        <f>'Energy Readings'!AV2</f>
        <v>296.69000000000233</v>
      </c>
      <c r="Y2" s="6">
        <f>'Energy Readings'!AX2</f>
        <v>213.80000000001746</v>
      </c>
      <c r="Z2" s="6">
        <f>'Energy Readings'!AZ2</f>
        <v>193.45999999999185</v>
      </c>
      <c r="AA2" s="6">
        <f>'Energy Readings'!BB2</f>
        <v>201.5</v>
      </c>
      <c r="AB2" s="6">
        <f>'Energy Readings'!BD2</f>
        <v>196.76999999998952</v>
      </c>
      <c r="AC2" s="6">
        <f>'Energy Readings'!BF2</f>
        <v>280.02000000001863</v>
      </c>
      <c r="AD2" s="6">
        <f>'Energy Readings'!BH2</f>
        <v>252.70999999999185</v>
      </c>
      <c r="AE2" s="6">
        <f>'Energy Readings'!BJ2</f>
        <v>264.0800000000163</v>
      </c>
      <c r="AF2" s="6">
        <f t="shared" ref="AF2:AF7" si="6">SUM(B2:AE2)</f>
        <v>7259.890000000014</v>
      </c>
    </row>
    <row r="3" spans="1:34" x14ac:dyDescent="0.25">
      <c r="A3" s="26" t="s">
        <v>122</v>
      </c>
      <c r="B3" s="83">
        <f>'Energy Readings'!D3-B4-B5-B6-B7</f>
        <v>1348.9499999997788</v>
      </c>
      <c r="C3" s="83">
        <f>'Energy Readings'!F3-C4-C5-C6-C7</f>
        <v>1116.7999999999038</v>
      </c>
      <c r="D3" s="83">
        <f>'Energy Readings'!H3-D4-D5-D6-D7</f>
        <v>1116.1500000003107</v>
      </c>
      <c r="E3" s="83">
        <f>'Energy Readings'!J3-E4-E5-E6-E7</f>
        <v>765.52999999987696</v>
      </c>
      <c r="F3" s="83">
        <f>'Energy Readings'!L3-F4-F5-F6-F7</f>
        <v>1056.0300000000243</v>
      </c>
      <c r="G3" s="83">
        <f>'Energy Readings'!N3-G4-G5-G6-G7</f>
        <v>964.90000000009604</v>
      </c>
      <c r="H3" s="83">
        <f>'Energy Readings'!P3-H4-H5-H6-H7</f>
        <v>869.84000000011201</v>
      </c>
      <c r="I3" s="83">
        <f>'Energy Readings'!R3-I4-I5-I6-I7</f>
        <v>1038.6499999999123</v>
      </c>
      <c r="J3" s="83">
        <f>'Energy Readings'!T3-J4-J5-J6-J7</f>
        <v>910.77999999999975</v>
      </c>
      <c r="K3" s="83">
        <f>'Energy Readings'!V3-K4-K5-K6-K7</f>
        <v>1053.5400000001009</v>
      </c>
      <c r="L3" s="83">
        <f>'Energy Readings'!X3-L4-L5-L6-L7</f>
        <v>1094.1099999997259</v>
      </c>
      <c r="M3" s="83">
        <f>'Energy Readings'!Z3-M4-M5-M6-M7</f>
        <v>1782.6899999998586</v>
      </c>
      <c r="N3" s="83">
        <f>'Energy Readings'!AB3-N4-N5-N6-N7</f>
        <v>2187.000000000131</v>
      </c>
      <c r="O3" s="83">
        <f>'Energy Readings'!AD3-O4-O5-O6-O7</f>
        <v>2305.4899999997378</v>
      </c>
      <c r="P3" s="83">
        <f>'Energy Readings'!AF3-P4-P5-P6-P7</f>
        <v>1662.3700000005301</v>
      </c>
      <c r="Q3" s="83">
        <f>'Energy Readings'!AH3-Q4-Q5-Q6-Q7</f>
        <v>1115.4299999995874</v>
      </c>
      <c r="R3" s="83">
        <f>'Energy Readings'!AJ3-R4-R5-R6-R7</f>
        <v>1004.5200000001978</v>
      </c>
      <c r="S3" s="83">
        <f>'Energy Readings'!AL3-S4-S5-S6-S7</f>
        <v>1025.6200000002027</v>
      </c>
      <c r="T3" s="83">
        <f>'Energy Readings'!AN3-T4-T5-T6-T7</f>
        <v>1222.7899999996935</v>
      </c>
      <c r="U3" s="83">
        <f>'Energy Readings'!AP3-U4-U5-U6-U7</f>
        <v>781.90999999993619</v>
      </c>
      <c r="V3" s="83">
        <f>'Energy Readings'!AR3-V4-V5-V6-V7</f>
        <v>1239.9600000004011</v>
      </c>
      <c r="W3" s="83">
        <f>'Energy Readings'!AT3-W4-W5-W6-W7</f>
        <v>1193.049999999831</v>
      </c>
      <c r="X3" s="83">
        <f>'Energy Readings'!AV3-X4-X5-X6-X7</f>
        <v>1171.380000000062</v>
      </c>
      <c r="Y3" s="83">
        <f>'Energy Readings'!AX3-Y4-Y5-Y6-Y7</f>
        <v>959.52999999965323</v>
      </c>
      <c r="Z3" s="83">
        <f>'Energy Readings'!AZ3-Z4-Z5-Z6-Z7</f>
        <v>995.62000000021726</v>
      </c>
      <c r="AA3" s="83">
        <f>'Energy Readings'!BB3-AA4-AA5-AA6-AA7</f>
        <v>928.29999999999291</v>
      </c>
      <c r="AB3" s="83">
        <f>'Energy Readings'!BD3-AB4-AB5-AB6-AB7</f>
        <v>952.10000000009404</v>
      </c>
      <c r="AC3" s="83">
        <f>'Energy Readings'!BF3-AC4-AC5-AC6-AC7</f>
        <v>1200.0500000001912</v>
      </c>
      <c r="AD3" s="83">
        <f>'Energy Readings'!BH3-AD4-AD5-AD6-AD7</f>
        <v>1241.3099999997903</v>
      </c>
      <c r="AE3" s="83">
        <f>'Energy Readings'!BJ3-AE4-AE5-AE6-AE7+500</f>
        <v>1600.0199999999631</v>
      </c>
      <c r="AF3" s="6">
        <f t="shared" si="6"/>
        <v>35904.419999999911</v>
      </c>
    </row>
    <row r="4" spans="1:34" s="32" customFormat="1" x14ac:dyDescent="0.25">
      <c r="A4" s="40" t="s">
        <v>107</v>
      </c>
      <c r="B4" s="84">
        <f>'Energy Readings'!D4</f>
        <v>1132.0900000003166</v>
      </c>
      <c r="C4" s="84">
        <f>'Energy Readings'!F4</f>
        <v>1183.7900000000373</v>
      </c>
      <c r="D4" s="84">
        <f>'Energy Readings'!H4</f>
        <v>1291.6399999996647</v>
      </c>
      <c r="E4" s="84">
        <f>'Energy Readings'!J4</f>
        <v>1926.1800000001676</v>
      </c>
      <c r="F4" s="84">
        <f>'Energy Readings'!L4</f>
        <v>2024.4199999999255</v>
      </c>
      <c r="G4" s="84">
        <f>'Energy Readings'!N4</f>
        <v>1897.5200000000186</v>
      </c>
      <c r="H4" s="84">
        <f>'Energy Readings'!P4</f>
        <v>1325.3599999998696</v>
      </c>
      <c r="I4" s="84">
        <f>'Energy Readings'!R4</f>
        <v>1355.6200000001118</v>
      </c>
      <c r="J4" s="84">
        <f>'Energy Readings'!T4</f>
        <v>1285.4199999999255</v>
      </c>
      <c r="K4" s="84">
        <f>'Energy Readings'!V4</f>
        <v>1311.1899999999441</v>
      </c>
      <c r="L4" s="84">
        <f>'Energy Readings'!X4</f>
        <v>1194.4900000002235</v>
      </c>
      <c r="M4" s="84">
        <f>'Energy Readings'!Z4</f>
        <v>1205.4500000001863</v>
      </c>
      <c r="N4" s="115">
        <f>'Energy Readings'!AB4</f>
        <v>1012.0200000000186</v>
      </c>
      <c r="O4" s="84">
        <f>'Energy Readings'!AD4</f>
        <v>1125.25</v>
      </c>
      <c r="P4" s="84">
        <f>'Energy Readings'!AF4</f>
        <v>1199.3499999996275</v>
      </c>
      <c r="Q4" s="84">
        <f>'Energy Readings'!AH4</f>
        <v>1058.4000000003725</v>
      </c>
      <c r="R4" s="84">
        <f>'Energy Readings'!AJ4</f>
        <v>1143.7199999997392</v>
      </c>
      <c r="S4" s="84">
        <f>'Energy Readings'!AL4</f>
        <v>1120.589999999851</v>
      </c>
      <c r="T4" s="84">
        <f>'Energy Readings'!AN4</f>
        <v>1157.6500000003725</v>
      </c>
      <c r="U4" s="84">
        <f>'Energy Readings'!AP4</f>
        <v>999.72999999998137</v>
      </c>
      <c r="V4" s="84">
        <f>'Energy Readings'!AR4</f>
        <v>1023.3499999996275</v>
      </c>
      <c r="W4" s="84">
        <f>'Energy Readings'!AT4</f>
        <v>980.12000000011176</v>
      </c>
      <c r="X4" s="84">
        <f>'Energy Readings'!AV4</f>
        <v>1023.4599999999627</v>
      </c>
      <c r="Y4" s="84">
        <f>'Energy Readings'!AX4</f>
        <v>1137.1500000003725</v>
      </c>
      <c r="Z4" s="84">
        <f>'Energy Readings'!AZ4</f>
        <v>1139.7199999997392</v>
      </c>
      <c r="AA4" s="84">
        <f>'Energy Readings'!BB4</f>
        <v>1150.9599999999627</v>
      </c>
      <c r="AB4" s="84">
        <f>'Energy Readings'!BD4</f>
        <v>1112.4799999999814</v>
      </c>
      <c r="AC4" s="84">
        <f>'Energy Readings'!BF4</f>
        <v>1088.8799999998882</v>
      </c>
      <c r="AD4" s="84">
        <f>'Energy Readings'!BH4</f>
        <v>1135.8900000001304</v>
      </c>
      <c r="AE4" s="6">
        <f>'Energy Readings'!BJ4</f>
        <v>1210.6400000001304</v>
      </c>
      <c r="AF4" s="6">
        <f t="shared" si="6"/>
        <v>36952.530000000261</v>
      </c>
    </row>
    <row r="5" spans="1:34" s="32" customFormat="1" x14ac:dyDescent="0.25">
      <c r="A5" s="40" t="s">
        <v>226</v>
      </c>
      <c r="B5" s="84">
        <f>'Energy Readings'!D5</f>
        <v>230.38999999989755</v>
      </c>
      <c r="C5" s="84">
        <f>'Energy Readings'!F5</f>
        <v>211.76000000000931</v>
      </c>
      <c r="D5" s="84">
        <f>'Energy Readings'!H5</f>
        <v>234.29000000003725</v>
      </c>
      <c r="E5" s="84">
        <f>'Energy Readings'!J5</f>
        <v>128.5899999999674</v>
      </c>
      <c r="F5" s="84">
        <f>'Energy Readings'!L5</f>
        <v>256.07000000006519</v>
      </c>
      <c r="G5" s="84">
        <f>'Energy Readings'!N5</f>
        <v>260.86999999999534</v>
      </c>
      <c r="H5" s="84">
        <f>'Energy Readings'!P5</f>
        <v>162.29999999993015</v>
      </c>
      <c r="I5" s="84">
        <f>'Energy Readings'!R5</f>
        <v>244.19000000006054</v>
      </c>
      <c r="J5" s="84">
        <f>'Energy Readings'!T5</f>
        <v>245.20999999996275</v>
      </c>
      <c r="K5" s="84">
        <f>'Energy Readings'!V5</f>
        <v>252.83000000007451</v>
      </c>
      <c r="L5" s="84">
        <f>'Energy Readings'!X5</f>
        <v>238.71999999997206</v>
      </c>
      <c r="M5" s="84">
        <f>'Energy Readings'!Z5</f>
        <v>225.70999999996275</v>
      </c>
      <c r="N5" s="115">
        <f>'Energy Readings'!AB5</f>
        <v>185.72999999998137</v>
      </c>
      <c r="O5" s="84">
        <f>'Energy Readings'!AD5</f>
        <v>216.72000000008848</v>
      </c>
      <c r="P5" s="84">
        <f>'Energy Readings'!AF5</f>
        <v>230.51999999990221</v>
      </c>
      <c r="Q5" s="84">
        <f>'Energy Readings'!AH5</f>
        <v>217.38000000000466</v>
      </c>
      <c r="R5" s="84">
        <f>'Energy Readings'!AJ5</f>
        <v>176.31000000005588</v>
      </c>
      <c r="S5" s="84">
        <f>'Energy Readings'!AL5</f>
        <v>175.44999999995343</v>
      </c>
      <c r="T5" s="84">
        <f>'Energy Readings'!AN5</f>
        <v>243.23999999999069</v>
      </c>
      <c r="U5" s="84">
        <f>'Energy Readings'!AP5</f>
        <v>138.15000000002328</v>
      </c>
      <c r="V5" s="84">
        <f>'Energy Readings'!AR5</f>
        <v>253.40000000002328</v>
      </c>
      <c r="W5" s="84">
        <f>'Energy Readings'!AT5</f>
        <v>219.47999999998137</v>
      </c>
      <c r="X5" s="84">
        <f>'Energy Readings'!AV5</f>
        <v>246.20000000006985</v>
      </c>
      <c r="Y5" s="84">
        <f>'Energy Readings'!AX5</f>
        <v>129.47999999998137</v>
      </c>
      <c r="Z5" s="84">
        <f>'Energy Readings'!AZ5</f>
        <v>163.07999999995809</v>
      </c>
      <c r="AA5" s="84">
        <f>'Energy Readings'!BB5</f>
        <v>206.90000000002328</v>
      </c>
      <c r="AB5" s="84">
        <f>'Energy Readings'!BD5</f>
        <v>184.10999999998603</v>
      </c>
      <c r="AC5" s="84">
        <f>'Energy Readings'!BF5</f>
        <v>177.93999999994412</v>
      </c>
      <c r="AD5" s="84">
        <f>'Energy Readings'!BH5</f>
        <v>226.06000000005588</v>
      </c>
      <c r="AE5" s="6">
        <f>'Energy Readings'!BJ5</f>
        <v>204.07999999995809</v>
      </c>
      <c r="AF5" s="6">
        <f t="shared" si="6"/>
        <v>6285.1599999999162</v>
      </c>
      <c r="AH5" s="32" t="s">
        <v>284</v>
      </c>
    </row>
    <row r="6" spans="1:34" x14ac:dyDescent="0.25">
      <c r="A6" s="4" t="s">
        <v>2</v>
      </c>
      <c r="B6" s="84">
        <f>'Energy Readings'!D6</f>
        <v>35.46999999997206</v>
      </c>
      <c r="C6" s="84">
        <f>'Energy Readings'!F6</f>
        <v>43.820000000065193</v>
      </c>
      <c r="D6" s="84">
        <f>'Energy Readings'!H6</f>
        <v>38.619999999995343</v>
      </c>
      <c r="E6" s="84">
        <f>'Energy Readings'!J6</f>
        <v>39.760000000009313</v>
      </c>
      <c r="F6" s="84">
        <f>'Energy Readings'!L6</f>
        <v>39.429999999934807</v>
      </c>
      <c r="G6" s="84">
        <f>'Energy Readings'!N6</f>
        <v>40.25</v>
      </c>
      <c r="H6" s="84">
        <f>'Energy Readings'!P6</f>
        <v>37.150000000023283</v>
      </c>
      <c r="I6" s="84">
        <f>'Energy Readings'!R6</f>
        <v>40.099999999976717</v>
      </c>
      <c r="J6" s="84">
        <f>'Energy Readings'!T6</f>
        <v>38.550000000046566</v>
      </c>
      <c r="K6" s="84">
        <f>'Energy Readings'!V6</f>
        <v>39.289999999920838</v>
      </c>
      <c r="L6" s="84">
        <f>'Energy Readings'!X6</f>
        <v>39.260000000009313</v>
      </c>
      <c r="M6" s="84">
        <f>'Energy Readings'!Z6</f>
        <v>39.650000000023283</v>
      </c>
      <c r="N6" s="115">
        <f>'Energy Readings'!AB6</f>
        <v>37.489999999990687</v>
      </c>
      <c r="O6" s="84">
        <f>'Energy Readings'!AD6</f>
        <v>40.700000000069849</v>
      </c>
      <c r="P6" s="84">
        <f>'Energy Readings'!AF6</f>
        <v>38.429999999934807</v>
      </c>
      <c r="Q6" s="84">
        <f>'Energy Readings'!AH6</f>
        <v>39.790000000037253</v>
      </c>
      <c r="R6" s="84">
        <f>'Energy Readings'!AJ6</f>
        <v>40.619999999995343</v>
      </c>
      <c r="S6" s="84">
        <f>'Energy Readings'!AL6</f>
        <v>38.900000000023283</v>
      </c>
      <c r="T6" s="84">
        <f>'Energy Readings'!AN6</f>
        <v>42.099999999976717</v>
      </c>
      <c r="U6" s="84">
        <f>'Energy Readings'!AP6</f>
        <v>39.85999999998603</v>
      </c>
      <c r="V6" s="84">
        <f>'Energy Readings'!AR6</f>
        <v>37.089999999967404</v>
      </c>
      <c r="W6" s="84">
        <f>'Energy Readings'!AT6</f>
        <v>36.790000000037253</v>
      </c>
      <c r="X6" s="84">
        <f>'Energy Readings'!AV6</f>
        <v>39.569999999948777</v>
      </c>
      <c r="Y6" s="84">
        <f>'Energy Readings'!AX6</f>
        <v>37.770000000018626</v>
      </c>
      <c r="Z6" s="84">
        <f>'Energy Readings'!AZ6</f>
        <v>37.160000000032596</v>
      </c>
      <c r="AA6" s="84">
        <f>'Energy Readings'!BB6</f>
        <v>37.17000000004191</v>
      </c>
      <c r="AB6" s="84">
        <f>'Energy Readings'!BD6</f>
        <v>36.939999999944121</v>
      </c>
      <c r="AC6" s="84">
        <f>'Energy Readings'!BF6</f>
        <v>36.540000000037253</v>
      </c>
      <c r="AD6" s="84">
        <f>'Energy Readings'!BH6</f>
        <v>58</v>
      </c>
      <c r="AE6" s="6">
        <f>'Energy Readings'!BJ6</f>
        <v>13.429999999934807</v>
      </c>
      <c r="AF6" s="6">
        <f t="shared" si="6"/>
        <v>1159.6999999999534</v>
      </c>
    </row>
    <row r="7" spans="1:34" x14ac:dyDescent="0.25">
      <c r="A7" s="4" t="s">
        <v>3</v>
      </c>
      <c r="B7" s="84">
        <f>'Energy Readings'!D7</f>
        <v>7.4200000000419095</v>
      </c>
      <c r="C7" s="84">
        <f>'Energy Readings'!F7</f>
        <v>2.1499999999650754</v>
      </c>
      <c r="D7" s="84">
        <f>'Energy Readings'!H7</f>
        <v>2.1000000000349246</v>
      </c>
      <c r="E7" s="84">
        <f>'Energy Readings'!J7</f>
        <v>11.059999999997672</v>
      </c>
      <c r="F7" s="84">
        <f>'Energy Readings'!L7</f>
        <v>2.1300000000046566</v>
      </c>
      <c r="G7" s="84">
        <f>'Energy Readings'!N7</f>
        <v>2.1399999999557622</v>
      </c>
      <c r="H7" s="84">
        <f>'Energy Readings'!P7</f>
        <v>50.39000000001397</v>
      </c>
      <c r="I7" s="84">
        <f>'Energy Readings'!R7</f>
        <v>0</v>
      </c>
      <c r="J7" s="84">
        <f>'Energy Readings'!T7</f>
        <v>5.8800000000046566</v>
      </c>
      <c r="K7" s="84">
        <f>'Energy Readings'!V7</f>
        <v>0.10999999998603016</v>
      </c>
      <c r="L7" s="84">
        <f>'Energy Readings'!X7</f>
        <v>0</v>
      </c>
      <c r="M7" s="84">
        <f>'Energy Readings'!Z7</f>
        <v>0</v>
      </c>
      <c r="N7" s="115">
        <f>'Energy Readings'!AB7</f>
        <v>2.0799999999580905</v>
      </c>
      <c r="O7" s="84">
        <f>'Energy Readings'!AD7</f>
        <v>2.1600000000325963</v>
      </c>
      <c r="P7" s="84">
        <f>'Energy Readings'!AF7</f>
        <v>2.0899999999674037</v>
      </c>
      <c r="Q7" s="84">
        <f>'Energy Readings'!AH7</f>
        <v>2.0800000000162981</v>
      </c>
      <c r="R7" s="84">
        <f>'Energy Readings'!AJ7</f>
        <v>1.9500000000116415</v>
      </c>
      <c r="S7" s="84">
        <f>'Energy Readings'!AL7</f>
        <v>2</v>
      </c>
      <c r="T7" s="84">
        <f>'Energy Readings'!AN7</f>
        <v>2.7000000000116415</v>
      </c>
      <c r="U7" s="84">
        <f>'Energy Readings'!AP7</f>
        <v>2.1099999999860302</v>
      </c>
      <c r="V7" s="84">
        <f>'Energy Readings'!AR7</f>
        <v>2.1199999999953434</v>
      </c>
      <c r="W7" s="84">
        <f>'Energy Readings'!AT7</f>
        <v>2.0800000000162981</v>
      </c>
      <c r="X7" s="84">
        <f>'Energy Readings'!AV7</f>
        <v>2.5899999999674037</v>
      </c>
      <c r="Y7" s="84">
        <f>'Energy Readings'!AX7</f>
        <v>2.4300000000512227</v>
      </c>
      <c r="Z7" s="84">
        <f>'Energy Readings'!AZ7</f>
        <v>2.4299999999930151</v>
      </c>
      <c r="AA7" s="84">
        <f>'Energy Readings'!BB7</f>
        <v>2.4599999999627471</v>
      </c>
      <c r="AB7" s="84">
        <f>'Energy Readings'!BD7</f>
        <v>4.2100000000209548</v>
      </c>
      <c r="AC7" s="84">
        <f>'Energy Readings'!BF7</f>
        <v>2.1099999999860302</v>
      </c>
      <c r="AD7" s="84">
        <f>'Energy Readings'!BH7</f>
        <v>2.1000000000349246</v>
      </c>
      <c r="AE7" s="6">
        <f>'Energy Readings'!BJ7</f>
        <v>2.0699999999487773</v>
      </c>
      <c r="AF7" s="6">
        <f t="shared" si="6"/>
        <v>125.14999999996508</v>
      </c>
    </row>
    <row r="8" spans="1:34" ht="16.5" customHeight="1" x14ac:dyDescent="0.3">
      <c r="A8" s="2" t="s">
        <v>4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115">
        <f>'Energy Readings'!AB8</f>
        <v>0</v>
      </c>
      <c r="O8" s="84">
        <f>'Energy Readings'!AD8</f>
        <v>0</v>
      </c>
      <c r="P8" s="84">
        <f>'Energy Readings'!AF8</f>
        <v>0</v>
      </c>
      <c r="Q8" s="84">
        <f>'Energy Readings'!AH8</f>
        <v>0</v>
      </c>
      <c r="R8" s="84">
        <f>'Energy Readings'!AJ8</f>
        <v>0</v>
      </c>
      <c r="S8" s="84">
        <f>'Energy Readings'!AL8</f>
        <v>0</v>
      </c>
      <c r="T8" s="84"/>
      <c r="U8" s="84"/>
      <c r="V8" s="84"/>
      <c r="W8" s="84">
        <f>'Energy Readings'!AT8</f>
        <v>0</v>
      </c>
      <c r="X8" s="84">
        <f>'Energy Readings'!AV8</f>
        <v>0</v>
      </c>
      <c r="Y8" s="84"/>
      <c r="Z8" s="84">
        <f>'Energy Readings'!AZ8</f>
        <v>0</v>
      </c>
      <c r="AA8" s="84"/>
      <c r="AB8" s="84"/>
      <c r="AC8" s="84"/>
      <c r="AD8" s="84">
        <f>'Energy Readings'!BH8</f>
        <v>0</v>
      </c>
      <c r="AE8" s="6">
        <f>'Energy Readings'!BJ8</f>
        <v>0</v>
      </c>
      <c r="AF8" s="6"/>
    </row>
    <row r="9" spans="1:34" x14ac:dyDescent="0.25">
      <c r="A9" s="4" t="s">
        <v>5</v>
      </c>
      <c r="B9" s="84">
        <f>'Energy Readings'!D9</f>
        <v>28075.199999999313</v>
      </c>
      <c r="C9" s="84">
        <f>'Energy Readings'!F9</f>
        <v>11098.399999998946</v>
      </c>
      <c r="D9" s="84">
        <f>'Energy Readings'!H9-300</f>
        <v>22270.400000000518</v>
      </c>
      <c r="E9" s="84">
        <f>'Energy Readings'!J9+200</f>
        <v>28284.000000000742</v>
      </c>
      <c r="F9" s="84">
        <f>'Energy Readings'!L9</f>
        <v>19830.399999998917</v>
      </c>
      <c r="G9" s="84">
        <f>'Energy Readings'!N9+400</f>
        <v>20280.800000000818</v>
      </c>
      <c r="H9" s="84">
        <f>'Energy Readings'!P9</f>
        <v>20495.199999999386</v>
      </c>
      <c r="I9" s="84">
        <f>'Energy Readings'!R9</f>
        <v>20108.000000000175</v>
      </c>
      <c r="J9" s="84">
        <f>'Energy Readings'!T9</f>
        <v>21770.399999999427</v>
      </c>
      <c r="K9" s="84">
        <f>'Energy Readings'!V9</f>
        <v>23491.20000000039</v>
      </c>
      <c r="L9" s="84">
        <f>'Energy Readings'!X9-300</f>
        <v>20506.400000001304</v>
      </c>
      <c r="M9" s="84">
        <f>'Energy Readings'!Z9+877</f>
        <v>21129.799999998388</v>
      </c>
      <c r="N9" s="115">
        <f>'Energy Readings'!AB9</f>
        <v>15836.800000000949</v>
      </c>
      <c r="O9" s="84">
        <f>'Energy Readings'!AD9</f>
        <v>19279.199999999037</v>
      </c>
      <c r="P9" s="84">
        <f>'Energy Readings'!AF9+500</f>
        <v>25923.200000001088</v>
      </c>
      <c r="Q9" s="84">
        <f>'Energy Readings'!AH9+50</f>
        <v>27183.599999999205</v>
      </c>
      <c r="R9" s="84">
        <f>'Energy Readings'!AJ9</f>
        <v>16948.800000000119</v>
      </c>
      <c r="S9" s="84">
        <f>'Energy Readings'!AL9-650</f>
        <v>23386.000000000058</v>
      </c>
      <c r="T9" s="84">
        <f>'Energy Readings'!AN9</f>
        <v>23357.600000001185</v>
      </c>
      <c r="U9" s="84">
        <f>'Energy Readings'!AP9</f>
        <v>18761.599999999817</v>
      </c>
      <c r="V9" s="84">
        <f>'Energy Readings'!AR9+1000</f>
        <v>19945.599999999104</v>
      </c>
      <c r="W9" s="84">
        <f>'Energy Readings'!AT9</f>
        <v>17594.399999999951</v>
      </c>
      <c r="X9" s="84">
        <f>'Energy Readings'!AV9</f>
        <v>0</v>
      </c>
      <c r="Y9" s="84">
        <f>'Energy Readings'!AX9</f>
        <v>13060.600000000704</v>
      </c>
      <c r="Z9" s="84">
        <f>'Energy Readings'!AZ9</f>
        <v>24722.599999999147</v>
      </c>
      <c r="AA9" s="84">
        <f>'Energy Readings'!BB9-150</f>
        <v>25175.600000000122</v>
      </c>
      <c r="AB9" s="84">
        <f>'Energy Readings'!AN9</f>
        <v>23357.600000001185</v>
      </c>
      <c r="AC9" s="84">
        <f>'Energy Readings'!BF9</f>
        <v>21912.800000000061</v>
      </c>
      <c r="AD9" s="84">
        <f>'Energy Readings'!BH9</f>
        <v>28156.000000000859</v>
      </c>
      <c r="AE9" s="6">
        <f>'Energy Readings'!BJ9+1000</f>
        <v>14750.39999999899</v>
      </c>
      <c r="AF9" s="6">
        <f t="shared" ref="AF9:AF19" si="7">SUM(B9:AE9)</f>
        <v>616692.59999999986</v>
      </c>
    </row>
    <row r="10" spans="1:34" x14ac:dyDescent="0.25">
      <c r="A10" s="4" t="s">
        <v>249</v>
      </c>
      <c r="B10" s="84">
        <f>'Energy Readings'!D10</f>
        <v>28114.400000000387</v>
      </c>
      <c r="C10" s="84">
        <f>'Energy Readings'!F10</f>
        <v>12025.60000000085</v>
      </c>
      <c r="D10" s="84">
        <f>'Energy Readings'!H10-300</f>
        <v>21337.60000000002</v>
      </c>
      <c r="E10" s="84">
        <f>'Energy Readings'!J10+200</f>
        <v>28396.799999999712</v>
      </c>
      <c r="F10" s="84">
        <f>'Energy Readings'!L10</f>
        <v>19753.600000000006</v>
      </c>
      <c r="G10" s="84">
        <f>'Energy Readings'!N10+700</f>
        <v>22775.999999999112</v>
      </c>
      <c r="H10" s="84">
        <f>'Energy Readings'!P10</f>
        <v>23890.400000000227</v>
      </c>
      <c r="I10" s="84">
        <f>'Energy Readings'!R10</f>
        <v>24219.200000001365</v>
      </c>
      <c r="J10" s="84">
        <f>'Energy Readings'!T10</f>
        <v>24186.399999998685</v>
      </c>
      <c r="K10" s="84">
        <f>'Energy Readings'!V10</f>
        <v>26332.800000000134</v>
      </c>
      <c r="L10" s="84">
        <f>'Energy Readings'!X10-400</f>
        <v>23315.20000000055</v>
      </c>
      <c r="M10" s="84">
        <f>'Energy Readings'!Z10+1000</f>
        <v>23354.799999999159</v>
      </c>
      <c r="N10" s="115">
        <f>'Energy Readings'!AB10</f>
        <v>18235.599999999977</v>
      </c>
      <c r="O10" s="84">
        <f>'Energy Readings'!AD10</f>
        <v>21919.200000000274</v>
      </c>
      <c r="P10" s="84">
        <f>'Energy Readings'!AF10</f>
        <v>26099.200000000565</v>
      </c>
      <c r="Q10" s="84">
        <f>'Energy Readings'!AH10</f>
        <v>27729.600000000573</v>
      </c>
      <c r="R10" s="84">
        <f>'Energy Readings'!AJ10-200</f>
        <v>19613.599999999497</v>
      </c>
      <c r="S10" s="84">
        <f>'Energy Readings'!AL10</f>
        <v>23507.999999999811</v>
      </c>
      <c r="T10" s="84">
        <f>'Energy Readings'!AN10</f>
        <v>23324.800000000323</v>
      </c>
      <c r="U10" s="84">
        <f>'Energy Readings'!AP10+150</f>
        <v>18689.600000000064</v>
      </c>
      <c r="V10" s="84">
        <f>'Energy Readings'!AR10+1300</f>
        <v>21882.000000000335</v>
      </c>
      <c r="W10" s="84">
        <f>'Energy Readings'!AT10</f>
        <v>18547.199999999066</v>
      </c>
      <c r="X10" s="84">
        <f>'Energy Readings'!AV10</f>
        <v>440.00000000050932</v>
      </c>
      <c r="Y10" s="84">
        <f>'Energy Readings'!AX10</f>
        <v>14293.59999999906</v>
      </c>
      <c r="Z10" s="84">
        <f>'Energy Readings'!AZ10+7800</f>
        <v>25220.9588</v>
      </c>
      <c r="AA10" s="84">
        <f>'Energy Readings'!BB10-950</f>
        <v>25985.493999999999</v>
      </c>
      <c r="AB10" s="84">
        <f>'Energy Readings'!BD10-80</f>
        <v>24511.479999999996</v>
      </c>
      <c r="AC10" s="84">
        <f>'Energy Readings'!BF10</f>
        <v>23791.316000000006</v>
      </c>
      <c r="AD10" s="84">
        <f>'Energy Readings'!BH10</f>
        <v>27341.410000000003</v>
      </c>
      <c r="AE10" s="6">
        <f>'Energy Readings'!BJ10</f>
        <v>12955.979999999996</v>
      </c>
      <c r="AF10" s="6">
        <f t="shared" si="7"/>
        <v>651791.83880000026</v>
      </c>
    </row>
    <row r="11" spans="1:34" s="7" customFormat="1" x14ac:dyDescent="0.25">
      <c r="A11" s="26" t="s">
        <v>6</v>
      </c>
      <c r="B11" s="83">
        <f>'Energy Readings'!D11-B12</f>
        <v>3545.6999999990221</v>
      </c>
      <c r="C11" s="83">
        <f>'Energy Readings'!F11-C12</f>
        <v>4850.740000002319</v>
      </c>
      <c r="D11" s="83">
        <f>'Energy Readings'!H11-D12</f>
        <v>4464.6299999990733</v>
      </c>
      <c r="E11" s="83">
        <f>'Energy Readings'!J11-E12+100</f>
        <v>4840.8700000006938</v>
      </c>
      <c r="F11" s="83">
        <f>'Energy Readings'!L11-F12</f>
        <v>4346.269999999553</v>
      </c>
      <c r="G11" s="83">
        <f>'Energy Readings'!N11-G12</f>
        <v>4168.1800000014482</v>
      </c>
      <c r="H11" s="83">
        <f>'Energy Readings'!P11-H12</f>
        <v>4388.2899999992223</v>
      </c>
      <c r="I11" s="83">
        <f>'Energy Readings'!R11-I12</f>
        <v>4439.4199999996927</v>
      </c>
      <c r="J11" s="83">
        <f>'Energy Readings'!T11-J12</f>
        <v>4490.5800000005402</v>
      </c>
      <c r="K11" s="83">
        <f>'Energy Readings'!V11-K12</f>
        <v>4892.440000000759</v>
      </c>
      <c r="L11" s="83">
        <f>'Energy Readings'!X11-L12</f>
        <v>5439.0199999974575</v>
      </c>
      <c r="M11" s="83">
        <f>'Energy Readings'!Z11-M12</f>
        <v>4819.7199999996228</v>
      </c>
      <c r="N11" s="83">
        <f>'Energy Readings'!AB11-N12</f>
        <v>4049.0699999994831</v>
      </c>
      <c r="O11" s="83">
        <f>'Energy Readings'!AD11-O12</f>
        <v>4204.3800000002375</v>
      </c>
      <c r="P11" s="83">
        <f>'Energy Readings'!AF11-P12</f>
        <v>4606.5600000005215</v>
      </c>
      <c r="Q11" s="83">
        <f>'Energy Readings'!AH11-Q12</f>
        <v>4441.1199999994133</v>
      </c>
      <c r="R11" s="83">
        <f>'Energy Readings'!AJ11-R12</f>
        <v>4209.050000002142</v>
      </c>
      <c r="S11" s="83">
        <f>'Energy Readings'!AL11-S12</f>
        <v>4213.0500000005122</v>
      </c>
      <c r="T11" s="83">
        <f>'Energy Readings'!AN11-T12</f>
        <v>4345.1600000003818</v>
      </c>
      <c r="U11" s="83">
        <f>'Energy Readings'!AP11-U12</f>
        <v>4239.2999999986496</v>
      </c>
      <c r="V11" s="83">
        <f>'Energy Readings'!AR11-V12</f>
        <v>4249.8700000005774</v>
      </c>
      <c r="W11" s="83">
        <f>'Energy Readings'!AT11-W12</f>
        <v>4041.4900000004563</v>
      </c>
      <c r="X11" s="83">
        <f>'Energy Readings'!AV11-X12</f>
        <v>2626.0299999987474</v>
      </c>
      <c r="Y11" s="83">
        <f>'Energy Readings'!AX11-Y12</f>
        <v>3801.0499999996973</v>
      </c>
      <c r="Z11" s="83">
        <f>'Energy Readings'!AZ11-Z12</f>
        <v>4542.9399999994785</v>
      </c>
      <c r="AA11" s="83">
        <f>'Energy Readings'!BB11-AA12</f>
        <v>4537.6400000022259</v>
      </c>
      <c r="AB11" s="83">
        <f>'Energy Readings'!BD11-AB12</f>
        <v>4447.9899999994086</v>
      </c>
      <c r="AC11" s="83">
        <f>'Energy Readings'!BF11-AC12</f>
        <v>4400.0199999987381</v>
      </c>
      <c r="AD11" s="83">
        <f>'Energy Readings'!BH11-AD12</f>
        <v>4577.0700000006473</v>
      </c>
      <c r="AE11" s="83">
        <f>'Energy Readings'!BJ11-AE12</f>
        <v>3438.7799999997951</v>
      </c>
      <c r="AF11" s="6">
        <f t="shared" si="7"/>
        <v>129656.43000000052</v>
      </c>
    </row>
    <row r="12" spans="1:34" s="32" customFormat="1" x14ac:dyDescent="0.25">
      <c r="A12" s="40" t="s">
        <v>129</v>
      </c>
      <c r="B12" s="84">
        <f>'Energy Readings'!D12</f>
        <v>1397.8400000000838</v>
      </c>
      <c r="C12" s="84">
        <f>'Energy Readings'!F12</f>
        <v>556.90999999991618</v>
      </c>
      <c r="D12" s="84">
        <f>'Energy Readings'!H12</f>
        <v>1142.1600000000326</v>
      </c>
      <c r="E12" s="84">
        <f>'Energy Readings'!J12</f>
        <v>1380.4300000000512</v>
      </c>
      <c r="F12" s="84">
        <f>'Energy Readings'!L12</f>
        <v>1135.75</v>
      </c>
      <c r="G12" s="84">
        <f>'Energy Readings'!N12</f>
        <v>1090.0099999998929</v>
      </c>
      <c r="H12" s="84">
        <f>'Energy Readings'!P12</f>
        <v>1294.1600000000326</v>
      </c>
      <c r="I12" s="84">
        <f>'Energy Readings'!R12</f>
        <v>1268.7600000000093</v>
      </c>
      <c r="J12" s="84">
        <f>'Energy Readings'!T12</f>
        <v>1310.0600000000559</v>
      </c>
      <c r="K12" s="84">
        <f>'Energy Readings'!V12</f>
        <v>1410.859999999986</v>
      </c>
      <c r="L12" s="84">
        <f>'Energy Readings'!X12</f>
        <v>1183.7600000000093</v>
      </c>
      <c r="M12" s="84">
        <f>'Energy Readings'!Z12</f>
        <v>1297.5499999999302</v>
      </c>
      <c r="N12" s="115">
        <f>'Energy Readings'!AB12</f>
        <v>1081.2000000000698</v>
      </c>
      <c r="O12" s="84">
        <f>'Energy Readings'!AD12</f>
        <v>1120.7799999999115</v>
      </c>
      <c r="P12" s="84">
        <f>'Energy Readings'!AF12</f>
        <v>1361.8300000000745</v>
      </c>
      <c r="Q12" s="84">
        <f>'Energy Readings'!AH12</f>
        <v>1423.4899999999907</v>
      </c>
      <c r="R12" s="84">
        <f>'Energy Readings'!AJ12</f>
        <v>1022.1899999999441</v>
      </c>
      <c r="S12" s="84">
        <f>'Energy Readings'!AL12</f>
        <v>1198.5900000000838</v>
      </c>
      <c r="T12" s="84">
        <f>'Energy Readings'!AN12</f>
        <v>1205.1599999999162</v>
      </c>
      <c r="U12" s="84">
        <f>'Energy Readings'!AP12</f>
        <v>1033.5100000000093</v>
      </c>
      <c r="V12" s="84">
        <f>'Energy Readings'!AR12</f>
        <v>968.02000000001863</v>
      </c>
      <c r="W12" s="84">
        <f>'Energy Readings'!AT12</f>
        <v>918.98999999999069</v>
      </c>
      <c r="X12" s="84">
        <f>'Energy Readings'!AV12</f>
        <v>203.69000000006054</v>
      </c>
      <c r="Y12" s="84">
        <f>'Energy Readings'!AX12</f>
        <v>666.63000000000466</v>
      </c>
      <c r="Z12" s="84">
        <f>'Energy Readings'!AZ12</f>
        <v>1368.6699999999255</v>
      </c>
      <c r="AA12" s="84">
        <f>'Energy Readings'!BB12</f>
        <v>1432.5100000000093</v>
      </c>
      <c r="AB12" s="84">
        <f>'Energy Readings'!BD12</f>
        <v>1267.8699999999953</v>
      </c>
      <c r="AC12" s="84">
        <f>'Energy Readings'!BF12</f>
        <v>1328.4500000000698</v>
      </c>
      <c r="AD12" s="84">
        <f>'Energy Readings'!BH12</f>
        <v>1372.5699999999488</v>
      </c>
      <c r="AE12" s="6">
        <f>'Energy Readings'!BJ12</f>
        <v>742.81000000005588</v>
      </c>
      <c r="AF12" s="6">
        <f t="shared" si="7"/>
        <v>34185.210000000079</v>
      </c>
    </row>
    <row r="13" spans="1:34" s="7" customFormat="1" ht="45" customHeight="1" x14ac:dyDescent="0.25">
      <c r="A13" s="28" t="s">
        <v>250</v>
      </c>
      <c r="B13" s="85">
        <f>'Energy Readings'!D13-B78-B18</f>
        <v>1330.0200000003615</v>
      </c>
      <c r="C13" s="85">
        <f>'Energy Readings'!F13-C78-C18</f>
        <v>1381.7900000002228</v>
      </c>
      <c r="D13" s="85">
        <f>'Energy Readings'!H13-D78-D18</f>
        <v>1313.8300000014733</v>
      </c>
      <c r="E13" s="85">
        <f>'Energy Readings'!J13-E78-E18</f>
        <v>1318.7399999993577</v>
      </c>
      <c r="F13" s="85">
        <f>'Energy Readings'!L13-F78-F18</f>
        <v>1365.9200000011188</v>
      </c>
      <c r="G13" s="85">
        <f>'Energy Readings'!N13-G78-G18</f>
        <v>1364.3599999974049</v>
      </c>
      <c r="H13" s="85">
        <f>'Energy Readings'!P13-H78-H18</f>
        <v>1333.229999999643</v>
      </c>
      <c r="I13" s="85">
        <f>'Energy Readings'!R13-I78-I18</f>
        <v>1425.450000002822</v>
      </c>
      <c r="J13" s="85">
        <f>'Energy Readings'!T13-J78-J18</f>
        <v>1198.9299999986761</v>
      </c>
      <c r="K13" s="85">
        <f>'Energy Readings'!V13-K78-K18</f>
        <v>1302.4399999998514</v>
      </c>
      <c r="L13" s="85">
        <f>'Energy Readings'!X13-L78-L18</f>
        <v>1293.059999998507</v>
      </c>
      <c r="M13" s="85">
        <f>'Energy Readings'!Z13-M78-M18</f>
        <v>1283.9399999996194</v>
      </c>
      <c r="N13" s="85">
        <f>'Energy Readings'!AB13-N78-N18</f>
        <v>1359.9800000015657</v>
      </c>
      <c r="O13" s="85">
        <f>'Energy Readings'!AD13-O78-O18</f>
        <v>1197.4100000015997</v>
      </c>
      <c r="P13" s="85">
        <f>'Energy Readings'!AF13-P78-P18</f>
        <v>1341.9799999984962</v>
      </c>
      <c r="Q13" s="85">
        <f>'Energy Readings'!AH13-Q78-Q18</f>
        <v>1292.3600000006254</v>
      </c>
      <c r="R13" s="85">
        <f>'Energy Readings'!AJ13-R78-R18</f>
        <v>1226.7899999999354</v>
      </c>
      <c r="S13" s="85">
        <f>'Energy Readings'!AL13-S78-S18</f>
        <v>1387.6399999984651</v>
      </c>
      <c r="T13" s="85">
        <f>'Energy Readings'!AN13-T78-T18</f>
        <v>1442.5800000015624</v>
      </c>
      <c r="U13" s="85">
        <f>'Energy Readings'!AP13-U78-U18</f>
        <v>1366.1700000002156</v>
      </c>
      <c r="V13" s="85">
        <f>'Energy Readings'!AR13-V78-V18</f>
        <v>1355.3799999999374</v>
      </c>
      <c r="W13" s="85">
        <f>'Energy Readings'!AT13-W78-W18</f>
        <v>1365.9399999992229</v>
      </c>
      <c r="X13" s="85">
        <f>'Energy Readings'!AV13-X78-X18</f>
        <v>1377.5700000012848</v>
      </c>
      <c r="Y13" s="85">
        <f>'Energy Readings'!AX13-Y78-Y18</f>
        <v>1345.1700000000192</v>
      </c>
      <c r="Z13" s="85">
        <f>'Energy Readings'!AZ13-Z78</f>
        <v>2806.5300000000925</v>
      </c>
      <c r="AA13" s="85">
        <f>'Energy Readings'!BB13-AA78-150</f>
        <v>2910.0599999998531</v>
      </c>
      <c r="AB13" s="85">
        <f>'Energy Readings'!BD13-AB78-AB18</f>
        <v>1336.9699999994791</v>
      </c>
      <c r="AC13" s="85">
        <f>'Energy Readings'!BF13-AC78-AC18</f>
        <v>1354.1300000012425</v>
      </c>
      <c r="AD13" s="85">
        <f>'Energy Readings'!BH13-AD78-AD18</f>
        <v>1741.5299999973067</v>
      </c>
      <c r="AE13" s="85">
        <f>'Energy Readings'!BJ13-AE78-AE18</f>
        <v>583.55000000365089</v>
      </c>
      <c r="AF13" s="6">
        <f t="shared" si="7"/>
        <v>42703.450000003606</v>
      </c>
    </row>
    <row r="14" spans="1:34" x14ac:dyDescent="0.25">
      <c r="A14" s="10" t="s">
        <v>248</v>
      </c>
      <c r="B14" s="6">
        <f>'Energy Readings'!D14</f>
        <v>5024.8000000000275</v>
      </c>
      <c r="C14" s="6">
        <f>'Energy Readings'!F14</f>
        <v>6016.9200000000274</v>
      </c>
      <c r="D14" s="6">
        <f>'Energy Readings'!H14</f>
        <v>4418.7200000000075</v>
      </c>
      <c r="E14" s="6">
        <f>'Energy Readings'!J14</f>
        <v>4769.839999999931</v>
      </c>
      <c r="F14" s="6">
        <f>'Energy Readings'!L14</f>
        <v>5304.1600000000244</v>
      </c>
      <c r="G14" s="6">
        <f>'Energy Readings'!N14</f>
        <v>5135.6399999999667</v>
      </c>
      <c r="H14" s="6">
        <f>'Energy Readings'!P14</f>
        <v>5199.2800000000443</v>
      </c>
      <c r="I14" s="6">
        <f>'Energy Readings'!R14</f>
        <v>5201.6800000000103</v>
      </c>
      <c r="J14" s="6">
        <f>'Energy Readings'!T14</f>
        <v>5047.7200000000266</v>
      </c>
      <c r="K14" s="6">
        <f>'Energy Readings'!V14</f>
        <v>4713.8799999999037</v>
      </c>
      <c r="L14" s="6">
        <f>'Energy Readings'!X14</f>
        <v>5000.2400000000762</v>
      </c>
      <c r="M14" s="6">
        <f>'Energy Readings'!Z14</f>
        <v>5274.8000000000275</v>
      </c>
      <c r="N14" s="114">
        <f>'Energy Readings'!AB14</f>
        <v>5351.799999999912</v>
      </c>
      <c r="O14" s="6">
        <f>'Energy Readings'!AD14</f>
        <v>5085.1200000000745</v>
      </c>
      <c r="P14" s="6">
        <f>'Energy Readings'!AF14</f>
        <v>4658.7599999999156</v>
      </c>
      <c r="Q14" s="6">
        <f>'Energy Readings'!AH14</f>
        <v>4602.4000000001024</v>
      </c>
      <c r="R14" s="6">
        <f>'Energy Readings'!AJ14</f>
        <v>5257.6799999999366</v>
      </c>
      <c r="S14" s="6">
        <f>'Energy Readings'!AL14</f>
        <v>4826.4400000000478</v>
      </c>
      <c r="T14" s="6">
        <f>'Energy Readings'!AN14</f>
        <v>4757.9599999999118</v>
      </c>
      <c r="U14" s="6">
        <f>'Energy Readings'!AP14</f>
        <v>5442.8800000000592</v>
      </c>
      <c r="V14" s="6">
        <f>'Energy Readings'!AR14</f>
        <v>4010.5599999999413</v>
      </c>
      <c r="W14" s="6">
        <f>'Energy Readings'!AT14</f>
        <v>4524.4800000000396</v>
      </c>
      <c r="X14" s="6">
        <f>'Energy Readings'!AV14</f>
        <v>1041.9200000000046</v>
      </c>
      <c r="Y14" s="6">
        <f>'Energy Readings'!AX14</f>
        <v>2951.279999999997</v>
      </c>
      <c r="Z14" s="6">
        <f>'Energy Readings'!AZ14</f>
        <v>4587.8000000000156</v>
      </c>
      <c r="AA14" s="6">
        <f>'Energy Readings'!BB14</f>
        <v>4016.840000000002</v>
      </c>
      <c r="AB14" s="6">
        <f>'Energy Readings'!BD14</f>
        <v>4647.0399999999472</v>
      </c>
      <c r="AC14" s="6">
        <f>'Energy Readings'!BF14</f>
        <v>4564.2400000000407</v>
      </c>
      <c r="AD14" s="6">
        <f>'Energy Readings'!BH14</f>
        <v>4446.8799999999646</v>
      </c>
      <c r="AE14" s="6">
        <f>'Energy Readings'!BJ14</f>
        <v>2668.7200000000075</v>
      </c>
      <c r="AF14" s="6">
        <f t="shared" si="7"/>
        <v>138550.47999999998</v>
      </c>
    </row>
    <row r="15" spans="1:34" s="32" customFormat="1" x14ac:dyDescent="0.25">
      <c r="A15" s="47" t="s">
        <v>38</v>
      </c>
      <c r="B15" s="6">
        <f>'Energy Readings'!D15</f>
        <v>4337.3799999998882</v>
      </c>
      <c r="C15" s="6">
        <f>'Energy Readings'!F15</f>
        <v>4426.6100000003353</v>
      </c>
      <c r="D15" s="6">
        <f>'Energy Readings'!H15-250</f>
        <v>4090.0599999995902</v>
      </c>
      <c r="E15" s="6">
        <f>'Energy Readings'!J15</f>
        <v>4256.9900000002235</v>
      </c>
      <c r="F15" s="6">
        <f>'Energy Readings'!L15</f>
        <v>4401.410000000149</v>
      </c>
      <c r="G15" s="6">
        <f>'Energy Readings'!N15</f>
        <v>4348.910000000149</v>
      </c>
      <c r="H15" s="6">
        <f>'Energy Readings'!P15</f>
        <v>4381.179999999702</v>
      </c>
      <c r="I15" s="6">
        <f>'Energy Readings'!R15-500</f>
        <v>3984.5599999995902</v>
      </c>
      <c r="J15" s="6">
        <f>'Energy Readings'!T15</f>
        <v>4311.1300000008196</v>
      </c>
      <c r="K15" s="6">
        <f>'Energy Readings'!V15</f>
        <v>4392.5499999998137</v>
      </c>
      <c r="L15" s="6">
        <f>'Energy Readings'!X15</f>
        <v>4427.5</v>
      </c>
      <c r="M15" s="6">
        <f>'Energy Readings'!Z15</f>
        <v>4330.519999999553</v>
      </c>
      <c r="N15" s="114">
        <f>'Energy Readings'!AB15</f>
        <v>4343.2700000004843</v>
      </c>
      <c r="O15" s="6">
        <f>'Energy Readings'!AD15-500</f>
        <v>3951.4199999999255</v>
      </c>
      <c r="P15" s="6">
        <f>'Energy Readings'!AF15</f>
        <v>4362.9799999995157</v>
      </c>
      <c r="Q15" s="6">
        <f>'Energy Readings'!AH15</f>
        <v>4340.8500000005588</v>
      </c>
      <c r="R15" s="6">
        <f>'Energy Readings'!AJ15</f>
        <v>4439.609999999404</v>
      </c>
      <c r="S15" s="6">
        <f>'Energy Readings'!AL15</f>
        <v>4425.640000000596</v>
      </c>
      <c r="T15" s="6">
        <f>'Energy Readings'!AN15</f>
        <v>4457.5299999993294</v>
      </c>
      <c r="U15" s="6">
        <f>'Energy Readings'!AP15</f>
        <v>4390.9700000006706</v>
      </c>
      <c r="V15" s="6">
        <f>'Energy Readings'!AR15</f>
        <v>4409.910000000149</v>
      </c>
      <c r="W15" s="6">
        <f>'Energy Readings'!AT15</f>
        <v>4460.7900000000373</v>
      </c>
      <c r="X15" s="6">
        <f>'Energy Readings'!AV15</f>
        <v>4567.4599999999627</v>
      </c>
      <c r="Y15" s="6">
        <f>'Energy Readings'!AX15</f>
        <v>4482.6199999991804</v>
      </c>
      <c r="Z15" s="6">
        <f>'Energy Readings'!AZ15</f>
        <v>4420.6100000003353</v>
      </c>
      <c r="AA15" s="6">
        <f>'Energy Readings'!BB15</f>
        <v>4419.160000000149</v>
      </c>
      <c r="AB15" s="6">
        <f>'Energy Readings'!BD15</f>
        <v>4455.0099999997765</v>
      </c>
      <c r="AC15" s="6">
        <f>'Energy Readings'!BF15</f>
        <v>4427.9000000003725</v>
      </c>
      <c r="AD15" s="6">
        <f>'Energy Readings'!BH15-1480</f>
        <v>4400.2099999999627</v>
      </c>
      <c r="AE15" s="6">
        <f>'Energy Readings'!BJ15+1000</f>
        <v>3574.769999999553</v>
      </c>
      <c r="AF15" s="6">
        <f t="shared" si="7"/>
        <v>130019.50999999978</v>
      </c>
    </row>
    <row r="16" spans="1:34" x14ac:dyDescent="0.25">
      <c r="A16" s="10" t="s">
        <v>3</v>
      </c>
      <c r="B16" s="6">
        <f>'Energy Readings'!D16</f>
        <v>162</v>
      </c>
      <c r="C16" s="6">
        <f>'Energy Readings'!F16</f>
        <v>124</v>
      </c>
      <c r="D16" s="6">
        <f>'Energy Readings'!H16</f>
        <v>162</v>
      </c>
      <c r="E16" s="6">
        <f>'Energy Readings'!J16</f>
        <v>142</v>
      </c>
      <c r="F16" s="6">
        <f>'Energy Readings'!L16</f>
        <v>121</v>
      </c>
      <c r="G16" s="6">
        <f>'Energy Readings'!N16</f>
        <v>121</v>
      </c>
      <c r="H16" s="6">
        <f>'Energy Readings'!P16</f>
        <v>142</v>
      </c>
      <c r="I16" s="6">
        <f>'Energy Readings'!R16</f>
        <v>142</v>
      </c>
      <c r="J16" s="6">
        <f>'Energy Readings'!T16</f>
        <v>121</v>
      </c>
      <c r="K16" s="6">
        <f>'Energy Readings'!V16</f>
        <v>121</v>
      </c>
      <c r="L16" s="6">
        <f>'Energy Readings'!X16</f>
        <v>121</v>
      </c>
      <c r="M16" s="6">
        <f>'Energy Readings'!Z16</f>
        <v>121</v>
      </c>
      <c r="N16" s="114">
        <f>'Energy Readings'!AB16</f>
        <v>121</v>
      </c>
      <c r="O16" s="6">
        <f>'Energy Readings'!AD16</f>
        <v>121</v>
      </c>
      <c r="P16" s="6">
        <f>'Energy Readings'!AF16</f>
        <v>121</v>
      </c>
      <c r="Q16" s="6">
        <f>'Energy Readings'!AH16</f>
        <v>121</v>
      </c>
      <c r="R16" s="6">
        <f>'Energy Readings'!AJ16</f>
        <v>121</v>
      </c>
      <c r="S16" s="6">
        <f>'Energy Readings'!AL16</f>
        <v>121</v>
      </c>
      <c r="T16" s="6">
        <f>'Energy Readings'!AN16</f>
        <v>121</v>
      </c>
      <c r="U16" s="6">
        <f>'Energy Readings'!AP16</f>
        <v>121</v>
      </c>
      <c r="V16" s="6">
        <f>'Energy Readings'!AR16</f>
        <v>121</v>
      </c>
      <c r="W16" s="6">
        <f>'Energy Readings'!AT16</f>
        <v>121</v>
      </c>
      <c r="X16" s="6">
        <f>'Energy Readings'!AV16</f>
        <v>236</v>
      </c>
      <c r="Y16" s="6">
        <f>'Energy Readings'!AX16</f>
        <v>340</v>
      </c>
      <c r="Z16" s="6">
        <f>'Energy Readings'!AZ16</f>
        <v>254</v>
      </c>
      <c r="AA16" s="6">
        <f>'Energy Readings'!BB16</f>
        <v>312</v>
      </c>
      <c r="AB16" s="6">
        <f>'Energy Readings'!BD16</f>
        <v>328.9</v>
      </c>
      <c r="AC16" s="6">
        <f>'Energy Readings'!BF16</f>
        <v>322.60000000000002</v>
      </c>
      <c r="AD16" s="6">
        <f>'Energy Readings'!BH16</f>
        <v>289.2</v>
      </c>
      <c r="AE16" s="6">
        <f>'Energy Readings'!BJ16</f>
        <v>315</v>
      </c>
      <c r="AF16" s="6">
        <f t="shared" si="7"/>
        <v>5207.7</v>
      </c>
    </row>
    <row r="17" spans="1:32" x14ac:dyDescent="0.25">
      <c r="A17" s="10" t="s">
        <v>265</v>
      </c>
      <c r="B17" s="6">
        <f>'Energy Readings'!D17</f>
        <v>6730.8000000000447</v>
      </c>
      <c r="C17" s="6">
        <v>4300</v>
      </c>
      <c r="D17" s="6">
        <f>'Energy Readings'!H17</f>
        <v>4921.8999999998232</v>
      </c>
      <c r="E17" s="6">
        <f>'Energy Readings'!J17</f>
        <v>6187.900000000127</v>
      </c>
      <c r="F17" s="6">
        <f>'Energy Readings'!L17</f>
        <v>5149.0999999998621</v>
      </c>
      <c r="G17" s="6">
        <f>'Energy Readings'!N17</f>
        <v>4752.5000000000546</v>
      </c>
      <c r="H17" s="6">
        <f>'Energy Readings'!P17</f>
        <v>3952.199999999948</v>
      </c>
      <c r="I17" s="6">
        <f>'Energy Readings'!R17</f>
        <v>5360.6000000002041</v>
      </c>
      <c r="J17" s="6">
        <f>'Energy Readings'!T17</f>
        <v>6143.2999999999538</v>
      </c>
      <c r="K17" s="6">
        <f>'Energy Readings'!V17</f>
        <v>5303.7999999999101</v>
      </c>
      <c r="L17" s="6">
        <f>'Energy Readings'!X17</f>
        <v>5185.6000000000222</v>
      </c>
      <c r="M17" s="6">
        <f>'Energy Readings'!Z17</f>
        <v>5651.4999999999418</v>
      </c>
      <c r="N17" s="114">
        <f>'Energy Readings'!AB17</f>
        <v>5281.1000000001513</v>
      </c>
      <c r="O17" s="6">
        <f>'Energy Readings'!AD17</f>
        <v>5927.9999999998836</v>
      </c>
      <c r="P17" s="6">
        <f>'Energy Readings'!AF17</f>
        <v>2666.4000000000669</v>
      </c>
      <c r="Q17" s="6">
        <f>'Energy Readings'!AH17</f>
        <v>0</v>
      </c>
      <c r="R17" s="6">
        <f>'Energy Readings'!AJ17</f>
        <v>0</v>
      </c>
      <c r="S17" s="6">
        <f>'Energy Readings'!AL17</f>
        <v>0</v>
      </c>
      <c r="T17" s="6">
        <f>'Energy Readings'!AN17</f>
        <v>0</v>
      </c>
      <c r="U17" s="6">
        <f>'Energy Readings'!AP17</f>
        <v>0</v>
      </c>
      <c r="V17" s="6">
        <f>'Energy Readings'!AR17</f>
        <v>0</v>
      </c>
      <c r="W17" s="6">
        <f>'Energy Readings'!AT17</f>
        <v>0</v>
      </c>
      <c r="X17" s="6">
        <f>'Energy Readings'!AV17</f>
        <v>0</v>
      </c>
      <c r="Y17" s="6">
        <f>'Energy Readings'!AX17</f>
        <v>0</v>
      </c>
      <c r="Z17" s="6">
        <f>'Energy Readings'!AZ17</f>
        <v>5928.899999999885</v>
      </c>
      <c r="AA17" s="6">
        <f>'Energy Readings'!BB17</f>
        <v>6617.9000000001906</v>
      </c>
      <c r="AB17" s="6">
        <f>'Energy Readings'!BD17</f>
        <v>6799.5999999998276</v>
      </c>
      <c r="AC17" s="6">
        <f>'Energy Readings'!BF17</f>
        <v>6115.9999999999854</v>
      </c>
      <c r="AD17" s="6">
        <f>'Energy Readings'!BH17</f>
        <v>6695.6000000000131</v>
      </c>
      <c r="AE17" s="6">
        <f>'Energy Readings'!BJ17</f>
        <v>2845.5000000001291</v>
      </c>
      <c r="AF17" s="6">
        <f t="shared" si="7"/>
        <v>112518.20000000006</v>
      </c>
    </row>
    <row r="18" spans="1:32" x14ac:dyDescent="0.25">
      <c r="A18" s="10" t="s">
        <v>266</v>
      </c>
      <c r="B18" s="6">
        <f>'Energy Readings'!D18</f>
        <v>1639.519999999553</v>
      </c>
      <c r="C18" s="6">
        <f>'Energy Readings'!F18</f>
        <v>1549.429999999702</v>
      </c>
      <c r="D18" s="6">
        <f>'Energy Readings'!H18</f>
        <v>1341.8999999985099</v>
      </c>
      <c r="E18" s="6">
        <f>'Energy Readings'!J18</f>
        <v>1512.3000000007451</v>
      </c>
      <c r="F18" s="6">
        <f>'Energy Readings'!L18</f>
        <v>1593.1299999989569</v>
      </c>
      <c r="G18" s="6">
        <f>'Energy Readings'!N18</f>
        <v>1402.3100000023842</v>
      </c>
      <c r="H18" s="6">
        <f>'Energy Readings'!P18</f>
        <v>1058.480000000447</v>
      </c>
      <c r="I18" s="6">
        <f>'Energy Readings'!R18</f>
        <v>1566.8699999973178</v>
      </c>
      <c r="J18" s="6">
        <f>'Energy Readings'!T18</f>
        <v>1696.7800000011921</v>
      </c>
      <c r="K18" s="6">
        <f>'Energy Readings'!V18</f>
        <v>1602.320000000298</v>
      </c>
      <c r="L18" s="6">
        <f>'Energy Readings'!X18</f>
        <v>1599.6000000014901</v>
      </c>
      <c r="M18" s="6">
        <f>'Energy Readings'!Z18</f>
        <v>1564.570000000298</v>
      </c>
      <c r="N18" s="114">
        <f>'Energy Readings'!AB18</f>
        <v>1479.8999999985099</v>
      </c>
      <c r="O18" s="6">
        <f>'Energy Readings'!AD18</f>
        <v>1516.5799999982119</v>
      </c>
      <c r="P18" s="6">
        <f>'Energy Readings'!AF18</f>
        <v>718.76000000163913</v>
      </c>
      <c r="Q18" s="6">
        <f>'Energy Readings'!AH18</f>
        <v>2.4499999992549419</v>
      </c>
      <c r="R18" s="6">
        <f>'Energy Readings'!AJ18</f>
        <v>0</v>
      </c>
      <c r="S18" s="6">
        <f>'Energy Readings'!AL18</f>
        <v>5.0100000016391277</v>
      </c>
      <c r="T18" s="6">
        <f>'Energy Readings'!AN18</f>
        <v>-1.0000001639127731E-2</v>
      </c>
      <c r="U18" s="6">
        <f>'Energy Readings'!AP18</f>
        <v>0</v>
      </c>
      <c r="V18" s="6">
        <f>'Energy Readings'!AR18</f>
        <v>0</v>
      </c>
      <c r="W18" s="6">
        <f>'Energy Readings'!AT18</f>
        <v>10.300000000745058</v>
      </c>
      <c r="X18" s="6">
        <f>'Energy Readings'!AV18</f>
        <v>2.5599999986588955</v>
      </c>
      <c r="Y18" s="6">
        <f>'Energy Readings'!AX18</f>
        <v>0</v>
      </c>
      <c r="Z18" s="6">
        <f>'Energy Readings'!AZ18</f>
        <v>1278</v>
      </c>
      <c r="AA18" s="6">
        <f>'Energy Readings'!BB18</f>
        <v>1676.019999999553</v>
      </c>
      <c r="AB18" s="6">
        <f>'Energy Readings'!BD18</f>
        <v>1619.480000000447</v>
      </c>
      <c r="AC18" s="6">
        <f>'Energy Readings'!BF18</f>
        <v>1435.4699999988079</v>
      </c>
      <c r="AD18" s="6">
        <f>'Energy Readings'!BH18</f>
        <v>1607.3800000026822</v>
      </c>
      <c r="AE18" s="6">
        <f>'Energy Readings'!BJ18</f>
        <v>636.65999999642372</v>
      </c>
      <c r="AF18" s="6">
        <f t="shared" si="7"/>
        <v>30115.769999995828</v>
      </c>
    </row>
    <row r="19" spans="1:32" x14ac:dyDescent="0.25">
      <c r="A19" s="10" t="s">
        <v>279</v>
      </c>
      <c r="B19" s="6">
        <v>112</v>
      </c>
      <c r="C19" s="6">
        <f>'Energy Readings'!F19</f>
        <v>814.9</v>
      </c>
      <c r="D19" s="6">
        <v>920</v>
      </c>
      <c r="E19" s="6">
        <f>'Energy Readings'!J19</f>
        <v>1250</v>
      </c>
      <c r="F19" s="6">
        <f>'Energy Readings'!L19</f>
        <v>1064</v>
      </c>
      <c r="G19" s="6">
        <f>'Energy Readings'!N19</f>
        <v>822.6</v>
      </c>
      <c r="H19" s="6">
        <f>'Energy Readings'!P19</f>
        <v>905</v>
      </c>
      <c r="I19" s="6">
        <f>'Energy Readings'!R19</f>
        <v>835</v>
      </c>
      <c r="J19" s="6">
        <f>'Energy Readings'!T19</f>
        <v>1008.9</v>
      </c>
      <c r="K19" s="6">
        <f>'Energy Readings'!V19</f>
        <v>986.8</v>
      </c>
      <c r="L19" s="6">
        <f>'Energy Readings'!X19</f>
        <v>854</v>
      </c>
      <c r="M19" s="6">
        <f>'Energy Readings'!Z19</f>
        <v>910.6</v>
      </c>
      <c r="N19" s="114">
        <f>'Energy Readings'!AB19</f>
        <v>869.5</v>
      </c>
      <c r="O19" s="6">
        <f>'Energy Readings'!AD19</f>
        <v>895</v>
      </c>
      <c r="P19" s="6">
        <f>'Energy Readings'!AF19</f>
        <v>456</v>
      </c>
      <c r="Q19" s="6">
        <f>'Energy Readings'!AH19</f>
        <v>821</v>
      </c>
      <c r="R19" s="6">
        <f>'Energy Readings'!AJ19</f>
        <v>521</v>
      </c>
      <c r="S19" s="6">
        <f>'Energy Readings'!AL19</f>
        <v>120</v>
      </c>
      <c r="T19" s="6">
        <f>'Energy Readings'!AN19</f>
        <v>54</v>
      </c>
      <c r="U19" s="6">
        <f>'Energy Readings'!AP19</f>
        <v>66</v>
      </c>
      <c r="V19" s="6">
        <f>'Energy Readings'!AR19</f>
        <v>88</v>
      </c>
      <c r="W19" s="6">
        <f>'Energy Readings'!AT19</f>
        <v>345</v>
      </c>
      <c r="X19" s="6">
        <f>'Energy Readings'!AV19</f>
        <v>622</v>
      </c>
      <c r="Y19" s="6">
        <f>'Energy Readings'!AX19</f>
        <v>78</v>
      </c>
      <c r="Z19" s="6">
        <f>'Energy Readings'!AZ19</f>
        <v>822</v>
      </c>
      <c r="AA19" s="6">
        <f>'Energy Readings'!BB19</f>
        <v>655</v>
      </c>
      <c r="AB19" s="6">
        <f>'Energy Readings'!BD19</f>
        <v>232</v>
      </c>
      <c r="AC19" s="6">
        <f>'Energy Readings'!BF19</f>
        <v>68</v>
      </c>
      <c r="AD19" s="6">
        <f>'Energy Readings'!BH19</f>
        <v>35</v>
      </c>
      <c r="AE19" s="6">
        <f>'Energy Readings'!BJ19</f>
        <v>122</v>
      </c>
      <c r="AF19" s="6">
        <f t="shared" si="7"/>
        <v>17353.3</v>
      </c>
    </row>
    <row r="20" spans="1:32" ht="17.25" customHeight="1" x14ac:dyDescent="0.3">
      <c r="A20" s="2" t="s">
        <v>7</v>
      </c>
      <c r="B20" s="6"/>
      <c r="C20" s="6"/>
      <c r="D20" s="6"/>
      <c r="E20" s="6"/>
      <c r="F20" s="6"/>
      <c r="G20" s="6"/>
      <c r="H20" s="6"/>
      <c r="I20" s="6"/>
      <c r="J20" s="6"/>
      <c r="K20" s="6">
        <f>'Energy Readings'!V20</f>
        <v>0</v>
      </c>
      <c r="L20" s="6"/>
      <c r="M20" s="6"/>
      <c r="N20" s="114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>
        <f>'Energy Readings'!AZ20</f>
        <v>0</v>
      </c>
      <c r="AA20" s="6"/>
      <c r="AB20" s="6">
        <f>'Energy Readings'!BD20</f>
        <v>0</v>
      </c>
      <c r="AC20" s="6">
        <f>'Energy Readings'!BF20</f>
        <v>0</v>
      </c>
      <c r="AD20" s="6">
        <f>'Energy Readings'!BH20</f>
        <v>0</v>
      </c>
      <c r="AE20" s="6">
        <f>'Energy Readings'!BJ20</f>
        <v>0</v>
      </c>
      <c r="AF20" s="6"/>
    </row>
    <row r="21" spans="1:32" x14ac:dyDescent="0.25">
      <c r="A21" s="4" t="s">
        <v>8</v>
      </c>
      <c r="B21" s="6">
        <f>'Energy Readings'!D21</f>
        <v>9039.0000000002146</v>
      </c>
      <c r="C21" s="6">
        <f>'Energy Readings'!F21-79</f>
        <v>8531.0000000001273</v>
      </c>
      <c r="D21" s="6">
        <f>'Energy Readings'!H21</f>
        <v>6689.9999999995998</v>
      </c>
      <c r="E21" s="6">
        <f>'Energy Readings'!J21+200</f>
        <v>9228.0000000002474</v>
      </c>
      <c r="F21" s="6">
        <f>'Energy Readings'!L21</f>
        <v>8434.9999999999454</v>
      </c>
      <c r="G21" s="6">
        <f>'Energy Readings'!N21</f>
        <v>8019.9999999999818</v>
      </c>
      <c r="H21" s="6">
        <f>'Energy Readings'!P21</f>
        <v>7382.9999999998108</v>
      </c>
      <c r="I21" s="6">
        <f>'Energy Readings'!R21-500</f>
        <v>7500</v>
      </c>
      <c r="J21" s="6">
        <f>'Energy Readings'!T21</f>
        <v>7659.0000000001055</v>
      </c>
      <c r="K21" s="6">
        <f>'Energy Readings'!V21</f>
        <v>8936.0000000001492</v>
      </c>
      <c r="L21" s="6">
        <f>'Energy Readings'!X21</f>
        <v>7300.9999999999309</v>
      </c>
      <c r="M21" s="6">
        <f>'Energy Readings'!Z21</f>
        <v>8206.000000000131</v>
      </c>
      <c r="N21" s="114">
        <f>'Energy Readings'!AB21</f>
        <v>7801.9999999996799</v>
      </c>
      <c r="O21" s="6">
        <f>'Energy Readings'!AD21</f>
        <v>7805.000000000291</v>
      </c>
      <c r="P21" s="6">
        <f>'Energy Readings'!AF21</f>
        <v>7873.0000000000473</v>
      </c>
      <c r="Q21" s="6">
        <f>'Energy Readings'!AH21</f>
        <v>8574.0000000000691</v>
      </c>
      <c r="R21" s="6">
        <f>'Energy Readings'!AJ21</f>
        <v>8541.9999999999163</v>
      </c>
      <c r="S21" s="6">
        <f>'Energy Readings'!AL21</f>
        <v>8012.99999999992</v>
      </c>
      <c r="T21" s="6">
        <f>'Energy Readings'!AN21</f>
        <v>7876.9999999999527</v>
      </c>
      <c r="U21" s="6">
        <f>'Energy Readings'!AP21</f>
        <v>7802.9999999998836</v>
      </c>
      <c r="V21" s="6">
        <f>'Energy Readings'!AR21</f>
        <v>6356.0000000002219</v>
      </c>
      <c r="W21" s="6">
        <f>'Energy Readings'!AT21</f>
        <v>6067.0000000000073</v>
      </c>
      <c r="X21" s="6">
        <f>'Energy Readings'!AV21</f>
        <v>751.99999999995271</v>
      </c>
      <c r="Y21" s="6">
        <f>'Energy Readings'!AX21</f>
        <v>4581.000000000131</v>
      </c>
      <c r="Z21" s="6">
        <f>'Energy Readings'!AZ21</f>
        <v>8943.99999999996</v>
      </c>
      <c r="AA21" s="6">
        <f>'Energy Readings'!BB21-300</f>
        <v>7631.999999999789</v>
      </c>
      <c r="AB21" s="6">
        <f>'Energy Readings'!BD21</f>
        <v>8570.9999999999127</v>
      </c>
      <c r="AC21" s="6">
        <f>'Energy Readings'!BF21</f>
        <v>7865.0000000002365</v>
      </c>
      <c r="AD21" s="6">
        <f>'Energy Readings'!BH21</f>
        <v>7467.9999999998472</v>
      </c>
      <c r="AE21" s="6">
        <f>'Energy Readings'!BJ21+500</f>
        <v>4989.0000000000327</v>
      </c>
      <c r="AF21" s="6">
        <f t="shared" ref="AF21:AF28" si="8">SUM(B21:AE21)</f>
        <v>224442.00000000009</v>
      </c>
    </row>
    <row r="22" spans="1:32" x14ac:dyDescent="0.25">
      <c r="A22" s="4" t="s">
        <v>278</v>
      </c>
      <c r="B22" s="6">
        <f>'Energy Readings'!D22</f>
        <v>768</v>
      </c>
      <c r="C22" s="6">
        <f>'Energy Readings'!F22</f>
        <v>769</v>
      </c>
      <c r="D22" s="6">
        <f>'Energy Readings'!H22</f>
        <v>767</v>
      </c>
      <c r="E22" s="6">
        <f>'Energy Readings'!J22+200</f>
        <v>969</v>
      </c>
      <c r="F22" s="6">
        <f>'Energy Readings'!L22</f>
        <v>640</v>
      </c>
      <c r="G22" s="6">
        <f>'Energy Readings'!N22</f>
        <v>768</v>
      </c>
      <c r="H22" s="6">
        <f>'Energy Readings'!P22</f>
        <v>767</v>
      </c>
      <c r="I22" s="6">
        <f>'Energy Readings'!R22</f>
        <v>768</v>
      </c>
      <c r="J22" s="6">
        <f>'Energy Readings'!T22</f>
        <v>641</v>
      </c>
      <c r="K22" s="6">
        <f>'Energy Readings'!V22</f>
        <v>767</v>
      </c>
      <c r="L22" s="6">
        <f>'Energy Readings'!X22</f>
        <v>769</v>
      </c>
      <c r="M22" s="6">
        <f>'Energy Readings'!Z22</f>
        <v>768</v>
      </c>
      <c r="N22" s="114">
        <f>'Energy Readings'!AB22</f>
        <v>767</v>
      </c>
      <c r="O22" s="6">
        <f>'Energy Readings'!AD22</f>
        <v>769</v>
      </c>
      <c r="P22" s="6">
        <f>'Energy Readings'!AF22</f>
        <v>767</v>
      </c>
      <c r="Q22" s="6">
        <f>'Energy Readings'!AH22</f>
        <v>769</v>
      </c>
      <c r="R22" s="6">
        <f>'Energy Readings'!AJ22</f>
        <v>768</v>
      </c>
      <c r="S22" s="6">
        <f>'Energy Readings'!AL22</f>
        <v>768</v>
      </c>
      <c r="T22" s="6">
        <f>'Energy Readings'!AN22</f>
        <v>639</v>
      </c>
      <c r="U22" s="6">
        <f>'Energy Readings'!AP22</f>
        <v>769</v>
      </c>
      <c r="V22" s="6">
        <f>'Energy Readings'!AR22</f>
        <v>639</v>
      </c>
      <c r="W22" s="6">
        <f>'Energy Readings'!AT22</f>
        <v>640</v>
      </c>
      <c r="X22" s="6">
        <f>'Energy Readings'!AV22</f>
        <v>257</v>
      </c>
      <c r="Y22" s="6">
        <f>'Energy Readings'!AX22</f>
        <v>512</v>
      </c>
      <c r="Z22" s="6">
        <f>'Energy Readings'!AZ22</f>
        <v>768</v>
      </c>
      <c r="AA22" s="6">
        <f>'Energy Readings'!BB22+10</f>
        <v>778</v>
      </c>
      <c r="AB22" s="6">
        <f>'Energy Readings'!BD22</f>
        <v>768</v>
      </c>
      <c r="AC22" s="6">
        <f>'Energy Readings'!BF22</f>
        <v>639</v>
      </c>
      <c r="AD22" s="6">
        <f>'Energy Readings'!BH22</f>
        <v>641</v>
      </c>
      <c r="AE22" s="6">
        <f>'Energy Readings'!BJ22</f>
        <v>512</v>
      </c>
      <c r="AF22" s="6">
        <f t="shared" si="8"/>
        <v>21331</v>
      </c>
    </row>
    <row r="23" spans="1:32" s="32" customFormat="1" ht="14.25" customHeight="1" x14ac:dyDescent="0.25">
      <c r="A23" s="29" t="s">
        <v>118</v>
      </c>
      <c r="B23" s="85">
        <f>'Energy Readings'!D23-B26-B27-B28-B72-B75-B22</f>
        <v>5442.4300000001622</v>
      </c>
      <c r="C23" s="85">
        <f>'Energy Readings'!F23-C26-C27-C28-C72-C75-C22</f>
        <v>5312.2599999998492</v>
      </c>
      <c r="D23" s="85">
        <f>'Energy Readings'!H23-D26-D27-D28-D72-D75-D22</f>
        <v>4680.3499999999767</v>
      </c>
      <c r="E23" s="85">
        <f>'Energy Readings'!J23-E26-E27-E28-E72-E75-E22+100</f>
        <v>5348.8600000004717</v>
      </c>
      <c r="F23" s="85">
        <f>'Energy Readings'!L23-F26-F27-F28-F72-F75-F22</f>
        <v>5476.0199999998749</v>
      </c>
      <c r="G23" s="85">
        <f>'Energy Readings'!N23-G26-G27-G28-G72-G75-G22</f>
        <v>5264.8100000000213</v>
      </c>
      <c r="H23" s="85">
        <f>'Energy Readings'!P23-H26-H27-H28-H72-H75-H22</f>
        <v>5315.149999999745</v>
      </c>
      <c r="I23" s="85">
        <f>'Energy Readings'!R23-I26-I27-I28-I72-I75-I22</f>
        <v>5355.7999999998065</v>
      </c>
      <c r="J23" s="85">
        <f>'Energy Readings'!T23-J26-J27-J28-J72-J75-J22</f>
        <v>5259.4100000004946</v>
      </c>
      <c r="K23" s="85">
        <f>'Energy Readings'!V23-K26-K27-K28-K72-K75-K22</f>
        <v>5393.7499999996617</v>
      </c>
      <c r="L23" s="85">
        <f>'Energy Readings'!X23-L26-L27-L28-L72-L75-L22</f>
        <v>5281.8799999999483</v>
      </c>
      <c r="M23" s="85">
        <f>'Energy Readings'!Z23-M26-M27-M28-M72-M75-M22</f>
        <v>5217.4399999998841</v>
      </c>
      <c r="N23" s="85">
        <f>'Energy Readings'!AB23-N26-N27-N28-N72-N75-N22</f>
        <v>5146.8000000001775</v>
      </c>
      <c r="O23" s="85">
        <f>'Energy Readings'!AD23-O26-O27-O28-O72-O75-O22</f>
        <v>5180.6699999999219</v>
      </c>
      <c r="P23" s="85">
        <f>'Energy Readings'!AF23-P26-P27-P28-P72-P75-P22</f>
        <v>5110.3300000002437</v>
      </c>
      <c r="Q23" s="85">
        <f>'Energy Readings'!AH23-Q26-Q27-Q28-Q72-Q75-Q22</f>
        <v>5252.6699999996781</v>
      </c>
      <c r="R23" s="85">
        <f>'Energy Readings'!AJ23-R26-R27-R28-R72-R75-R22</f>
        <v>5372.9000000002525</v>
      </c>
      <c r="S23" s="85">
        <f>'Energy Readings'!AL23-S26-S27-S28-S72-S75-S22</f>
        <v>5134.6799999998184</v>
      </c>
      <c r="T23" s="85">
        <f>'Energy Readings'!AN23-T26-T27-T28-T72-T75-T22</f>
        <v>5159.0100000003149</v>
      </c>
      <c r="U23" s="85">
        <f>'Energy Readings'!AP23-U26-U27-U28-U72-U75-U22</f>
        <v>5366.499999999729</v>
      </c>
      <c r="V23" s="85">
        <f>'Energy Readings'!AR23-V26-V27-V28-V72-V75-V22</f>
        <v>5586.4900000000052</v>
      </c>
      <c r="W23" s="85">
        <f>'Energy Readings'!AT23-W26-W27-W28-W72-W75-W22</f>
        <v>5345.9000000000615</v>
      </c>
      <c r="X23" s="85">
        <f>'Energy Readings'!AV23-X26-X27-X28-X72-X75-X22</f>
        <v>2261.8200000000634</v>
      </c>
      <c r="Y23" s="85">
        <f>'Energy Readings'!AX23-Y26-Y27-Y28-Y72-Y75-Y22</f>
        <v>4109.8000000000393</v>
      </c>
      <c r="Z23" s="85">
        <f>'Energy Readings'!AZ23-Z26-Z27-Z28-Z72-Z75-Z22</f>
        <v>5495.4799999998559</v>
      </c>
      <c r="AA23" s="85">
        <f>'Energy Readings'!BB23-AA26-AA27-AA28-AA72-AA75-AA22-100</f>
        <v>5523.2900000003592</v>
      </c>
      <c r="AB23" s="85">
        <f>'Energy Readings'!BD23-AB26-AB27-AB28-AB72-AB75-AB22</f>
        <v>5611.8999999997213</v>
      </c>
      <c r="AC23" s="85">
        <f>'Energy Readings'!BF23-AC26-AC27-AC28-AC72-AC75-AC22</f>
        <v>5585.4099999998834</v>
      </c>
      <c r="AD23" s="85">
        <f>'Energy Readings'!BH23-AD26-AD27-AD28-AD72-AD75-AD22</f>
        <v>5508.680000000174</v>
      </c>
      <c r="AE23" s="85">
        <f>'Energy Readings'!BJ23-AE26-AE27-AE28-AE72-AE75-AE22</f>
        <v>3340.7300000002069</v>
      </c>
      <c r="AF23" s="6">
        <f t="shared" si="8"/>
        <v>153441.22000000044</v>
      </c>
    </row>
    <row r="24" spans="1:32" s="32" customFormat="1" ht="14.25" customHeight="1" x14ac:dyDescent="0.25">
      <c r="A24" s="29" t="s">
        <v>251</v>
      </c>
      <c r="B24" s="85">
        <f>'Energy Readings'!D24-B25</f>
        <v>1116.6999999999803</v>
      </c>
      <c r="C24" s="85">
        <f>'Energy Readings'!F24-C25</f>
        <v>1068.300000000022</v>
      </c>
      <c r="D24" s="85">
        <f>'Energy Readings'!H24-D25</f>
        <v>985.79999999998336</v>
      </c>
      <c r="E24" s="85">
        <f>'Energy Readings'!J24-E25</f>
        <v>1077.4000000000115</v>
      </c>
      <c r="F24" s="85">
        <f>'Energy Readings'!L24-F25</f>
        <v>1018.4999999999604</v>
      </c>
      <c r="G24" s="85">
        <f>'Energy Readings'!N24-G25</f>
        <v>1013.7000000000285</v>
      </c>
      <c r="H24" s="85">
        <f>'Energy Readings'!P24-H25</f>
        <v>1697.0000000000027</v>
      </c>
      <c r="I24" s="85">
        <f>'Energy Readings'!R24-I25</f>
        <v>374.89999999996826</v>
      </c>
      <c r="J24" s="85">
        <f>'Energy Readings'!T24-J25</f>
        <v>998.80000000001701</v>
      </c>
      <c r="K24" s="85">
        <f>'Energy Readings'!V24-K25</f>
        <v>1055.4000000000201</v>
      </c>
      <c r="L24" s="85">
        <f>'Energy Readings'!X24-L25</f>
        <v>959.59999999996626</v>
      </c>
      <c r="M24" s="85">
        <f>'Energy Readings'!Z24-M25</f>
        <v>960.80000000000609</v>
      </c>
      <c r="N24" s="85">
        <f>'Energy Readings'!AB24-N25</f>
        <v>988.69999999999436</v>
      </c>
      <c r="O24" s="85">
        <f>'Energy Readings'!AD24-O25</f>
        <v>1001.3999999999896</v>
      </c>
      <c r="P24" s="85">
        <f>'Energy Readings'!AF24-P25</f>
        <v>990.20000000001573</v>
      </c>
      <c r="Q24" s="85">
        <f>'Energy Readings'!AH24-Q25</f>
        <v>1029.6000000000163</v>
      </c>
      <c r="R24" s="85">
        <f>'Energy Readings'!AJ24-R25</f>
        <v>1061.5999999999985</v>
      </c>
      <c r="S24" s="85">
        <f>'Energy Readings'!AL24-S25</f>
        <v>1050.5999999999744</v>
      </c>
      <c r="T24" s="85">
        <f>'Energy Readings'!AN24-T25</f>
        <v>1046.8999999999937</v>
      </c>
      <c r="U24" s="85">
        <f>'Energy Readings'!AP24-U25</f>
        <v>1032.6000000000022</v>
      </c>
      <c r="V24" s="85">
        <f>'Energy Readings'!AR24-V25</f>
        <v>956.10000000004902</v>
      </c>
      <c r="W24" s="85">
        <f>'Energy Readings'!AT24-W25</f>
        <v>887.69999999999527</v>
      </c>
      <c r="X24" s="85">
        <f>'Energy Readings'!AV24-X25</f>
        <v>364.39999999998918</v>
      </c>
      <c r="Y24" s="85">
        <f>'Energy Readings'!AX24-Y25</f>
        <v>723.29999999999472</v>
      </c>
      <c r="Z24" s="85">
        <f>'Energy Readings'!AZ24-Z25</f>
        <v>1077.9999999999745</v>
      </c>
      <c r="AA24" s="85">
        <f>'Energy Readings'!BB24-AA25</f>
        <v>1054.0000000000305</v>
      </c>
      <c r="AB24" s="85">
        <f>'Energy Readings'!BD24-AB25</f>
        <v>1062.2999999999934</v>
      </c>
      <c r="AC24" s="85">
        <f>'Energy Readings'!BF24-AC25</f>
        <v>1055.0000000000068</v>
      </c>
      <c r="AD24" s="85">
        <f>'Energy Readings'!BH24-AD25</f>
        <v>1061.8000000000052</v>
      </c>
      <c r="AE24" s="85">
        <f>'Energy Readings'!BJ24-AE25</f>
        <v>820.6000000000131</v>
      </c>
      <c r="AF24" s="6">
        <f t="shared" si="8"/>
        <v>29591.700000000004</v>
      </c>
    </row>
    <row r="25" spans="1:32" s="32" customFormat="1" x14ac:dyDescent="0.25">
      <c r="A25" s="40" t="s">
        <v>255</v>
      </c>
      <c r="B25" s="84">
        <f>'Energy Readings'!D25</f>
        <v>0</v>
      </c>
      <c r="C25" s="84">
        <f>'Energy Readings'!F25</f>
        <v>0</v>
      </c>
      <c r="D25" s="84">
        <f>'Energy Readings'!H25</f>
        <v>0</v>
      </c>
      <c r="E25" s="84">
        <f>'Energy Readings'!J25</f>
        <v>0</v>
      </c>
      <c r="F25" s="84">
        <f>'Energy Readings'!L25</f>
        <v>0</v>
      </c>
      <c r="G25" s="84">
        <f>'Energy Readings'!N25</f>
        <v>0</v>
      </c>
      <c r="H25" s="84">
        <f>'Energy Readings'!P25</f>
        <v>0</v>
      </c>
      <c r="I25" s="84">
        <f>'Energy Readings'!R25</f>
        <v>0</v>
      </c>
      <c r="J25" s="84">
        <f>'Energy Readings'!T25</f>
        <v>0</v>
      </c>
      <c r="K25" s="84">
        <f>'Energy Readings'!V25</f>
        <v>0</v>
      </c>
      <c r="L25" s="84">
        <f>'Energy Readings'!X25</f>
        <v>0</v>
      </c>
      <c r="M25" s="84">
        <f>'Energy Readings'!Z25</f>
        <v>0</v>
      </c>
      <c r="N25" s="115">
        <f>'Energy Readings'!AB25</f>
        <v>0</v>
      </c>
      <c r="O25" s="84">
        <f>'Energy Readings'!AD25</f>
        <v>0</v>
      </c>
      <c r="P25" s="84">
        <f>'Energy Readings'!AF25</f>
        <v>0</v>
      </c>
      <c r="Q25" s="84">
        <f>'Energy Readings'!AH25</f>
        <v>0</v>
      </c>
      <c r="R25" s="84">
        <f>'Energy Readings'!AJ25</f>
        <v>0</v>
      </c>
      <c r="S25" s="84">
        <f>'Energy Readings'!AL25</f>
        <v>0</v>
      </c>
      <c r="T25" s="84">
        <f>'Energy Readings'!AN25</f>
        <v>0</v>
      </c>
      <c r="U25" s="84">
        <f>'Energy Readings'!AP25</f>
        <v>0</v>
      </c>
      <c r="V25" s="84">
        <f>'Energy Readings'!AR25</f>
        <v>0</v>
      </c>
      <c r="W25" s="84">
        <f>'Energy Readings'!AT25</f>
        <v>0</v>
      </c>
      <c r="X25" s="84">
        <f>'Energy Readings'!AV25</f>
        <v>0</v>
      </c>
      <c r="Y25" s="84">
        <f>'Energy Readings'!AX25</f>
        <v>0</v>
      </c>
      <c r="Z25" s="84">
        <f>'Energy Readings'!AZ25</f>
        <v>0</v>
      </c>
      <c r="AA25" s="84">
        <f>'Energy Readings'!BB25</f>
        <v>0</v>
      </c>
      <c r="AB25" s="84">
        <f>'Energy Readings'!BD25</f>
        <v>0</v>
      </c>
      <c r="AC25" s="84">
        <f>'Energy Readings'!BF25</f>
        <v>0</v>
      </c>
      <c r="AD25" s="84">
        <f>'Energy Readings'!BH25</f>
        <v>0</v>
      </c>
      <c r="AE25" s="6">
        <f>'Energy Readings'!BJ25</f>
        <v>0</v>
      </c>
      <c r="AF25" s="6">
        <f t="shared" si="8"/>
        <v>0</v>
      </c>
    </row>
    <row r="26" spans="1:32" s="32" customFormat="1" x14ac:dyDescent="0.25">
      <c r="A26" s="40" t="s">
        <v>111</v>
      </c>
      <c r="B26" s="84">
        <f>'Energy Readings'!D26</f>
        <v>79</v>
      </c>
      <c r="C26" s="84">
        <f>'Energy Readings'!F26</f>
        <v>54</v>
      </c>
      <c r="D26" s="84">
        <f>'Energy Readings'!H26</f>
        <v>42</v>
      </c>
      <c r="E26" s="84">
        <f>'Energy Readings'!J26</f>
        <v>79</v>
      </c>
      <c r="F26" s="84">
        <f>'Energy Readings'!L26</f>
        <v>54</v>
      </c>
      <c r="G26" s="84">
        <v>52</v>
      </c>
      <c r="H26" s="84">
        <f>'Energy Readings'!P26</f>
        <v>54</v>
      </c>
      <c r="I26" s="84">
        <f>'Energy Readings'!R26</f>
        <v>54</v>
      </c>
      <c r="J26" s="84">
        <f>'Energy Readings'!T26</f>
        <v>54</v>
      </c>
      <c r="K26" s="84">
        <f>'Energy Readings'!V26</f>
        <v>54</v>
      </c>
      <c r="L26" s="84">
        <f>'Energy Readings'!X26</f>
        <v>54</v>
      </c>
      <c r="M26" s="84">
        <f>'Energy Readings'!Z26</f>
        <v>54</v>
      </c>
      <c r="N26" s="115">
        <f>'Energy Readings'!AB26</f>
        <v>54</v>
      </c>
      <c r="O26" s="84">
        <f>'Energy Readings'!AD26</f>
        <v>52</v>
      </c>
      <c r="P26" s="84">
        <f>'Energy Readings'!AF26</f>
        <v>54</v>
      </c>
      <c r="Q26" s="84">
        <f>'Energy Readings'!AH26</f>
        <v>54</v>
      </c>
      <c r="R26" s="84">
        <f>'Energy Readings'!AJ26</f>
        <v>54</v>
      </c>
      <c r="S26" s="84">
        <f>'Energy Readings'!AL26</f>
        <v>54</v>
      </c>
      <c r="T26" s="84">
        <f>'Energy Readings'!AN26</f>
        <v>54</v>
      </c>
      <c r="U26" s="84">
        <f>'Energy Readings'!AP26</f>
        <v>54</v>
      </c>
      <c r="V26" s="84">
        <f>'Energy Readings'!AR26</f>
        <v>54</v>
      </c>
      <c r="W26" s="84">
        <f>'Energy Readings'!AT26</f>
        <v>54</v>
      </c>
      <c r="X26" s="84">
        <f>'Energy Readings'!AV26</f>
        <v>189</v>
      </c>
      <c r="Y26" s="84">
        <f>'Energy Readings'!AX26</f>
        <v>68</v>
      </c>
      <c r="Z26" s="84">
        <f>'Energy Readings'!AZ26</f>
        <v>89</v>
      </c>
      <c r="AA26" s="84">
        <f>'Energy Readings'!BB26</f>
        <v>89</v>
      </c>
      <c r="AB26" s="84">
        <f>'Energy Readings'!BD26</f>
        <v>79</v>
      </c>
      <c r="AC26" s="84">
        <f>'Energy Readings'!BF26</f>
        <v>102</v>
      </c>
      <c r="AD26" s="84">
        <f>'Energy Readings'!BH26</f>
        <v>98.2</v>
      </c>
      <c r="AE26" s="6">
        <f>'Energy Readings'!BJ26</f>
        <v>54</v>
      </c>
      <c r="AF26" s="6">
        <f t="shared" si="8"/>
        <v>1990.2</v>
      </c>
    </row>
    <row r="27" spans="1:32" s="32" customFormat="1" x14ac:dyDescent="0.25">
      <c r="A27" s="40" t="s">
        <v>105</v>
      </c>
      <c r="B27" s="84">
        <f>'Energy Readings'!D27</f>
        <v>50</v>
      </c>
      <c r="C27" s="84">
        <f>'Energy Readings'!F27</f>
        <v>50</v>
      </c>
      <c r="D27" s="84">
        <f>'Energy Readings'!H27</f>
        <v>50</v>
      </c>
      <c r="E27" s="84">
        <f>'Energy Readings'!J27</f>
        <v>50</v>
      </c>
      <c r="F27" s="84">
        <f>'Energy Readings'!L27</f>
        <v>50</v>
      </c>
      <c r="G27" s="84">
        <v>50</v>
      </c>
      <c r="H27" s="84">
        <f>'Energy Readings'!P27</f>
        <v>50</v>
      </c>
      <c r="I27" s="84">
        <f>'Energy Readings'!R27</f>
        <v>50</v>
      </c>
      <c r="J27" s="84">
        <f>'Energy Readings'!T27</f>
        <v>50</v>
      </c>
      <c r="K27" s="84">
        <f>'Energy Readings'!V27</f>
        <v>50</v>
      </c>
      <c r="L27" s="84">
        <f>'Energy Readings'!X27</f>
        <v>50</v>
      </c>
      <c r="M27" s="84">
        <f>'Energy Readings'!Z27</f>
        <v>50</v>
      </c>
      <c r="N27" s="115">
        <f>'Energy Readings'!AB27</f>
        <v>50</v>
      </c>
      <c r="O27" s="84">
        <f>'Energy Readings'!AD27</f>
        <v>50</v>
      </c>
      <c r="P27" s="84">
        <f>'Energy Readings'!AF27</f>
        <v>50</v>
      </c>
      <c r="Q27" s="84">
        <f>'Energy Readings'!AH27</f>
        <v>50</v>
      </c>
      <c r="R27" s="84">
        <f>'Energy Readings'!AJ27</f>
        <v>50</v>
      </c>
      <c r="S27" s="84">
        <f>'Energy Readings'!AL27</f>
        <v>50</v>
      </c>
      <c r="T27" s="84">
        <f>'Energy Readings'!AN27</f>
        <v>50</v>
      </c>
      <c r="U27" s="84">
        <f>'Energy Readings'!AP27</f>
        <v>50</v>
      </c>
      <c r="V27" s="84">
        <f>'Energy Readings'!AR27</f>
        <v>50</v>
      </c>
      <c r="W27" s="84">
        <f>'Energy Readings'!AT27</f>
        <v>50</v>
      </c>
      <c r="X27" s="84">
        <f>'Energy Readings'!AV27</f>
        <v>50</v>
      </c>
      <c r="Y27" s="84">
        <f>'Energy Readings'!AX27</f>
        <v>50</v>
      </c>
      <c r="Z27" s="84">
        <f>'Energy Readings'!AZ27</f>
        <v>50</v>
      </c>
      <c r="AA27" s="84">
        <f>'Energy Readings'!BB27</f>
        <v>50</v>
      </c>
      <c r="AB27" s="84">
        <f>'Energy Readings'!BD27</f>
        <v>50</v>
      </c>
      <c r="AC27" s="84">
        <f>'Energy Readings'!BF27</f>
        <v>50</v>
      </c>
      <c r="AD27" s="84">
        <f>'Energy Readings'!BH27</f>
        <v>50</v>
      </c>
      <c r="AE27" s="6">
        <f>'Energy Readings'!BJ27</f>
        <v>50</v>
      </c>
      <c r="AF27" s="6">
        <f t="shared" si="8"/>
        <v>1500</v>
      </c>
    </row>
    <row r="28" spans="1:32" s="32" customFormat="1" x14ac:dyDescent="0.25">
      <c r="A28" s="40" t="s">
        <v>114</v>
      </c>
      <c r="B28" s="84">
        <f>'Energy Readings'!D28</f>
        <v>881.77000000001863</v>
      </c>
      <c r="C28" s="84">
        <f>'Energy Readings'!F28</f>
        <v>994.54000000003725</v>
      </c>
      <c r="D28" s="84">
        <f>'Energy Readings'!H28</f>
        <v>946.25</v>
      </c>
      <c r="E28" s="84">
        <f>'Energy Readings'!J28</f>
        <v>878.13999999966472</v>
      </c>
      <c r="F28" s="84">
        <f>'Energy Readings'!L28</f>
        <v>862.97999999998137</v>
      </c>
      <c r="G28" s="84">
        <f>'Energy Readings'!N28</f>
        <v>760.79000000003725</v>
      </c>
      <c r="H28" s="84">
        <f>'Energy Readings'!P28</f>
        <v>724.45000000018626</v>
      </c>
      <c r="I28" s="84">
        <f>'Energy Readings'!R28</f>
        <v>955.20000000018626</v>
      </c>
      <c r="J28" s="84">
        <f>'Energy Readings'!T28</f>
        <v>875.38999999966472</v>
      </c>
      <c r="K28" s="84">
        <f>'Energy Readings'!V28</f>
        <v>797.45000000018626</v>
      </c>
      <c r="L28" s="84">
        <f>'Energy Readings'!X28</f>
        <v>746.52000000001863</v>
      </c>
      <c r="M28" s="84">
        <f>'Energy Readings'!Z28</f>
        <v>759.16000000014901</v>
      </c>
      <c r="N28" s="115">
        <f>'Energy Readings'!AB28</f>
        <v>601.79999999981374</v>
      </c>
      <c r="O28" s="84">
        <f>'Energy Readings'!AD28</f>
        <v>534.93000000016764</v>
      </c>
      <c r="P28" s="84">
        <f>'Energy Readings'!AF28</f>
        <v>742.46999999973923</v>
      </c>
      <c r="Q28" s="84">
        <f>'Energy Readings'!AH28</f>
        <v>711.53000000026077</v>
      </c>
      <c r="R28" s="84">
        <f>'Energy Readings'!AJ28</f>
        <v>702.29999999981374</v>
      </c>
      <c r="S28" s="84">
        <f>'Energy Readings'!AL28</f>
        <v>700.12000000011176</v>
      </c>
      <c r="T28" s="84">
        <f>'Energy Readings'!AN28</f>
        <v>700.58999999985099</v>
      </c>
      <c r="U28" s="84">
        <f>'Energy Readings'!AP28</f>
        <v>598.70000000018626</v>
      </c>
      <c r="V28" s="84">
        <f>'Energy Readings'!AR28</f>
        <v>458.31000000005588</v>
      </c>
      <c r="W28" s="84">
        <f>'Energy Readings'!AT28</f>
        <v>692.29999999981374</v>
      </c>
      <c r="X28" s="84">
        <f>'Energy Readings'!AV28</f>
        <v>665.37999999988824</v>
      </c>
      <c r="Y28" s="84">
        <f>'Energy Readings'!AX28</f>
        <v>722</v>
      </c>
      <c r="Z28" s="84">
        <f>'Energy Readings'!AZ28</f>
        <v>708.32000000029802</v>
      </c>
      <c r="AA28" s="84">
        <f>'Energy Readings'!BB28</f>
        <v>725.30999999959022</v>
      </c>
      <c r="AB28" s="84">
        <f>'Energy Readings'!BD28</f>
        <v>710.3000000002794</v>
      </c>
      <c r="AC28" s="84">
        <f>'Energy Readings'!BF28</f>
        <v>663.39000000013039</v>
      </c>
      <c r="AD28" s="84">
        <f>'Energy Readings'!BH28</f>
        <v>757.71999999973923</v>
      </c>
      <c r="AE28" s="6">
        <f>'Energy Readings'!BJ28</f>
        <v>755.06999999983236</v>
      </c>
      <c r="AF28" s="6">
        <f t="shared" si="8"/>
        <v>22333.179999999702</v>
      </c>
    </row>
    <row r="29" spans="1:32" ht="15" customHeight="1" x14ac:dyDescent="0.3">
      <c r="A29" s="2" t="s">
        <v>9</v>
      </c>
      <c r="B29" s="84"/>
      <c r="C29" s="84"/>
      <c r="D29" s="84"/>
      <c r="E29" s="84"/>
      <c r="F29" s="84"/>
      <c r="G29" s="84"/>
      <c r="H29" s="84"/>
      <c r="I29" s="84"/>
      <c r="J29" s="84"/>
      <c r="K29" s="84">
        <f>'Energy Readings'!V29</f>
        <v>0</v>
      </c>
      <c r="L29" s="84"/>
      <c r="M29" s="84"/>
      <c r="N29" s="115"/>
      <c r="O29" s="84"/>
      <c r="P29" s="84"/>
      <c r="Q29" s="84"/>
      <c r="R29" s="6"/>
      <c r="S29" s="84"/>
      <c r="T29" s="84"/>
      <c r="U29" s="84"/>
      <c r="V29" s="84"/>
      <c r="W29" s="84">
        <f>'Energy Readings'!AT29</f>
        <v>0</v>
      </c>
      <c r="X29" s="84">
        <f>'Energy Readings'!AV29</f>
        <v>0</v>
      </c>
      <c r="Y29" s="84"/>
      <c r="Z29" s="84">
        <f>'Energy Readings'!AZ29</f>
        <v>0</v>
      </c>
      <c r="AA29" s="84">
        <f>'Energy Readings'!BB29</f>
        <v>0</v>
      </c>
      <c r="AB29" s="84">
        <f>'Energy Readings'!BD29</f>
        <v>0</v>
      </c>
      <c r="AC29" s="84">
        <f>'Energy Readings'!BF29</f>
        <v>0</v>
      </c>
      <c r="AD29" s="84">
        <f>'Energy Readings'!BH29</f>
        <v>0</v>
      </c>
      <c r="AE29" s="6">
        <f>'Energy Readings'!BJ29</f>
        <v>0</v>
      </c>
      <c r="AF29" s="6"/>
    </row>
    <row r="30" spans="1:32" x14ac:dyDescent="0.25">
      <c r="A30" s="4" t="s">
        <v>252</v>
      </c>
      <c r="B30" s="84">
        <f>'Energy Readings'!D30</f>
        <v>25730.400000000373</v>
      </c>
      <c r="C30" s="84">
        <f>'Energy Readings'!F30-200</f>
        <v>21349.599999999373</v>
      </c>
      <c r="D30" s="84">
        <f>'Energy Readings'!H30</f>
        <v>17184.000000000196</v>
      </c>
      <c r="E30" s="84">
        <f>'Energy Readings'!J30</f>
        <v>22887.99999999992</v>
      </c>
      <c r="F30" s="84">
        <f>'Energy Readings'!L30</f>
        <v>23616.799999999785</v>
      </c>
      <c r="G30" s="84">
        <f>'Energy Readings'!N30</f>
        <v>19135.200000000623</v>
      </c>
      <c r="H30" s="84">
        <f>'Energy Readings'!P30</f>
        <v>19307.999999999993</v>
      </c>
      <c r="I30" s="84">
        <f>'Energy Readings'!R30</f>
        <v>18484.800000000178</v>
      </c>
      <c r="J30" s="84">
        <f>'Energy Readings'!T30</f>
        <v>17457.599999999729</v>
      </c>
      <c r="K30" s="84">
        <f>'Energy Readings'!V30</f>
        <v>18747.199999999793</v>
      </c>
      <c r="L30" s="84">
        <f>'Energy Readings'!X30-500</f>
        <v>17134.399999999914</v>
      </c>
      <c r="M30" s="84">
        <f>'Energy Readings'!Z30</f>
        <v>21185.599999999795</v>
      </c>
      <c r="N30" s="115">
        <f>'Energy Readings'!AB30</f>
        <v>17529.600000000755</v>
      </c>
      <c r="O30" s="84">
        <f>'Energy Readings'!AD30</f>
        <v>16692.000000000007</v>
      </c>
      <c r="P30" s="84">
        <f>'Energy Readings'!AF30+500</f>
        <v>18124.799999999595</v>
      </c>
      <c r="Q30" s="84">
        <f>'Energy Readings'!AH30</f>
        <v>17615.200000000186</v>
      </c>
      <c r="R30" s="84">
        <f>'Energy Readings'!AJ30</f>
        <v>19337.599999999838</v>
      </c>
      <c r="S30" s="84">
        <f>'Energy Readings'!AL30</f>
        <v>18207.19999999983</v>
      </c>
      <c r="T30" s="84">
        <f>'Energy Readings'!AN30+600</f>
        <v>18325.599999999758</v>
      </c>
      <c r="U30" s="84">
        <f>'Energy Readings'!AP30</f>
        <v>17404.000000000451</v>
      </c>
      <c r="V30" s="84">
        <f>'Energy Readings'!AR30+550</f>
        <v>14372.400000000016</v>
      </c>
      <c r="W30" s="84">
        <f>'Energy Readings'!AT30</f>
        <v>10868.999999999687</v>
      </c>
      <c r="X30" s="84">
        <f>'Energy Readings'!AV30</f>
        <v>1974.0000000001601</v>
      </c>
      <c r="Y30" s="84">
        <f>'Energy Readings'!AX30</f>
        <v>7953.3716000000004</v>
      </c>
      <c r="Z30" s="84">
        <f>'Energy Readings'!AZ30</f>
        <v>18693.603999999999</v>
      </c>
      <c r="AA30" s="84">
        <f>'Energy Readings'!BB30-100</f>
        <v>19021.024000000001</v>
      </c>
      <c r="AB30" s="84">
        <f>'Energy Readings'!BD30</f>
        <v>19278.896000000001</v>
      </c>
      <c r="AC30" s="84">
        <f>'Energy Readings'!BF30</f>
        <v>17977.648000000001</v>
      </c>
      <c r="AD30" s="84">
        <f>'Energy Readings'!BH30</f>
        <v>21235.171999999991</v>
      </c>
      <c r="AE30" s="6">
        <f>'Energy Readings'!BJ30+500</f>
        <v>10539.540000000008</v>
      </c>
      <c r="AF30" s="6">
        <f t="shared" ref="AF30:AF40" si="9">SUM(B30:AE30)</f>
        <v>527372.25560000003</v>
      </c>
    </row>
    <row r="31" spans="1:32" s="13" customFormat="1" x14ac:dyDescent="0.25">
      <c r="A31" s="99" t="s">
        <v>10</v>
      </c>
      <c r="B31" s="85">
        <f>'Energy Readings'!D31-B19</f>
        <v>5445.339999999851</v>
      </c>
      <c r="C31" s="85">
        <f>'Energy Readings'!F31-C19</f>
        <v>4584.9000000007454</v>
      </c>
      <c r="D31" s="85">
        <f>'Energy Readings'!H31-D19</f>
        <v>4170.3500000014901</v>
      </c>
      <c r="E31" s="85">
        <f>'Energy Readings'!J31-E19+100</f>
        <v>4402.6999999992549</v>
      </c>
      <c r="F31" s="85">
        <f>'Energy Readings'!L31-F19</f>
        <v>4387.8500000014901</v>
      </c>
      <c r="G31" s="85">
        <f>'Energy Readings'!N31-G19</f>
        <v>4454.5099999994036</v>
      </c>
      <c r="H31" s="85">
        <f>'Energy Readings'!P31-H19</f>
        <v>4355.2899999991059</v>
      </c>
      <c r="I31" s="85">
        <f>'Energy Readings'!R31-I19</f>
        <v>4513.929999999702</v>
      </c>
      <c r="J31" s="85">
        <f>'Energy Readings'!T31-J19</f>
        <v>4119.8500000000004</v>
      </c>
      <c r="K31" s="85">
        <f>'Energy Readings'!V31-K19</f>
        <v>3936.5200000002978</v>
      </c>
      <c r="L31" s="85">
        <f>'Energy Readings'!X31-L19</f>
        <v>3112.6000000014901</v>
      </c>
      <c r="M31" s="85">
        <f>'Energy Readings'!Z31-M19</f>
        <v>3309.1300000004471</v>
      </c>
      <c r="N31" s="85">
        <f>'Energy Readings'!AB31-N19</f>
        <v>3172.1999999992549</v>
      </c>
      <c r="O31" s="85">
        <f>'Energy Readings'!AD31-O19</f>
        <v>3202.0399999991059</v>
      </c>
      <c r="P31" s="85">
        <f>'Energy Readings'!AF31-P19</f>
        <v>3959.9199999980628</v>
      </c>
      <c r="Q31" s="85">
        <f>'Energy Readings'!AH31-Q19</f>
        <v>4234.0500000007451</v>
      </c>
      <c r="R31" s="85">
        <f>'Energy Readings'!AJ31-R19</f>
        <v>4569.5600000023842</v>
      </c>
      <c r="S31" s="85">
        <f>'Energy Readings'!AL31-S19</f>
        <v>4777.6699999980628</v>
      </c>
      <c r="T31" s="85">
        <f>'Energy Readings'!AN31-T19</f>
        <v>4855.9000000022352</v>
      </c>
      <c r="U31" s="85">
        <f>'Energy Readings'!AP31-U19</f>
        <v>4749.2299999967217</v>
      </c>
      <c r="V31" s="85">
        <f>'Energy Readings'!AR31-V19</f>
        <v>4367.1100000031292</v>
      </c>
      <c r="W31" s="85">
        <f>'Energy Readings'!AT31-W19</f>
        <v>4146.9199999980628</v>
      </c>
      <c r="X31" s="85">
        <f>'Energy Readings'!AV31-X19</f>
        <v>2187.3700000010431</v>
      </c>
      <c r="Y31" s="85">
        <f>'Energy Readings'!AX31-Y19</f>
        <v>3955.6999999992549</v>
      </c>
      <c r="Z31" s="85">
        <f>'Energy Readings'!AZ31-Z19</f>
        <v>4383.410000000149</v>
      </c>
      <c r="AA31" s="85">
        <f>'Energy Readings'!BB31-AA19</f>
        <v>4632.8799999989569</v>
      </c>
      <c r="AB31" s="85">
        <f>'Energy Readings'!BD31-AB19</f>
        <v>5048.320000000298</v>
      </c>
      <c r="AC31" s="85">
        <f>'Energy Readings'!BF31-AC19</f>
        <v>5034.2600000016391</v>
      </c>
      <c r="AD31" s="85">
        <f>'Energy Readings'!BH31-AD19</f>
        <v>6409.3499999977648</v>
      </c>
      <c r="AE31" s="85">
        <f>'Energy Readings'!BJ31-AE19+1500</f>
        <v>4265.5500000007451</v>
      </c>
      <c r="AF31" s="6">
        <f t="shared" si="9"/>
        <v>128744.41000000089</v>
      </c>
    </row>
    <row r="32" spans="1:32" x14ac:dyDescent="0.25">
      <c r="A32" s="4" t="s">
        <v>11</v>
      </c>
      <c r="B32" s="84">
        <f>'Energy Readings'!D32</f>
        <v>0</v>
      </c>
      <c r="C32" s="84">
        <v>0</v>
      </c>
      <c r="D32" s="84">
        <v>0</v>
      </c>
      <c r="E32" s="84">
        <v>0</v>
      </c>
      <c r="F32" s="84">
        <v>0</v>
      </c>
      <c r="G32" s="84">
        <v>0</v>
      </c>
      <c r="H32" s="84">
        <v>0</v>
      </c>
      <c r="I32" s="84">
        <v>0</v>
      </c>
      <c r="J32" s="84">
        <v>0</v>
      </c>
      <c r="K32" s="84">
        <v>0</v>
      </c>
      <c r="L32" s="84">
        <v>0</v>
      </c>
      <c r="M32" s="84">
        <v>0</v>
      </c>
      <c r="N32" s="115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84">
        <v>0</v>
      </c>
      <c r="V32" s="84">
        <v>0</v>
      </c>
      <c r="W32" s="6">
        <v>0</v>
      </c>
      <c r="X32" s="84">
        <v>0</v>
      </c>
      <c r="Y32" s="84">
        <v>0</v>
      </c>
      <c r="Z32" s="84">
        <v>0</v>
      </c>
      <c r="AA32" s="84">
        <v>0</v>
      </c>
      <c r="AB32" s="84">
        <v>0</v>
      </c>
      <c r="AC32" s="84"/>
      <c r="AD32" s="84"/>
      <c r="AE32" s="6">
        <f>'Energy Readings'!BJ32</f>
        <v>0</v>
      </c>
      <c r="AF32" s="6">
        <f t="shared" si="9"/>
        <v>0</v>
      </c>
    </row>
    <row r="33" spans="1:32" s="32" customFormat="1" x14ac:dyDescent="0.25">
      <c r="A33" s="29" t="s">
        <v>119</v>
      </c>
      <c r="B33" s="30">
        <f>'Energy Readings'!D33-B76</f>
        <v>13810.500000000047</v>
      </c>
      <c r="C33" s="30">
        <f>'Energy Readings'!F33-C76</f>
        <v>13463.999999999942</v>
      </c>
      <c r="D33" s="30">
        <f>'Energy Readings'!H33-D76</f>
        <v>12113.900000000058</v>
      </c>
      <c r="E33" s="30">
        <f>'Energy Readings'!J33-E76+100</f>
        <v>14059.799999999859</v>
      </c>
      <c r="F33" s="30">
        <f>'Energy Readings'!L33-F76</f>
        <v>13413.099999999986</v>
      </c>
      <c r="G33" s="30">
        <f>'Energy Readings'!N33-G76</f>
        <v>12748.700000000099</v>
      </c>
      <c r="H33" s="30">
        <f>'Energy Readings'!P33-H76</f>
        <v>12971.099999999979</v>
      </c>
      <c r="I33" s="30">
        <f>'Energy Readings'!R33-I76-500</f>
        <v>12887.400000000071</v>
      </c>
      <c r="J33" s="30">
        <f>'Energy Readings'!T33-J76</f>
        <v>12621.599999999944</v>
      </c>
      <c r="K33" s="30">
        <f>'Energy Readings'!V33-K76</f>
        <v>12202.70000000005</v>
      </c>
      <c r="L33" s="30">
        <f>'Energy Readings'!X33-L76</f>
        <v>11978.399999999965</v>
      </c>
      <c r="M33" s="30">
        <f>'Energy Readings'!Z33-M76</f>
        <v>12982.600000000048</v>
      </c>
      <c r="N33" s="30">
        <f>'Energy Readings'!AB33-N76</f>
        <v>12493.50000000004</v>
      </c>
      <c r="O33" s="30">
        <f>'Energy Readings'!AD33-O76</f>
        <v>13479.399999999941</v>
      </c>
      <c r="P33" s="30">
        <f>'Energy Readings'!AF33-P76</f>
        <v>12647.299999999859</v>
      </c>
      <c r="Q33" s="30">
        <f>'Energy Readings'!AH33-Q76</f>
        <v>11925.900000000183</v>
      </c>
      <c r="R33" s="30">
        <f>'Energy Readings'!AJ33-R76</f>
        <v>12043.099999999868</v>
      </c>
      <c r="S33" s="30">
        <f>'Energy Readings'!AL33-S76</f>
        <v>12399.200000000064</v>
      </c>
      <c r="T33" s="30">
        <f>'Energy Readings'!AN33-T76</f>
        <v>11821.699999999964</v>
      </c>
      <c r="U33" s="30">
        <f>'Energy Readings'!AP33-U76</f>
        <v>12723.300000000108</v>
      </c>
      <c r="V33" s="30">
        <f>'Energy Readings'!AR33-V76</f>
        <v>11021.89999999996</v>
      </c>
      <c r="W33" s="30">
        <f>'Energy Readings'!AT33-W76</f>
        <v>11790.199999999913</v>
      </c>
      <c r="X33" s="30">
        <f>'Energy Readings'!AV33-X76</f>
        <v>2169.399999999996</v>
      </c>
      <c r="Y33" s="30">
        <f>'Energy Readings'!AX33-Y76</f>
        <v>7249.2999999999483</v>
      </c>
      <c r="Z33" s="30">
        <f>'Energy Readings'!AZ33-Z76</f>
        <v>12743.69999999999</v>
      </c>
      <c r="AA33" s="30">
        <f>'Energy Readings'!BB33-AA76-100</f>
        <v>12834.200000000146</v>
      </c>
      <c r="AB33" s="30">
        <f>'Energy Readings'!BD33-AB76</f>
        <v>12714.099999999917</v>
      </c>
      <c r="AC33" s="30">
        <f>'Energy Readings'!BF33-AC76</f>
        <v>12668.00000000012</v>
      </c>
      <c r="AD33" s="30">
        <f>'Energy Readings'!BH33-AD76</f>
        <v>13056.39999999994</v>
      </c>
      <c r="AE33" s="30">
        <f>'Energy Readings'!BJ33-AE76</f>
        <v>6360.5999999999767</v>
      </c>
      <c r="AF33" s="6">
        <f t="shared" si="9"/>
        <v>357395</v>
      </c>
    </row>
    <row r="34" spans="1:32" x14ac:dyDescent="0.25">
      <c r="A34" s="10" t="s">
        <v>254</v>
      </c>
      <c r="B34" s="6">
        <f>'Energy Readings'!D34</f>
        <v>0</v>
      </c>
      <c r="C34" s="6">
        <f>'Energy Readings'!F34</f>
        <v>0</v>
      </c>
      <c r="D34" s="6">
        <f>'Energy Readings'!H34</f>
        <v>0</v>
      </c>
      <c r="E34" s="6">
        <f>'Energy Readings'!J34</f>
        <v>0</v>
      </c>
      <c r="F34" s="6">
        <f>'Energy Readings'!L34</f>
        <v>0</v>
      </c>
      <c r="G34" s="6">
        <f>'Energy Readings'!N34</f>
        <v>0</v>
      </c>
      <c r="H34" s="6">
        <f>'Energy Readings'!P34</f>
        <v>0</v>
      </c>
      <c r="I34" s="6">
        <f>'Energy Readings'!R34</f>
        <v>0</v>
      </c>
      <c r="J34" s="6">
        <f>'Energy Readings'!T34</f>
        <v>1.0700000000069849</v>
      </c>
      <c r="K34" s="6">
        <f>'Energy Readings'!V34</f>
        <v>0</v>
      </c>
      <c r="L34" s="6">
        <f>'Energy Readings'!X34</f>
        <v>2.4600000000209548</v>
      </c>
      <c r="M34" s="6">
        <f>'Energy Readings'!Z34</f>
        <v>0</v>
      </c>
      <c r="N34" s="114">
        <f>'Energy Readings'!AB34</f>
        <v>1.8299999999871943</v>
      </c>
      <c r="O34" s="6">
        <f>'Energy Readings'!AD34</f>
        <v>0</v>
      </c>
      <c r="P34" s="6">
        <f>'Energy Readings'!AF34</f>
        <v>0</v>
      </c>
      <c r="Q34" s="6">
        <f>'Energy Readings'!AH34</f>
        <v>12.010000000009313</v>
      </c>
      <c r="R34" s="6">
        <f>'Energy Readings'!AJ34</f>
        <v>0</v>
      </c>
      <c r="S34" s="6">
        <f>'Energy Readings'!AL34</f>
        <v>7.2999999999883585</v>
      </c>
      <c r="T34" s="6">
        <f>'Energy Readings'!AN34</f>
        <v>0</v>
      </c>
      <c r="U34" s="6">
        <f>'Energy Readings'!AP34</f>
        <v>2.9999999998835847E-2</v>
      </c>
      <c r="V34" s="6">
        <f>'Energy Readings'!AR34</f>
        <v>0</v>
      </c>
      <c r="W34" s="6">
        <f>'Energy Readings'!AT34</f>
        <v>0</v>
      </c>
      <c r="X34" s="6">
        <f>'Energy Readings'!AV34</f>
        <v>0</v>
      </c>
      <c r="Y34" s="6">
        <f>'Energy Readings'!AX34</f>
        <v>0</v>
      </c>
      <c r="Z34" s="6">
        <f>'Energy Readings'!AZ34</f>
        <v>0</v>
      </c>
      <c r="AA34" s="6">
        <f>'Energy Readings'!BB34</f>
        <v>97.760000000009313</v>
      </c>
      <c r="AB34" s="6">
        <f>'Energy Readings'!BD34</f>
        <v>681.25999999998021</v>
      </c>
      <c r="AC34" s="6">
        <f>'Energy Readings'!BF34</f>
        <v>674.98000000001048</v>
      </c>
      <c r="AD34" s="6">
        <v>314</v>
      </c>
      <c r="AE34" s="6">
        <f>'Energy Readings'!BJ34</f>
        <v>0.70999999999185093</v>
      </c>
      <c r="AF34" s="6">
        <f t="shared" si="9"/>
        <v>1793.4100000000035</v>
      </c>
    </row>
    <row r="35" spans="1:32" s="13" customFormat="1" x14ac:dyDescent="0.25">
      <c r="A35" s="11" t="s">
        <v>39</v>
      </c>
      <c r="B35" s="6">
        <f>'Energy Readings'!D35</f>
        <v>0</v>
      </c>
      <c r="C35" s="6">
        <f>'Energy Readings'!F35</f>
        <v>0</v>
      </c>
      <c r="D35" s="6">
        <f>'Energy Readings'!H35</f>
        <v>0</v>
      </c>
      <c r="E35" s="6">
        <f>'Energy Readings'!J35</f>
        <v>23.049999999813735</v>
      </c>
      <c r="F35" s="6">
        <f>'Energy Readings'!L35</f>
        <v>950.15000000037253</v>
      </c>
      <c r="G35" s="6">
        <f>'Energy Readings'!N35</f>
        <v>6.3899999996647239</v>
      </c>
      <c r="H35" s="6">
        <f>'Energy Readings'!P35</f>
        <v>0</v>
      </c>
      <c r="I35" s="6">
        <f>'Energy Readings'!R35</f>
        <v>0</v>
      </c>
      <c r="J35" s="6">
        <f>'Energy Readings'!T35</f>
        <v>11.930000000633299</v>
      </c>
      <c r="K35" s="6">
        <f>'Energy Readings'!V35</f>
        <v>0</v>
      </c>
      <c r="L35" s="6">
        <f>'Energy Readings'!X35</f>
        <v>0</v>
      </c>
      <c r="M35" s="6">
        <f>'Energy Readings'!Z35</f>
        <v>0</v>
      </c>
      <c r="N35" s="114">
        <f>'Energy Readings'!AB35</f>
        <v>0</v>
      </c>
      <c r="O35" s="6">
        <f>'Energy Readings'!AD35</f>
        <v>0</v>
      </c>
      <c r="P35" s="6">
        <f>'Energy Readings'!AF35</f>
        <v>0</v>
      </c>
      <c r="Q35" s="6">
        <f>'Energy Readings'!AH35</f>
        <v>149.46999999973923</v>
      </c>
      <c r="R35" s="6">
        <f>'Energy Readings'!AJ35</f>
        <v>0</v>
      </c>
      <c r="S35" s="6">
        <f>'Energy Readings'!AL35</f>
        <v>861</v>
      </c>
      <c r="T35" s="6">
        <f>'Energy Readings'!AN35</f>
        <v>0</v>
      </c>
      <c r="U35" s="6">
        <f>'Energy Readings'!AP35</f>
        <v>11.769999999552965</v>
      </c>
      <c r="V35" s="6">
        <f>'Energy Readings'!AR35</f>
        <v>0</v>
      </c>
      <c r="W35" s="6">
        <f>'Energy Readings'!AT35</f>
        <v>14.730000000447035</v>
      </c>
      <c r="X35" s="6">
        <f>'Energy Readings'!AV35</f>
        <v>0</v>
      </c>
      <c r="Y35" s="6">
        <f>'Energy Readings'!AX35</f>
        <v>0</v>
      </c>
      <c r="Z35" s="6">
        <f>'Energy Readings'!AZ35</f>
        <v>973.66000000014901</v>
      </c>
      <c r="AA35" s="6">
        <f>'Energy Readings'!BB35</f>
        <v>1124.9599999999627</v>
      </c>
      <c r="AB35" s="6">
        <f>'Energy Readings'!BD35</f>
        <v>0</v>
      </c>
      <c r="AC35" s="6">
        <f>'Energy Readings'!BF35</f>
        <v>0</v>
      </c>
      <c r="AD35" s="6">
        <f>'Energy Readings'!BH35</f>
        <v>3.5</v>
      </c>
      <c r="AE35" s="6">
        <f>'Energy Readings'!BJ35</f>
        <v>1.9100000001490116</v>
      </c>
      <c r="AF35" s="6">
        <f t="shared" si="9"/>
        <v>4132.5200000004843</v>
      </c>
    </row>
    <row r="36" spans="1:32" s="13" customFormat="1" x14ac:dyDescent="0.25">
      <c r="A36" s="11" t="s">
        <v>42</v>
      </c>
      <c r="B36" s="6">
        <f>'Energy Readings'!D36</f>
        <v>1386.0400000000373</v>
      </c>
      <c r="C36" s="6">
        <f>'Energy Readings'!F36</f>
        <v>1780.75</v>
      </c>
      <c r="D36" s="6">
        <f>'Energy Readings'!H36</f>
        <v>1510.7599999997765</v>
      </c>
      <c r="E36" s="6">
        <f>'Energy Readings'!J36</f>
        <v>800.70999999996275</v>
      </c>
      <c r="F36" s="6">
        <f>'Energy Readings'!L36</f>
        <v>1159.4400000004098</v>
      </c>
      <c r="G36" s="6">
        <f>'Energy Readings'!N36</f>
        <v>2094.2299999995157</v>
      </c>
      <c r="H36" s="6">
        <f>'Energy Readings'!P36</f>
        <v>2209.3500000005588</v>
      </c>
      <c r="I36" s="6">
        <f>'Energy Readings'!R36-500</f>
        <v>1793.2299999995157</v>
      </c>
      <c r="J36" s="6">
        <f>'Energy Readings'!T36</f>
        <v>2209.5400000000373</v>
      </c>
      <c r="K36" s="6">
        <f>'Energy Readings'!V36</f>
        <v>2206.1900000004098</v>
      </c>
      <c r="L36" s="6">
        <f>'Energy Readings'!X36</f>
        <v>1762.3600000003353</v>
      </c>
      <c r="M36" s="6">
        <f>'Energy Readings'!Z36</f>
        <v>89.679999999701977</v>
      </c>
      <c r="N36" s="114">
        <f>'Energy Readings'!AB36</f>
        <v>520.47999999951571</v>
      </c>
      <c r="O36" s="6">
        <f>'Energy Readings'!AD36-500</f>
        <v>2089.2600000007078</v>
      </c>
      <c r="P36" s="6">
        <f>'Energy Readings'!AF36</f>
        <v>2646.1199999991804</v>
      </c>
      <c r="Q36" s="6">
        <f>'Energy Readings'!AH36</f>
        <v>2183.0900000007823</v>
      </c>
      <c r="R36" s="6">
        <f>'Energy Readings'!AJ36</f>
        <v>2291.7599999997765</v>
      </c>
      <c r="S36" s="6">
        <f>'Energy Readings'!AL36</f>
        <v>1503.7999999998137</v>
      </c>
      <c r="T36" s="6">
        <f>'Energy Readings'!AN36</f>
        <v>2373.2199999997392</v>
      </c>
      <c r="U36" s="6">
        <f>'Energy Readings'!AP36</f>
        <v>2294.1100000003353</v>
      </c>
      <c r="V36" s="6">
        <f>'Energy Readings'!AR36</f>
        <v>2281.8700000001118</v>
      </c>
      <c r="W36" s="6">
        <f>'Energy Readings'!AT36</f>
        <v>2300.3899999996647</v>
      </c>
      <c r="X36" s="6">
        <f>'Energy Readings'!AV36</f>
        <v>1913.4900000002235</v>
      </c>
      <c r="Y36" s="6">
        <f>'Energy Readings'!AX36</f>
        <v>2165.1200000001118</v>
      </c>
      <c r="Z36" s="6">
        <f>'Energy Readings'!AZ36</f>
        <v>1476.3700000001118</v>
      </c>
      <c r="AA36" s="6">
        <f>'Energy Readings'!BB36</f>
        <v>959.16999999992549</v>
      </c>
      <c r="AB36" s="6">
        <f>'Energy Readings'!BD36</f>
        <v>102.58999999985099</v>
      </c>
      <c r="AC36" s="6">
        <f>'Energy Readings'!BF36</f>
        <v>67.519999999552965</v>
      </c>
      <c r="AD36" s="6">
        <f>'Energy Readings'!BH36</f>
        <v>443.07000000029802</v>
      </c>
      <c r="AE36" s="6">
        <f>'Energy Readings'!BJ36</f>
        <v>1316.3500000005588</v>
      </c>
      <c r="AF36" s="6">
        <f t="shared" si="9"/>
        <v>47930.060000000522</v>
      </c>
    </row>
    <row r="37" spans="1:32" s="13" customFormat="1" x14ac:dyDescent="0.25">
      <c r="A37" s="11" t="s">
        <v>253</v>
      </c>
      <c r="B37" s="6">
        <f>'Energy Readings'!D37</f>
        <v>2468.5599999999977</v>
      </c>
      <c r="C37" s="6">
        <f>'Energy Readings'!F37</f>
        <v>2338.3999999999942</v>
      </c>
      <c r="D37" s="6">
        <f>'Energy Readings'!H37</f>
        <v>1782.2600000000093</v>
      </c>
      <c r="E37" s="6">
        <f>'Energy Readings'!J37</f>
        <v>2306.0799999999872</v>
      </c>
      <c r="F37" s="6">
        <f>'Energy Readings'!L37</f>
        <v>2238.6600000000035</v>
      </c>
      <c r="G37" s="6">
        <f>'Energy Readings'!N37</f>
        <v>2274.6600000000035</v>
      </c>
      <c r="H37" s="6">
        <f>'Energy Readings'!P37</f>
        <v>1935.7000000000116</v>
      </c>
      <c r="I37" s="6">
        <f>'Energy Readings'!R37</f>
        <v>1664.2999999999884</v>
      </c>
      <c r="J37" s="6">
        <f>'Energy Readings'!T37</f>
        <v>1718.9599999999919</v>
      </c>
      <c r="K37" s="6">
        <f>'Energy Readings'!V37</f>
        <v>1848.4351999999999</v>
      </c>
      <c r="L37" s="6">
        <f>'Energy Readings'!X37</f>
        <v>1694.1232</v>
      </c>
      <c r="M37" s="6">
        <f>'Energy Readings'!Z37</f>
        <v>1813.6419999999998</v>
      </c>
      <c r="N37" s="114">
        <f>'Energy Readings'!AB37</f>
        <v>1628.4859999999999</v>
      </c>
      <c r="O37" s="6">
        <f>'Energy Readings'!AD37</f>
        <v>1718.4822000000004</v>
      </c>
      <c r="P37" s="6">
        <f>'Energy Readings'!AF37</f>
        <v>1944.4778000000006</v>
      </c>
      <c r="Q37" s="6">
        <f>'Energy Readings'!AH37</f>
        <v>2217.6649999999991</v>
      </c>
      <c r="R37" s="6">
        <f>'Energy Readings'!AJ37</f>
        <v>2379.9590000000007</v>
      </c>
      <c r="S37" s="6">
        <f>'Energy Readings'!AL37</f>
        <v>2262.2180000000008</v>
      </c>
      <c r="T37" s="6">
        <f>'Energy Readings'!AN37</f>
        <v>2231.9779999999992</v>
      </c>
      <c r="U37" s="6">
        <f>'Energy Readings'!AP37</f>
        <v>1910.594000000001</v>
      </c>
      <c r="V37" s="6">
        <f>'Energy Readings'!AR37</f>
        <v>1360.1299999999974</v>
      </c>
      <c r="W37" s="6">
        <f>'Energy Readings'!AT37</f>
        <v>1475.3120000000017</v>
      </c>
      <c r="X37" s="6">
        <f>'Energy Readings'!AV37</f>
        <v>23.891999999999825</v>
      </c>
      <c r="Y37" s="6">
        <f>'Energy Readings'!AX37</f>
        <v>836.34799999999814</v>
      </c>
      <c r="Z37" s="6">
        <f>'Energy Readings'!AZ37</f>
        <v>2251.336000000003</v>
      </c>
      <c r="AA37" s="6">
        <f>'Energy Readings'!BB37</f>
        <v>2320.5959999999977</v>
      </c>
      <c r="AB37" s="6">
        <f>'Energy Readings'!BD37</f>
        <v>2034.2920000000013</v>
      </c>
      <c r="AC37" s="6">
        <f>'Energy Readings'!BF37</f>
        <v>1840.0479999999989</v>
      </c>
      <c r="AD37" s="6">
        <f>'Energy Readings'!BH37</f>
        <v>2236.2039999999979</v>
      </c>
      <c r="AE37" s="6">
        <f>'Energy Readings'!BJ37</f>
        <v>1143.0640000000058</v>
      </c>
      <c r="AF37" s="6">
        <f t="shared" si="9"/>
        <v>55898.862399999991</v>
      </c>
    </row>
    <row r="38" spans="1:32" s="13" customFormat="1" x14ac:dyDescent="0.25">
      <c r="A38" s="11" t="s">
        <v>12</v>
      </c>
      <c r="B38" s="6">
        <f>'Energy Readings'!D38</f>
        <v>230.58999999985099</v>
      </c>
      <c r="C38" s="6">
        <f>'Energy Readings'!F38</f>
        <v>323.29000000003725</v>
      </c>
      <c r="D38" s="6">
        <f>'Energy Readings'!H38</f>
        <v>275.27000000001863</v>
      </c>
      <c r="E38" s="6">
        <f>'Energy Readings'!J38</f>
        <v>279.07000000006519</v>
      </c>
      <c r="F38" s="6">
        <f>'Energy Readings'!L38</f>
        <v>274.58999999985099</v>
      </c>
      <c r="G38" s="6">
        <f>'Energy Readings'!N38</f>
        <v>271.01000000000931</v>
      </c>
      <c r="H38" s="6">
        <f>'Energy Readings'!P38</f>
        <v>261.82000000006519</v>
      </c>
      <c r="I38" s="6">
        <f>'Energy Readings'!R38</f>
        <v>277.27000000001863</v>
      </c>
      <c r="J38" s="6">
        <f>'Energy Readings'!T38</f>
        <v>257.32000000006519</v>
      </c>
      <c r="K38" s="6">
        <f>'Energy Readings'!V38</f>
        <v>268.23999999999069</v>
      </c>
      <c r="L38" s="6">
        <f>'Energy Readings'!X38</f>
        <v>70.229999999981374</v>
      </c>
      <c r="M38" s="6">
        <f>'Energy Readings'!Z38</f>
        <v>458.08000000007451</v>
      </c>
      <c r="N38" s="114">
        <f>'Energy Readings'!AB38</f>
        <v>279.79999999981374</v>
      </c>
      <c r="O38" s="6">
        <f>'Energy Readings'!AD38</f>
        <v>276.72999999998137</v>
      </c>
      <c r="P38" s="6">
        <f>'Energy Readings'!AF38</f>
        <v>268.27000000001863</v>
      </c>
      <c r="Q38" s="6">
        <f>'Energy Readings'!AH38</f>
        <v>269.16000000014901</v>
      </c>
      <c r="R38" s="6">
        <f>'Energy Readings'!AJ38</f>
        <v>274.93999999994412</v>
      </c>
      <c r="S38" s="6">
        <f>'Energy Readings'!AL38</f>
        <v>273.47999999998137</v>
      </c>
      <c r="T38" s="6">
        <f>'Energy Readings'!AN38</f>
        <v>269.28000000002794</v>
      </c>
      <c r="U38" s="6">
        <f>'Energy Readings'!AP38</f>
        <v>276.89999999990687</v>
      </c>
      <c r="V38" s="6">
        <f>'Energy Readings'!AR38</f>
        <v>279.73999999999069</v>
      </c>
      <c r="W38" s="6">
        <f>'Energy Readings'!AT38</f>
        <v>274.87000000011176</v>
      </c>
      <c r="X38" s="6">
        <f>'Energy Readings'!AV38</f>
        <v>272.65999999991618</v>
      </c>
      <c r="Y38" s="6">
        <f>'Energy Readings'!AX38</f>
        <v>279.04000000003725</v>
      </c>
      <c r="Z38" s="6">
        <f>'Energy Readings'!AZ38</f>
        <v>285.76000000000931</v>
      </c>
      <c r="AA38" s="6">
        <f>'Energy Readings'!BB38</f>
        <v>302.88000000012107</v>
      </c>
      <c r="AB38" s="6">
        <f>'Energy Readings'!BD38</f>
        <v>330.35999999986961</v>
      </c>
      <c r="AC38" s="6">
        <f>'Energy Readings'!BF38</f>
        <v>290.78000000002794</v>
      </c>
      <c r="AD38" s="6">
        <f>'Energy Readings'!BH38</f>
        <v>356</v>
      </c>
      <c r="AE38" s="6">
        <f>'Energy Readings'!BJ38</f>
        <v>216.07000000006519</v>
      </c>
      <c r="AF38" s="6">
        <f t="shared" si="9"/>
        <v>8323.5</v>
      </c>
    </row>
    <row r="39" spans="1:32" s="13" customFormat="1" x14ac:dyDescent="0.25">
      <c r="A39" s="11" t="s">
        <v>106</v>
      </c>
      <c r="B39" s="6">
        <f>'Energy Readings'!D39</f>
        <v>710.94000000017695</v>
      </c>
      <c r="C39" s="6">
        <f>'Energy Readings'!F39</f>
        <v>676.55000000004657</v>
      </c>
      <c r="D39" s="6">
        <f>'Energy Readings'!H39</f>
        <v>663.98999999999069</v>
      </c>
      <c r="E39" s="6">
        <f>'Energy Readings'!J39</f>
        <v>713.55999999982305</v>
      </c>
      <c r="F39" s="6">
        <f>'Energy Readings'!L39</f>
        <v>714.06000000005588</v>
      </c>
      <c r="G39" s="6">
        <f>'Energy Readings'!N39</f>
        <v>685.23999999999069</v>
      </c>
      <c r="H39" s="6">
        <f>'Energy Readings'!P39</f>
        <v>706.76000000000931</v>
      </c>
      <c r="I39" s="6">
        <f>'Energy Readings'!R39</f>
        <v>720.47999999998137</v>
      </c>
      <c r="J39" s="6">
        <f>'Energy Readings'!T39</f>
        <v>691.93999999994412</v>
      </c>
      <c r="K39" s="6">
        <f>'Energy Readings'!V39</f>
        <v>703.51000000000931</v>
      </c>
      <c r="L39" s="6">
        <f>'Energy Readings'!X39</f>
        <v>694.47999999998137</v>
      </c>
      <c r="M39" s="6">
        <f>'Energy Readings'!Z39</f>
        <v>656.81000000005588</v>
      </c>
      <c r="N39" s="114">
        <f>'Energy Readings'!AB39</f>
        <v>635.5</v>
      </c>
      <c r="O39" s="6">
        <f>'Energy Readings'!AD39</f>
        <v>660.16000000014901</v>
      </c>
      <c r="P39" s="6">
        <f>'Energy Readings'!AF39</f>
        <v>686.43999999994412</v>
      </c>
      <c r="Q39" s="6">
        <f>'Energy Readings'!AH39</f>
        <v>694.92999999993481</v>
      </c>
      <c r="R39" s="6">
        <f>'Energy Readings'!AJ39</f>
        <v>715.18999999994412</v>
      </c>
      <c r="S39" s="6">
        <f>'Energy Readings'!AL39</f>
        <v>1302.7900000000373</v>
      </c>
      <c r="T39" s="6">
        <f>'Energy Readings'!AN39</f>
        <v>640.13000000012107</v>
      </c>
      <c r="U39" s="6">
        <f>'Energy Readings'!AP39</f>
        <v>135.65999999991618</v>
      </c>
      <c r="V39" s="6">
        <f>'Energy Readings'!AR39</f>
        <v>662.56000000005588</v>
      </c>
      <c r="W39" s="6">
        <f>'Energy Readings'!AT39</f>
        <v>594.26000000000931</v>
      </c>
      <c r="X39" s="6">
        <f>'Energy Readings'!AV39</f>
        <v>475.88999999989755</v>
      </c>
      <c r="Y39" s="6">
        <f>'Energy Readings'!AX39</f>
        <v>621.68999999994412</v>
      </c>
      <c r="Z39" s="6">
        <f>'Energy Readings'!AZ39</f>
        <v>713.4000000001397</v>
      </c>
      <c r="AA39" s="6">
        <f>'Energy Readings'!BB39</f>
        <v>719.33999999985099</v>
      </c>
      <c r="AB39" s="6">
        <f>'Energy Readings'!BD39</f>
        <v>611.31000000005588</v>
      </c>
      <c r="AC39" s="6">
        <f>'Energy Readings'!BF39</f>
        <v>616.70999999996275</v>
      </c>
      <c r="AD39" s="6">
        <f>'Energy Readings'!BH39</f>
        <v>778.89000000013039</v>
      </c>
      <c r="AE39" s="6">
        <f>'Energy Readings'!BJ39</f>
        <v>371.68999999994412</v>
      </c>
      <c r="AF39" s="6">
        <f t="shared" si="9"/>
        <v>19974.860000000102</v>
      </c>
    </row>
    <row r="40" spans="1:32" s="13" customFormat="1" x14ac:dyDescent="0.25">
      <c r="A40" s="13" t="s">
        <v>108</v>
      </c>
      <c r="B40" s="6">
        <f>'Energy Readings'!D40</f>
        <v>0</v>
      </c>
      <c r="C40" s="6">
        <f>'Energy Readings'!F40</f>
        <v>0</v>
      </c>
      <c r="D40" s="6">
        <f>'Energy Readings'!H40</f>
        <v>0</v>
      </c>
      <c r="E40" s="6">
        <f>'Energy Readings'!J40</f>
        <v>0</v>
      </c>
      <c r="F40" s="6">
        <f>'Energy Readings'!L40</f>
        <v>0</v>
      </c>
      <c r="G40" s="6">
        <f>'Energy Readings'!N40</f>
        <v>0</v>
      </c>
      <c r="H40" s="6">
        <f>'Energy Readings'!P40</f>
        <v>0</v>
      </c>
      <c r="I40" s="6">
        <f>'Energy Readings'!R40</f>
        <v>0</v>
      </c>
      <c r="J40" s="6">
        <f>'Energy Readings'!T40</f>
        <v>0</v>
      </c>
      <c r="K40" s="6">
        <f>'Energy Readings'!V40</f>
        <v>0</v>
      </c>
      <c r="L40" s="6">
        <f>'Energy Readings'!X40</f>
        <v>0</v>
      </c>
      <c r="M40" s="6">
        <f>'Energy Readings'!Z40</f>
        <v>0</v>
      </c>
      <c r="N40" s="114">
        <f>'Energy Readings'!AB40</f>
        <v>0</v>
      </c>
      <c r="O40" s="6">
        <f>'Energy Readings'!AD40</f>
        <v>0</v>
      </c>
      <c r="P40" s="6">
        <f>'Energy Readings'!AF40</f>
        <v>0</v>
      </c>
      <c r="Q40" s="6">
        <f>'Energy Readings'!AH40</f>
        <v>0</v>
      </c>
      <c r="R40" s="6">
        <f>'Energy Readings'!AJ40</f>
        <v>0</v>
      </c>
      <c r="S40" s="6">
        <f>'Energy Readings'!AL40</f>
        <v>0</v>
      </c>
      <c r="T40" s="6">
        <f>'Energy Readings'!AN40</f>
        <v>0</v>
      </c>
      <c r="U40" s="6">
        <f>'Energy Readings'!AP40</f>
        <v>0</v>
      </c>
      <c r="V40" s="6">
        <f>'Energy Readings'!AR40</f>
        <v>0</v>
      </c>
      <c r="W40" s="6">
        <f>'Energy Readings'!AT40</f>
        <v>0</v>
      </c>
      <c r="X40" s="6">
        <f>'Energy Readings'!AV40</f>
        <v>0</v>
      </c>
      <c r="Y40" s="6">
        <f>'Energy Readings'!AX40</f>
        <v>0</v>
      </c>
      <c r="Z40" s="6">
        <f>'Energy Readings'!AZ40</f>
        <v>0</v>
      </c>
      <c r="AA40" s="6">
        <f>'Energy Readings'!BB40</f>
        <v>0</v>
      </c>
      <c r="AB40" s="6">
        <f>'Energy Readings'!BD40</f>
        <v>0</v>
      </c>
      <c r="AC40" s="6">
        <f>'Energy Readings'!BF40</f>
        <v>0</v>
      </c>
      <c r="AD40" s="6">
        <f>'Energy Readings'!BH40</f>
        <v>0</v>
      </c>
      <c r="AE40" s="6">
        <f>'Energy Readings'!BJ40</f>
        <v>0</v>
      </c>
      <c r="AF40" s="6">
        <f t="shared" si="9"/>
        <v>0</v>
      </c>
    </row>
    <row r="41" spans="1:32" ht="15.75" customHeight="1" x14ac:dyDescent="0.3">
      <c r="A41" s="2" t="s">
        <v>227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14">
        <f>'Energy Readings'!AB41</f>
        <v>0</v>
      </c>
      <c r="O41" s="6"/>
      <c r="P41" s="6"/>
      <c r="Q41" s="6"/>
      <c r="R41" s="6"/>
      <c r="S41" s="6"/>
      <c r="T41" s="6"/>
      <c r="U41" s="6"/>
      <c r="V41" s="6"/>
      <c r="W41" s="6">
        <f>'Energy Readings'!AT41</f>
        <v>0</v>
      </c>
      <c r="X41" s="6">
        <f>'Energy Readings'!AV41</f>
        <v>0</v>
      </c>
      <c r="Y41" s="6"/>
      <c r="Z41" s="6"/>
      <c r="AA41" s="6">
        <f>'Energy Readings'!BB41</f>
        <v>0</v>
      </c>
      <c r="AB41" s="6">
        <f>'Energy Readings'!BD41</f>
        <v>0</v>
      </c>
      <c r="AC41" s="6">
        <f>'Energy Readings'!BF41</f>
        <v>0</v>
      </c>
      <c r="AD41" s="6">
        <f>'Energy Readings'!BH41</f>
        <v>0</v>
      </c>
      <c r="AE41" s="6">
        <f>'Energy Readings'!BJ41</f>
        <v>0</v>
      </c>
      <c r="AF41" s="6"/>
    </row>
    <row r="42" spans="1:32" x14ac:dyDescent="0.25">
      <c r="A42" s="4" t="s">
        <v>14</v>
      </c>
      <c r="B42" s="6">
        <f>'Energy Readings'!D42</f>
        <v>21623.000000001412</v>
      </c>
      <c r="C42" s="6">
        <f>'Energy Readings'!F42-200</f>
        <v>35193.000000000029</v>
      </c>
      <c r="D42" s="6">
        <f>'Energy Readings'!H42</f>
        <v>47950.999999999112</v>
      </c>
      <c r="E42" s="6">
        <f>'Energy Readings'!J42+500</f>
        <v>45551.99999999968</v>
      </c>
      <c r="F42" s="6">
        <f>'Energy Readings'!L42</f>
        <v>46944.000000001324</v>
      </c>
      <c r="G42" s="6">
        <f>'Energy Readings'!N42+100</f>
        <v>51101.999999998588</v>
      </c>
      <c r="H42" s="6">
        <f>'Energy Readings'!P42</f>
        <v>43490.999999999985</v>
      </c>
      <c r="I42" s="6">
        <f>'Energy Readings'!R42</f>
        <v>50257.999999999811</v>
      </c>
      <c r="J42" s="6">
        <f>'Energy Readings'!T42+2100</f>
        <v>50960.000000000582</v>
      </c>
      <c r="K42" s="6">
        <f>'Energy Readings'!V42</f>
        <v>47058.000000000902</v>
      </c>
      <c r="L42" s="6">
        <f>'Energy Readings'!X42-450</f>
        <v>50564.999999999418</v>
      </c>
      <c r="M42" s="6">
        <f>'Energy Readings'!Z42+800</f>
        <v>43359.000000001106</v>
      </c>
      <c r="N42" s="114">
        <f>'Energy Readings'!AB42-400</f>
        <v>50756.999999999243</v>
      </c>
      <c r="O42" s="6">
        <f>'Energy Readings'!AD42</f>
        <v>44963.999999999942</v>
      </c>
      <c r="P42" s="6">
        <f>'Energy Readings'!AF42+1000</f>
        <v>39425.999999999476</v>
      </c>
      <c r="Q42" s="6">
        <f>'Energy Readings'!AH42</f>
        <v>51575.000000000728</v>
      </c>
      <c r="R42" s="6">
        <f>'Energy Readings'!AJ42</f>
        <v>49125</v>
      </c>
      <c r="S42" s="6">
        <f>'Energy Readings'!AL42</f>
        <v>50329.999999998108</v>
      </c>
      <c r="T42" s="6">
        <f>'Energy Readings'!AN42</f>
        <v>50970.000000001164</v>
      </c>
      <c r="U42" s="6">
        <f>'Energy Readings'!AP42</f>
        <v>50740.000000001601</v>
      </c>
      <c r="V42" s="6">
        <f>'Energy Readings'!AR42</f>
        <v>49608.000000000175</v>
      </c>
      <c r="W42" s="6">
        <f>'Energy Readings'!AT42</f>
        <v>51786.000000000058</v>
      </c>
      <c r="X42" s="6">
        <f>'Energy Readings'!AV42</f>
        <v>49311.999999998079</v>
      </c>
      <c r="Y42" s="6">
        <f>'Energy Readings'!AX42-100</f>
        <v>51357.999999998719</v>
      </c>
      <c r="Z42" s="6">
        <f>'Energy Readings'!AZ42</f>
        <v>50688.000000001921</v>
      </c>
      <c r="AA42" s="6">
        <f>'Energy Readings'!BB42-500</f>
        <v>49043.99999999805</v>
      </c>
      <c r="AB42" s="6">
        <f>'Energy Readings'!BD42</f>
        <v>40886.000000002241</v>
      </c>
      <c r="AC42" s="6">
        <f>'Energy Readings'!BF42+400</f>
        <v>39517.999999998574</v>
      </c>
      <c r="AD42" s="6">
        <f>'Energy Readings'!BH42</f>
        <v>43734.000000000378</v>
      </c>
      <c r="AE42" s="6">
        <f>'Energy Readings'!BJ42+500</f>
        <v>44849.999999998545</v>
      </c>
      <c r="AF42" s="6">
        <f t="shared" ref="AF42:AF52" si="10">SUM(B42:AE42)</f>
        <v>1392726.9999999995</v>
      </c>
    </row>
    <row r="43" spans="1:32" x14ac:dyDescent="0.25">
      <c r="A43" s="4" t="s">
        <v>124</v>
      </c>
      <c r="B43" s="6">
        <f>'Energy Readings'!D43</f>
        <v>3896.3599999999587</v>
      </c>
      <c r="C43" s="6">
        <f>'Energy Readings'!F43</f>
        <v>5048.4400000000278</v>
      </c>
      <c r="D43" s="6">
        <f>'Energy Readings'!H43</f>
        <v>5882.88</v>
      </c>
      <c r="E43" s="6">
        <f>'Energy Readings'!J43+200</f>
        <v>5790.8799999999701</v>
      </c>
      <c r="F43" s="6">
        <f>'Energy Readings'!L43</f>
        <v>6149.3200000001025</v>
      </c>
      <c r="G43" s="6">
        <f>'Energy Readings'!N43</f>
        <v>6549.4799999999032</v>
      </c>
      <c r="H43" s="6">
        <f>'Energy Readings'!P43</f>
        <v>5796.0800000000745</v>
      </c>
      <c r="I43" s="6">
        <f>'Energy Readings'!R43</f>
        <v>6543.0800000000318</v>
      </c>
      <c r="J43" s="6">
        <f>'Energy Readings'!T43</f>
        <v>6326.6799999998966</v>
      </c>
      <c r="K43" s="6">
        <f>'Energy Readings'!V43</f>
        <v>6305.6800000000521</v>
      </c>
      <c r="L43" s="6">
        <f>'Energy Readings'!X43-300</f>
        <v>6372.1999999999753</v>
      </c>
      <c r="M43" s="6">
        <f>'Energy Readings'!Z43+300</f>
        <v>5765.0400000000445</v>
      </c>
      <c r="N43" s="114">
        <f>'Energy Readings'!AB43-64</f>
        <v>6636.0799999999572</v>
      </c>
      <c r="O43" s="6">
        <f>'Energy Readings'!AD43</f>
        <v>6459.0400000000727</v>
      </c>
      <c r="P43" s="6">
        <f>'Energy Readings'!AF43</f>
        <v>5336.5599999999631</v>
      </c>
      <c r="Q43" s="6">
        <f>'Energy Readings'!AH43</f>
        <v>6841.5099999999711</v>
      </c>
      <c r="R43" s="6">
        <f>'Energy Readings'!AJ43</f>
        <v>6721.2100000000419</v>
      </c>
      <c r="S43" s="6">
        <f>'Energy Readings'!AL43</f>
        <v>7052.3999999999205</v>
      </c>
      <c r="T43" s="6">
        <f>'Energy Readings'!AN43</f>
        <v>7133.2800000000134</v>
      </c>
      <c r="U43" s="6">
        <f>'Energy Readings'!AP43</f>
        <v>7147.5199999999859</v>
      </c>
      <c r="V43" s="6">
        <f>'Energy Readings'!AR43</f>
        <v>7008.2400000000007</v>
      </c>
      <c r="W43" s="6">
        <f>'Energy Readings'!AT43</f>
        <v>7384.8800000000665</v>
      </c>
      <c r="X43" s="6">
        <f>'Energy Readings'!AV43</f>
        <v>7080.5599999999913</v>
      </c>
      <c r="Y43" s="6">
        <f>'Energy Readings'!AX43</f>
        <v>7213.7500000000045</v>
      </c>
      <c r="Z43" s="6">
        <f>'Energy Readings'!AZ43</f>
        <v>7202.0099999999729</v>
      </c>
      <c r="AA43" s="6">
        <f>'Energy Readings'!BB43</f>
        <v>6734.4799999999623</v>
      </c>
      <c r="AB43" s="6">
        <f>'Energy Readings'!BD43</f>
        <v>5254.6399999999949</v>
      </c>
      <c r="AC43" s="6">
        <f>'Energy Readings'!BF43</f>
        <v>5295.840000000112</v>
      </c>
      <c r="AD43" s="6">
        <f>'Energy Readings'!BH43-590</f>
        <v>5185.5199999999149</v>
      </c>
      <c r="AE43" s="6">
        <f>'Energy Readings'!BJ43+145</f>
        <v>6091.3200000000143</v>
      </c>
      <c r="AF43" s="6">
        <f t="shared" si="10"/>
        <v>188204.95999999996</v>
      </c>
    </row>
    <row r="44" spans="1:32" s="32" customFormat="1" x14ac:dyDescent="0.25">
      <c r="A44" s="29" t="s">
        <v>45</v>
      </c>
      <c r="B44" s="30">
        <f>'Energy Readings'!D44+B77</f>
        <v>3599.2400000020862</v>
      </c>
      <c r="C44" s="30">
        <f>'Energy Readings'!F44+C77</f>
        <v>3943.0999999977648</v>
      </c>
      <c r="D44" s="30">
        <f>'Energy Readings'!H44+D77</f>
        <v>4209.4400000013411</v>
      </c>
      <c r="E44" s="30">
        <f>'Energy Readings'!J44+E77</f>
        <v>4245.910000000149</v>
      </c>
      <c r="F44" s="30">
        <f>'Energy Readings'!L44+F77</f>
        <v>4365.3299999982119</v>
      </c>
      <c r="G44" s="30">
        <f>'Energy Readings'!N44+G77</f>
        <v>4447.0500000007451</v>
      </c>
      <c r="H44" s="30">
        <f>'Energy Readings'!P44+H77</f>
        <v>4262.4700000025332</v>
      </c>
      <c r="I44" s="30">
        <f>'Energy Readings'!R44+I77</f>
        <v>4594.410000000149</v>
      </c>
      <c r="J44" s="30">
        <f>'Energy Readings'!T44+J77</f>
        <v>4280.4799999967217</v>
      </c>
      <c r="K44" s="30">
        <f>'Energy Readings'!V44+K77</f>
        <v>4367.3100000023842</v>
      </c>
      <c r="L44" s="30">
        <f>'Energy Readings'!X44+L77</f>
        <v>4582.8799999989569</v>
      </c>
      <c r="M44" s="30">
        <f>'Energy Readings'!Z44+M77</f>
        <v>4040.9499999992549</v>
      </c>
      <c r="N44" s="30">
        <f>'Energy Readings'!AB44+N77</f>
        <v>4311.1500000022352</v>
      </c>
      <c r="O44" s="30">
        <f>'Energy Readings'!AD44+O77</f>
        <v>3735.2899999991059</v>
      </c>
      <c r="P44" s="30">
        <f>'Energy Readings'!AF44+P77</f>
        <v>3245.2899999991059</v>
      </c>
      <c r="Q44" s="30">
        <f>'Energy Readings'!AH44+Q77</f>
        <v>4151.7400000020862</v>
      </c>
      <c r="R44" s="30">
        <f>'Energy Readings'!AJ44+R77</f>
        <v>4023.160000000149</v>
      </c>
      <c r="S44" s="30">
        <f>'Energy Readings'!AL44</f>
        <v>4222.929999999702</v>
      </c>
      <c r="T44" s="30">
        <f>'Energy Readings'!AN44+T77</f>
        <v>4353.019999999553</v>
      </c>
      <c r="U44" s="30">
        <f>'Energy Readings'!AP44+U77</f>
        <v>4561.0399999991059</v>
      </c>
      <c r="V44" s="30">
        <f>'Energy Readings'!AR44+V77</f>
        <v>4454.769999999553</v>
      </c>
      <c r="W44" s="30">
        <f>'Energy Readings'!AT44+W77</f>
        <v>4723.2800000011921</v>
      </c>
      <c r="X44" s="30">
        <f>'Energy Readings'!AV44+X77</f>
        <v>4383.0399999991059</v>
      </c>
      <c r="Y44" s="30">
        <f>'Energy Readings'!AX44+Y77</f>
        <v>4481.109999999404</v>
      </c>
      <c r="Z44" s="30">
        <f>'Energy Readings'!AZ44+Z77</f>
        <v>4556.839999999851</v>
      </c>
      <c r="AA44" s="30">
        <f>'Energy Readings'!BB44+AA77</f>
        <v>4466.2200000025332</v>
      </c>
      <c r="AB44" s="30">
        <f>'Energy Readings'!BD44+AB77</f>
        <v>4160.5999999977648</v>
      </c>
      <c r="AC44" s="30">
        <f>'Energy Readings'!BF44+AC77</f>
        <v>3748.0300000011921</v>
      </c>
      <c r="AD44" s="30">
        <f>'Energy Readings'!BH44+AD77</f>
        <v>3811.359999999404</v>
      </c>
      <c r="AE44" s="30">
        <f>'Energy Readings'!BJ44+AE77</f>
        <v>3462.6299999989569</v>
      </c>
      <c r="AF44" s="6">
        <f t="shared" si="10"/>
        <v>125790.0700000003</v>
      </c>
    </row>
    <row r="45" spans="1:32" x14ac:dyDescent="0.25">
      <c r="A45" s="4" t="s">
        <v>127</v>
      </c>
      <c r="B45" s="6">
        <f>'Energy Readings'!D45</f>
        <v>174.30999999982305</v>
      </c>
      <c r="C45" s="6">
        <f>'Energy Readings'!F45</f>
        <v>334.67000000015832</v>
      </c>
      <c r="D45" s="6">
        <f>'Energy Readings'!H45</f>
        <v>442.03000000002794</v>
      </c>
      <c r="E45" s="6">
        <f>'Energy Readings'!J45</f>
        <v>439.56999999983236</v>
      </c>
      <c r="F45" s="6">
        <f>'Energy Readings'!L45</f>
        <v>565.58000000007451</v>
      </c>
      <c r="G45" s="6">
        <f>'Energy Readings'!N45</f>
        <v>566.13999999989755</v>
      </c>
      <c r="H45" s="6">
        <f>'Energy Readings'!P45</f>
        <v>438.86000000010245</v>
      </c>
      <c r="I45" s="6">
        <f>'Energy Readings'!R45</f>
        <v>582.60000000009313</v>
      </c>
      <c r="J45" s="6">
        <f>'Energy Readings'!T45</f>
        <v>617.69999999995343</v>
      </c>
      <c r="K45" s="6">
        <f>'Energy Readings'!V45</f>
        <v>619.38999999989755</v>
      </c>
      <c r="L45" s="6">
        <f>'Energy Readings'!X45</f>
        <v>706.05000000004657</v>
      </c>
      <c r="M45" s="6">
        <f>'Energy Readings'!Z45</f>
        <v>530.98999999999069</v>
      </c>
      <c r="N45" s="114">
        <f>'Energy Readings'!AB45</f>
        <v>621.85000000009313</v>
      </c>
      <c r="O45" s="6">
        <f>'Energy Readings'!AD45</f>
        <v>474.97999999998137</v>
      </c>
      <c r="P45" s="6">
        <f>'Energy Readings'!AF45</f>
        <v>421.95999999996275</v>
      </c>
      <c r="Q45" s="6">
        <f>'Energy Readings'!AH45</f>
        <v>569.51000000000931</v>
      </c>
      <c r="R45" s="6">
        <f>'Energy Readings'!AJ45</f>
        <v>586.15999999991618</v>
      </c>
      <c r="S45" s="6">
        <f>'Energy Readings'!AL45</f>
        <v>595.47999999998137</v>
      </c>
      <c r="T45" s="6">
        <f>'Energy Readings'!AN45</f>
        <v>601.55000000004657</v>
      </c>
      <c r="U45" s="6">
        <f>'Energy Readings'!AP45</f>
        <v>575.62000000011176</v>
      </c>
      <c r="V45" s="6">
        <f>'Energy Readings'!AR45</f>
        <v>482.19999999995343</v>
      </c>
      <c r="W45" s="6">
        <f>'Energy Readings'!AT45</f>
        <v>565.07999999984168</v>
      </c>
      <c r="X45" s="6">
        <f>'Energy Readings'!AV45</f>
        <v>446.51000000000931</v>
      </c>
      <c r="Y45" s="6">
        <f>'Energy Readings'!AX45</f>
        <v>456.84000000008382</v>
      </c>
      <c r="Z45" s="6">
        <f>'Energy Readings'!AZ45</f>
        <v>514.71999999997206</v>
      </c>
      <c r="AA45" s="6">
        <f>'Energy Readings'!BB45</f>
        <v>502.11000000010245</v>
      </c>
      <c r="AB45" s="6">
        <f>'Energy Readings'!BD45</f>
        <v>543.12999999988824</v>
      </c>
      <c r="AC45" s="6">
        <f>'Energy Readings'!BF45</f>
        <v>472.96999999997206</v>
      </c>
      <c r="AD45" s="6">
        <f>'Energy Readings'!BH45</f>
        <v>504.71000000019558</v>
      </c>
      <c r="AE45" s="6">
        <f>'Energy Readings'!BJ45</f>
        <v>432</v>
      </c>
      <c r="AF45" s="6">
        <f t="shared" si="10"/>
        <v>15385.270000000019</v>
      </c>
    </row>
    <row r="46" spans="1:32" x14ac:dyDescent="0.25">
      <c r="A46" s="4" t="s">
        <v>125</v>
      </c>
      <c r="B46" s="6">
        <f>'Energy Readings'!D46</f>
        <v>0</v>
      </c>
      <c r="C46" s="6">
        <f>'Energy Readings'!F46</f>
        <v>0</v>
      </c>
      <c r="D46" s="6">
        <f>'Energy Readings'!H46</f>
        <v>0</v>
      </c>
      <c r="E46" s="6">
        <f>'Energy Readings'!J46</f>
        <v>0</v>
      </c>
      <c r="F46" s="6">
        <f>'Energy Readings'!L46</f>
        <v>0</v>
      </c>
      <c r="G46" s="6">
        <f>'Energy Readings'!N46</f>
        <v>0</v>
      </c>
      <c r="H46" s="6">
        <f>'Energy Readings'!P46</f>
        <v>0</v>
      </c>
      <c r="I46" s="6">
        <f>'Energy Readings'!R46</f>
        <v>0</v>
      </c>
      <c r="J46" s="6">
        <v>0</v>
      </c>
      <c r="K46" s="6">
        <f>'Energy Readings'!V46</f>
        <v>0</v>
      </c>
      <c r="L46" s="6">
        <f>'Energy Readings'!X46</f>
        <v>0</v>
      </c>
      <c r="M46" s="6">
        <f>'Energy Readings'!Z46</f>
        <v>0</v>
      </c>
      <c r="N46" s="114">
        <f>'Energy Readings'!AB46</f>
        <v>0</v>
      </c>
      <c r="O46" s="6">
        <f>'Energy Readings'!AD46</f>
        <v>0</v>
      </c>
      <c r="P46" s="6">
        <f>'Energy Readings'!AF46</f>
        <v>0</v>
      </c>
      <c r="Q46" s="6">
        <f>'Energy Readings'!AH46</f>
        <v>0</v>
      </c>
      <c r="R46" s="6">
        <f>'Energy Readings'!AJ46</f>
        <v>0</v>
      </c>
      <c r="S46" s="6">
        <f>'Energy Readings'!AL46</f>
        <v>447</v>
      </c>
      <c r="T46" s="6">
        <f>'Energy Readings'!AN46</f>
        <v>630</v>
      </c>
      <c r="U46" s="6">
        <f>'Energy Readings'!AP46</f>
        <v>628</v>
      </c>
      <c r="V46" s="6">
        <f>'Energy Readings'!AR46</f>
        <v>825</v>
      </c>
      <c r="W46" s="6">
        <f>'Energy Readings'!AT46</f>
        <v>486</v>
      </c>
      <c r="X46" s="6">
        <f>'Energy Readings'!AV46</f>
        <v>593</v>
      </c>
      <c r="Y46" s="6">
        <f>'Energy Readings'!AX46</f>
        <v>627</v>
      </c>
      <c r="Z46" s="6">
        <f>'Energy Readings'!AZ46</f>
        <v>617</v>
      </c>
      <c r="AA46" s="6">
        <f>'Energy Readings'!BB46</f>
        <v>613</v>
      </c>
      <c r="AB46" s="6">
        <f>'Energy Readings'!BD46</f>
        <v>624</v>
      </c>
      <c r="AC46" s="6">
        <f>'Energy Readings'!BF46</f>
        <v>648</v>
      </c>
      <c r="AD46" s="6">
        <f>'Energy Readings'!BH46</f>
        <v>592</v>
      </c>
      <c r="AE46" s="6">
        <f>'Energy Readings'!BJ46</f>
        <v>586</v>
      </c>
      <c r="AF46" s="6">
        <f t="shared" si="10"/>
        <v>7916</v>
      </c>
    </row>
    <row r="47" spans="1:32" x14ac:dyDescent="0.25">
      <c r="A47" s="4" t="s">
        <v>126</v>
      </c>
      <c r="B47" s="6">
        <f>'Energy Readings'!D47</f>
        <v>87.979999999515712</v>
      </c>
      <c r="C47" s="6">
        <v>0</v>
      </c>
      <c r="D47" s="6">
        <v>88</v>
      </c>
      <c r="E47" s="6">
        <v>88</v>
      </c>
      <c r="F47" s="6">
        <v>88</v>
      </c>
      <c r="G47" s="6">
        <v>96</v>
      </c>
      <c r="H47" s="6">
        <v>72</v>
      </c>
      <c r="I47" s="6">
        <f>'Energy Readings'!R47</f>
        <v>78.599999999627471</v>
      </c>
      <c r="J47" s="6">
        <f>'Energy Readings'!T47</f>
        <v>54.03000000026077</v>
      </c>
      <c r="K47" s="6">
        <f>'Energy Readings'!V47</f>
        <v>69.080000000074506</v>
      </c>
      <c r="L47" s="6">
        <f>'Energy Readings'!X47</f>
        <v>72.46999999973923</v>
      </c>
      <c r="M47" s="6">
        <f>'Energy Readings'!Z47</f>
        <v>58.299999999813735</v>
      </c>
      <c r="N47" s="114">
        <f>'Energy Readings'!AB47</f>
        <v>70.770000000484288</v>
      </c>
      <c r="O47" s="6">
        <f>'Energy Readings'!AD47</f>
        <v>62.379999999888241</v>
      </c>
      <c r="P47" s="6">
        <f>'Energy Readings'!AF47</f>
        <v>59.809999999590218</v>
      </c>
      <c r="Q47" s="6">
        <f>'Energy Readings'!AH47</f>
        <v>68.419999999925494</v>
      </c>
      <c r="R47" s="6">
        <f>'Energy Readings'!AJ47</f>
        <v>0</v>
      </c>
      <c r="S47" s="6">
        <f>'Energy Readings'!AL47</f>
        <v>133.90000000037253</v>
      </c>
      <c r="T47" s="6">
        <f>'Energy Readings'!AN47</f>
        <v>68.359999999403954</v>
      </c>
      <c r="U47" s="6">
        <f>'Energy Readings'!AP47</f>
        <v>68.560000000521541</v>
      </c>
      <c r="V47" s="6">
        <f>'Energy Readings'!AR47</f>
        <v>63.459999999962747</v>
      </c>
      <c r="W47" s="6">
        <f>'Energy Readings'!AT47</f>
        <v>78.78000000026077</v>
      </c>
      <c r="X47" s="6">
        <f>'Energy Readings'!AV47</f>
        <v>67.589999999850988</v>
      </c>
      <c r="Y47" s="6">
        <f>'Energy Readings'!AX47</f>
        <v>68.649999999441206</v>
      </c>
      <c r="Z47" s="6">
        <f>'Energy Readings'!AZ47</f>
        <v>68.190000000409782</v>
      </c>
      <c r="AA47" s="6">
        <v>0</v>
      </c>
      <c r="AB47" s="6">
        <f>'Energy Readings'!BD47</f>
        <v>67.850000000558794</v>
      </c>
      <c r="AC47" s="6">
        <f>'Energy Readings'!BF47</f>
        <v>67.319999999366701</v>
      </c>
      <c r="AD47" s="6">
        <f>'Energy Readings'!BH47</f>
        <v>63.770000000484288</v>
      </c>
      <c r="AE47" s="6">
        <f>'Energy Readings'!BJ47</f>
        <v>67.929999999701977</v>
      </c>
      <c r="AF47" s="6">
        <f t="shared" si="10"/>
        <v>1998.1999999992549</v>
      </c>
    </row>
    <row r="48" spans="1:32" x14ac:dyDescent="0.25">
      <c r="A48" s="4" t="s">
        <v>130</v>
      </c>
      <c r="B48" s="6">
        <f>'Energy Readings'!D48</f>
        <v>2392.8900000001304</v>
      </c>
      <c r="C48" s="6">
        <v>2015</v>
      </c>
      <c r="D48" s="6">
        <f>'Energy Readings'!H48</f>
        <v>2460.5299999997951</v>
      </c>
      <c r="E48" s="6">
        <f>'Energy Readings'!J48</f>
        <v>2510.089999999851</v>
      </c>
      <c r="F48" s="6">
        <f>'Energy Readings'!L48</f>
        <v>2515.660000000149</v>
      </c>
      <c r="G48" s="6">
        <f>'Energy Readings'!N48</f>
        <v>2571.6800000001676</v>
      </c>
      <c r="H48" s="6">
        <f>'Energy Readings'!P48</f>
        <v>2516.6200000001118</v>
      </c>
      <c r="I48" s="6">
        <f>'Energy Readings'!R48</f>
        <v>2640.5599999995902</v>
      </c>
      <c r="J48" s="6">
        <f>'Energy Readings'!T48</f>
        <v>2482.2600000002421</v>
      </c>
      <c r="K48" s="6">
        <f>'Energy Readings'!V48</f>
        <v>2376.7599999997765</v>
      </c>
      <c r="L48" s="6">
        <f>'Energy Readings'!X48</f>
        <v>2409.2200000002049</v>
      </c>
      <c r="M48" s="6">
        <f>'Energy Readings'!Z48</f>
        <v>2471.839999999851</v>
      </c>
      <c r="N48" s="114">
        <f>'Energy Readings'!AB48</f>
        <v>2444.9700000002049</v>
      </c>
      <c r="O48" s="6">
        <f>'Energy Readings'!AD48</f>
        <v>1750.9799999999814</v>
      </c>
      <c r="P48" s="6">
        <f>'Energy Readings'!AF48</f>
        <v>1595</v>
      </c>
      <c r="Q48" s="6">
        <f>'Energy Readings'!AH48</f>
        <v>1705.089999999851</v>
      </c>
      <c r="R48" s="6">
        <f>'Energy Readings'!AJ48</f>
        <v>1649.0500000002794</v>
      </c>
      <c r="S48" s="6">
        <f>'Energy Readings'!AL48</f>
        <v>779.06999999983236</v>
      </c>
      <c r="T48" s="6">
        <f>'Energy Readings'!AN48</f>
        <v>3.4500000001862645</v>
      </c>
      <c r="U48" s="6">
        <f>'Energy Readings'!AP48</f>
        <v>0</v>
      </c>
      <c r="V48" s="6">
        <f>'Energy Readings'!AR48</f>
        <v>0</v>
      </c>
      <c r="W48" s="6">
        <f>'Energy Readings'!AT48</f>
        <v>2.8699999996460974</v>
      </c>
      <c r="X48" s="6">
        <f>'Energy Readings'!AV48</f>
        <v>1.0000000242143869E-2</v>
      </c>
      <c r="Y48" s="6">
        <f>'Energy Readings'!AX48</f>
        <v>9.9999997764825821E-3</v>
      </c>
      <c r="Z48" s="6">
        <f>'Energy Readings'!AZ48</f>
        <v>1.0000000242143869E-2</v>
      </c>
      <c r="AA48" s="6">
        <f>'Energy Readings'!BB48</f>
        <v>9.9999997764825821E-3</v>
      </c>
      <c r="AB48" s="6">
        <f>'Energy Readings'!BD48</f>
        <v>0</v>
      </c>
      <c r="AC48" s="6">
        <f>'Energy Readings'!BF48</f>
        <v>1052.6800000001676</v>
      </c>
      <c r="AD48" s="6">
        <f>'Energy Readings'!BH48</f>
        <v>746.81000000005588</v>
      </c>
      <c r="AE48" s="6">
        <f>'Energy Readings'!BJ48</f>
        <v>544.56999999983236</v>
      </c>
      <c r="AF48" s="6">
        <f t="shared" si="10"/>
        <v>41637.689999999944</v>
      </c>
    </row>
    <row r="49" spans="1:32" x14ac:dyDescent="0.25">
      <c r="A49" s="14" t="s">
        <v>15</v>
      </c>
      <c r="B49" s="6">
        <f>'Energy Readings'!D49</f>
        <v>248.70000000001164</v>
      </c>
      <c r="C49" s="6">
        <f>'Energy Readings'!F49</f>
        <v>268.48999999999069</v>
      </c>
      <c r="D49" s="6">
        <f>'Energy Readings'!H49</f>
        <v>267.39999999999418</v>
      </c>
      <c r="E49" s="6">
        <f>'Energy Readings'!J49</f>
        <v>264.72000000000116</v>
      </c>
      <c r="F49" s="6">
        <f>'Energy Readings'!L49</f>
        <v>262.51000000000931</v>
      </c>
      <c r="G49" s="6">
        <f>'Energy Readings'!N49</f>
        <v>271.35999999998603</v>
      </c>
      <c r="H49" s="6">
        <f>'Energy Readings'!P49</f>
        <v>283.91000000000349</v>
      </c>
      <c r="I49" s="6">
        <f>'Energy Readings'!R49</f>
        <v>282.51000000000931</v>
      </c>
      <c r="J49" s="6">
        <f>'Energy Readings'!T49</f>
        <v>256.10000000000582</v>
      </c>
      <c r="K49" s="6">
        <f>'Energy Readings'!V49</f>
        <v>270.32999999998719</v>
      </c>
      <c r="L49" s="6">
        <f>'Energy Readings'!X49</f>
        <v>271.64000000001397</v>
      </c>
      <c r="M49" s="6">
        <f>'Energy Readings'!Z49</f>
        <v>263.98999999999069</v>
      </c>
      <c r="N49" s="114">
        <f>'Energy Readings'!AB49</f>
        <v>267.76999999998952</v>
      </c>
      <c r="O49" s="6">
        <f>'Energy Readings'!AD49</f>
        <v>261.70000000001164</v>
      </c>
      <c r="P49" s="6">
        <f>'Energy Readings'!AF49</f>
        <v>257.29999999998836</v>
      </c>
      <c r="Q49" s="6">
        <f>'Energy Readings'!AH49</f>
        <v>248.65000000002328</v>
      </c>
      <c r="R49" s="6">
        <f>'Energy Readings'!AJ49</f>
        <v>254.20999999999185</v>
      </c>
      <c r="S49" s="6">
        <f>'Energy Readings'!AL49</f>
        <v>245.25</v>
      </c>
      <c r="T49" s="6">
        <f>'Energy Readings'!AN49</f>
        <v>256.07000000000698</v>
      </c>
      <c r="U49" s="6">
        <f>'Energy Readings'!AP49</f>
        <v>240.88000000000466</v>
      </c>
      <c r="V49" s="6">
        <f>'Energy Readings'!AR49</f>
        <v>235.59999999997672</v>
      </c>
      <c r="W49" s="6">
        <f>'Energy Readings'!AT49</f>
        <v>252.80999999999767</v>
      </c>
      <c r="X49" s="6">
        <f>'Energy Readings'!AV49</f>
        <v>252.75</v>
      </c>
      <c r="Y49" s="6">
        <f>'Energy Readings'!AX49</f>
        <v>250.71000000002095</v>
      </c>
      <c r="Z49" s="6">
        <f>'Energy Readings'!AZ49</f>
        <v>249.16000000000349</v>
      </c>
      <c r="AA49" s="6">
        <f>'Energy Readings'!BB49</f>
        <v>248</v>
      </c>
      <c r="AB49" s="6">
        <f>'Energy Readings'!BD49</f>
        <v>254.87999999997555</v>
      </c>
      <c r="AC49" s="6">
        <f>'Energy Readings'!BF49</f>
        <v>244.22000000000116</v>
      </c>
      <c r="AD49" s="6">
        <f>'Energy Readings'!BH49</f>
        <v>238.29000000000815</v>
      </c>
      <c r="AE49" s="6">
        <f>'Energy Readings'!BJ49</f>
        <v>236.88000000000466</v>
      </c>
      <c r="AF49" s="6">
        <f t="shared" si="10"/>
        <v>7706.7900000000081</v>
      </c>
    </row>
    <row r="50" spans="1:32" s="24" customFormat="1" x14ac:dyDescent="0.25">
      <c r="A50" s="25" t="s">
        <v>121</v>
      </c>
      <c r="B50" s="6">
        <f>'Energy Readings'!D50</f>
        <v>916.74000000022352</v>
      </c>
      <c r="C50" s="6">
        <f>'Energy Readings'!F50</f>
        <v>1636.679999999702</v>
      </c>
      <c r="D50" s="6">
        <f>'Energy Readings'!H50</f>
        <v>1030.6800000001676</v>
      </c>
      <c r="E50" s="6">
        <f>'Energy Readings'!J50</f>
        <v>211</v>
      </c>
      <c r="F50" s="6">
        <f>'Energy Readings'!L50</f>
        <v>1357.46</v>
      </c>
      <c r="G50" s="6">
        <f>'Energy Readings'!N50</f>
        <v>1451.9399999999441</v>
      </c>
      <c r="H50" s="6">
        <f>'Energy Readings'!P50</f>
        <v>753.87000000011176</v>
      </c>
      <c r="I50" s="6">
        <f>'Energy Readings'!R50</f>
        <v>0.19999999972060323</v>
      </c>
      <c r="J50" s="6">
        <f>'Energy Readings'!T50</f>
        <v>0.18000000016763806</v>
      </c>
      <c r="K50" s="6">
        <f>'Energy Readings'!V50</f>
        <v>0</v>
      </c>
      <c r="L50" s="6">
        <f>'Energy Readings'!X50</f>
        <v>0.18999999994412065</v>
      </c>
      <c r="M50" s="6">
        <f>'Energy Readings'!Z50</f>
        <v>0</v>
      </c>
      <c r="N50" s="114">
        <f>'Energy Readings'!AB50</f>
        <v>0</v>
      </c>
      <c r="O50" s="6">
        <f>'Energy Readings'!AD50</f>
        <v>0.83999999985098839</v>
      </c>
      <c r="P50" s="6">
        <f>'Energy Readings'!AF50</f>
        <v>0.19000000040978193</v>
      </c>
      <c r="Q50" s="6">
        <f>'Energy Readings'!AH50</f>
        <v>0.19999999972060323</v>
      </c>
      <c r="R50" s="6">
        <f>'Energy Readings'!AJ50</f>
        <v>479.76000000024214</v>
      </c>
      <c r="S50" s="6">
        <f>'Energy Readings'!AL50</f>
        <v>1583.8299999996088</v>
      </c>
      <c r="T50" s="6">
        <f>'Energy Readings'!AN50-1729</f>
        <v>-0.25999999977648258</v>
      </c>
      <c r="U50" s="6">
        <f>'Energy Readings'!AP50</f>
        <v>787.52999999979511</v>
      </c>
      <c r="V50" s="6">
        <f>'Energy Readings'!AR50</f>
        <v>516.18000000016764</v>
      </c>
      <c r="W50" s="6">
        <f>'Energy Readings'!AT50</f>
        <v>1097.8700000001118</v>
      </c>
      <c r="X50" s="6">
        <f>'Energy Readings'!AV50</f>
        <v>1343.1400000001304</v>
      </c>
      <c r="Y50" s="6">
        <f>'Energy Readings'!AX50</f>
        <v>1023.1599999996834</v>
      </c>
      <c r="Z50" s="6">
        <f>'Energy Readings'!AZ50</f>
        <v>1123.6000000000931</v>
      </c>
      <c r="AA50" s="6">
        <f>'Energy Readings'!BB50</f>
        <v>956.27999999979511</v>
      </c>
      <c r="AB50" s="6">
        <f>'Energy Readings'!BD50</f>
        <v>1083.8300000000745</v>
      </c>
      <c r="AC50" s="6">
        <f>'Energy Readings'!BF50</f>
        <v>1264.3800000003539</v>
      </c>
      <c r="AD50" s="6">
        <f>'Energy Readings'!BH50</f>
        <v>919.05999999959022</v>
      </c>
      <c r="AE50" s="6">
        <f>'Energy Readings'!BJ50</f>
        <v>867.06000000005588</v>
      </c>
      <c r="AF50" s="6">
        <f t="shared" si="10"/>
        <v>20405.589999999887</v>
      </c>
    </row>
    <row r="51" spans="1:32" s="24" customFormat="1" x14ac:dyDescent="0.25">
      <c r="A51" s="25" t="s">
        <v>109</v>
      </c>
      <c r="B51" s="6">
        <f>'Energy Readings'!D51</f>
        <v>0</v>
      </c>
      <c r="C51" s="6">
        <f>'Energy Readings'!F51</f>
        <v>0</v>
      </c>
      <c r="D51" s="6">
        <f>'Energy Readings'!H51</f>
        <v>0</v>
      </c>
      <c r="E51" s="6">
        <f>'Energy Readings'!J51</f>
        <v>0</v>
      </c>
      <c r="F51" s="6">
        <f>'Energy Readings'!L51</f>
        <v>0</v>
      </c>
      <c r="G51" s="6">
        <f>'Energy Readings'!N51</f>
        <v>0</v>
      </c>
      <c r="H51" s="6">
        <f>'Energy Readings'!P51</f>
        <v>0</v>
      </c>
      <c r="I51" s="6">
        <f>'Energy Readings'!R51</f>
        <v>0</v>
      </c>
      <c r="J51" s="6">
        <f>'Energy Readings'!T51</f>
        <v>0</v>
      </c>
      <c r="K51" s="6">
        <f>'Energy Readings'!V51</f>
        <v>0</v>
      </c>
      <c r="L51" s="6">
        <f>'Energy Readings'!X51</f>
        <v>0</v>
      </c>
      <c r="M51" s="6">
        <f>'Energy Readings'!Z51</f>
        <v>0</v>
      </c>
      <c r="N51" s="114">
        <f>'Energy Readings'!AB51</f>
        <v>0</v>
      </c>
      <c r="O51" s="6">
        <f>'Energy Readings'!AD51</f>
        <v>0</v>
      </c>
      <c r="P51" s="6">
        <f>'Energy Readings'!AF51</f>
        <v>0</v>
      </c>
      <c r="Q51" s="6">
        <f>'Energy Readings'!AH51</f>
        <v>0</v>
      </c>
      <c r="R51" s="6">
        <f>'Energy Readings'!AJ51</f>
        <v>0</v>
      </c>
      <c r="S51" s="6">
        <f>'Energy Readings'!AL51</f>
        <v>0</v>
      </c>
      <c r="T51" s="6">
        <f>'Energy Readings'!AN51</f>
        <v>0</v>
      </c>
      <c r="U51" s="6">
        <f>'Energy Readings'!AP51</f>
        <v>0</v>
      </c>
      <c r="V51" s="6">
        <f>'Energy Readings'!AR51</f>
        <v>0</v>
      </c>
      <c r="W51" s="6">
        <f>'Energy Readings'!AT51</f>
        <v>0</v>
      </c>
      <c r="X51" s="6">
        <f>'Energy Readings'!AV51</f>
        <v>0</v>
      </c>
      <c r="Y51" s="6">
        <f>'Energy Readings'!AX51</f>
        <v>0</v>
      </c>
      <c r="Z51" s="6">
        <f>'Energy Readings'!AZ51</f>
        <v>0</v>
      </c>
      <c r="AA51" s="6">
        <f>'Energy Readings'!BB51</f>
        <v>0</v>
      </c>
      <c r="AB51" s="6">
        <f>'Energy Readings'!BD51</f>
        <v>0</v>
      </c>
      <c r="AC51" s="6">
        <f>'Energy Readings'!BF51</f>
        <v>0</v>
      </c>
      <c r="AD51" s="6">
        <f>'Energy Readings'!BH51</f>
        <v>0</v>
      </c>
      <c r="AE51" s="6">
        <f>'Energy Readings'!BJ51</f>
        <v>0</v>
      </c>
      <c r="AF51" s="6">
        <f t="shared" si="10"/>
        <v>0</v>
      </c>
    </row>
    <row r="52" spans="1:32" x14ac:dyDescent="0.25">
      <c r="A52" s="14" t="s">
        <v>3</v>
      </c>
      <c r="B52" s="6">
        <f>'Energy Readings'!D52</f>
        <v>52</v>
      </c>
      <c r="C52" s="6">
        <f>'Energy Readings'!F52</f>
        <v>44</v>
      </c>
      <c r="D52" s="6">
        <f>'Energy Readings'!H52</f>
        <v>34</v>
      </c>
      <c r="E52" s="6">
        <f>'Energy Readings'!J52</f>
        <v>52</v>
      </c>
      <c r="F52" s="6">
        <f>'Energy Readings'!L52</f>
        <v>52</v>
      </c>
      <c r="G52" s="6">
        <v>55</v>
      </c>
      <c r="H52" s="6">
        <f>'Energy Readings'!P52</f>
        <v>52</v>
      </c>
      <c r="I52" s="6">
        <f>'Energy Readings'!R52</f>
        <v>52</v>
      </c>
      <c r="J52" s="6">
        <f>'Energy Readings'!T52</f>
        <v>52</v>
      </c>
      <c r="K52" s="6">
        <f>'Energy Readings'!V52</f>
        <v>52</v>
      </c>
      <c r="L52" s="6">
        <f>'Energy Readings'!X52</f>
        <v>52</v>
      </c>
      <c r="M52" s="6">
        <f>'Energy Readings'!Z52</f>
        <v>52</v>
      </c>
      <c r="N52" s="114">
        <f>'Energy Readings'!AB52</f>
        <v>52</v>
      </c>
      <c r="O52" s="6">
        <f>'Energy Readings'!AD52</f>
        <v>52</v>
      </c>
      <c r="P52" s="6">
        <f>'Energy Readings'!AF52</f>
        <v>52</v>
      </c>
      <c r="Q52" s="6">
        <f>'Energy Readings'!AH52</f>
        <v>52</v>
      </c>
      <c r="R52" s="6">
        <f>'Energy Readings'!AJ52</f>
        <v>52</v>
      </c>
      <c r="S52" s="6">
        <f>'Energy Readings'!AL52</f>
        <v>52</v>
      </c>
      <c r="T52" s="6">
        <f>'Energy Readings'!AN52</f>
        <v>52</v>
      </c>
      <c r="U52" s="6">
        <f>'Energy Readings'!AP52</f>
        <v>52</v>
      </c>
      <c r="V52" s="6">
        <f>'Energy Readings'!AR52</f>
        <v>52</v>
      </c>
      <c r="W52" s="6">
        <f>'Energy Readings'!AT52</f>
        <v>52</v>
      </c>
      <c r="X52" s="6">
        <f>'Energy Readings'!AV52</f>
        <v>52</v>
      </c>
      <c r="Y52" s="6">
        <f>'Energy Readings'!AX52</f>
        <v>52</v>
      </c>
      <c r="Z52" s="6">
        <f>'Energy Readings'!AZ52</f>
        <v>52</v>
      </c>
      <c r="AA52" s="6">
        <f>'Energy Readings'!BB52</f>
        <v>52</v>
      </c>
      <c r="AB52" s="6">
        <f>'Energy Readings'!BD52</f>
        <v>52</v>
      </c>
      <c r="AC52" s="6">
        <f>'Energy Readings'!BF52</f>
        <v>52</v>
      </c>
      <c r="AD52" s="6">
        <f>'Energy Readings'!BH52</f>
        <v>52</v>
      </c>
      <c r="AE52" s="6">
        <f>'Energy Readings'!BJ52</f>
        <v>52</v>
      </c>
      <c r="AF52" s="6">
        <f t="shared" si="10"/>
        <v>1537</v>
      </c>
    </row>
    <row r="53" spans="1:32" ht="17.25" customHeight="1" x14ac:dyDescent="0.3">
      <c r="A53" s="2" t="s">
        <v>228</v>
      </c>
      <c r="B53" s="6"/>
      <c r="C53" s="6"/>
      <c r="D53" s="6"/>
      <c r="E53" s="6"/>
      <c r="F53" s="6"/>
      <c r="G53" s="6"/>
      <c r="H53" s="6"/>
      <c r="I53" s="6"/>
      <c r="J53" s="6"/>
      <c r="K53" s="6">
        <f>'Energy Readings'!V53</f>
        <v>0</v>
      </c>
      <c r="L53" s="6"/>
      <c r="M53" s="6"/>
      <c r="N53" s="114">
        <f>'Energy Readings'!AB53</f>
        <v>0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>
        <f>'Energy Readings'!BD53</f>
        <v>0</v>
      </c>
      <c r="AC53" s="6">
        <f>'Energy Readings'!BF53</f>
        <v>0</v>
      </c>
      <c r="AD53" s="6">
        <f>'Energy Readings'!BH53</f>
        <v>0</v>
      </c>
      <c r="AE53" s="6">
        <f>'Energy Readings'!BJ53</f>
        <v>0</v>
      </c>
      <c r="AF53" s="6"/>
    </row>
    <row r="54" spans="1:32" x14ac:dyDescent="0.25">
      <c r="A54" s="4" t="s">
        <v>246</v>
      </c>
      <c r="B54" s="6">
        <f>'Energy Readings'!D54</f>
        <v>40319.999999997694</v>
      </c>
      <c r="C54" s="6">
        <f>'Energy Readings'!F54-200</f>
        <v>33370.00000000099</v>
      </c>
      <c r="D54" s="6">
        <f>'Energy Readings'!H54</f>
        <v>41820.000000001302</v>
      </c>
      <c r="E54" s="6">
        <f>'Energy Readings'!J54+500</f>
        <v>35439.999999998858</v>
      </c>
      <c r="F54" s="6">
        <f>'Energy Readings'!L54-990</f>
        <v>25900.000000001633</v>
      </c>
      <c r="G54" s="6">
        <f>'Energy Readings'!N54+380</f>
        <v>21110.00000000036</v>
      </c>
      <c r="H54" s="6">
        <f>'Energy Readings'!P54</f>
        <v>0</v>
      </c>
      <c r="I54" s="6">
        <f>'Energy Readings'!R54</f>
        <v>0</v>
      </c>
      <c r="J54" s="6">
        <f>'Energy Readings'!T54+2743.48</f>
        <v>2743.48</v>
      </c>
      <c r="K54" s="6">
        <f>'Energy Readings'!V54</f>
        <v>34169.999999999593</v>
      </c>
      <c r="L54" s="6">
        <f>'Energy Readings'!X54-300</f>
        <v>40019.999999997694</v>
      </c>
      <c r="M54" s="6">
        <f>'Energy Readings'!Z54+500</f>
        <v>39580.000000002001</v>
      </c>
      <c r="N54" s="114">
        <f>'Energy Readings'!AB54</f>
        <v>38450.000000000982</v>
      </c>
      <c r="O54" s="6">
        <f>'Energy Readings'!AD54</f>
        <v>36789.999999999876</v>
      </c>
      <c r="P54" s="6">
        <f>'Energy Readings'!AF54+1000</f>
        <v>37909.999999998887</v>
      </c>
      <c r="Q54" s="6">
        <f>'Energy Readings'!AH54</f>
        <v>40669.999999998654</v>
      </c>
      <c r="R54" s="6">
        <f>'Energy Readings'!AJ54</f>
        <v>37860.000000002001</v>
      </c>
      <c r="S54" s="6">
        <f>'Energy Readings'!AL54</f>
        <v>37319.999999997577</v>
      </c>
      <c r="T54" s="6">
        <f>'Energy Readings'!AN54+400</f>
        <v>42280.000000002583</v>
      </c>
      <c r="U54" s="6">
        <f>'Energy Readings'!AP54</f>
        <v>41719.999999997977</v>
      </c>
      <c r="V54" s="6">
        <f>'Energy Readings'!AR54</f>
        <v>40570.000000002437</v>
      </c>
      <c r="W54" s="6">
        <f>'Energy Readings'!AT54</f>
        <v>43039.999999997744</v>
      </c>
      <c r="X54" s="6">
        <f>'Energy Readings'!AV54</f>
        <v>42090.000000001739</v>
      </c>
      <c r="Y54" s="6">
        <f>'Energy Readings'!AX54</f>
        <v>42679.999999997162</v>
      </c>
      <c r="Z54" s="6">
        <f>'Energy Readings'!AZ54</f>
        <v>40730.000000003485</v>
      </c>
      <c r="AA54" s="6">
        <f>'Energy Readings'!BB54</f>
        <v>41179.999999997104</v>
      </c>
      <c r="AB54" s="6">
        <f>'Energy Readings'!BD54</f>
        <v>37500.000000001419</v>
      </c>
      <c r="AC54" s="6">
        <f>'Energy Readings'!BF54+500</f>
        <v>40910.00000000139</v>
      </c>
      <c r="AD54" s="6">
        <f>'Energy Readings'!BH54</f>
        <v>36739.999999998217</v>
      </c>
      <c r="AE54" s="6">
        <f>'Energy Readings'!BJ54</f>
        <v>34890.000000000757</v>
      </c>
      <c r="AF54" s="6">
        <f t="shared" ref="AF54:AF62" si="11">SUM(B54:AE54)</f>
        <v>1027803.4800000002</v>
      </c>
    </row>
    <row r="55" spans="1:32" ht="18.75" customHeight="1" x14ac:dyDescent="0.25">
      <c r="A55" s="4" t="s">
        <v>271</v>
      </c>
      <c r="B55" s="6">
        <f>'Energy Readings'!D55</f>
        <v>3949</v>
      </c>
      <c r="C55" s="6">
        <f>'Energy Readings'!F55</f>
        <v>3677</v>
      </c>
      <c r="D55" s="6">
        <f>'Energy Readings'!H55</f>
        <v>3921</v>
      </c>
      <c r="E55" s="6">
        <f>'Energy Readings'!J55</f>
        <v>3515</v>
      </c>
      <c r="F55" s="6">
        <f>'Energy Readings'!L55</f>
        <v>2728</v>
      </c>
      <c r="G55" s="6">
        <f>'Energy Readings'!N55</f>
        <v>2354</v>
      </c>
      <c r="H55" s="6">
        <f>'Energy Readings'!P55</f>
        <v>0</v>
      </c>
      <c r="I55" s="6">
        <f>'Energy Readings'!R55</f>
        <v>0</v>
      </c>
      <c r="J55" s="6">
        <f>'Energy Readings'!T55+329.5</f>
        <v>329.5</v>
      </c>
      <c r="K55" s="6">
        <f>'Energy Readings'!V55</f>
        <v>3413</v>
      </c>
      <c r="L55" s="6">
        <f>'Energy Readings'!X55</f>
        <v>3696</v>
      </c>
      <c r="M55" s="6">
        <f>'Energy Readings'!Z55</f>
        <v>3469</v>
      </c>
      <c r="N55" s="114">
        <f>'Energy Readings'!AB55</f>
        <v>3606</v>
      </c>
      <c r="O55" s="6">
        <f>'Energy Readings'!AD55</f>
        <v>3223</v>
      </c>
      <c r="P55" s="6">
        <f>'Energy Readings'!AF55</f>
        <v>3190</v>
      </c>
      <c r="Q55" s="6">
        <f>'Energy Readings'!AH55</f>
        <v>3747</v>
      </c>
      <c r="R55" s="6">
        <f>'Energy Readings'!AJ55</f>
        <v>3471</v>
      </c>
      <c r="S55" s="6">
        <f>'Energy Readings'!AL55</f>
        <v>3371</v>
      </c>
      <c r="T55" s="6">
        <f>'Energy Readings'!AN55</f>
        <v>3816</v>
      </c>
      <c r="U55" s="6">
        <f>'Energy Readings'!AP55</f>
        <v>3798</v>
      </c>
      <c r="V55" s="6">
        <f>'Energy Readings'!AR55</f>
        <v>3722</v>
      </c>
      <c r="W55" s="6">
        <f>'Energy Readings'!AT55</f>
        <v>3900</v>
      </c>
      <c r="X55" s="6">
        <f>'Energy Readings'!AV55</f>
        <v>3834</v>
      </c>
      <c r="Y55" s="6">
        <f>'Energy Readings'!AX55</f>
        <v>3836</v>
      </c>
      <c r="Z55" s="6">
        <f>'Energy Readings'!AZ55</f>
        <v>3809</v>
      </c>
      <c r="AA55" s="6">
        <f>'Energy Readings'!BB55</f>
        <v>3855</v>
      </c>
      <c r="AB55" s="6">
        <f>'Energy Readings'!BD55</f>
        <v>3408</v>
      </c>
      <c r="AC55" s="6">
        <f>'Energy Readings'!BF55</f>
        <v>3840</v>
      </c>
      <c r="AD55" s="6">
        <f>'Energy Readings'!BH55</f>
        <v>3427</v>
      </c>
      <c r="AE55" s="6">
        <f>'Energy Readings'!BJ55</f>
        <v>3284</v>
      </c>
      <c r="AF55" s="6">
        <f t="shared" si="11"/>
        <v>96188.5</v>
      </c>
    </row>
    <row r="56" spans="1:32" ht="21" customHeight="1" x14ac:dyDescent="0.25">
      <c r="A56" s="29" t="s">
        <v>247</v>
      </c>
      <c r="B56" s="85">
        <f>'Energy Readings'!D56-B55-B57-B59</f>
        <v>3432.0000000001819</v>
      </c>
      <c r="C56" s="85">
        <f>'Energy Readings'!F56-C55-C57-C59</f>
        <v>3330.9999999999272</v>
      </c>
      <c r="D56" s="85">
        <f>'Energy Readings'!H56-D55-D57-D59</f>
        <v>3510.9999999994907</v>
      </c>
      <c r="E56" s="85">
        <f>'Energy Readings'!J56-E55-E57-E59+300</f>
        <v>3668.0000000007276</v>
      </c>
      <c r="F56" s="85">
        <f>'Energy Readings'!L56-F55-F57-F59</f>
        <v>2985.9999999998181</v>
      </c>
      <c r="G56" s="85">
        <f>'Energy Readings'!N56-G55-G57-G59</f>
        <v>2562.9999999995634</v>
      </c>
      <c r="H56" s="85">
        <f>'Energy Readings'!P56-H55-H57-H59+150</f>
        <v>1112.0000000001819</v>
      </c>
      <c r="I56" s="85">
        <f>'Energy Readings'!R56-I55-I57-I59</f>
        <v>751.00000000014552</v>
      </c>
      <c r="J56" s="85">
        <f>'Energy Readings'!T56-J55-J57-J59+898.9</f>
        <v>1214.5499999999636</v>
      </c>
      <c r="K56" s="85">
        <f>'Energy Readings'!V56-K55-K57-K59</f>
        <v>3347.9999999996362</v>
      </c>
      <c r="L56" s="85">
        <f>'Energy Readings'!X56-L55-L57-L59</f>
        <v>3482.9999999999636</v>
      </c>
      <c r="M56" s="85">
        <f>'Energy Readings'!Z56-M55-M57-M59</f>
        <v>3413.0000000000364</v>
      </c>
      <c r="N56" s="85">
        <f>'Energy Readings'!AB56-N55-N57-N59</f>
        <v>3342.0000000004729</v>
      </c>
      <c r="O56" s="85">
        <f>'Energy Readings'!AD56-O55-O57-O59</f>
        <v>3188.0000000000728</v>
      </c>
      <c r="P56" s="85">
        <f>'Energy Readings'!AF56-P55-P57-P59</f>
        <v>2917.0000000001455</v>
      </c>
      <c r="Q56" s="85">
        <f>'Energy Readings'!AH56-Q55-Q57-Q59</f>
        <v>3443.9999999997453</v>
      </c>
      <c r="R56" s="85">
        <f>'Energy Readings'!AJ56-R55-R57-R59</f>
        <v>3329.9999999996726</v>
      </c>
      <c r="S56" s="85">
        <f>'Energy Readings'!AL56-S55-S57-S59</f>
        <v>3508.9999999998181</v>
      </c>
      <c r="T56" s="85">
        <f>'Energy Readings'!AN56-T55-T57-T59</f>
        <v>3673.0000000005821</v>
      </c>
      <c r="U56" s="85">
        <f>'Energy Readings'!AP56-U55-U57-U59</f>
        <v>3790.0000000001819</v>
      </c>
      <c r="V56" s="85">
        <f>'Energy Readings'!AR56-V55-V57-V59</f>
        <v>3716.9999999993815</v>
      </c>
      <c r="W56" s="85">
        <f>'Energy Readings'!AT56-W55-W57-W59</f>
        <v>3775.0000000003274</v>
      </c>
      <c r="X56" s="85">
        <f>'Energy Readings'!AV56-X55-X57-X59</f>
        <v>3516.0000000001091</v>
      </c>
      <c r="Y56" s="85">
        <f>'Energy Readings'!AX56-Y55-Y57-Y59</f>
        <v>3538.9999999998545</v>
      </c>
      <c r="Z56" s="85">
        <f>'Energy Readings'!AZ56-Z55-Z57-Z59</f>
        <v>3573.0000000002547</v>
      </c>
      <c r="AA56" s="85">
        <f>'Energy Readings'!BB56-AA55-AA57-AA59</f>
        <v>3470.0000000001455</v>
      </c>
      <c r="AB56" s="85">
        <f>'Energy Readings'!BD56-AB55-AB57-AB59</f>
        <v>3372.9999999991996</v>
      </c>
      <c r="AC56" s="85">
        <f>'Energy Readings'!BF56-AC55-AC57-AC59</f>
        <v>3458.0000000007276</v>
      </c>
      <c r="AD56" s="85">
        <f>'Energy Readings'!BH56-AD55-AD57-AD59</f>
        <v>3042.9999999995998</v>
      </c>
      <c r="AE56" s="85">
        <f>'Energy Readings'!BJ56-AE55-AE57-AE59</f>
        <v>3122.0000000003638</v>
      </c>
      <c r="AF56" s="6">
        <f t="shared" si="11"/>
        <v>94591.550000000323</v>
      </c>
    </row>
    <row r="57" spans="1:32" ht="20.25" customHeight="1" x14ac:dyDescent="0.25">
      <c r="A57" s="4" t="s">
        <v>270</v>
      </c>
      <c r="B57" s="6">
        <f>'Energy Readings'!D57</f>
        <v>596</v>
      </c>
      <c r="C57" s="6">
        <f>'Energy Readings'!F57</f>
        <v>505</v>
      </c>
      <c r="D57" s="6">
        <f>'Energy Readings'!H57</f>
        <v>542</v>
      </c>
      <c r="E57" s="6">
        <f>'Energy Readings'!J57</f>
        <v>481</v>
      </c>
      <c r="F57" s="6">
        <f>'Energy Readings'!L57</f>
        <v>400</v>
      </c>
      <c r="G57" s="6">
        <f>'Energy Readings'!N57</f>
        <v>225</v>
      </c>
      <c r="H57" s="6">
        <f>'Energy Readings'!P57</f>
        <v>0</v>
      </c>
      <c r="I57" s="6">
        <f>'Energy Readings'!R57</f>
        <v>0</v>
      </c>
      <c r="J57" s="6">
        <f>'Energy Readings'!T57+56.85</f>
        <v>56.85</v>
      </c>
      <c r="K57" s="6">
        <f>'Energy Readings'!V57</f>
        <v>555</v>
      </c>
      <c r="L57" s="6">
        <f>'Energy Readings'!X57</f>
        <v>527</v>
      </c>
      <c r="M57" s="6">
        <f>'Energy Readings'!Z57</f>
        <v>496</v>
      </c>
      <c r="N57" s="114">
        <f>'Energy Readings'!AB57</f>
        <v>445</v>
      </c>
      <c r="O57" s="6">
        <f>'Energy Readings'!AD57</f>
        <v>431</v>
      </c>
      <c r="P57" s="6">
        <f>'Energy Readings'!AF57</f>
        <v>406</v>
      </c>
      <c r="Q57" s="6">
        <f>'Energy Readings'!AH57</f>
        <v>500</v>
      </c>
      <c r="R57" s="6">
        <f>'Energy Readings'!AJ57</f>
        <v>474</v>
      </c>
      <c r="S57" s="6">
        <f>'Energy Readings'!AL57</f>
        <v>484</v>
      </c>
      <c r="T57" s="6">
        <f>'Energy Readings'!AN57</f>
        <v>528</v>
      </c>
      <c r="U57" s="6">
        <f>'Energy Readings'!AP57</f>
        <v>614</v>
      </c>
      <c r="V57" s="6">
        <f>'Energy Readings'!AR57</f>
        <v>642</v>
      </c>
      <c r="W57" s="6">
        <f>'Energy Readings'!AT57</f>
        <v>623</v>
      </c>
      <c r="X57" s="6">
        <f>'Energy Readings'!AV57</f>
        <v>443</v>
      </c>
      <c r="Y57" s="6">
        <f>'Energy Readings'!AX57</f>
        <v>446</v>
      </c>
      <c r="Z57" s="6">
        <f>'Energy Readings'!AZ57</f>
        <v>491</v>
      </c>
      <c r="AA57" s="6">
        <f>'Energy Readings'!BB57</f>
        <v>419</v>
      </c>
      <c r="AB57" s="6">
        <f>'Energy Readings'!BD57</f>
        <v>501</v>
      </c>
      <c r="AC57" s="6">
        <f>'Energy Readings'!BF57</f>
        <v>564</v>
      </c>
      <c r="AD57" s="6">
        <f>'Energy Readings'!BH57</f>
        <v>388</v>
      </c>
      <c r="AE57" s="6">
        <f>'Energy Readings'!BJ57</f>
        <v>350</v>
      </c>
      <c r="AF57" s="6">
        <f t="shared" si="11"/>
        <v>13132.85</v>
      </c>
    </row>
    <row r="58" spans="1:32" x14ac:dyDescent="0.25">
      <c r="A58" s="26" t="s">
        <v>237</v>
      </c>
      <c r="B58" s="83">
        <f>'Energy Readings'!D58-B49-B65</f>
        <v>3829.3099999986589</v>
      </c>
      <c r="C58" s="83">
        <f>'Energy Readings'!F58-C49-C65</f>
        <v>3464.5900000000838</v>
      </c>
      <c r="D58" s="83">
        <f>'Energy Readings'!H58-D49-D65</f>
        <v>3590.5800000004529</v>
      </c>
      <c r="E58" s="83">
        <f>'Energy Readings'!J58-E49-E65</f>
        <v>3902.4399999991001</v>
      </c>
      <c r="F58" s="83">
        <f>'Energy Readings'!L58-F49-F65</f>
        <v>3901.5800000012969</v>
      </c>
      <c r="G58" s="83">
        <f>'Energy Readings'!N58-G49-G65</f>
        <v>3760.5100000001257</v>
      </c>
      <c r="H58" s="83">
        <f>'Energy Readings'!P58-H49-H65</f>
        <v>3745.3999999991211</v>
      </c>
      <c r="I58" s="83">
        <f>'Energy Readings'!R58-I49-I65</f>
        <v>3877.0000000005821</v>
      </c>
      <c r="J58" s="83">
        <f>'Energy Readings'!T58-J49-J65</f>
        <v>3722.9399999991583</v>
      </c>
      <c r="K58" s="83">
        <f>'Energy Readings'!V58-K49-K65</f>
        <v>3889.5300000009302</v>
      </c>
      <c r="L58" s="83">
        <f>'Energy Readings'!X58-L49-L65</f>
        <v>3965.4799999996903</v>
      </c>
      <c r="M58" s="83">
        <f>'Energy Readings'!Z58-M49-M65</f>
        <v>4201.7999999997555</v>
      </c>
      <c r="N58" s="83">
        <f>'Energy Readings'!AB58-N49-N65</f>
        <v>4215.1200000002573</v>
      </c>
      <c r="O58" s="83">
        <f>'Energy Readings'!AD58-O49-O65-200</f>
        <v>3981.5499999999884</v>
      </c>
      <c r="P58" s="83">
        <f>'Energy Readings'!AF58-P49-P65</f>
        <v>4127.0600000007544</v>
      </c>
      <c r="Q58" s="83">
        <f>'Energy Readings'!AH58-Q49-Q65</f>
        <v>4102.1599999993341</v>
      </c>
      <c r="R58" s="83">
        <f>'Energy Readings'!AJ58-R49-R65</f>
        <v>4027.0199999995821</v>
      </c>
      <c r="S58" s="83">
        <f>'Energy Readings'!AL58-S49-S65</f>
        <v>4131.3200000010547</v>
      </c>
      <c r="T58" s="83">
        <f>'Energy Readings'!AN58-T49-T65</f>
        <v>4311.9199999983539</v>
      </c>
      <c r="U58" s="83">
        <f>'Energy Readings'!AP58-U49-U65</f>
        <v>4255.920000000624</v>
      </c>
      <c r="V58" s="83">
        <f>'Energy Readings'!AR58-V49-V65</f>
        <v>4101.4000000002561</v>
      </c>
      <c r="W58" s="83">
        <f>'Energy Readings'!AT58-W49-W65</f>
        <v>4251.4799999998068</v>
      </c>
      <c r="X58" s="83">
        <f>'Energy Readings'!AV58-X49-X65</f>
        <v>3869.179999999702</v>
      </c>
      <c r="Y58" s="83">
        <f>'Energy Readings'!AX58-Y49-Y65</f>
        <v>4046.0299999995623</v>
      </c>
      <c r="Z58" s="83">
        <f>'Energy Readings'!AZ58-Z49-Z65</f>
        <v>4054.8900000014983</v>
      </c>
      <c r="AA58" s="83">
        <f>'Energy Readings'!BB58-AA49-AA65</f>
        <v>4038.4000000000815</v>
      </c>
      <c r="AB58" s="83">
        <f>'Energy Readings'!BD58-AB49-AB65</f>
        <v>4083.7499999999127</v>
      </c>
      <c r="AC58" s="83">
        <f>'Energy Readings'!BF58-AC49-AC65</f>
        <v>4063.6799999990326</v>
      </c>
      <c r="AD58" s="83">
        <f>'Energy Readings'!BH58-AD49-AD65</f>
        <v>4098.4200000003621</v>
      </c>
      <c r="AE58" s="83">
        <f>'Energy Readings'!BJ58-AE49-AE65</f>
        <v>4055.2599999998347</v>
      </c>
      <c r="AF58" s="6">
        <f t="shared" si="11"/>
        <v>119665.71999999895</v>
      </c>
    </row>
    <row r="59" spans="1:32" x14ac:dyDescent="0.25">
      <c r="A59" s="14" t="s">
        <v>15</v>
      </c>
      <c r="B59" s="6">
        <f>'Energy Readings'!D59</f>
        <v>73</v>
      </c>
      <c r="C59" s="6">
        <f>'Energy Readings'!F59</f>
        <v>67</v>
      </c>
      <c r="D59" s="6">
        <f>'Energy Readings'!H59</f>
        <v>86</v>
      </c>
      <c r="E59" s="6">
        <f>'Energy Readings'!J59</f>
        <v>86</v>
      </c>
      <c r="F59" s="6">
        <f>'Energy Readings'!L59</f>
        <v>86</v>
      </c>
      <c r="G59" s="6">
        <f>'Energy Readings'!N59</f>
        <v>88</v>
      </c>
      <c r="H59" s="6">
        <f>'Energy Readings'!P59</f>
        <v>88</v>
      </c>
      <c r="I59" s="6">
        <f>'Energy Readings'!R59</f>
        <v>89</v>
      </c>
      <c r="J59" s="6">
        <f>'Energy Readings'!T59</f>
        <v>88</v>
      </c>
      <c r="K59" s="6">
        <f>'Energy Readings'!V59</f>
        <v>84</v>
      </c>
      <c r="L59" s="6">
        <f>'Energy Readings'!X59</f>
        <v>84</v>
      </c>
      <c r="M59" s="6">
        <f>'Energy Readings'!Z59</f>
        <v>82</v>
      </c>
      <c r="N59" s="114">
        <f>'Energy Readings'!AB59</f>
        <v>87</v>
      </c>
      <c r="O59" s="6">
        <f>'Energy Readings'!AD59</f>
        <v>78</v>
      </c>
      <c r="P59" s="6">
        <f>'Energy Readings'!AF59</f>
        <v>77</v>
      </c>
      <c r="Q59" s="6">
        <f>'Energy Readings'!AH59</f>
        <v>89</v>
      </c>
      <c r="R59" s="6">
        <f>'Energy Readings'!AJ59</f>
        <v>85</v>
      </c>
      <c r="S59" s="6">
        <f>'Energy Readings'!AL59</f>
        <v>86</v>
      </c>
      <c r="T59" s="6">
        <f>'Energy Readings'!AN59</f>
        <v>93</v>
      </c>
      <c r="U59" s="6">
        <f>'Energy Readings'!AP59</f>
        <v>98</v>
      </c>
      <c r="V59" s="6">
        <f>'Energy Readings'!AR59</f>
        <v>99</v>
      </c>
      <c r="W59" s="6">
        <f>'Energy Readings'!AT59</f>
        <v>92</v>
      </c>
      <c r="X59" s="6">
        <f>'Energy Readings'!AV59</f>
        <v>87</v>
      </c>
      <c r="Y59" s="6">
        <f>'Energy Readings'!AX59</f>
        <v>89</v>
      </c>
      <c r="Z59" s="6">
        <f>'Energy Readings'!AZ59</f>
        <v>97</v>
      </c>
      <c r="AA59" s="6">
        <f>'Energy Readings'!BB59</f>
        <v>96</v>
      </c>
      <c r="AB59" s="6">
        <f>'Energy Readings'!BD59</f>
        <v>98</v>
      </c>
      <c r="AC59" s="6">
        <f>'Energy Readings'!BF59</f>
        <v>88</v>
      </c>
      <c r="AD59" s="6">
        <f>'Energy Readings'!BH59</f>
        <v>82</v>
      </c>
      <c r="AE59" s="6">
        <f>'Energy Readings'!BJ59</f>
        <v>94</v>
      </c>
      <c r="AF59" s="6">
        <f t="shared" si="11"/>
        <v>2616</v>
      </c>
    </row>
    <row r="60" spans="1:32" ht="27" customHeight="1" x14ac:dyDescent="0.25">
      <c r="A60" s="25" t="s">
        <v>121</v>
      </c>
      <c r="B60" s="6">
        <f>'Energy Readings'!D60</f>
        <v>0</v>
      </c>
      <c r="C60" s="6">
        <f>'Energy Readings'!F60</f>
        <v>0</v>
      </c>
      <c r="D60" s="6">
        <f>'Energy Readings'!H60</f>
        <v>0</v>
      </c>
      <c r="E60" s="6">
        <f>'Energy Readings'!J60</f>
        <v>0</v>
      </c>
      <c r="F60" s="6">
        <f>'Energy Readings'!L60</f>
        <v>0</v>
      </c>
      <c r="G60" s="6">
        <f>'Energy Readings'!N60</f>
        <v>0</v>
      </c>
      <c r="H60" s="6">
        <f>'Energy Readings'!P60</f>
        <v>0</v>
      </c>
      <c r="I60" s="6">
        <f>'Energy Readings'!R60</f>
        <v>0</v>
      </c>
      <c r="J60" s="6">
        <f>'Energy Readings'!T60</f>
        <v>0</v>
      </c>
      <c r="K60" s="6">
        <f>'Energy Readings'!V60</f>
        <v>0</v>
      </c>
      <c r="L60" s="6">
        <f>'Energy Readings'!X60</f>
        <v>0</v>
      </c>
      <c r="M60" s="6">
        <f>'Energy Readings'!Z60</f>
        <v>0</v>
      </c>
      <c r="N60" s="114">
        <f>'Energy Readings'!AB60</f>
        <v>0</v>
      </c>
      <c r="O60" s="6">
        <f>'Energy Readings'!AD60</f>
        <v>0</v>
      </c>
      <c r="P60" s="6">
        <f>'Energy Readings'!AF60</f>
        <v>0</v>
      </c>
      <c r="Q60" s="6">
        <f>'Energy Readings'!AH60</f>
        <v>0</v>
      </c>
      <c r="R60" s="6">
        <f>'Energy Readings'!AJ60</f>
        <v>0</v>
      </c>
      <c r="S60" s="6">
        <f>'Energy Readings'!AL60</f>
        <v>0</v>
      </c>
      <c r="T60" s="6">
        <f>'Energy Readings'!AN60</f>
        <v>0</v>
      </c>
      <c r="U60" s="6">
        <f>'Energy Readings'!AP60</f>
        <v>0</v>
      </c>
      <c r="V60" s="6">
        <f>'Energy Readings'!AR60</f>
        <v>0</v>
      </c>
      <c r="W60" s="6">
        <f>'Energy Readings'!AT60</f>
        <v>0</v>
      </c>
      <c r="X60" s="6">
        <f>'Energy Readings'!AV60</f>
        <v>0</v>
      </c>
      <c r="Y60" s="6">
        <f>'Energy Readings'!AX60</f>
        <v>0</v>
      </c>
      <c r="Z60" s="6">
        <f>'Energy Readings'!AZ60</f>
        <v>0</v>
      </c>
      <c r="AA60" s="6">
        <f>'Energy Readings'!BB60</f>
        <v>0</v>
      </c>
      <c r="AB60" s="6">
        <f>'Energy Readings'!BD60</f>
        <v>0</v>
      </c>
      <c r="AC60" s="6">
        <f>'Energy Readings'!BF60</f>
        <v>0</v>
      </c>
      <c r="AD60" s="6">
        <f>'Energy Readings'!BH60</f>
        <v>0</v>
      </c>
      <c r="AE60" s="6">
        <f>'Energy Readings'!BJ60</f>
        <v>0</v>
      </c>
      <c r="AF60" s="6">
        <f t="shared" si="11"/>
        <v>0</v>
      </c>
    </row>
    <row r="61" spans="1:32" x14ac:dyDescent="0.25">
      <c r="A61" s="25" t="s">
        <v>274</v>
      </c>
      <c r="B61" s="6">
        <f>'Energy Readings'!D61</f>
        <v>0</v>
      </c>
      <c r="C61" s="6">
        <f>'Energy Readings'!F61</f>
        <v>0</v>
      </c>
      <c r="D61" s="6">
        <f>'Energy Readings'!H61</f>
        <v>0</v>
      </c>
      <c r="E61" s="6">
        <f>'Energy Readings'!J61</f>
        <v>0</v>
      </c>
      <c r="F61" s="6">
        <f>'Energy Readings'!L61</f>
        <v>0</v>
      </c>
      <c r="G61" s="6">
        <f>'Energy Readings'!N61</f>
        <v>0</v>
      </c>
      <c r="H61" s="6">
        <f>'[1]Energy Readings'!P61</f>
        <v>0</v>
      </c>
      <c r="I61" s="6">
        <f>'Energy Readings'!R61</f>
        <v>0</v>
      </c>
      <c r="J61" s="6">
        <f>'Energy Readings'!T61</f>
        <v>0</v>
      </c>
      <c r="K61" s="6">
        <f>'Energy Readings'!V61</f>
        <v>0</v>
      </c>
      <c r="L61" s="6">
        <f>'Energy Readings'!X61</f>
        <v>0</v>
      </c>
      <c r="M61" s="6">
        <f>'Energy Readings'!Z61</f>
        <v>0</v>
      </c>
      <c r="N61" s="114">
        <f>'Energy Readings'!AB61</f>
        <v>0</v>
      </c>
      <c r="O61" s="6">
        <f>'Energy Readings'!AD61</f>
        <v>0</v>
      </c>
      <c r="P61" s="6">
        <f>'Energy Readings'!AF61</f>
        <v>0</v>
      </c>
      <c r="Q61" s="6">
        <f>'Energy Readings'!AH61</f>
        <v>0</v>
      </c>
      <c r="R61" s="6">
        <f>'Energy Readings'!AJ61</f>
        <v>0</v>
      </c>
      <c r="S61" s="6">
        <f>'Energy Readings'!AL61</f>
        <v>0</v>
      </c>
      <c r="T61" s="6">
        <f>'Energy Readings'!AN61</f>
        <v>0</v>
      </c>
      <c r="U61" s="6">
        <f>'Energy Readings'!AP61</f>
        <v>0</v>
      </c>
      <c r="V61" s="6">
        <f>'Energy Readings'!AR61</f>
        <v>0</v>
      </c>
      <c r="W61" s="6">
        <f>'Energy Readings'!AT61</f>
        <v>0</v>
      </c>
      <c r="X61" s="6">
        <f>'Energy Readings'!AV61</f>
        <v>0</v>
      </c>
      <c r="Y61" s="6">
        <f>'Energy Readings'!AX61</f>
        <v>0</v>
      </c>
      <c r="Z61" s="6">
        <f>'Energy Readings'!AZ61</f>
        <v>0</v>
      </c>
      <c r="AA61" s="6">
        <f>'Energy Readings'!BB61</f>
        <v>0</v>
      </c>
      <c r="AB61" s="6">
        <f>'Energy Readings'!BD61</f>
        <v>0</v>
      </c>
      <c r="AC61" s="6">
        <f>'Energy Readings'!BF61</f>
        <v>0</v>
      </c>
      <c r="AD61" s="6">
        <f>'Energy Readings'!BH61</f>
        <v>0</v>
      </c>
      <c r="AE61" s="6">
        <f>'Energy Readings'!BJ61</f>
        <v>0</v>
      </c>
      <c r="AF61" s="6">
        <f t="shared" si="11"/>
        <v>0</v>
      </c>
    </row>
    <row r="62" spans="1:32" x14ac:dyDescent="0.25">
      <c r="A62" s="14" t="s">
        <v>3</v>
      </c>
      <c r="B62" s="6">
        <f>'Energy Readings'!D62</f>
        <v>0</v>
      </c>
      <c r="C62" s="6">
        <f>'Energy Readings'!F62</f>
        <v>0</v>
      </c>
      <c r="D62" s="6">
        <f>'Energy Readings'!H62</f>
        <v>0</v>
      </c>
      <c r="E62" s="6">
        <f>'Energy Readings'!J62</f>
        <v>0</v>
      </c>
      <c r="F62" s="6">
        <f>'Energy Readings'!L62</f>
        <v>0</v>
      </c>
      <c r="G62" s="6">
        <f>'Energy Readings'!N62</f>
        <v>0</v>
      </c>
      <c r="H62" s="6">
        <f>'[1]Energy Readings'!P62</f>
        <v>0</v>
      </c>
      <c r="I62" s="6">
        <f>'Energy Readings'!R62</f>
        <v>0</v>
      </c>
      <c r="J62" s="6">
        <f>'Energy Readings'!T62</f>
        <v>0</v>
      </c>
      <c r="K62" s="6">
        <f>'Energy Readings'!V62</f>
        <v>0</v>
      </c>
      <c r="L62" s="6">
        <f>'Energy Readings'!X62</f>
        <v>0</v>
      </c>
      <c r="M62" s="6">
        <f>'Energy Readings'!Z62</f>
        <v>0</v>
      </c>
      <c r="N62" s="114">
        <f>'Energy Readings'!AB62</f>
        <v>0</v>
      </c>
      <c r="O62" s="6">
        <f>'Energy Readings'!AD62</f>
        <v>0</v>
      </c>
      <c r="P62" s="6">
        <f>'Energy Readings'!AF62</f>
        <v>0</v>
      </c>
      <c r="Q62" s="6">
        <f>'Energy Readings'!AH62</f>
        <v>0</v>
      </c>
      <c r="R62" s="6">
        <f>'Energy Readings'!AJ62</f>
        <v>0</v>
      </c>
      <c r="S62" s="6">
        <f>'Energy Readings'!AL62</f>
        <v>0</v>
      </c>
      <c r="T62" s="6">
        <f>'Energy Readings'!AN62</f>
        <v>0</v>
      </c>
      <c r="U62" s="6">
        <f>'Energy Readings'!AP62</f>
        <v>0</v>
      </c>
      <c r="V62" s="6">
        <f>'Energy Readings'!AR62</f>
        <v>0</v>
      </c>
      <c r="W62" s="6">
        <f>'Energy Readings'!AT62</f>
        <v>0</v>
      </c>
      <c r="X62" s="6">
        <f>'Energy Readings'!AV62</f>
        <v>0</v>
      </c>
      <c r="Y62" s="6">
        <f>'Energy Readings'!AX62</f>
        <v>0</v>
      </c>
      <c r="Z62" s="6">
        <f>'Energy Readings'!AZ62</f>
        <v>0</v>
      </c>
      <c r="AA62" s="6">
        <f>'Energy Readings'!BB62</f>
        <v>0</v>
      </c>
      <c r="AB62" s="6">
        <f>'Energy Readings'!BD62</f>
        <v>0</v>
      </c>
      <c r="AC62" s="6">
        <f>'Energy Readings'!BF62</f>
        <v>0</v>
      </c>
      <c r="AD62" s="6">
        <f>'Energy Readings'!BH62</f>
        <v>0</v>
      </c>
      <c r="AE62" s="6">
        <f>'Energy Readings'!BJ62</f>
        <v>0</v>
      </c>
      <c r="AF62" s="6">
        <f t="shared" si="11"/>
        <v>0</v>
      </c>
    </row>
    <row r="63" spans="1:32" ht="18.75" x14ac:dyDescent="0.3">
      <c r="A63" s="2" t="s">
        <v>238</v>
      </c>
      <c r="B63" s="6"/>
      <c r="C63" s="6"/>
      <c r="D63" s="6"/>
      <c r="E63" s="6"/>
      <c r="F63" s="6"/>
      <c r="G63" s="6"/>
      <c r="H63" s="6"/>
      <c r="I63" s="6"/>
      <c r="J63" s="6"/>
      <c r="K63" s="6">
        <f>'Energy Readings'!V63</f>
        <v>0</v>
      </c>
      <c r="L63" s="6"/>
      <c r="M63" s="6"/>
      <c r="N63" s="114"/>
      <c r="O63" s="6"/>
      <c r="P63" s="6"/>
      <c r="Q63" s="6"/>
      <c r="R63" s="6"/>
      <c r="S63" s="6">
        <f>'Energy Readings'!AL63</f>
        <v>0</v>
      </c>
      <c r="T63" s="6">
        <f>'Energy Readings'!AN63</f>
        <v>0</v>
      </c>
      <c r="U63" s="6">
        <f>'Energy Readings'!AP63</f>
        <v>0</v>
      </c>
      <c r="V63" s="6">
        <f>'Energy Readings'!AR63</f>
        <v>0</v>
      </c>
      <c r="W63" s="6">
        <f>'Energy Readings'!AT63</f>
        <v>0</v>
      </c>
      <c r="X63" s="6">
        <f>'Energy Readings'!AV63</f>
        <v>0</v>
      </c>
      <c r="Y63" s="6">
        <f>'Energy Readings'!AX63</f>
        <v>0</v>
      </c>
      <c r="Z63" s="6">
        <f>'Energy Readings'!AZ63</f>
        <v>0</v>
      </c>
      <c r="AA63" s="6">
        <f>'Energy Readings'!BB63</f>
        <v>0</v>
      </c>
      <c r="AB63" s="6">
        <f>'Energy Readings'!BD63</f>
        <v>0</v>
      </c>
      <c r="AC63" s="6">
        <f>'Energy Readings'!BF63</f>
        <v>0</v>
      </c>
      <c r="AD63" s="6">
        <f>'Energy Readings'!BH63</f>
        <v>0</v>
      </c>
      <c r="AE63" s="6">
        <f>'Energy Readings'!BJ63</f>
        <v>0</v>
      </c>
      <c r="AF63" s="6"/>
    </row>
    <row r="64" spans="1:32" x14ac:dyDescent="0.25">
      <c r="A64" s="4" t="s">
        <v>16</v>
      </c>
      <c r="B64" s="6">
        <f>'Energy Readings'!D64</f>
        <v>2425.910000000149</v>
      </c>
      <c r="C64" s="6">
        <f>'Energy Readings'!F64</f>
        <v>2793.8799999989569</v>
      </c>
      <c r="D64" s="6">
        <f>'Energy Readings'!H64</f>
        <v>2563.6100000012666</v>
      </c>
      <c r="E64" s="6">
        <f>'Energy Readings'!J64</f>
        <v>2478.1199999991804</v>
      </c>
      <c r="F64" s="6">
        <f>'Energy Readings'!L64</f>
        <v>2334.9400000013411</v>
      </c>
      <c r="G64" s="6">
        <f>'Energy Readings'!N64</f>
        <v>2582.3299999982119</v>
      </c>
      <c r="H64" s="6">
        <f>'Energy Readings'!P64</f>
        <v>2571.8500000014901</v>
      </c>
      <c r="I64" s="6">
        <f>'Energy Readings'!R64</f>
        <v>2256.5</v>
      </c>
      <c r="J64" s="6">
        <f>'Energy Readings'!T64</f>
        <v>1761.769999999553</v>
      </c>
      <c r="K64" s="6">
        <f>'Energy Readings'!V64</f>
        <v>1843.7899999991059</v>
      </c>
      <c r="L64" s="6">
        <f>'Energy Readings'!X64</f>
        <v>2539.5100000016391</v>
      </c>
      <c r="M64" s="6">
        <f>'Energy Readings'!Z64</f>
        <v>2473.5599999986589</v>
      </c>
      <c r="N64" s="114">
        <f>'Energy Readings'!AB64</f>
        <v>2680.9500000011176</v>
      </c>
      <c r="O64" s="6">
        <f>'Energy Readings'!AD64</f>
        <v>2118.3099999986589</v>
      </c>
      <c r="P64" s="6">
        <f>'Energy Readings'!AF64</f>
        <v>2330.2100000008941</v>
      </c>
      <c r="Q64" s="6">
        <f>'Energy Readings'!AH64</f>
        <v>2086.5</v>
      </c>
      <c r="R64" s="6">
        <f>'Energy Readings'!AJ64</f>
        <v>2494.1999999992549</v>
      </c>
      <c r="S64" s="6">
        <f>'Energy Readings'!AL64</f>
        <v>2433.9400000013411</v>
      </c>
      <c r="T64" s="6">
        <f>'Energy Readings'!AN64</f>
        <v>2946.769999999553</v>
      </c>
      <c r="U64" s="6">
        <f>'Energy Readings'!AP64</f>
        <v>2851.480000000447</v>
      </c>
      <c r="V64" s="6">
        <f>'Energy Readings'!AR64</f>
        <v>2914.769999999553</v>
      </c>
      <c r="W64" s="6">
        <f>'Energy Readings'!AT64</f>
        <v>2874.7099999990314</v>
      </c>
      <c r="X64" s="6">
        <f>'Energy Readings'!AV64</f>
        <v>2790.160000000149</v>
      </c>
      <c r="Y64" s="6">
        <f>'Energy Readings'!AX64</f>
        <v>2626.5500000007451</v>
      </c>
      <c r="Z64" s="6">
        <f>'Energy Readings'!AZ64</f>
        <v>3027.230000000447</v>
      </c>
      <c r="AA64" s="6">
        <f>'Energy Readings'!BB64</f>
        <v>2817.679999999702</v>
      </c>
      <c r="AB64" s="6">
        <f>'Energy Readings'!BD64</f>
        <v>2715.910000000149</v>
      </c>
      <c r="AC64" s="6">
        <f>'Energy Readings'!BF64</f>
        <v>2680.2799999993294</v>
      </c>
      <c r="AD64" s="6">
        <f>'Energy Readings'!BH64</f>
        <v>2722.2100000008941</v>
      </c>
      <c r="AE64" s="6">
        <f>'Energy Readings'!BJ64</f>
        <v>2656.2099999990314</v>
      </c>
      <c r="AF64" s="6">
        <f>SUM(B64:AE64)</f>
        <v>76393.839999999851</v>
      </c>
    </row>
    <row r="65" spans="1:32" x14ac:dyDescent="0.25">
      <c r="A65" s="4" t="s">
        <v>110</v>
      </c>
      <c r="B65" s="6">
        <f>'Energy Readings'!D65</f>
        <v>277.54999999998836</v>
      </c>
      <c r="C65" s="6">
        <v>1000</v>
      </c>
      <c r="D65" s="6">
        <v>679</v>
      </c>
      <c r="E65" s="6">
        <f>'Energy Readings'!J65</f>
        <v>293.13000000000466</v>
      </c>
      <c r="F65" s="6">
        <f>'Energy Readings'!L65</f>
        <v>295.26999999996042</v>
      </c>
      <c r="G65" s="6">
        <f>'Energy Readings'!N65</f>
        <v>279.04000000003725</v>
      </c>
      <c r="H65" s="6">
        <f>'Energy Readings'!P65</f>
        <v>246.72999999998137</v>
      </c>
      <c r="I65" s="6">
        <f>'Energy Readings'!R65</f>
        <v>293.88000000000466</v>
      </c>
      <c r="J65" s="6">
        <f>'Energy Readings'!T65</f>
        <v>273.5800000000163</v>
      </c>
      <c r="K65" s="6">
        <f>'Energy Readings'!V65</f>
        <v>243.84999999997672</v>
      </c>
      <c r="L65" s="6">
        <f>'Energy Readings'!X65</f>
        <v>290.05999999999767</v>
      </c>
      <c r="M65" s="6">
        <f>'Energy Readings'!Z65</f>
        <v>318.47000000003027</v>
      </c>
      <c r="N65" s="114">
        <f>'Energy Readings'!AB65</f>
        <v>258.59999999997672</v>
      </c>
      <c r="O65" s="6">
        <f>'Energy Readings'!AD65</f>
        <v>302.5</v>
      </c>
      <c r="P65" s="6">
        <f>'Energy Readings'!AF65</f>
        <v>297.69000000000233</v>
      </c>
      <c r="Q65" s="6">
        <f>'Energy Readings'!AH65</f>
        <v>310.46999999997206</v>
      </c>
      <c r="R65" s="6">
        <f>'Energy Readings'!AJ65</f>
        <v>306.87000000005355</v>
      </c>
      <c r="S65" s="6">
        <f>'Energy Readings'!AL65</f>
        <v>213.04999999998836</v>
      </c>
      <c r="T65" s="6">
        <f>'Energy Readings'!AN65</f>
        <v>286.75</v>
      </c>
      <c r="U65" s="6">
        <f>'Energy Readings'!AP65</f>
        <v>268.8399999999674</v>
      </c>
      <c r="V65" s="6">
        <f>'Energy Readings'!AR65</f>
        <v>304.98999999999069</v>
      </c>
      <c r="W65" s="6">
        <f>'Energy Readings'!AT65</f>
        <v>333.80000000004657</v>
      </c>
      <c r="X65" s="6">
        <f>'Energy Readings'!AV65</f>
        <v>318.75</v>
      </c>
      <c r="Y65" s="6">
        <f>'Energy Readings'!AX65</f>
        <v>318.77999999996973</v>
      </c>
      <c r="Z65" s="6">
        <f>'Energy Readings'!AZ65</f>
        <v>326.04999999998836</v>
      </c>
      <c r="AA65" s="6">
        <f>'Energy Readings'!BB65</f>
        <v>326.17999999999302</v>
      </c>
      <c r="AB65" s="6">
        <f>'Energy Readings'!BD65</f>
        <v>322.54000000003725</v>
      </c>
      <c r="AC65" s="6">
        <f>'Energy Readings'!BF65</f>
        <v>281.30999999999767</v>
      </c>
      <c r="AD65" s="6">
        <f>'Energy Readings'!BH65</f>
        <v>316.44000000000233</v>
      </c>
      <c r="AE65" s="6">
        <f>'Energy Readings'!BJ65</f>
        <v>318.45000000001164</v>
      </c>
      <c r="AF65" s="6">
        <f>SUM(B65:AE65)</f>
        <v>9902.6199999999953</v>
      </c>
    </row>
    <row r="66" spans="1:32" ht="18.75" x14ac:dyDescent="0.3">
      <c r="A66" s="2" t="s">
        <v>239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114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ht="15" customHeight="1" x14ac:dyDescent="0.25">
      <c r="A67" s="26" t="s">
        <v>264</v>
      </c>
      <c r="B67" s="83">
        <f>'Energy Readings'!D67-B46</f>
        <v>1843</v>
      </c>
      <c r="C67" s="83">
        <f>'Energy Readings'!F67-C46</f>
        <v>2219</v>
      </c>
      <c r="D67" s="83">
        <f>'Energy Readings'!H67-D46</f>
        <v>2003</v>
      </c>
      <c r="E67" s="83">
        <f>'Energy Readings'!J67-E46</f>
        <v>2107</v>
      </c>
      <c r="F67" s="83">
        <f>'Energy Readings'!L67-F46</f>
        <v>2062</v>
      </c>
      <c r="G67" s="83">
        <f>'Energy Readings'!N67-G46</f>
        <v>1935</v>
      </c>
      <c r="H67" s="83">
        <f>'Energy Readings'!P67-H46</f>
        <v>1875</v>
      </c>
      <c r="I67" s="83">
        <f>'Energy Readings'!R67-I46</f>
        <v>1633</v>
      </c>
      <c r="J67" s="83">
        <f>'Energy Readings'!T67-J46</f>
        <v>1787</v>
      </c>
      <c r="K67" s="83">
        <f>'Energy Readings'!V67-K46</f>
        <v>2045</v>
      </c>
      <c r="L67" s="83">
        <f>'Energy Readings'!X67-L46</f>
        <v>2281</v>
      </c>
      <c r="M67" s="83">
        <f>'Energy Readings'!Z67-M46</f>
        <v>2075</v>
      </c>
      <c r="N67" s="83">
        <f>'Energy Readings'!AB67-N46</f>
        <v>2129</v>
      </c>
      <c r="O67" s="83">
        <f>'Energy Readings'!AD67-O46</f>
        <v>2061</v>
      </c>
      <c r="P67" s="83">
        <f>'Energy Readings'!AF67-P46</f>
        <v>2011</v>
      </c>
      <c r="Q67" s="83">
        <f>'Energy Readings'!AH67-Q46</f>
        <v>2070</v>
      </c>
      <c r="R67" s="83">
        <f>'Energy Readings'!AJ67-R46</f>
        <v>1968</v>
      </c>
      <c r="S67" s="83">
        <f>'Energy Readings'!AL67-S46</f>
        <v>2797</v>
      </c>
      <c r="T67" s="83">
        <f>'Energy Readings'!AN67-T46</f>
        <v>3835</v>
      </c>
      <c r="U67" s="83">
        <f>'Energy Readings'!AP67-U46</f>
        <v>3796</v>
      </c>
      <c r="V67" s="83">
        <f>'Energy Readings'!AR67-V46</f>
        <v>3591</v>
      </c>
      <c r="W67" s="83">
        <f>'Energy Readings'!AT67-W46</f>
        <v>4016</v>
      </c>
      <c r="X67" s="83">
        <f>'Energy Readings'!AV67-X46</f>
        <v>3841</v>
      </c>
      <c r="Y67" s="83">
        <f>'Energy Readings'!AX67-Y46</f>
        <v>3776</v>
      </c>
      <c r="Z67" s="83">
        <f>'Energy Readings'!AZ67-Z46</f>
        <v>3740</v>
      </c>
      <c r="AA67" s="83">
        <f>'Energy Readings'!BB67-AA46</f>
        <v>3809</v>
      </c>
      <c r="AB67" s="83">
        <f>'Energy Readings'!BD67-AB46</f>
        <v>3843</v>
      </c>
      <c r="AC67" s="83">
        <f>'Energy Readings'!BF67-AC46</f>
        <v>3784</v>
      </c>
      <c r="AD67" s="83">
        <f>'Energy Readings'!BH67-AD46</f>
        <v>3852</v>
      </c>
      <c r="AE67" s="83">
        <f>'Energy Readings'!BJ67-AE46</f>
        <v>3327</v>
      </c>
      <c r="AF67" s="6">
        <f t="shared" ref="AF67:AF78" si="12">SUM(B67:AE67)</f>
        <v>82111</v>
      </c>
    </row>
    <row r="68" spans="1:32" x14ac:dyDescent="0.25">
      <c r="A68" s="4" t="s">
        <v>110</v>
      </c>
      <c r="B68" s="5">
        <f>'Energy Readings'!D68</f>
        <v>0</v>
      </c>
      <c r="C68" s="5">
        <f>'Energy Readings'!F68</f>
        <v>0</v>
      </c>
      <c r="D68" s="5">
        <f>'Energy Readings'!H68</f>
        <v>0</v>
      </c>
      <c r="E68" s="5">
        <f>'Energy Readings'!J68</f>
        <v>0</v>
      </c>
      <c r="F68" s="5">
        <f>'Energy Readings'!L68</f>
        <v>0</v>
      </c>
      <c r="G68" s="5">
        <f>'Energy Readings'!N68</f>
        <v>0</v>
      </c>
      <c r="H68" s="5">
        <f>'Energy Readings'!P68</f>
        <v>0</v>
      </c>
      <c r="I68" s="5">
        <f>'Energy Readings'!R68</f>
        <v>0</v>
      </c>
      <c r="J68" s="5">
        <f>'Energy Readings'!T68</f>
        <v>0</v>
      </c>
      <c r="K68" s="5">
        <f>'Energy Readings'!V68</f>
        <v>0</v>
      </c>
      <c r="L68" s="5">
        <f>'Energy Readings'!X68</f>
        <v>0</v>
      </c>
      <c r="M68" s="5">
        <f>'Energy Readings'!Z68</f>
        <v>0</v>
      </c>
      <c r="N68" s="111">
        <f>'Energy Readings'!AB68</f>
        <v>0</v>
      </c>
      <c r="O68" s="5">
        <f>'Energy Readings'!AD68</f>
        <v>0</v>
      </c>
      <c r="P68" s="5">
        <f>'Energy Readings'!AF68</f>
        <v>0</v>
      </c>
      <c r="Q68" s="5">
        <f>'Energy Readings'!AH68</f>
        <v>0</v>
      </c>
      <c r="R68" s="5">
        <f>'Energy Readings'!AJ68</f>
        <v>0</v>
      </c>
      <c r="S68" s="5">
        <f>'Energy Readings'!AL68</f>
        <v>0</v>
      </c>
      <c r="T68" s="5">
        <f>'Energy Readings'!AN68</f>
        <v>0</v>
      </c>
      <c r="U68" s="5">
        <f>'Energy Readings'!AP68</f>
        <v>0</v>
      </c>
      <c r="V68" s="5">
        <f>'Energy Readings'!AR68</f>
        <v>0</v>
      </c>
      <c r="W68" s="5">
        <f>'Energy Readings'!AT68</f>
        <v>0</v>
      </c>
      <c r="X68" s="5">
        <f>'Energy Readings'!AV68</f>
        <v>0</v>
      </c>
      <c r="Y68" s="5">
        <f>'Energy Readings'!AX68</f>
        <v>0</v>
      </c>
      <c r="Z68" s="5">
        <f>'Energy Readings'!AZ68</f>
        <v>0</v>
      </c>
      <c r="AA68" s="5">
        <f>'Energy Readings'!BB68</f>
        <v>0</v>
      </c>
      <c r="AB68" s="5">
        <f>'Energy Readings'!BD68</f>
        <v>0</v>
      </c>
      <c r="AC68" s="5">
        <f>'Energy Readings'!BF68</f>
        <v>0</v>
      </c>
      <c r="AD68" s="5">
        <f>'Energy Readings'!BH68</f>
        <v>0</v>
      </c>
      <c r="AE68" s="5">
        <v>0</v>
      </c>
      <c r="AF68" s="6">
        <f t="shared" si="12"/>
        <v>0</v>
      </c>
    </row>
    <row r="69" spans="1:32" ht="15" customHeight="1" x14ac:dyDescent="0.25">
      <c r="A69" s="15" t="s">
        <v>17</v>
      </c>
      <c r="B69" s="5">
        <f>'Energy Readings'!D69</f>
        <v>163562</v>
      </c>
      <c r="C69" s="5">
        <f>'Energy Readings'!F69</f>
        <v>122254</v>
      </c>
      <c r="D69" s="5">
        <f>'Energy Readings'!H69</f>
        <v>134892</v>
      </c>
      <c r="E69" s="5">
        <f>'Energy Readings'!J69</f>
        <v>159874</v>
      </c>
      <c r="F69" s="5">
        <f>'Energy Readings'!L69</f>
        <v>143168</v>
      </c>
      <c r="G69" s="5">
        <f>'Energy Readings'!N69</f>
        <v>139252</v>
      </c>
      <c r="H69" s="5">
        <f>'Energy Readings'!P69</f>
        <v>139940</v>
      </c>
      <c r="I69" s="5">
        <f>'Energy Readings'!R69</f>
        <v>137672</v>
      </c>
      <c r="J69" s="5">
        <f>'Energy Readings'!T69</f>
        <v>142452</v>
      </c>
      <c r="K69" s="5">
        <f>'Energy Readings'!V69</f>
        <v>145160</v>
      </c>
      <c r="L69" s="5">
        <f>'Energy Readings'!X69</f>
        <v>138720</v>
      </c>
      <c r="M69" s="5">
        <f>'Energy Readings'!Z69</f>
        <v>140636</v>
      </c>
      <c r="N69" s="111">
        <f>'Energy Readings'!AB69</f>
        <v>126304</v>
      </c>
      <c r="O69" s="5">
        <f>'Energy Readings'!AD69</f>
        <v>133716</v>
      </c>
      <c r="P69" s="5">
        <f>'Energy Readings'!AF69</f>
        <v>157692</v>
      </c>
      <c r="Q69" s="5">
        <f>'Energy Readings'!AH69</f>
        <v>188728</v>
      </c>
      <c r="R69" s="5">
        <f>'Energy Readings'!AJ69</f>
        <v>171652</v>
      </c>
      <c r="S69" s="5">
        <f>'Energy Readings'!AL69</f>
        <v>181228</v>
      </c>
      <c r="T69" s="5">
        <f>'Energy Readings'!AN69</f>
        <v>188220</v>
      </c>
      <c r="U69" s="5">
        <f>'Energy Readings'!AP69</f>
        <v>176352</v>
      </c>
      <c r="V69" s="5">
        <f>'Energy Readings'!AR69</f>
        <v>170220</v>
      </c>
      <c r="W69" s="5">
        <f>'Energy Readings'!AT69</f>
        <v>167612</v>
      </c>
      <c r="X69" s="5">
        <f>'Energy Readings'!AV69</f>
        <v>90860</v>
      </c>
      <c r="Y69" s="5">
        <f>'Energy Readings'!AX69</f>
        <v>142184</v>
      </c>
      <c r="Z69" s="5">
        <f>'Energy Readings'!AZ69</f>
        <v>157920</v>
      </c>
      <c r="AA69" s="5">
        <f>'Energy Readings'!BB69</f>
        <v>152064</v>
      </c>
      <c r="AB69" s="5">
        <f>'Energy Readings'!BD69</f>
        <v>150496</v>
      </c>
      <c r="AC69" s="5">
        <f>'Energy Readings'!BF69</f>
        <v>152184</v>
      </c>
      <c r="AD69" s="5">
        <f>'Energy Readings'!BH69</f>
        <v>157416</v>
      </c>
      <c r="AE69" s="5">
        <f>'Energy Readings'!BJ69</f>
        <v>114728</v>
      </c>
      <c r="AF69" s="6">
        <f t="shared" si="12"/>
        <v>4487158</v>
      </c>
    </row>
    <row r="70" spans="1:32" ht="15" customHeight="1" x14ac:dyDescent="0.25">
      <c r="A70" s="15" t="s">
        <v>165</v>
      </c>
      <c r="B70" s="5">
        <f>'Energy Readings'!D70</f>
        <v>78705.000000001746</v>
      </c>
      <c r="C70" s="5">
        <f>'Energy Readings'!F70</f>
        <v>88805.000000000291</v>
      </c>
      <c r="D70" s="5">
        <f>'Energy Readings'!H70</f>
        <v>108933.00000000454</v>
      </c>
      <c r="E70" s="5">
        <f>'Energy Readings'!J70</f>
        <v>101850.99999999511</v>
      </c>
      <c r="F70" s="5">
        <f>'Energy Readings'!L70</f>
        <v>92635.999999998603</v>
      </c>
      <c r="G70" s="5">
        <f>'Energy Readings'!N70</f>
        <v>91869.000000006054</v>
      </c>
      <c r="H70" s="5">
        <f>'Energy Readings'!P70</f>
        <v>56421.999999998661</v>
      </c>
      <c r="I70" s="5">
        <f>'Energy Readings'!R70</f>
        <v>64831.999999994878</v>
      </c>
      <c r="J70" s="5">
        <f>'Energy Readings'!T70</f>
        <v>64987.00000000099</v>
      </c>
      <c r="K70" s="5">
        <f>'Energy Readings'!V70</f>
        <v>102097.00000000157</v>
      </c>
      <c r="L70" s="5">
        <f>'Energy Readings'!X70</f>
        <v>108506.99999999779</v>
      </c>
      <c r="M70" s="5">
        <f>'Energy Readings'!Z70</f>
        <v>103690.00000000233</v>
      </c>
      <c r="N70" s="111">
        <f>'Energy Readings'!AB70</f>
        <v>109235.99999999715</v>
      </c>
      <c r="O70" s="5">
        <f>'Energy Readings'!AD70</f>
        <v>100602.00000000623</v>
      </c>
      <c r="P70" s="5">
        <f>'Energy Readings'!AF70</f>
        <v>79310.999999994237</v>
      </c>
      <c r="Q70" s="5">
        <f>'Energy Readings'!AH70</f>
        <v>65888.000000006286</v>
      </c>
      <c r="R70" s="5">
        <f>'Energy Readings'!AJ70</f>
        <v>61185.999999994237</v>
      </c>
      <c r="S70" s="5">
        <f>'Energy Readings'!AL70</f>
        <v>63832.000000002154</v>
      </c>
      <c r="T70" s="5">
        <f>'Energy Readings'!AN70</f>
        <v>61760.000000002037</v>
      </c>
      <c r="U70" s="5">
        <f>'Energy Readings'!AP70</f>
        <v>62958.999999995285</v>
      </c>
      <c r="V70" s="5">
        <f>'Energy Readings'!AR70</f>
        <v>62825.000000004366</v>
      </c>
      <c r="W70" s="5">
        <f>'Energy Readings'!AT70</f>
        <v>63299.999999995634</v>
      </c>
      <c r="X70" s="5">
        <f>'Energy Readings'!AV70</f>
        <v>62021.00000000064</v>
      </c>
      <c r="Y70" s="5">
        <f>'Energy Readings'!AX70</f>
        <v>63603.000000002794</v>
      </c>
      <c r="Z70" s="5">
        <f>'Energy Readings'!AZ70</f>
        <v>106254.00000000081</v>
      </c>
      <c r="AA70" s="5">
        <f>'Energy Readings'!BB70</f>
        <v>110689.99999999505</v>
      </c>
      <c r="AB70" s="5">
        <f>'Energy Readings'!BD70</f>
        <v>93234.000000004016</v>
      </c>
      <c r="AC70" s="5">
        <f>'Energy Readings'!BF70</f>
        <v>89317.000000002736</v>
      </c>
      <c r="AD70" s="5">
        <f>'Energy Readings'!BH70</f>
        <v>99094.999999993888</v>
      </c>
      <c r="AE70" s="5">
        <f>'Energy Readings'!BJ70</f>
        <v>76718.000000000757</v>
      </c>
      <c r="AF70" s="6">
        <f t="shared" si="12"/>
        <v>2495165.0000000009</v>
      </c>
    </row>
    <row r="71" spans="1:32" ht="15" customHeight="1" x14ac:dyDescent="0.25">
      <c r="A71" s="15" t="s">
        <v>272</v>
      </c>
      <c r="B71" s="5">
        <f>'Energy Readings'!D71</f>
        <v>0</v>
      </c>
      <c r="C71" s="5">
        <f>'Energy Readings'!F71</f>
        <v>0</v>
      </c>
      <c r="D71" s="5">
        <f>'Energy Readings'!H71</f>
        <v>0</v>
      </c>
      <c r="E71" s="5">
        <f>'Energy Readings'!J71</f>
        <v>0</v>
      </c>
      <c r="F71" s="5">
        <f>'Energy Readings'!L71</f>
        <v>0</v>
      </c>
      <c r="G71" s="5">
        <f>'Energy Readings'!N71</f>
        <v>0</v>
      </c>
      <c r="H71" s="5">
        <f>'Energy Readings'!P71</f>
        <v>0</v>
      </c>
      <c r="I71" s="5">
        <f>'Energy Readings'!R71</f>
        <v>0</v>
      </c>
      <c r="J71" s="5">
        <f>'Energy Readings'!T71</f>
        <v>0</v>
      </c>
      <c r="K71" s="5">
        <f>'Energy Readings'!V71</f>
        <v>0</v>
      </c>
      <c r="L71" s="5">
        <f>'Energy Readings'!X71</f>
        <v>0</v>
      </c>
      <c r="M71" s="5">
        <f>'Energy Readings'!Z71</f>
        <v>0</v>
      </c>
      <c r="N71" s="111">
        <f>'Energy Readings'!AB71</f>
        <v>0</v>
      </c>
      <c r="O71" s="5">
        <f>'Energy Readings'!AD71</f>
        <v>0</v>
      </c>
      <c r="P71" s="5">
        <f>'Energy Readings'!AF71</f>
        <v>0</v>
      </c>
      <c r="Q71" s="5">
        <f>'Energy Readings'!AH71</f>
        <v>0</v>
      </c>
      <c r="R71" s="5">
        <f>'Energy Readings'!AJ71</f>
        <v>0</v>
      </c>
      <c r="S71" s="5">
        <f>'Energy Readings'!AL71</f>
        <v>0</v>
      </c>
      <c r="T71" s="5">
        <f>'Energy Readings'!AN71</f>
        <v>0</v>
      </c>
      <c r="U71" s="5">
        <f>'Energy Readings'!AP71</f>
        <v>0</v>
      </c>
      <c r="V71" s="5">
        <f>'Energy Readings'!AR71</f>
        <v>0</v>
      </c>
      <c r="W71" s="5">
        <f>'Energy Readings'!AT71</f>
        <v>0</v>
      </c>
      <c r="X71" s="5">
        <f>'Energy Readings'!AV71</f>
        <v>0</v>
      </c>
      <c r="Y71" s="5">
        <f>'Energy Readings'!AX71</f>
        <v>0</v>
      </c>
      <c r="Z71" s="5">
        <f>'Energy Readings'!AZ71</f>
        <v>0</v>
      </c>
      <c r="AA71" s="5">
        <f>'Energy Readings'!BB71</f>
        <v>0</v>
      </c>
      <c r="AB71" s="5">
        <f>'Energy Readings'!BD71</f>
        <v>0</v>
      </c>
      <c r="AC71" s="5">
        <f>'Energy Readings'!BF71</f>
        <v>0</v>
      </c>
      <c r="AD71" s="5">
        <f>'Energy Readings'!BH71</f>
        <v>0</v>
      </c>
      <c r="AE71" s="5">
        <v>0</v>
      </c>
      <c r="AF71" s="6">
        <f t="shared" si="12"/>
        <v>0</v>
      </c>
    </row>
    <row r="72" spans="1:32" ht="30" x14ac:dyDescent="0.25">
      <c r="A72" s="33" t="s">
        <v>40</v>
      </c>
      <c r="B72" s="5">
        <f>'Energy Readings'!D72</f>
        <v>0</v>
      </c>
      <c r="C72" s="5">
        <f>'Energy Readings'!F72</f>
        <v>0</v>
      </c>
      <c r="D72" s="5">
        <f>'Energy Readings'!H72</f>
        <v>0</v>
      </c>
      <c r="E72" s="5">
        <f>'Energy Readings'!J72</f>
        <v>0</v>
      </c>
      <c r="F72" s="5">
        <f>'Energy Readings'!L72</f>
        <v>0</v>
      </c>
      <c r="G72" s="5">
        <f>'Energy Readings'!N72</f>
        <v>0</v>
      </c>
      <c r="H72" s="5">
        <f>'Energy Readings'!P72</f>
        <v>0</v>
      </c>
      <c r="I72" s="5">
        <f>'Energy Readings'!R72</f>
        <v>0</v>
      </c>
      <c r="J72" s="5">
        <f>'Energy Readings'!T72</f>
        <v>0</v>
      </c>
      <c r="K72" s="5">
        <f>'Energy Readings'!V72</f>
        <v>0</v>
      </c>
      <c r="L72" s="5">
        <f>'Energy Readings'!X72</f>
        <v>0</v>
      </c>
      <c r="M72" s="5">
        <f>'Energy Readings'!Z72</f>
        <v>0</v>
      </c>
      <c r="N72" s="111">
        <f>'Energy Readings'!AB72</f>
        <v>0</v>
      </c>
      <c r="O72" s="5">
        <f>'Energy Readings'!AD72</f>
        <v>0</v>
      </c>
      <c r="P72" s="5">
        <f>'Energy Readings'!AF72</f>
        <v>0</v>
      </c>
      <c r="Q72" s="5">
        <f>'Energy Readings'!AH72</f>
        <v>0</v>
      </c>
      <c r="R72" s="5">
        <f>'Energy Readings'!AJ72</f>
        <v>0</v>
      </c>
      <c r="S72" s="5">
        <f>'Energy Readings'!AL72</f>
        <v>0</v>
      </c>
      <c r="T72" s="5">
        <f>'Energy Readings'!AN72</f>
        <v>0</v>
      </c>
      <c r="U72" s="5">
        <f>'Energy Readings'!AP72</f>
        <v>0</v>
      </c>
      <c r="V72" s="5">
        <f>'Energy Readings'!AR72</f>
        <v>0</v>
      </c>
      <c r="W72" s="5">
        <f>'Energy Readings'!AT72</f>
        <v>0</v>
      </c>
      <c r="X72" s="5">
        <f>'Energy Readings'!AV72</f>
        <v>0</v>
      </c>
      <c r="Y72" s="5">
        <f>'Energy Readings'!AX72</f>
        <v>0</v>
      </c>
      <c r="Z72" s="5">
        <f>'Energy Readings'!AZ72</f>
        <v>0</v>
      </c>
      <c r="AA72" s="5">
        <f>'Energy Readings'!BB72</f>
        <v>0</v>
      </c>
      <c r="AB72" s="5">
        <f>'Energy Readings'!BD72</f>
        <v>0</v>
      </c>
      <c r="AC72" s="5">
        <f>'Energy Readings'!BF72</f>
        <v>0</v>
      </c>
      <c r="AD72" s="5">
        <f>'Energy Readings'!BH72</f>
        <v>0</v>
      </c>
      <c r="AE72" s="5">
        <f>'Energy Readings'!BJ72</f>
        <v>0</v>
      </c>
      <c r="AF72" s="6">
        <f t="shared" si="12"/>
        <v>0</v>
      </c>
    </row>
    <row r="73" spans="1:32" x14ac:dyDescent="0.25">
      <c r="A73" s="14" t="s">
        <v>18</v>
      </c>
      <c r="B73" s="5">
        <f>'Energy Readings'!D73</f>
        <v>0</v>
      </c>
      <c r="C73" s="5">
        <f>'Energy Readings'!F73</f>
        <v>0</v>
      </c>
      <c r="D73" s="5">
        <f>'Energy Readings'!H73</f>
        <v>0</v>
      </c>
      <c r="E73" s="5">
        <f>'Energy Readings'!J73</f>
        <v>0</v>
      </c>
      <c r="F73" s="5">
        <f>'Energy Readings'!L73</f>
        <v>0</v>
      </c>
      <c r="G73" s="5">
        <f>'Energy Readings'!N73</f>
        <v>0</v>
      </c>
      <c r="H73" s="5">
        <f>'Energy Readings'!P73</f>
        <v>0</v>
      </c>
      <c r="I73" s="5">
        <f>'Energy Readings'!R73</f>
        <v>0</v>
      </c>
      <c r="J73" s="5">
        <f>'Energy Readings'!T73</f>
        <v>0</v>
      </c>
      <c r="K73" s="5">
        <f>'Energy Readings'!V73</f>
        <v>0</v>
      </c>
      <c r="L73" s="5">
        <f>'Energy Readings'!X73</f>
        <v>0</v>
      </c>
      <c r="M73" s="5">
        <f>'Energy Readings'!Z73</f>
        <v>0</v>
      </c>
      <c r="N73" s="111">
        <f>'Energy Readings'!AB73</f>
        <v>0</v>
      </c>
      <c r="O73" s="5">
        <f>'Energy Readings'!AD73</f>
        <v>0</v>
      </c>
      <c r="P73" s="5">
        <f>'Energy Readings'!AF73</f>
        <v>0</v>
      </c>
      <c r="Q73" s="5">
        <f>'Energy Readings'!AH73</f>
        <v>0</v>
      </c>
      <c r="R73" s="5">
        <f>'Energy Readings'!AJ73</f>
        <v>0</v>
      </c>
      <c r="S73" s="5">
        <f>'Energy Readings'!AL73</f>
        <v>0</v>
      </c>
      <c r="T73" s="5">
        <f>'Energy Readings'!AN73</f>
        <v>0</v>
      </c>
      <c r="U73" s="5">
        <f>'Energy Readings'!AP73</f>
        <v>0</v>
      </c>
      <c r="V73" s="5">
        <f>'Energy Readings'!AR73</f>
        <v>0</v>
      </c>
      <c r="W73" s="5">
        <f>'Energy Readings'!AT73</f>
        <v>0</v>
      </c>
      <c r="X73" s="5">
        <f>'Energy Readings'!AV73</f>
        <v>0</v>
      </c>
      <c r="Y73" s="5">
        <f>'Energy Readings'!AX73</f>
        <v>0</v>
      </c>
      <c r="Z73" s="5">
        <f>'Energy Readings'!AZ73</f>
        <v>0</v>
      </c>
      <c r="AA73" s="5">
        <f>'Energy Readings'!BB73</f>
        <v>0</v>
      </c>
      <c r="AB73" s="5">
        <f>'Energy Readings'!BD73</f>
        <v>0</v>
      </c>
      <c r="AC73" s="5">
        <f>'Energy Readings'!BF73</f>
        <v>0</v>
      </c>
      <c r="AD73" s="5">
        <f>'Energy Readings'!BH73</f>
        <v>0</v>
      </c>
      <c r="AE73" s="5">
        <f>'Energy Readings'!BJ73</f>
        <v>0</v>
      </c>
      <c r="AF73" s="6">
        <f t="shared" si="12"/>
        <v>0</v>
      </c>
    </row>
    <row r="74" spans="1:32" x14ac:dyDescent="0.25">
      <c r="A74" s="16" t="s">
        <v>19</v>
      </c>
      <c r="B74" s="5">
        <f>'Energy Readings'!D74</f>
        <v>0</v>
      </c>
      <c r="C74" s="5">
        <f>'Energy Readings'!F74</f>
        <v>0</v>
      </c>
      <c r="D74" s="5">
        <f>'Energy Readings'!H74</f>
        <v>0</v>
      </c>
      <c r="E74" s="5">
        <f>'Energy Readings'!J74</f>
        <v>0</v>
      </c>
      <c r="F74" s="5">
        <f>'Energy Readings'!L74</f>
        <v>0</v>
      </c>
      <c r="G74" s="5">
        <f>'Energy Readings'!N74</f>
        <v>0</v>
      </c>
      <c r="H74" s="5">
        <f>'Energy Readings'!P74</f>
        <v>0</v>
      </c>
      <c r="I74" s="5">
        <f>'Energy Readings'!R74</f>
        <v>0</v>
      </c>
      <c r="J74" s="5">
        <f>'Energy Readings'!T74</f>
        <v>0</v>
      </c>
      <c r="K74" s="5">
        <f>'Energy Readings'!V74</f>
        <v>0</v>
      </c>
      <c r="L74" s="5">
        <f>'Energy Readings'!X74</f>
        <v>0</v>
      </c>
      <c r="M74" s="5">
        <f>'Energy Readings'!Z74</f>
        <v>0</v>
      </c>
      <c r="N74" s="111">
        <f>'Energy Readings'!AB74</f>
        <v>0</v>
      </c>
      <c r="O74" s="5">
        <f>'Energy Readings'!AD74</f>
        <v>0</v>
      </c>
      <c r="P74" s="5">
        <f>'Energy Readings'!AF74</f>
        <v>0</v>
      </c>
      <c r="Q74" s="5">
        <f>'Energy Readings'!AH74</f>
        <v>0</v>
      </c>
      <c r="R74" s="5">
        <f>'Energy Readings'!AJ74</f>
        <v>0</v>
      </c>
      <c r="S74" s="5">
        <f>'Energy Readings'!AL74</f>
        <v>0</v>
      </c>
      <c r="T74" s="5">
        <f>'Energy Readings'!AN74</f>
        <v>0</v>
      </c>
      <c r="U74" s="5">
        <f>'Energy Readings'!AP74</f>
        <v>0</v>
      </c>
      <c r="V74" s="5">
        <f>'Energy Readings'!AR74</f>
        <v>0</v>
      </c>
      <c r="W74" s="5">
        <f>'Energy Readings'!AT74</f>
        <v>0</v>
      </c>
      <c r="X74" s="5">
        <f>'Energy Readings'!AV74</f>
        <v>0</v>
      </c>
      <c r="Y74" s="5">
        <f>'Energy Readings'!AX74</f>
        <v>0</v>
      </c>
      <c r="Z74" s="5">
        <f>'Energy Readings'!AZ74</f>
        <v>0</v>
      </c>
      <c r="AA74" s="5">
        <f>'Energy Readings'!BB74</f>
        <v>0</v>
      </c>
      <c r="AB74" s="5">
        <f>'Energy Readings'!BD74</f>
        <v>0</v>
      </c>
      <c r="AC74" s="5">
        <f>'Energy Readings'!BF74</f>
        <v>0</v>
      </c>
      <c r="AD74" s="5">
        <f>'Energy Readings'!BH74</f>
        <v>0</v>
      </c>
      <c r="AE74" s="5">
        <f>'Energy Readings'!BJ74</f>
        <v>0</v>
      </c>
      <c r="AF74" s="6">
        <f t="shared" si="12"/>
        <v>0</v>
      </c>
    </row>
    <row r="75" spans="1:32" ht="30" x14ac:dyDescent="0.25">
      <c r="A75" s="16" t="s">
        <v>36</v>
      </c>
      <c r="B75" s="5">
        <f>'Energy Readings'!D75</f>
        <v>0</v>
      </c>
      <c r="C75" s="5">
        <f>'Energy Readings'!F75</f>
        <v>0</v>
      </c>
      <c r="D75" s="5">
        <f>'Energy Readings'!H75</f>
        <v>0</v>
      </c>
      <c r="E75" s="5">
        <f>'Energy Readings'!J75</f>
        <v>0</v>
      </c>
      <c r="F75" s="5">
        <f>'Energy Readings'!L75</f>
        <v>0</v>
      </c>
      <c r="G75" s="5">
        <f>'Energy Readings'!N75</f>
        <v>0</v>
      </c>
      <c r="H75" s="5">
        <f>'Energy Readings'!P75</f>
        <v>0</v>
      </c>
      <c r="I75" s="5">
        <f>'Energy Readings'!R75</f>
        <v>0</v>
      </c>
      <c r="J75" s="5">
        <f>'Energy Readings'!T75</f>
        <v>0</v>
      </c>
      <c r="K75" s="5">
        <f>'Energy Readings'!V75</f>
        <v>0</v>
      </c>
      <c r="L75" s="5">
        <f>'Energy Readings'!X75</f>
        <v>0</v>
      </c>
      <c r="M75" s="5">
        <f>'Energy Readings'!Z75</f>
        <v>0</v>
      </c>
      <c r="N75" s="111">
        <f>'Energy Readings'!AB75</f>
        <v>0</v>
      </c>
      <c r="O75" s="5">
        <f>'Energy Readings'!AD75</f>
        <v>0</v>
      </c>
      <c r="P75" s="5">
        <f>'Energy Readings'!AF75</f>
        <v>0</v>
      </c>
      <c r="Q75" s="5">
        <f>'Energy Readings'!AH75</f>
        <v>0</v>
      </c>
      <c r="R75" s="5">
        <f>'Energy Readings'!AJ75</f>
        <v>0</v>
      </c>
      <c r="S75" s="5">
        <f>'Energy Readings'!AL75</f>
        <v>0</v>
      </c>
      <c r="T75" s="5">
        <f>'Energy Readings'!AN75</f>
        <v>0</v>
      </c>
      <c r="U75" s="5">
        <f>'Energy Readings'!AP75</f>
        <v>0</v>
      </c>
      <c r="V75" s="5">
        <f>'Energy Readings'!AR75</f>
        <v>0</v>
      </c>
      <c r="W75" s="5">
        <f>'Energy Readings'!AT75</f>
        <v>0</v>
      </c>
      <c r="X75" s="5">
        <f>'Energy Readings'!AV75</f>
        <v>0</v>
      </c>
      <c r="Y75" s="5">
        <f>'Energy Readings'!AX75</f>
        <v>0</v>
      </c>
      <c r="Z75" s="5">
        <f>'Energy Readings'!AZ75</f>
        <v>0</v>
      </c>
      <c r="AA75" s="5">
        <f>'Energy Readings'!BB75</f>
        <v>0</v>
      </c>
      <c r="AB75" s="5">
        <f>'Energy Readings'!BD75</f>
        <v>0</v>
      </c>
      <c r="AC75" s="5">
        <f>'Energy Readings'!BF75</f>
        <v>0</v>
      </c>
      <c r="AD75" s="5">
        <f>'Energy Readings'!BH75</f>
        <v>0</v>
      </c>
      <c r="AE75" s="5">
        <f>'Energy Readings'!BJ75</f>
        <v>0</v>
      </c>
      <c r="AF75" s="6">
        <f t="shared" si="12"/>
        <v>0</v>
      </c>
    </row>
    <row r="76" spans="1:32" ht="30" x14ac:dyDescent="0.25">
      <c r="A76" s="16" t="s">
        <v>37</v>
      </c>
      <c r="B76" s="5">
        <f>'Energy Readings'!D76</f>
        <v>0</v>
      </c>
      <c r="C76" s="5">
        <f>'Energy Readings'!F76</f>
        <v>0</v>
      </c>
      <c r="D76" s="5">
        <f>'Energy Readings'!H76</f>
        <v>0</v>
      </c>
      <c r="E76" s="5">
        <f>'Energy Readings'!J76</f>
        <v>0</v>
      </c>
      <c r="F76" s="5">
        <f>'Energy Readings'!L76</f>
        <v>0</v>
      </c>
      <c r="G76" s="5">
        <f>'Energy Readings'!N76</f>
        <v>0</v>
      </c>
      <c r="H76" s="5">
        <f>'Energy Readings'!P76</f>
        <v>0</v>
      </c>
      <c r="I76" s="5">
        <f>'Energy Readings'!R76</f>
        <v>0</v>
      </c>
      <c r="J76" s="5">
        <f>'Energy Readings'!T76</f>
        <v>0</v>
      </c>
      <c r="K76" s="5">
        <f>'Energy Readings'!V76</f>
        <v>0</v>
      </c>
      <c r="L76" s="5">
        <f>'Energy Readings'!X76</f>
        <v>0</v>
      </c>
      <c r="M76" s="5">
        <f>'Energy Readings'!Z76</f>
        <v>0</v>
      </c>
      <c r="N76" s="111">
        <f>'Energy Readings'!AB76</f>
        <v>0</v>
      </c>
      <c r="O76" s="5">
        <f>'Energy Readings'!AD76</f>
        <v>0</v>
      </c>
      <c r="P76" s="5">
        <f>'Energy Readings'!AF76</f>
        <v>0</v>
      </c>
      <c r="Q76" s="5">
        <f>'Energy Readings'!AH76</f>
        <v>0</v>
      </c>
      <c r="R76" s="5">
        <f>'Energy Readings'!AJ76</f>
        <v>0</v>
      </c>
      <c r="S76" s="5">
        <f>'Energy Readings'!AL76</f>
        <v>0</v>
      </c>
      <c r="T76" s="5">
        <f>'Energy Readings'!AN76</f>
        <v>0</v>
      </c>
      <c r="U76" s="5">
        <f>'Energy Readings'!AP76</f>
        <v>0</v>
      </c>
      <c r="V76" s="5">
        <f>'Energy Readings'!AR76</f>
        <v>0</v>
      </c>
      <c r="W76" s="5">
        <f>'Energy Readings'!AT76</f>
        <v>0</v>
      </c>
      <c r="X76" s="5">
        <f>'Energy Readings'!AV76</f>
        <v>0</v>
      </c>
      <c r="Y76" s="5">
        <f>'Energy Readings'!AX76</f>
        <v>0</v>
      </c>
      <c r="Z76" s="5">
        <f>'Energy Readings'!AZ76</f>
        <v>0</v>
      </c>
      <c r="AA76" s="5">
        <f>'Energy Readings'!BB76</f>
        <v>0</v>
      </c>
      <c r="AB76" s="5">
        <f>'Energy Readings'!BD76</f>
        <v>0</v>
      </c>
      <c r="AC76" s="5">
        <f>'Energy Readings'!BF76</f>
        <v>0</v>
      </c>
      <c r="AD76" s="5">
        <f>'Energy Readings'!BH76</f>
        <v>0</v>
      </c>
      <c r="AE76" s="5">
        <f>'Energy Readings'!BJ76</f>
        <v>0</v>
      </c>
      <c r="AF76" s="6">
        <f t="shared" si="12"/>
        <v>0</v>
      </c>
    </row>
    <row r="77" spans="1:32" x14ac:dyDescent="0.25">
      <c r="A77" s="31" t="s">
        <v>20</v>
      </c>
      <c r="B77" s="5">
        <f>'Energy Readings'!D77</f>
        <v>0</v>
      </c>
      <c r="C77" s="5">
        <f>'Energy Readings'!F77</f>
        <v>0</v>
      </c>
      <c r="D77" s="5">
        <f>'Energy Readings'!H77</f>
        <v>0</v>
      </c>
      <c r="E77" s="5">
        <f>'Energy Readings'!J77</f>
        <v>0</v>
      </c>
      <c r="F77" s="5">
        <f>'Energy Readings'!L77</f>
        <v>0</v>
      </c>
      <c r="G77" s="5">
        <f>'Energy Readings'!N77</f>
        <v>0</v>
      </c>
      <c r="H77" s="5">
        <f>'Energy Readings'!P77</f>
        <v>0</v>
      </c>
      <c r="I77" s="5">
        <f>'Energy Readings'!R77</f>
        <v>0</v>
      </c>
      <c r="J77" s="5">
        <f>'Energy Readings'!T77</f>
        <v>0</v>
      </c>
      <c r="K77" s="5">
        <f>'Energy Readings'!V77</f>
        <v>0</v>
      </c>
      <c r="L77" s="5">
        <f>'Energy Readings'!X77</f>
        <v>0</v>
      </c>
      <c r="M77" s="5">
        <f>'Energy Readings'!Z77</f>
        <v>0</v>
      </c>
      <c r="N77" s="111">
        <f>'Energy Readings'!AB77</f>
        <v>0</v>
      </c>
      <c r="O77" s="5">
        <f>'Energy Readings'!AD77</f>
        <v>0</v>
      </c>
      <c r="P77" s="5">
        <f>'Energy Readings'!AF77</f>
        <v>0</v>
      </c>
      <c r="Q77" s="5">
        <f>'Energy Readings'!AH77</f>
        <v>0</v>
      </c>
      <c r="R77" s="5">
        <f>'Energy Readings'!AJ77</f>
        <v>0</v>
      </c>
      <c r="S77" s="5">
        <f>'Energy Readings'!AL77</f>
        <v>0</v>
      </c>
      <c r="T77" s="5">
        <f>'Energy Readings'!AN77</f>
        <v>0</v>
      </c>
      <c r="U77" s="5">
        <f>'Energy Readings'!AP77</f>
        <v>0</v>
      </c>
      <c r="V77" s="5">
        <f>'Energy Readings'!AR77</f>
        <v>0</v>
      </c>
      <c r="W77" s="5">
        <f>'Energy Readings'!AT77</f>
        <v>0</v>
      </c>
      <c r="X77" s="5">
        <f>'Energy Readings'!AV77</f>
        <v>0</v>
      </c>
      <c r="Y77" s="5">
        <f>'Energy Readings'!AX77</f>
        <v>0</v>
      </c>
      <c r="Z77" s="5">
        <f>'Energy Readings'!AZ77</f>
        <v>0</v>
      </c>
      <c r="AA77" s="5">
        <f>'Energy Readings'!BB77</f>
        <v>0</v>
      </c>
      <c r="AB77" s="5">
        <f>'Energy Readings'!BD77</f>
        <v>0</v>
      </c>
      <c r="AC77" s="5">
        <f>'Energy Readings'!BF77</f>
        <v>0</v>
      </c>
      <c r="AD77" s="5">
        <f>'Energy Readings'!BH77</f>
        <v>0</v>
      </c>
      <c r="AE77" s="5">
        <f>'Energy Readings'!BJ77</f>
        <v>0</v>
      </c>
      <c r="AF77" s="6">
        <f t="shared" si="12"/>
        <v>0</v>
      </c>
    </row>
    <row r="78" spans="1:32" x14ac:dyDescent="0.25">
      <c r="A78" s="16" t="s">
        <v>43</v>
      </c>
      <c r="B78" s="5">
        <f>'Energy Readings'!D78</f>
        <v>473.06000000005588</v>
      </c>
      <c r="C78" s="5">
        <f>'Energy Readings'!F78</f>
        <v>451.54000000003725</v>
      </c>
      <c r="D78" s="5">
        <f>'Energy Readings'!H78</f>
        <v>426.83000000007451</v>
      </c>
      <c r="E78" s="5">
        <f>'Energy Readings'!J78</f>
        <v>464.35999999986961</v>
      </c>
      <c r="F78" s="5">
        <f>'Energy Readings'!L78</f>
        <v>428.18999999994412</v>
      </c>
      <c r="G78" s="5">
        <f>'Energy Readings'!N78</f>
        <v>435.17000000015832</v>
      </c>
      <c r="H78" s="5">
        <f>'Energy Readings'!P78</f>
        <v>535.68999999994412</v>
      </c>
      <c r="I78" s="5">
        <f>'Energy Readings'!R78</f>
        <v>571.87999999988824</v>
      </c>
      <c r="J78" s="5">
        <f>'Energy Readings'!T78</f>
        <v>563.93000000016764</v>
      </c>
      <c r="K78" s="5">
        <f>'Energy Readings'!V78</f>
        <v>568.31999999983236</v>
      </c>
      <c r="L78" s="5">
        <f>'Energy Readings'!X78</f>
        <v>447.26000000000931</v>
      </c>
      <c r="M78" s="5">
        <f>'Energy Readings'!Z78</f>
        <v>387.05000000004657</v>
      </c>
      <c r="N78" s="111">
        <f>'Energy Readings'!AB78</f>
        <v>375.43999999994412</v>
      </c>
      <c r="O78" s="5">
        <f>'Energy Readings'!AD78</f>
        <v>382.89000000013039</v>
      </c>
      <c r="P78" s="5">
        <f>'Energy Readings'!AF78</f>
        <v>436.13999999989755</v>
      </c>
      <c r="Q78" s="5">
        <f>'Energy Readings'!AH78</f>
        <v>403.83000000007451</v>
      </c>
      <c r="R78" s="5">
        <f>'Energy Readings'!AJ78</f>
        <v>558.13000000012107</v>
      </c>
      <c r="S78" s="5">
        <f>'Energy Readings'!AL78</f>
        <v>563.62999999988824</v>
      </c>
      <c r="T78" s="5">
        <f>'Energy Readings'!AN78</f>
        <v>501.79000000003725</v>
      </c>
      <c r="U78" s="5">
        <f>'Energy Readings'!AP78</f>
        <v>418.86999999987893</v>
      </c>
      <c r="V78" s="5">
        <f>'Energy Readings'!AR78</f>
        <v>388.78000000002794</v>
      </c>
      <c r="W78" s="5">
        <f>'Energy Readings'!AT78</f>
        <v>427.56000000005588</v>
      </c>
      <c r="X78" s="5">
        <f>'Energy Readings'!AV78</f>
        <v>395.51000000000931</v>
      </c>
      <c r="Y78" s="5">
        <f>'Energy Readings'!AX78</f>
        <v>421.18999999994412</v>
      </c>
      <c r="Z78" s="5">
        <f>'Energy Readings'!AZ78</f>
        <v>414.75</v>
      </c>
      <c r="AA78" s="5">
        <f>'Energy Readings'!BB78</f>
        <v>430.10000000009313</v>
      </c>
      <c r="AB78" s="5">
        <f>'Energy Readings'!BD78</f>
        <v>335.07000000006519</v>
      </c>
      <c r="AC78" s="5">
        <f>'Energy Readings'!BF78</f>
        <v>361.19999999995343</v>
      </c>
      <c r="AD78" s="5">
        <f>'Energy Readings'!BH78</f>
        <v>519.25</v>
      </c>
      <c r="AE78" s="5">
        <f>'Energy Readings'!BJ78</f>
        <v>458.75</v>
      </c>
      <c r="AF78" s="6">
        <f t="shared" si="12"/>
        <v>13546.160000000149</v>
      </c>
    </row>
    <row r="79" spans="1:32" x14ac:dyDescent="0.25">
      <c r="A79" s="21" t="s">
        <v>257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111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6"/>
    </row>
    <row r="80" spans="1:32" x14ac:dyDescent="0.25">
      <c r="A80" s="21" t="s">
        <v>259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111"/>
      <c r="O80" s="5"/>
      <c r="P80" s="5"/>
      <c r="Q80" s="5"/>
      <c r="R80" s="5"/>
      <c r="S80" s="5"/>
      <c r="T80" s="5"/>
      <c r="U80" s="5"/>
      <c r="V80" s="5"/>
      <c r="W80" s="5"/>
      <c r="X80" s="5" t="s">
        <v>285</v>
      </c>
      <c r="Y80" s="5"/>
      <c r="Z80" s="5"/>
      <c r="AA80" s="5"/>
      <c r="AB80" s="5"/>
      <c r="AC80" s="5"/>
      <c r="AD80" s="5"/>
      <c r="AE80" s="5"/>
      <c r="AF80" s="6"/>
    </row>
    <row r="81" spans="1:32" x14ac:dyDescent="0.25">
      <c r="A81" s="21" t="s">
        <v>258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111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6"/>
    </row>
    <row r="82" spans="1:32" x14ac:dyDescent="0.25">
      <c r="A82" s="21" t="s">
        <v>262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111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6"/>
    </row>
    <row r="83" spans="1:32" x14ac:dyDescent="0.25">
      <c r="A83" s="21" t="s">
        <v>260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111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6"/>
    </row>
    <row r="84" spans="1:32" x14ac:dyDescent="0.25">
      <c r="A84" s="21" t="s">
        <v>261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111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6"/>
    </row>
    <row r="85" spans="1:32" x14ac:dyDescent="0.25">
      <c r="A85" s="100" t="s">
        <v>280</v>
      </c>
      <c r="B85" s="101">
        <f>B15+B34+B35+B36+B46+B47+B48+B58</f>
        <v>12033.59999999823</v>
      </c>
      <c r="C85" s="101">
        <f t="shared" ref="C85:AE85" si="13">C15+C34+C35+C36+C46+C47+C48+C58</f>
        <v>11686.950000000419</v>
      </c>
      <c r="D85" s="101">
        <f t="shared" si="13"/>
        <v>11739.929999999615</v>
      </c>
      <c r="E85" s="101">
        <f t="shared" si="13"/>
        <v>11581.279999998951</v>
      </c>
      <c r="F85" s="101">
        <f t="shared" si="13"/>
        <v>13016.240000002377</v>
      </c>
      <c r="G85" s="101">
        <f t="shared" si="13"/>
        <v>12877.719999999623</v>
      </c>
      <c r="H85" s="101">
        <f t="shared" si="13"/>
        <v>12924.549999999494</v>
      </c>
      <c r="I85" s="101">
        <f t="shared" si="13"/>
        <v>12373.949999998906</v>
      </c>
      <c r="J85" s="101">
        <f t="shared" si="13"/>
        <v>12792.900000001158</v>
      </c>
      <c r="K85" s="101">
        <f t="shared" si="13"/>
        <v>12934.110000001005</v>
      </c>
      <c r="L85" s="101">
        <f t="shared" si="13"/>
        <v>12639.489999999991</v>
      </c>
      <c r="M85" s="101">
        <f t="shared" si="13"/>
        <v>11152.139999998675</v>
      </c>
      <c r="N85" s="114">
        <f t="shared" si="13"/>
        <v>11596.440000000934</v>
      </c>
      <c r="O85" s="101">
        <f t="shared" si="13"/>
        <v>11835.590000000491</v>
      </c>
      <c r="P85" s="101">
        <f t="shared" si="13"/>
        <v>12790.969999999041</v>
      </c>
      <c r="Q85" s="101">
        <f t="shared" si="13"/>
        <v>12561.0900000002</v>
      </c>
      <c r="R85" s="101">
        <f t="shared" si="13"/>
        <v>12407.439999999042</v>
      </c>
      <c r="S85" s="101">
        <f t="shared" si="13"/>
        <v>12289.030000001658</v>
      </c>
      <c r="T85" s="101">
        <f t="shared" si="13"/>
        <v>11844.479999997013</v>
      </c>
      <c r="U85" s="101">
        <f t="shared" si="13"/>
        <v>11649.360000001703</v>
      </c>
      <c r="V85" s="101">
        <f t="shared" si="13"/>
        <v>11681.64000000048</v>
      </c>
      <c r="W85" s="101">
        <f t="shared" si="13"/>
        <v>11595.039999999863</v>
      </c>
      <c r="X85" s="101">
        <f t="shared" si="13"/>
        <v>11010.729999999981</v>
      </c>
      <c r="Y85" s="101">
        <f t="shared" si="13"/>
        <v>11389.429999998072</v>
      </c>
      <c r="Z85" s="101">
        <f t="shared" si="13"/>
        <v>11610.730000002746</v>
      </c>
      <c r="AA85" s="101">
        <f t="shared" si="13"/>
        <v>11252.459999999905</v>
      </c>
      <c r="AB85" s="101">
        <f t="shared" si="13"/>
        <v>10014.460000000079</v>
      </c>
      <c r="AC85" s="101">
        <f t="shared" si="13"/>
        <v>11002.079999998503</v>
      </c>
      <c r="AD85" s="101">
        <f t="shared" si="13"/>
        <v>10661.780000001163</v>
      </c>
      <c r="AE85" s="101">
        <f t="shared" si="13"/>
        <v>10147.499999999622</v>
      </c>
      <c r="AF85" s="6">
        <f>SUM(B85:AE85)</f>
        <v>355093.10999999905</v>
      </c>
    </row>
    <row r="87" spans="1:32" x14ac:dyDescent="0.25">
      <c r="I87" s="50"/>
      <c r="Y87" s="50"/>
    </row>
    <row r="88" spans="1:32" x14ac:dyDescent="0.25">
      <c r="I88" s="50"/>
    </row>
    <row r="90" spans="1:32" x14ac:dyDescent="0.25">
      <c r="A90" s="119" t="s">
        <v>348</v>
      </c>
      <c r="B90" s="122"/>
      <c r="C90" s="122"/>
      <c r="D90" s="122"/>
      <c r="E90" s="122"/>
      <c r="F90" s="122"/>
      <c r="G90" s="122"/>
      <c r="H90" s="123"/>
      <c r="I90" s="122"/>
      <c r="J90" s="122"/>
      <c r="K90" s="122"/>
      <c r="L90" s="124"/>
      <c r="M90" s="122"/>
      <c r="N90" s="125"/>
      <c r="O90" s="122"/>
      <c r="P90" s="122"/>
      <c r="Q90" s="122"/>
      <c r="R90" s="124"/>
      <c r="S90" s="122"/>
      <c r="T90" s="124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6"/>
    </row>
    <row r="91" spans="1:32" x14ac:dyDescent="0.25">
      <c r="A91" s="117" t="s">
        <v>349</v>
      </c>
      <c r="B91" s="120">
        <f>'Energy Readings'!D15</f>
        <v>4337.3799999998882</v>
      </c>
      <c r="C91" s="120">
        <f>'Energy Readings'!F15</f>
        <v>4426.6100000003353</v>
      </c>
      <c r="D91" s="120">
        <f>'Energy Readings'!H15</f>
        <v>4340.0599999995902</v>
      </c>
      <c r="E91" s="120">
        <f>'Energy Readings'!J15</f>
        <v>4256.9900000002235</v>
      </c>
      <c r="F91" s="120">
        <f>'Energy Readings'!L15</f>
        <v>4401.410000000149</v>
      </c>
      <c r="G91" s="120">
        <f>'Energy Readings'!N15</f>
        <v>4348.910000000149</v>
      </c>
      <c r="H91" s="120">
        <f>'Energy Readings'!P15</f>
        <v>4381.179999999702</v>
      </c>
      <c r="I91" s="120">
        <f>'Energy Readings'!R15</f>
        <v>4484.5599999995902</v>
      </c>
      <c r="J91" s="120">
        <f>'Energy Readings'!T15</f>
        <v>4311.1300000008196</v>
      </c>
      <c r="K91" s="120">
        <f>'Energy Readings'!V15</f>
        <v>4392.5499999998137</v>
      </c>
      <c r="L91" s="120">
        <f>'Energy Readings'!X15</f>
        <v>4427.5</v>
      </c>
      <c r="M91" s="120">
        <f>'Energy Readings'!Z15</f>
        <v>4330.519999999553</v>
      </c>
      <c r="N91" s="120">
        <f>'Energy Readings'!AB15</f>
        <v>4343.2700000004843</v>
      </c>
      <c r="O91" s="120">
        <f>'Energy Readings'!AD15</f>
        <v>4451.4199999999255</v>
      </c>
      <c r="P91" s="120">
        <f>'Energy Readings'!AF15</f>
        <v>4362.9799999995157</v>
      </c>
      <c r="Q91" s="120">
        <f>'Energy Readings'!AH15</f>
        <v>4340.8500000005588</v>
      </c>
      <c r="R91" s="120">
        <f>'Energy Readings'!AJ15</f>
        <v>4439.609999999404</v>
      </c>
      <c r="S91" s="120">
        <f>'Energy Readings'!AL15</f>
        <v>4425.640000000596</v>
      </c>
      <c r="T91" s="120">
        <f>'Energy Readings'!AN15</f>
        <v>4457.5299999993294</v>
      </c>
      <c r="U91" s="120">
        <f>'Energy Readings'!AP15</f>
        <v>4390.9700000006706</v>
      </c>
      <c r="V91" s="120">
        <f>'Energy Readings'!AR15</f>
        <v>4409.910000000149</v>
      </c>
      <c r="W91" s="120">
        <f>'Energy Readings'!AT15</f>
        <v>4460.7900000000373</v>
      </c>
      <c r="X91" s="120">
        <f>'Energy Readings'!AV15</f>
        <v>4567.4599999999627</v>
      </c>
      <c r="Y91" s="120">
        <f>'Energy Readings'!AX15</f>
        <v>4482.6199999991804</v>
      </c>
      <c r="Z91" s="120">
        <f>'Energy Readings'!AZ15</f>
        <v>4420.6100000003353</v>
      </c>
      <c r="AA91" s="120">
        <f>'Energy Readings'!BB15</f>
        <v>4419.160000000149</v>
      </c>
      <c r="AB91" s="120">
        <f>'Energy Readings'!BD15</f>
        <v>4455.0099999997765</v>
      </c>
      <c r="AC91" s="120">
        <f>'Energy Readings'!BF15</f>
        <v>4427.9000000003725</v>
      </c>
      <c r="AD91" s="120">
        <f>'Energy Readings'!BH15</f>
        <v>5880.2099999999627</v>
      </c>
      <c r="AE91" s="120">
        <f>'Energy Readings'!BJ15</f>
        <v>2574.769999999553</v>
      </c>
      <c r="AF91" s="121">
        <f t="shared" ref="AF91:AF100" si="14">SUM(B91:AE91)</f>
        <v>131749.50999999978</v>
      </c>
    </row>
    <row r="92" spans="1:32" x14ac:dyDescent="0.25">
      <c r="A92" s="118" t="s">
        <v>350</v>
      </c>
      <c r="B92" s="5">
        <f>'Energy Readings'!D35</f>
        <v>0</v>
      </c>
      <c r="C92" s="5">
        <f>'Energy Readings'!F35</f>
        <v>0</v>
      </c>
      <c r="D92" s="5">
        <f>'Energy Readings'!H35</f>
        <v>0</v>
      </c>
      <c r="E92" s="5">
        <f>'Energy Readings'!J35</f>
        <v>23.049999999813735</v>
      </c>
      <c r="F92" s="5">
        <f>'Energy Readings'!L35</f>
        <v>950.15000000037253</v>
      </c>
      <c r="G92" s="5">
        <f>'Energy Readings'!N35</f>
        <v>6.3899999996647239</v>
      </c>
      <c r="H92" s="5">
        <f>'Energy Readings'!P35</f>
        <v>0</v>
      </c>
      <c r="I92" s="5">
        <f>'Energy Readings'!R35</f>
        <v>0</v>
      </c>
      <c r="J92" s="5">
        <f>'Energy Readings'!T35</f>
        <v>11.930000000633299</v>
      </c>
      <c r="K92" s="5">
        <f>'Energy Readings'!V35</f>
        <v>0</v>
      </c>
      <c r="L92" s="5">
        <f>'Energy Readings'!X35</f>
        <v>0</v>
      </c>
      <c r="M92" s="5">
        <f>'Energy Readings'!Z35</f>
        <v>0</v>
      </c>
      <c r="N92" s="111"/>
      <c r="O92" s="5"/>
      <c r="P92" s="5"/>
      <c r="Q92" s="5"/>
      <c r="R92" s="6"/>
      <c r="S92" s="5"/>
      <c r="T92" s="5">
        <f>'Energy Readings'!AN35</f>
        <v>0</v>
      </c>
      <c r="U92" s="5">
        <f>'Energy Readings'!AP35</f>
        <v>11.769999999552965</v>
      </c>
      <c r="V92" s="5">
        <f>'Energy Readings'!AR35</f>
        <v>0</v>
      </c>
      <c r="W92" s="5">
        <f>'Energy Readings'!AT35</f>
        <v>14.730000000447035</v>
      </c>
      <c r="X92" s="5">
        <f>'Energy Readings'!AV35</f>
        <v>0</v>
      </c>
      <c r="Y92" s="5">
        <f>'Energy Readings'!AX35</f>
        <v>0</v>
      </c>
      <c r="Z92" s="5">
        <f>'Energy Readings'!AZ35</f>
        <v>973.66000000014901</v>
      </c>
      <c r="AA92" s="5">
        <f>'Energy Readings'!BB35</f>
        <v>1124.9599999999627</v>
      </c>
      <c r="AB92" s="5">
        <f>'Energy Readings'!BA35</f>
        <v>6078134.2400000002</v>
      </c>
      <c r="AC92" s="5">
        <f>'Energy Readings'!BB35</f>
        <v>1124.9599999999627</v>
      </c>
      <c r="AD92" s="5">
        <f>'Energy Readings'!BC35</f>
        <v>6078134.2400000002</v>
      </c>
      <c r="AE92" s="5">
        <f>'Energy Readings'!BC35</f>
        <v>6078134.2400000002</v>
      </c>
      <c r="AF92" s="6">
        <f t="shared" si="14"/>
        <v>18238644.32</v>
      </c>
    </row>
    <row r="93" spans="1:32" x14ac:dyDescent="0.25">
      <c r="A93" s="16" t="s">
        <v>351</v>
      </c>
      <c r="B93" s="5">
        <f>'Energy Readings'!D34</f>
        <v>0</v>
      </c>
      <c r="C93" s="5">
        <f>'Energy Readings'!F34</f>
        <v>0</v>
      </c>
      <c r="D93" s="5">
        <f>'Energy Readings'!H34</f>
        <v>0</v>
      </c>
      <c r="E93" s="5">
        <f>'Energy Readings'!J34</f>
        <v>0</v>
      </c>
      <c r="F93" s="5">
        <f>'Energy Readings'!L34</f>
        <v>0</v>
      </c>
      <c r="G93" s="5">
        <f>'Energy Readings'!N34</f>
        <v>0</v>
      </c>
      <c r="H93" s="5">
        <f>'Energy Readings'!P34</f>
        <v>0</v>
      </c>
      <c r="I93" s="5">
        <f>'Energy Readings'!R34</f>
        <v>0</v>
      </c>
      <c r="J93" s="5">
        <f>'Energy Readings'!T34</f>
        <v>1.0700000000069849</v>
      </c>
      <c r="K93" s="5">
        <f>'Energy Readings'!V34</f>
        <v>0</v>
      </c>
      <c r="L93" s="5">
        <f>'Energy Readings'!X34</f>
        <v>2.4600000000209548</v>
      </c>
      <c r="M93" s="5">
        <f>'Energy Readings'!Z34</f>
        <v>0</v>
      </c>
      <c r="N93" s="111"/>
      <c r="O93" s="5"/>
      <c r="P93" s="5"/>
      <c r="Q93" s="5"/>
      <c r="R93" s="6"/>
      <c r="S93" s="5"/>
      <c r="T93" s="5">
        <f>'Energy Readings'!AN34</f>
        <v>0</v>
      </c>
      <c r="U93" s="5">
        <f>'Energy Readings'!AP34</f>
        <v>2.9999999998835847E-2</v>
      </c>
      <c r="V93" s="5">
        <f>'Energy Readings'!AR34</f>
        <v>0</v>
      </c>
      <c r="W93" s="5">
        <f>'Energy Readings'!AT34</f>
        <v>0</v>
      </c>
      <c r="X93" s="5">
        <f>'Energy Readings'!AV34</f>
        <v>0</v>
      </c>
      <c r="Y93" s="5">
        <f>'Energy Readings'!AX34</f>
        <v>0</v>
      </c>
      <c r="Z93" s="5">
        <f>'Energy Readings'!AZ34</f>
        <v>0</v>
      </c>
      <c r="AA93" s="5">
        <f>'Energy Readings'!BB34</f>
        <v>97.760000000009313</v>
      </c>
      <c r="AB93" s="5">
        <f>'Energy Readings'!BA34</f>
        <v>214711.32</v>
      </c>
      <c r="AC93" s="5">
        <f>'Energy Readings'!BB34</f>
        <v>97.760000000009313</v>
      </c>
      <c r="AD93" s="5">
        <f>'Energy Readings'!BC34</f>
        <v>215392.58</v>
      </c>
      <c r="AE93" s="5">
        <f>'Energy Readings'!BC36</f>
        <v>6723987</v>
      </c>
      <c r="AF93" s="6">
        <f t="shared" si="14"/>
        <v>7154289.9800000004</v>
      </c>
    </row>
    <row r="94" spans="1:32" x14ac:dyDescent="0.25">
      <c r="A94" s="118" t="s">
        <v>352</v>
      </c>
      <c r="B94" s="127">
        <f>'Energy Readings'!D36</f>
        <v>1386.0400000000373</v>
      </c>
      <c r="C94" s="127">
        <f>'Energy Readings'!F36</f>
        <v>1780.75</v>
      </c>
      <c r="D94" s="127">
        <f>'Energy Readings'!H36</f>
        <v>1510.7599999997765</v>
      </c>
      <c r="E94" s="127">
        <f>'Energy Readings'!J36</f>
        <v>800.70999999996275</v>
      </c>
      <c r="F94" s="127">
        <f>'Energy Readings'!L36</f>
        <v>1159.4400000004098</v>
      </c>
      <c r="G94" s="127">
        <f>'Energy Readings'!N36</f>
        <v>2094.2299999995157</v>
      </c>
      <c r="H94" s="127">
        <f>'Energy Readings'!P36</f>
        <v>2209.3500000005588</v>
      </c>
      <c r="I94" s="127">
        <f>'Energy Readings'!R36</f>
        <v>2293.2299999995157</v>
      </c>
      <c r="J94" s="127">
        <f>'Energy Readings'!T36</f>
        <v>2209.5400000000373</v>
      </c>
      <c r="K94" s="127">
        <f>'Energy Readings'!V36</f>
        <v>2206.1900000004098</v>
      </c>
      <c r="L94" s="127">
        <f>'Energy Readings'!X36</f>
        <v>1762.3600000003353</v>
      </c>
      <c r="M94" s="127">
        <f>'Energy Readings'!Z36</f>
        <v>89.679999999701977</v>
      </c>
      <c r="N94" s="128"/>
      <c r="O94" s="127"/>
      <c r="P94" s="127"/>
      <c r="Q94" s="127"/>
      <c r="R94" s="129"/>
      <c r="S94" s="127"/>
      <c r="T94" s="127">
        <f>'Energy Readings'!AN36</f>
        <v>2373.2199999997392</v>
      </c>
      <c r="U94" s="127">
        <f>'Energy Readings'!AP36</f>
        <v>2294.1100000003353</v>
      </c>
      <c r="V94" s="127">
        <f>'Energy Readings'!AR36</f>
        <v>2281.8700000001118</v>
      </c>
      <c r="W94" s="127">
        <f>'Energy Readings'!AT36+14.73</f>
        <v>2315.1199999996647</v>
      </c>
      <c r="X94" s="127">
        <f>'Energy Readings'!AV36+14.73</f>
        <v>1928.2200000002235</v>
      </c>
      <c r="Y94" s="127">
        <f>'Energy Readings'!AX36</f>
        <v>2165.1200000001118</v>
      </c>
      <c r="Z94" s="127">
        <f>'Energy Readings'!AZ36</f>
        <v>1476.3700000001118</v>
      </c>
      <c r="AA94" s="127">
        <f>'Energy Readings'!BB36</f>
        <v>959.16999999992549</v>
      </c>
      <c r="AB94" s="127">
        <f>'Energy Readings'!BA36+14.73</f>
        <v>6723899.1400000006</v>
      </c>
      <c r="AC94" s="127">
        <f>'Energy Readings'!BB36+14.73</f>
        <v>973.89999999992551</v>
      </c>
      <c r="AD94" s="127">
        <f>'Energy Readings'!BC36+14.73</f>
        <v>6724001.7300000004</v>
      </c>
      <c r="AE94" s="5">
        <f>'Energy Readings'!BC37</f>
        <v>32508.912</v>
      </c>
      <c r="AF94" s="129">
        <f t="shared" si="14"/>
        <v>13516679.162000002</v>
      </c>
    </row>
    <row r="95" spans="1:32" x14ac:dyDescent="0.25">
      <c r="A95" s="119" t="s">
        <v>353</v>
      </c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2"/>
      <c r="O95" s="131"/>
      <c r="P95" s="131"/>
      <c r="Q95" s="131"/>
      <c r="R95" s="133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  <c r="AC95" s="131"/>
      <c r="AD95" s="131"/>
      <c r="AE95" s="131"/>
      <c r="AF95" s="133">
        <f t="shared" si="14"/>
        <v>0</v>
      </c>
    </row>
    <row r="96" spans="1:32" x14ac:dyDescent="0.25">
      <c r="A96" s="14" t="s">
        <v>354</v>
      </c>
      <c r="B96" s="120">
        <f>'Energy Readings'!D46</f>
        <v>0</v>
      </c>
      <c r="C96" s="120">
        <f>'Energy Readings'!F46</f>
        <v>0</v>
      </c>
      <c r="D96" s="120">
        <f>'Energy Readings'!H46</f>
        <v>0</v>
      </c>
      <c r="E96" s="120">
        <f>'Energy Readings'!J46</f>
        <v>0</v>
      </c>
      <c r="F96" s="120">
        <f>'Energy Readings'!L46</f>
        <v>0</v>
      </c>
      <c r="G96" s="120">
        <f>'Energy Readings'!N46</f>
        <v>0</v>
      </c>
      <c r="H96" s="120">
        <f>'Energy Readings'!P46</f>
        <v>0</v>
      </c>
      <c r="I96" s="120">
        <f>'Energy Readings'!R46</f>
        <v>0</v>
      </c>
      <c r="J96" s="120">
        <f>'Energy Readings'!T46</f>
        <v>0</v>
      </c>
      <c r="K96" s="120">
        <f>'Energy Readings'!V46</f>
        <v>0</v>
      </c>
      <c r="L96" s="120">
        <f>'Energy Readings'!X46</f>
        <v>0</v>
      </c>
      <c r="M96" s="120">
        <f>'Energy Readings'!Z46</f>
        <v>0</v>
      </c>
      <c r="N96" s="130"/>
      <c r="O96" s="120"/>
      <c r="P96" s="120"/>
      <c r="Q96" s="120"/>
      <c r="R96" s="121"/>
      <c r="S96" s="120"/>
      <c r="T96" s="120">
        <f>'Energy Readings'!AN46</f>
        <v>630</v>
      </c>
      <c r="U96" s="120">
        <f>'Energy Readings'!AP46</f>
        <v>628</v>
      </c>
      <c r="V96" s="120">
        <f>'Energy Readings'!AR46</f>
        <v>825</v>
      </c>
      <c r="W96" s="120">
        <f>'Energy Readings'!AT46+78.78+2.87</f>
        <v>567.65</v>
      </c>
      <c r="X96" s="120">
        <f>'Energy Readings'!AV46</f>
        <v>593</v>
      </c>
      <c r="Y96" s="120">
        <f>'Energy Readings'!AX46</f>
        <v>627</v>
      </c>
      <c r="Z96" s="120">
        <f>'Energy Readings'!AZ46</f>
        <v>617</v>
      </c>
      <c r="AA96" s="120">
        <f>'Energy Readings'!BB46</f>
        <v>613</v>
      </c>
      <c r="AB96" s="120">
        <f>'Energy Readings'!AZ46</f>
        <v>617</v>
      </c>
      <c r="AC96" s="120">
        <f>'Energy Readings'!BA46</f>
        <v>374652</v>
      </c>
      <c r="AD96" s="120">
        <f>'Energy Readings'!BB46</f>
        <v>613</v>
      </c>
      <c r="AE96" s="120">
        <f>'Energy Readings'!BC46</f>
        <v>375276</v>
      </c>
      <c r="AF96" s="121">
        <f t="shared" si="14"/>
        <v>756258.65</v>
      </c>
    </row>
    <row r="97" spans="1:32" x14ac:dyDescent="0.25">
      <c r="A97" s="14" t="s">
        <v>355</v>
      </c>
      <c r="B97" s="5">
        <f>'Energy Readings'!D47</f>
        <v>87.979999999515712</v>
      </c>
      <c r="C97" s="5">
        <f>'Energy Readings'!F47</f>
        <v>92.040000000037253</v>
      </c>
      <c r="D97" s="5">
        <f>'Energy Readings'!H47</f>
        <v>101.62999999988824</v>
      </c>
      <c r="E97" s="5">
        <f>'Energy Readings'!J47</f>
        <v>86.090000000782311</v>
      </c>
      <c r="F97" s="5">
        <f>'Energy Readings'!L47</f>
        <v>82.829999999143183</v>
      </c>
      <c r="G97" s="5">
        <f>'Energy Readings'!N47</f>
        <v>82.140000000596046</v>
      </c>
      <c r="H97" s="5">
        <f>'Energy Readings'!P47</f>
        <v>71.78000000026077</v>
      </c>
      <c r="I97" s="5">
        <f>'Energy Readings'!R47</f>
        <v>78.599999999627471</v>
      </c>
      <c r="J97" s="5">
        <f>'Energy Readings'!T47</f>
        <v>54.03000000026077</v>
      </c>
      <c r="K97" s="5">
        <f>'Energy Readings'!V47</f>
        <v>69.080000000074506</v>
      </c>
      <c r="L97" s="5">
        <f>'Energy Readings'!X47</f>
        <v>72.46999999973923</v>
      </c>
      <c r="M97" s="5">
        <f>'Energy Readings'!Z47</f>
        <v>58.299999999813735</v>
      </c>
      <c r="N97" s="111"/>
      <c r="O97" s="5"/>
      <c r="P97" s="5"/>
      <c r="Q97" s="5"/>
      <c r="R97" s="6"/>
      <c r="S97" s="5"/>
      <c r="T97" s="5">
        <f>'Energy Readings'!AN47</f>
        <v>68.359999999403954</v>
      </c>
      <c r="U97" s="5">
        <f>'Energy Readings'!AP47</f>
        <v>68.560000000521541</v>
      </c>
      <c r="V97" s="5">
        <f>'Energy Readings'!AR47</f>
        <v>63.459999999962747</v>
      </c>
      <c r="W97" s="5">
        <v>0</v>
      </c>
      <c r="X97" s="120">
        <f>'Energy Readings'!AV47</f>
        <v>67.589999999850988</v>
      </c>
      <c r="Y97" s="120">
        <f>'Energy Readings'!AX47</f>
        <v>68.649999999441206</v>
      </c>
      <c r="Z97" s="120">
        <f>'Energy Readings'!AZ47</f>
        <v>68.190000000409782</v>
      </c>
      <c r="AA97" s="120">
        <f>'Energy Readings'!BB47</f>
        <v>64.929999999701977</v>
      </c>
      <c r="AB97" s="120">
        <f>'Energy Readings'!AZ47</f>
        <v>68.190000000409782</v>
      </c>
      <c r="AC97" s="120">
        <f>'Energy Readings'!BA47</f>
        <v>5171150.51</v>
      </c>
      <c r="AD97" s="120">
        <f>'Energy Readings'!BB47</f>
        <v>64.929999999701977</v>
      </c>
      <c r="AE97" s="120">
        <f>'Energy Readings'!BC47</f>
        <v>5171218.3600000003</v>
      </c>
      <c r="AF97" s="6">
        <f t="shared" si="14"/>
        <v>10343908.699999999</v>
      </c>
    </row>
    <row r="98" spans="1:32" x14ac:dyDescent="0.25">
      <c r="A98" s="14" t="s">
        <v>356</v>
      </c>
      <c r="B98" s="5">
        <f>'Energy Readings'!D48</f>
        <v>2392.8900000001304</v>
      </c>
      <c r="C98" s="5">
        <f>'Energy Readings'!F48</f>
        <v>2614.14</v>
      </c>
      <c r="D98" s="5">
        <f>'Energy Readings'!H48</f>
        <v>2460.5299999997951</v>
      </c>
      <c r="E98" s="5">
        <f>'Energy Readings'!J48</f>
        <v>2510.089999999851</v>
      </c>
      <c r="F98" s="5">
        <f>'Energy Readings'!L48</f>
        <v>2515.660000000149</v>
      </c>
      <c r="G98" s="5">
        <f>'Energy Readings'!N48</f>
        <v>2571.6800000001676</v>
      </c>
      <c r="H98" s="5">
        <f>'Energy Readings'!P48</f>
        <v>2516.6200000001118</v>
      </c>
      <c r="I98" s="5">
        <f>'Energy Readings'!R48</f>
        <v>2640.5599999995902</v>
      </c>
      <c r="J98" s="5">
        <f>'Energy Readings'!T48</f>
        <v>2482.2600000002421</v>
      </c>
      <c r="K98" s="5">
        <f>'Energy Readings'!V48</f>
        <v>2376.7599999997765</v>
      </c>
      <c r="L98" s="5">
        <f>'Energy Readings'!X48</f>
        <v>2409.2200000002049</v>
      </c>
      <c r="M98" s="5">
        <f>'Energy Readings'!Z48</f>
        <v>2471.839999999851</v>
      </c>
      <c r="N98" s="111"/>
      <c r="O98" s="5"/>
      <c r="P98" s="5"/>
      <c r="Q98" s="5"/>
      <c r="R98" s="6"/>
      <c r="S98" s="5"/>
      <c r="T98" s="5">
        <f>'Energy Readings'!AN48</f>
        <v>3.4500000001862645</v>
      </c>
      <c r="U98" s="5">
        <f>'Energy Readings'!AP48</f>
        <v>0</v>
      </c>
      <c r="V98" s="5">
        <f>'Energy Readings'!AR48</f>
        <v>0</v>
      </c>
      <c r="W98" s="5">
        <v>0</v>
      </c>
      <c r="X98" s="120">
        <f>'Energy Readings'!AV48</f>
        <v>1.0000000242143869E-2</v>
      </c>
      <c r="Y98" s="120">
        <f>'Energy Readings'!AX48</f>
        <v>9.9999997764825821E-3</v>
      </c>
      <c r="Z98" s="120">
        <f>'Energy Readings'!AZ48</f>
        <v>1.0000000242143869E-2</v>
      </c>
      <c r="AA98" s="120">
        <f>'Energy Readings'!BB48</f>
        <v>9.9999997764825821E-3</v>
      </c>
      <c r="AB98" s="120">
        <f>'Energy Readings'!AZ48</f>
        <v>1.0000000242143869E-2</v>
      </c>
      <c r="AC98" s="120">
        <f>'Energy Readings'!BA48</f>
        <v>2560565.65</v>
      </c>
      <c r="AD98" s="120">
        <f>'Energy Readings'!BB48</f>
        <v>9.9999997764825821E-3</v>
      </c>
      <c r="AE98" s="120">
        <f>'Energy Readings'!BC48</f>
        <v>2560565.65</v>
      </c>
      <c r="AF98" s="6">
        <f t="shared" si="14"/>
        <v>5151097.0600000005</v>
      </c>
    </row>
    <row r="99" spans="1:32" x14ac:dyDescent="0.25">
      <c r="A99" s="14" t="s">
        <v>357</v>
      </c>
      <c r="B99" s="6">
        <f>B58</f>
        <v>3829.3099999986589</v>
      </c>
      <c r="C99" s="6">
        <f t="shared" ref="C99:AC99" si="15">C58</f>
        <v>3464.5900000000838</v>
      </c>
      <c r="D99" s="6">
        <f t="shared" si="15"/>
        <v>3590.5800000004529</v>
      </c>
      <c r="E99" s="6">
        <f t="shared" si="15"/>
        <v>3902.4399999991001</v>
      </c>
      <c r="F99" s="6">
        <f t="shared" si="15"/>
        <v>3901.5800000012969</v>
      </c>
      <c r="G99" s="6">
        <f t="shared" si="15"/>
        <v>3760.5100000001257</v>
      </c>
      <c r="H99" s="6">
        <f t="shared" si="15"/>
        <v>3745.3999999991211</v>
      </c>
      <c r="I99" s="6">
        <f t="shared" si="15"/>
        <v>3877.0000000005821</v>
      </c>
      <c r="J99" s="6">
        <f t="shared" si="15"/>
        <v>3722.9399999991583</v>
      </c>
      <c r="K99" s="6">
        <f t="shared" si="15"/>
        <v>3889.5300000009302</v>
      </c>
      <c r="L99" s="6">
        <f t="shared" si="15"/>
        <v>3965.4799999996903</v>
      </c>
      <c r="M99" s="6">
        <f t="shared" si="15"/>
        <v>4201.7999999997555</v>
      </c>
      <c r="N99" s="6">
        <f t="shared" si="15"/>
        <v>4215.1200000002573</v>
      </c>
      <c r="O99" s="6">
        <f t="shared" si="15"/>
        <v>3981.5499999999884</v>
      </c>
      <c r="P99" s="6">
        <f t="shared" si="15"/>
        <v>4127.0600000007544</v>
      </c>
      <c r="Q99" s="6">
        <f t="shared" si="15"/>
        <v>4102.1599999993341</v>
      </c>
      <c r="R99" s="6">
        <f t="shared" si="15"/>
        <v>4027.0199999995821</v>
      </c>
      <c r="S99" s="6">
        <f t="shared" si="15"/>
        <v>4131.3200000010547</v>
      </c>
      <c r="T99" s="6">
        <f t="shared" si="15"/>
        <v>4311.9199999983539</v>
      </c>
      <c r="U99" s="6">
        <f t="shared" si="15"/>
        <v>4255.920000000624</v>
      </c>
      <c r="V99" s="6">
        <f t="shared" si="15"/>
        <v>4101.4000000002561</v>
      </c>
      <c r="W99" s="6">
        <f t="shared" si="15"/>
        <v>4251.4799999998068</v>
      </c>
      <c r="X99" s="6">
        <f t="shared" si="15"/>
        <v>3869.179999999702</v>
      </c>
      <c r="Y99" s="6">
        <f t="shared" si="15"/>
        <v>4046.0299999995623</v>
      </c>
      <c r="Z99" s="6">
        <f t="shared" si="15"/>
        <v>4054.8900000014983</v>
      </c>
      <c r="AA99" s="6">
        <f>BB58</f>
        <v>0</v>
      </c>
      <c r="AB99" s="6">
        <f t="shared" si="15"/>
        <v>4083.7499999999127</v>
      </c>
      <c r="AC99" s="6">
        <f t="shared" si="15"/>
        <v>4063.6799999990326</v>
      </c>
      <c r="AD99" s="120">
        <f>'Energy Readings'!BB49</f>
        <v>248</v>
      </c>
      <c r="AE99" s="120">
        <f>'Energy Readings'!BC49</f>
        <v>182240.08</v>
      </c>
      <c r="AF99" s="6">
        <f t="shared" si="14"/>
        <v>289961.71999999869</v>
      </c>
    </row>
    <row r="100" spans="1:32" x14ac:dyDescent="0.25">
      <c r="A100" s="21" t="s">
        <v>358</v>
      </c>
      <c r="B100" s="5">
        <f>SUM(B91:B99)</f>
        <v>12033.59999999823</v>
      </c>
      <c r="C100" s="5">
        <f t="shared" ref="C100:Z100" si="16">SUM(C91:C99)</f>
        <v>12378.130000000456</v>
      </c>
      <c r="D100" s="5">
        <f t="shared" si="16"/>
        <v>12003.559999999503</v>
      </c>
      <c r="E100" s="5">
        <f t="shared" si="16"/>
        <v>11579.369999999733</v>
      </c>
      <c r="F100" s="5">
        <f t="shared" si="16"/>
        <v>13011.07000000152</v>
      </c>
      <c r="G100" s="5">
        <f t="shared" si="16"/>
        <v>12863.860000000219</v>
      </c>
      <c r="H100" s="5">
        <f t="shared" si="16"/>
        <v>12924.329999999754</v>
      </c>
      <c r="I100" s="5">
        <f t="shared" si="16"/>
        <v>13373.949999998906</v>
      </c>
      <c r="J100" s="5">
        <f t="shared" si="16"/>
        <v>12792.900000001158</v>
      </c>
      <c r="K100" s="5">
        <f t="shared" si="16"/>
        <v>12934.110000001005</v>
      </c>
      <c r="L100" s="5">
        <f t="shared" si="16"/>
        <v>12639.489999999991</v>
      </c>
      <c r="M100" s="5">
        <f t="shared" si="16"/>
        <v>11152.139999998675</v>
      </c>
      <c r="N100" s="5">
        <f t="shared" si="16"/>
        <v>8558.3900000007416</v>
      </c>
      <c r="O100" s="5">
        <f t="shared" si="16"/>
        <v>8432.9699999999139</v>
      </c>
      <c r="P100" s="5">
        <f t="shared" si="16"/>
        <v>8490.0400000002701</v>
      </c>
      <c r="Q100" s="5">
        <f t="shared" si="16"/>
        <v>8443.0099999998929</v>
      </c>
      <c r="R100" s="5">
        <f t="shared" si="16"/>
        <v>8466.629999998986</v>
      </c>
      <c r="S100" s="5">
        <f t="shared" si="16"/>
        <v>8556.9600000016508</v>
      </c>
      <c r="T100" s="5">
        <f t="shared" si="16"/>
        <v>11844.479999997013</v>
      </c>
      <c r="U100" s="5">
        <f t="shared" si="16"/>
        <v>11649.360000001703</v>
      </c>
      <c r="V100" s="5">
        <f t="shared" si="16"/>
        <v>11681.64000000048</v>
      </c>
      <c r="W100" s="5">
        <f t="shared" si="16"/>
        <v>11609.769999999955</v>
      </c>
      <c r="X100" s="5">
        <f t="shared" si="16"/>
        <v>11025.459999999981</v>
      </c>
      <c r="Y100" s="5">
        <f t="shared" si="16"/>
        <v>11389.429999998072</v>
      </c>
      <c r="Z100" s="5">
        <f t="shared" si="16"/>
        <v>11610.730000002746</v>
      </c>
      <c r="AA100" s="120">
        <f>'Energy Readings'!BB50</f>
        <v>956.27999999979511</v>
      </c>
      <c r="AB100" s="120">
        <f>'Energy Readings'!AZ50</f>
        <v>1123.6000000000931</v>
      </c>
      <c r="AC100" s="120">
        <f>'Energy Readings'!BA50</f>
        <v>3303636.76</v>
      </c>
      <c r="AD100" s="120">
        <f>'Energy Readings'!BB50</f>
        <v>956.27999999979511</v>
      </c>
      <c r="AE100" s="120">
        <f>'Energy Readings'!BC50</f>
        <v>3304720.59</v>
      </c>
      <c r="AF100" s="6">
        <f t="shared" si="14"/>
        <v>6892838.8900000006</v>
      </c>
    </row>
    <row r="102" spans="1:32" x14ac:dyDescent="0.25">
      <c r="B102" s="1">
        <f>B70/(24*0.96)</f>
        <v>3416.0156250000759</v>
      </c>
      <c r="C102" s="1">
        <f t="shared" ref="C102:AF102" si="17">C70/(24*0.96)</f>
        <v>3854.3836805555684</v>
      </c>
      <c r="D102" s="1">
        <f t="shared" si="17"/>
        <v>4727.9947916668643</v>
      </c>
      <c r="E102" s="1">
        <f t="shared" si="17"/>
        <v>4420.6163194442324</v>
      </c>
      <c r="F102" s="1">
        <f t="shared" si="17"/>
        <v>4020.6597222221617</v>
      </c>
      <c r="G102" s="1">
        <f t="shared" si="17"/>
        <v>3987.3697916669294</v>
      </c>
      <c r="H102" s="1">
        <f t="shared" si="17"/>
        <v>2448.8715277777196</v>
      </c>
      <c r="I102" s="1">
        <f t="shared" si="17"/>
        <v>2813.8888888886668</v>
      </c>
      <c r="J102" s="1">
        <f t="shared" si="17"/>
        <v>2820.6163194444875</v>
      </c>
      <c r="K102" s="1">
        <f t="shared" si="17"/>
        <v>4431.2934027778465</v>
      </c>
      <c r="L102" s="1">
        <f t="shared" si="17"/>
        <v>4709.5052083332375</v>
      </c>
      <c r="M102" s="1">
        <f t="shared" si="17"/>
        <v>4500.4340277778792</v>
      </c>
      <c r="N102" s="1">
        <f t="shared" si="17"/>
        <v>4741.1458333332093</v>
      </c>
      <c r="O102" s="1">
        <f t="shared" si="17"/>
        <v>4366.4062500002701</v>
      </c>
      <c r="P102" s="1">
        <f t="shared" si="17"/>
        <v>3442.3177083330834</v>
      </c>
      <c r="Q102" s="1">
        <f t="shared" si="17"/>
        <v>2859.722222222495</v>
      </c>
      <c r="R102" s="1">
        <f t="shared" si="17"/>
        <v>2655.6423611108612</v>
      </c>
      <c r="S102" s="1">
        <f t="shared" si="17"/>
        <v>2770.4861111112045</v>
      </c>
      <c r="T102" s="1">
        <f t="shared" si="17"/>
        <v>2680.5555555556439</v>
      </c>
      <c r="U102" s="1">
        <f t="shared" si="17"/>
        <v>2732.5954861109067</v>
      </c>
      <c r="V102" s="1">
        <f t="shared" si="17"/>
        <v>2726.7795138890783</v>
      </c>
      <c r="W102" s="1">
        <f t="shared" si="17"/>
        <v>2747.3958333331439</v>
      </c>
      <c r="X102" s="1">
        <f t="shared" si="17"/>
        <v>2691.8836805555834</v>
      </c>
      <c r="Y102" s="1">
        <f t="shared" si="17"/>
        <v>2760.5468750001214</v>
      </c>
      <c r="Z102" s="1">
        <f t="shared" si="17"/>
        <v>4611.7187500000355</v>
      </c>
      <c r="AA102" s="1">
        <f t="shared" si="17"/>
        <v>4804.253472222008</v>
      </c>
      <c r="AB102" s="1">
        <f t="shared" si="17"/>
        <v>4046.6145833335077</v>
      </c>
      <c r="AC102" s="1">
        <f t="shared" si="17"/>
        <v>3876.6059027778965</v>
      </c>
      <c r="AD102" s="1">
        <f t="shared" si="17"/>
        <v>4300.998263888624</v>
      </c>
      <c r="AE102" s="1">
        <f t="shared" si="17"/>
        <v>3329.7743055555884</v>
      </c>
      <c r="AF102" s="1">
        <f t="shared" si="17"/>
        <v>108297.09201388893</v>
      </c>
    </row>
    <row r="103" spans="1:32" x14ac:dyDescent="0.25">
      <c r="T103" s="50" t="s">
        <v>284</v>
      </c>
      <c r="U103" s="50"/>
    </row>
    <row r="104" spans="1:32" x14ac:dyDescent="0.25">
      <c r="K104" s="106"/>
    </row>
  </sheetData>
  <autoFilter ref="C1:C90" xr:uid="{00000000-0009-0000-0000-000001000000}"/>
  <pageMargins left="0.7" right="0.7" top="0.75" bottom="0.75" header="0.3" footer="0.3"/>
  <pageSetup paperSize="9" scale="75" orientation="portrait" r:id="rId1"/>
  <rowBreaks count="1" manualBreakCount="1">
    <brk id="6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45"/>
  <sheetViews>
    <sheetView tabSelected="1" zoomScaleNormal="100" workbookViewId="0">
      <pane xSplit="1" topLeftCell="T1" activePane="topRight" state="frozen"/>
      <selection pane="topRight" activeCell="AF3" sqref="AF3"/>
    </sheetView>
  </sheetViews>
  <sheetFormatPr defaultRowHeight="15" x14ac:dyDescent="0.25"/>
  <cols>
    <col min="1" max="1" width="37.42578125" style="105" customWidth="1"/>
    <col min="2" max="2" width="13.140625" customWidth="1"/>
    <col min="3" max="3" width="11.7109375" customWidth="1"/>
    <col min="4" max="4" width="11.85546875" customWidth="1"/>
    <col min="5" max="5" width="11.42578125" customWidth="1"/>
    <col min="6" max="6" width="11" customWidth="1"/>
    <col min="7" max="7" width="10.7109375" customWidth="1"/>
    <col min="8" max="8" width="8.85546875" customWidth="1"/>
    <col min="9" max="9" width="10.42578125" customWidth="1"/>
    <col min="10" max="10" width="9.28515625" customWidth="1"/>
    <col min="11" max="11" width="10.7109375" bestFit="1" customWidth="1"/>
    <col min="12" max="12" width="11.140625" bestFit="1" customWidth="1"/>
    <col min="13" max="13" width="9.28515625" customWidth="1"/>
    <col min="14" max="14" width="10.85546875" bestFit="1" customWidth="1"/>
    <col min="15" max="15" width="12.85546875" customWidth="1"/>
    <col min="16" max="16" width="11.85546875" customWidth="1"/>
    <col min="17" max="17" width="10.7109375" customWidth="1"/>
    <col min="18" max="18" width="10" customWidth="1"/>
    <col min="19" max="19" width="9.5703125" customWidth="1"/>
    <col min="20" max="20" width="10.140625" customWidth="1"/>
    <col min="21" max="21" width="10.28515625" customWidth="1"/>
    <col min="22" max="22" width="10" customWidth="1"/>
    <col min="23" max="23" width="9.42578125" customWidth="1"/>
    <col min="24" max="24" width="10.85546875" bestFit="1" customWidth="1"/>
    <col min="25" max="25" width="9.42578125" customWidth="1"/>
    <col min="26" max="26" width="10.7109375" bestFit="1" customWidth="1"/>
    <col min="27" max="27" width="12.28515625" customWidth="1"/>
    <col min="28" max="28" width="10.7109375" bestFit="1" customWidth="1"/>
    <col min="29" max="31" width="11" customWidth="1"/>
    <col min="32" max="32" width="14.7109375" customWidth="1"/>
    <col min="33" max="39" width="9.140625" customWidth="1"/>
  </cols>
  <sheetData>
    <row r="1" spans="1:35" x14ac:dyDescent="0.25">
      <c r="A1" s="102" t="s">
        <v>283</v>
      </c>
      <c r="B1" s="18">
        <v>45809</v>
      </c>
      <c r="C1" s="18">
        <f>B1+1</f>
        <v>45810</v>
      </c>
      <c r="D1" s="18">
        <f t="shared" ref="D1:T1" si="0">C1+1</f>
        <v>45811</v>
      </c>
      <c r="E1" s="18">
        <f t="shared" si="0"/>
        <v>45812</v>
      </c>
      <c r="F1" s="18">
        <f t="shared" si="0"/>
        <v>45813</v>
      </c>
      <c r="G1" s="18">
        <f t="shared" si="0"/>
        <v>45814</v>
      </c>
      <c r="H1" s="18">
        <f>G1+1</f>
        <v>45815</v>
      </c>
      <c r="I1" s="18">
        <f>H1+1</f>
        <v>45816</v>
      </c>
      <c r="J1" s="18">
        <f>I1+1</f>
        <v>45817</v>
      </c>
      <c r="K1" s="18">
        <f>J1+1</f>
        <v>45818</v>
      </c>
      <c r="L1" s="18">
        <f>K1+1</f>
        <v>45819</v>
      </c>
      <c r="M1" s="18">
        <f t="shared" si="0"/>
        <v>45820</v>
      </c>
      <c r="N1" s="18">
        <f>M1+1</f>
        <v>45821</v>
      </c>
      <c r="O1" s="18">
        <f t="shared" si="0"/>
        <v>45822</v>
      </c>
      <c r="P1" s="18">
        <f t="shared" si="0"/>
        <v>45823</v>
      </c>
      <c r="Q1" s="18">
        <f t="shared" si="0"/>
        <v>45824</v>
      </c>
      <c r="R1" s="18">
        <f>Q1+1</f>
        <v>45825</v>
      </c>
      <c r="S1" s="18">
        <f t="shared" si="0"/>
        <v>45826</v>
      </c>
      <c r="T1" s="18">
        <f t="shared" si="0"/>
        <v>45827</v>
      </c>
      <c r="U1" s="18">
        <f t="shared" ref="U1:AC1" si="1">T1+1</f>
        <v>45828</v>
      </c>
      <c r="V1" s="67">
        <f t="shared" si="1"/>
        <v>45829</v>
      </c>
      <c r="W1" s="67">
        <f t="shared" si="1"/>
        <v>45830</v>
      </c>
      <c r="X1" s="67">
        <f t="shared" si="1"/>
        <v>45831</v>
      </c>
      <c r="Y1" s="67">
        <f t="shared" si="1"/>
        <v>45832</v>
      </c>
      <c r="Z1" s="67">
        <f t="shared" si="1"/>
        <v>45833</v>
      </c>
      <c r="AA1" s="67">
        <f t="shared" si="1"/>
        <v>45834</v>
      </c>
      <c r="AB1" s="67">
        <f t="shared" si="1"/>
        <v>45835</v>
      </c>
      <c r="AC1" s="67">
        <f t="shared" si="1"/>
        <v>45836</v>
      </c>
      <c r="AD1" s="67">
        <f t="shared" ref="AD1" si="2">AC1+1</f>
        <v>45837</v>
      </c>
      <c r="AE1" s="67">
        <f t="shared" ref="AE1" si="3">AD1+1</f>
        <v>45838</v>
      </c>
      <c r="AF1" s="58" t="s">
        <v>128</v>
      </c>
    </row>
    <row r="2" spans="1:35" x14ac:dyDescent="0.25">
      <c r="A2" s="103" t="s">
        <v>21</v>
      </c>
      <c r="B2" s="16">
        <f>'IMS DATA'!B69</f>
        <v>163562</v>
      </c>
      <c r="C2" s="14">
        <f>'IMS DATA'!C69</f>
        <v>122254</v>
      </c>
      <c r="D2" s="14">
        <f>'IMS DATA'!D69</f>
        <v>134892</v>
      </c>
      <c r="E2" s="14">
        <f>'IMS DATA'!E69</f>
        <v>159874</v>
      </c>
      <c r="F2" s="14">
        <f>'IMS DATA'!F69</f>
        <v>143168</v>
      </c>
      <c r="G2" s="14">
        <f>'IMS DATA'!G69</f>
        <v>139252</v>
      </c>
      <c r="H2" s="14">
        <f>'IMS DATA'!H69</f>
        <v>139940</v>
      </c>
      <c r="I2" s="14">
        <f>'IMS DATA'!I69</f>
        <v>137672</v>
      </c>
      <c r="J2" s="14">
        <f>'IMS DATA'!J69</f>
        <v>142452</v>
      </c>
      <c r="K2" s="14">
        <f>'IMS DATA'!K69</f>
        <v>145160</v>
      </c>
      <c r="L2" s="14">
        <f>'IMS DATA'!L69</f>
        <v>138720</v>
      </c>
      <c r="M2" s="14">
        <f>'IMS DATA'!M69</f>
        <v>140636</v>
      </c>
      <c r="N2" s="14">
        <f>'IMS DATA'!N69</f>
        <v>126304</v>
      </c>
      <c r="O2" s="14">
        <f>'IMS DATA'!O69</f>
        <v>133716</v>
      </c>
      <c r="P2" s="14">
        <f>'IMS DATA'!P69</f>
        <v>157692</v>
      </c>
      <c r="Q2" s="14">
        <f>'IMS DATA'!Q69</f>
        <v>188728</v>
      </c>
      <c r="R2" s="14">
        <f>'IMS DATA'!R69</f>
        <v>171652</v>
      </c>
      <c r="S2" s="14">
        <f>'IMS DATA'!S69</f>
        <v>181228</v>
      </c>
      <c r="T2" s="14">
        <f>'IMS DATA'!T69</f>
        <v>188220</v>
      </c>
      <c r="U2" s="14">
        <f>'IMS DATA'!U69</f>
        <v>176352</v>
      </c>
      <c r="V2" s="14">
        <f>'IMS DATA'!V69</f>
        <v>170220</v>
      </c>
      <c r="W2" s="14">
        <f>'IMS DATA'!W69</f>
        <v>167612</v>
      </c>
      <c r="X2" s="14">
        <f>'IMS DATA'!X69</f>
        <v>90860</v>
      </c>
      <c r="Y2" s="14">
        <f>'IMS DATA'!Y69</f>
        <v>142184</v>
      </c>
      <c r="Z2" s="14">
        <f>'IMS DATA'!Z69</f>
        <v>157920</v>
      </c>
      <c r="AA2" s="14">
        <f>'IMS DATA'!AA69</f>
        <v>152064</v>
      </c>
      <c r="AB2" s="14">
        <f>'IMS DATA'!AB69</f>
        <v>150496</v>
      </c>
      <c r="AC2" s="14">
        <f>'IMS DATA'!AC69</f>
        <v>152184</v>
      </c>
      <c r="AD2" s="14">
        <f>'IMS DATA'!AD69</f>
        <v>157416</v>
      </c>
      <c r="AE2" s="14">
        <f>'IMS DATA'!AE69</f>
        <v>114728</v>
      </c>
      <c r="AF2" s="14">
        <f>'IMS DATA'!AF69</f>
        <v>4487158</v>
      </c>
    </row>
    <row r="3" spans="1:35" x14ac:dyDescent="0.25">
      <c r="A3" s="103" t="s">
        <v>165</v>
      </c>
      <c r="B3" s="14">
        <f>'IMS DATA'!B70</f>
        <v>78705.000000001746</v>
      </c>
      <c r="C3" s="14">
        <f>'IMS DATA'!C70</f>
        <v>88805.000000000291</v>
      </c>
      <c r="D3" s="14">
        <f>'IMS DATA'!D70</f>
        <v>108933.00000000454</v>
      </c>
      <c r="E3" s="14">
        <f>'IMS DATA'!E70</f>
        <v>101850.99999999511</v>
      </c>
      <c r="F3" s="14">
        <f>'IMS DATA'!F70</f>
        <v>92635.999999998603</v>
      </c>
      <c r="G3" s="14">
        <f>'IMS DATA'!G70</f>
        <v>91869.000000006054</v>
      </c>
      <c r="H3" s="14">
        <f>'IMS DATA'!H70</f>
        <v>56421.999999998661</v>
      </c>
      <c r="I3" s="14">
        <f>'IMS DATA'!I70</f>
        <v>64831.999999994878</v>
      </c>
      <c r="J3" s="14">
        <f>'IMS DATA'!J70</f>
        <v>64987.00000000099</v>
      </c>
      <c r="K3" s="14">
        <f>'IMS DATA'!K70</f>
        <v>102097.00000000157</v>
      </c>
      <c r="L3" s="14">
        <f>'IMS DATA'!L70</f>
        <v>108506.99999999779</v>
      </c>
      <c r="M3" s="14">
        <f>'IMS DATA'!M70</f>
        <v>103690.00000000233</v>
      </c>
      <c r="N3" s="14">
        <f>'IMS DATA'!N70</f>
        <v>109235.99999999715</v>
      </c>
      <c r="O3" s="14">
        <f>'IMS DATA'!O70</f>
        <v>100602.00000000623</v>
      </c>
      <c r="P3" s="14">
        <f>'IMS DATA'!P70</f>
        <v>79310.999999994237</v>
      </c>
      <c r="Q3" s="14">
        <f>'IMS DATA'!Q70</f>
        <v>65888.000000006286</v>
      </c>
      <c r="R3" s="14">
        <f>'IMS DATA'!R70</f>
        <v>61185.999999994237</v>
      </c>
      <c r="S3" s="14">
        <f>'IMS DATA'!S70</f>
        <v>63832.000000002154</v>
      </c>
      <c r="T3" s="14">
        <f>'IMS DATA'!T70</f>
        <v>61760.000000002037</v>
      </c>
      <c r="U3" s="14">
        <f>'IMS DATA'!U70</f>
        <v>62958.999999995285</v>
      </c>
      <c r="V3" s="14">
        <f>'IMS DATA'!V70</f>
        <v>62825.000000004366</v>
      </c>
      <c r="W3" s="14">
        <f>'IMS DATA'!W70</f>
        <v>63299.999999995634</v>
      </c>
      <c r="X3" s="14">
        <f>'IMS DATA'!X70</f>
        <v>62021.00000000064</v>
      </c>
      <c r="Y3" s="14">
        <f>'IMS DATA'!Y70</f>
        <v>63603.000000002794</v>
      </c>
      <c r="Z3" s="14">
        <f>'IMS DATA'!Z70</f>
        <v>106254.00000000081</v>
      </c>
      <c r="AA3" s="14">
        <f>'IMS DATA'!AA70</f>
        <v>110689.99999999505</v>
      </c>
      <c r="AB3" s="14">
        <f>'IMS DATA'!AB70</f>
        <v>93234.000000004016</v>
      </c>
      <c r="AC3" s="14">
        <f>'IMS DATA'!AC70</f>
        <v>89317.000000002736</v>
      </c>
      <c r="AD3" s="14">
        <f>'IMS DATA'!AD70</f>
        <v>99094.999999993888</v>
      </c>
      <c r="AE3" s="14">
        <f>'IMS DATA'!AE70</f>
        <v>76718.000000000757</v>
      </c>
      <c r="AF3" s="14">
        <f>'IMS DATA'!AF70</f>
        <v>2495165.0000000009</v>
      </c>
    </row>
    <row r="4" spans="1:35" x14ac:dyDescent="0.25">
      <c r="A4" s="103" t="s">
        <v>22</v>
      </c>
      <c r="B4" s="19">
        <f>'IMS DATA'!B2+'IMS DATA'!B3+'IMS DATA'!B5</f>
        <v>1799.3699999996752</v>
      </c>
      <c r="C4" s="19">
        <f>'IMS DATA'!C2+'IMS DATA'!C3+'IMS DATA'!C5</f>
        <v>1541.8699999999108</v>
      </c>
      <c r="D4" s="19">
        <f>'IMS DATA'!D2+'IMS DATA'!D3+'IMS DATA'!D5</f>
        <v>1577.9100000003491</v>
      </c>
      <c r="E4" s="19">
        <f>'IMS DATA'!E2+'IMS DATA'!E3+'IMS DATA'!E5</f>
        <v>1056.319999999856</v>
      </c>
      <c r="F4" s="19">
        <f>'IMS DATA'!F2+'IMS DATA'!F3+'IMS DATA'!F5</f>
        <v>1554.0600000000813</v>
      </c>
      <c r="G4" s="19">
        <f>'IMS DATA'!G2+'IMS DATA'!G3+'IMS DATA'!G5</f>
        <v>1512.1300000000774</v>
      </c>
      <c r="H4" s="19">
        <f>'IMS DATA'!H2+'IMS DATA'!H3+'IMS DATA'!H5</f>
        <v>1279.7900000000654</v>
      </c>
      <c r="I4" s="19">
        <f>'IMS DATA'!I2+'IMS DATA'!I3+'IMS DATA'!I5</f>
        <v>1593.239999999967</v>
      </c>
      <c r="J4" s="19">
        <f>'IMS DATA'!J2+'IMS DATA'!J3+'IMS DATA'!J5</f>
        <v>1392.5999999999485</v>
      </c>
      <c r="K4" s="19">
        <f>'IMS DATA'!K2+'IMS DATA'!K3+'IMS DATA'!K5</f>
        <v>1584.5000000001801</v>
      </c>
      <c r="L4" s="19">
        <f>'IMS DATA'!L2+'IMS DATA'!L3+'IMS DATA'!L5</f>
        <v>1576.3199999996887</v>
      </c>
      <c r="M4" s="19">
        <f>'IMS DATA'!M2+'IMS DATA'!M3+'IMS DATA'!M5</f>
        <v>2326.2959999998293</v>
      </c>
      <c r="N4" s="19">
        <f>'IMS DATA'!N2+'IMS DATA'!N3+'IMS DATA'!N5</f>
        <v>2617.8540000001231</v>
      </c>
      <c r="O4" s="19">
        <f>'IMS DATA'!O2+'IMS DATA'!O3+'IMS DATA'!O5</f>
        <v>2718.5499999998228</v>
      </c>
      <c r="P4" s="19">
        <f>'IMS DATA'!P2+'IMS DATA'!P3+'IMS DATA'!P5</f>
        <v>2101.1100000004335</v>
      </c>
      <c r="Q4" s="19">
        <f>'IMS DATA'!Q2+'IMS DATA'!Q3+'IMS DATA'!Q5</f>
        <v>1560.5699999996014</v>
      </c>
      <c r="R4" s="19">
        <f>'IMS DATA'!R2+'IMS DATA'!R3+'IMS DATA'!R5</f>
        <v>1390.810000000235</v>
      </c>
      <c r="S4" s="19">
        <f>'IMS DATA'!S2+'IMS DATA'!S3+'IMS DATA'!S5</f>
        <v>1392.7900000001573</v>
      </c>
      <c r="T4" s="19">
        <f>'IMS DATA'!T2+'IMS DATA'!T3+'IMS DATA'!T5</f>
        <v>1763.1899999996876</v>
      </c>
      <c r="U4" s="19">
        <f>'IMS DATA'!U2+'IMS DATA'!U3+'IMS DATA'!U5</f>
        <v>1097.2499999999618</v>
      </c>
      <c r="V4" s="19">
        <f>'IMS DATA'!V2+'IMS DATA'!V3+'IMS DATA'!V5</f>
        <v>1810.7400000004291</v>
      </c>
      <c r="W4" s="19">
        <f>'IMS DATA'!W2+'IMS DATA'!W3+'IMS DATA'!W5</f>
        <v>1717.0099999997938</v>
      </c>
      <c r="X4" s="19">
        <f>'IMS DATA'!X2+'IMS DATA'!X3+'IMS DATA'!X5</f>
        <v>1714.2700000001341</v>
      </c>
      <c r="Y4" s="19">
        <f>'IMS DATA'!Y2+'IMS DATA'!Y3+'IMS DATA'!Y5</f>
        <v>1302.8099999996521</v>
      </c>
      <c r="Z4" s="19">
        <f>'IMS DATA'!Z2+'IMS DATA'!Z3+'IMS DATA'!Z5</f>
        <v>1352.1600000001672</v>
      </c>
      <c r="AA4" s="19">
        <f>'IMS DATA'!AA2+'IMS DATA'!AA3+'IMS DATA'!AA5</f>
        <v>1336.7000000000162</v>
      </c>
      <c r="AB4" s="19">
        <f>'IMS DATA'!AB2+'IMS DATA'!AB3+'IMS DATA'!AB5</f>
        <v>1332.9800000000696</v>
      </c>
      <c r="AC4" s="19">
        <f>'IMS DATA'!AC2+'IMS DATA'!AC3+'IMS DATA'!AC5</f>
        <v>1658.0100000001539</v>
      </c>
      <c r="AD4" s="19">
        <f>'IMS DATA'!AD2+'IMS DATA'!AD3+'IMS DATA'!AD5</f>
        <v>1720.079999999838</v>
      </c>
      <c r="AE4" s="19">
        <f>'IMS DATA'!AE2+'IMS DATA'!AE3+'IMS DATA'!AE5</f>
        <v>2068.1799999999375</v>
      </c>
      <c r="AF4" s="19">
        <f>'IMS DATA'!AF2+'IMS DATA'!AF3+'IMS DATA'!AF5</f>
        <v>49449.469999999841</v>
      </c>
    </row>
    <row r="5" spans="1:35" x14ac:dyDescent="0.25">
      <c r="A5" s="103" t="s">
        <v>267</v>
      </c>
      <c r="B5" s="19">
        <f>'IMS DATA'!B9+'IMS DATA'!B10+'IMS DATA'!B11+'IMS DATA'!B12</f>
        <v>61133.139999998806</v>
      </c>
      <c r="C5" s="19">
        <f>'IMS DATA'!C9+'IMS DATA'!C10+'IMS DATA'!C11+'IMS DATA'!C12</f>
        <v>28531.650000002031</v>
      </c>
      <c r="D5" s="19">
        <f>'IMS DATA'!D9+'IMS DATA'!D10+'IMS DATA'!D11+'IMS DATA'!D12</f>
        <v>49214.789999999644</v>
      </c>
      <c r="E5" s="19">
        <f>'IMS DATA'!E9+'IMS DATA'!E10+'IMS DATA'!E11+'IMS DATA'!E12</f>
        <v>62902.100000001199</v>
      </c>
      <c r="F5" s="19">
        <f>'IMS DATA'!F9+'IMS DATA'!F10+'IMS DATA'!F11+'IMS DATA'!F12</f>
        <v>45066.019999998476</v>
      </c>
      <c r="G5" s="19">
        <f>'IMS DATA'!G9+'IMS DATA'!G10+'IMS DATA'!G11+'IMS DATA'!G12</f>
        <v>48314.990000001271</v>
      </c>
      <c r="H5" s="19">
        <f>'IMS DATA'!H9+'IMS DATA'!H10+'IMS DATA'!H11+'IMS DATA'!H12</f>
        <v>50068.049999998868</v>
      </c>
      <c r="I5" s="19">
        <f>'IMS DATA'!I9+'IMS DATA'!I10+'IMS DATA'!I11+'IMS DATA'!I12</f>
        <v>50035.380000001242</v>
      </c>
      <c r="J5" s="19">
        <f>'IMS DATA'!J9+'IMS DATA'!J10+'IMS DATA'!J11+'IMS DATA'!J12</f>
        <v>51757.439999998707</v>
      </c>
      <c r="K5" s="19">
        <f>'IMS DATA'!K9+'IMS DATA'!K10+'IMS DATA'!K11+'IMS DATA'!K12</f>
        <v>56127.300000001269</v>
      </c>
      <c r="L5" s="19">
        <f>'IMS DATA'!L9+'IMS DATA'!L10+'IMS DATA'!L11+'IMS DATA'!L12</f>
        <v>50444.379999999321</v>
      </c>
      <c r="M5" s="19">
        <f>'IMS DATA'!M9+'IMS DATA'!M10+'IMS DATA'!M11+'IMS DATA'!M12</f>
        <v>50601.8699999971</v>
      </c>
      <c r="N5" s="19">
        <f>'IMS DATA'!N9+'IMS DATA'!N10+'IMS DATA'!N11+'IMS DATA'!N12</f>
        <v>39202.670000000478</v>
      </c>
      <c r="O5" s="19">
        <f>'IMS DATA'!O9+'IMS DATA'!O10+'IMS DATA'!O11+'IMS DATA'!O12</f>
        <v>46523.559999999459</v>
      </c>
      <c r="P5" s="19">
        <f>'IMS DATA'!P9+'IMS DATA'!P10+'IMS DATA'!P11+'IMS DATA'!P12</f>
        <v>57990.790000002249</v>
      </c>
      <c r="Q5" s="19">
        <f>'IMS DATA'!Q9+'IMS DATA'!Q10+'IMS DATA'!Q11+'IMS DATA'!Q12</f>
        <v>60777.809999999183</v>
      </c>
      <c r="R5" s="19">
        <f>'IMS DATA'!R9+'IMS DATA'!R10+'IMS DATA'!R11+'IMS DATA'!R12</f>
        <v>41793.640000001702</v>
      </c>
      <c r="S5" s="19">
        <f>'IMS DATA'!S9+'IMS DATA'!S10+'IMS DATA'!S11+'IMS DATA'!S12</f>
        <v>52305.640000000465</v>
      </c>
      <c r="T5" s="19">
        <f>'IMS DATA'!T9+'IMS DATA'!T10+'IMS DATA'!T11+'IMS DATA'!T12</f>
        <v>52232.720000001806</v>
      </c>
      <c r="U5" s="19">
        <f>'IMS DATA'!U9+'IMS DATA'!U10+'IMS DATA'!U11+'IMS DATA'!U12</f>
        <v>42724.00999999854</v>
      </c>
      <c r="V5" s="19">
        <f>'IMS DATA'!V9+'IMS DATA'!V10+'IMS DATA'!V11+'IMS DATA'!V12</f>
        <v>47045.490000000034</v>
      </c>
      <c r="W5" s="19">
        <f>'IMS DATA'!W9+'IMS DATA'!W10+'IMS DATA'!W11+'IMS DATA'!W12</f>
        <v>41102.079999999463</v>
      </c>
      <c r="X5" s="19">
        <f>'IMS DATA'!X9+'IMS DATA'!X10+'IMS DATA'!X11+'IMS DATA'!X12</f>
        <v>3269.7199999993172</v>
      </c>
      <c r="Y5" s="19">
        <f>'IMS DATA'!Y9+'IMS DATA'!Y10+'IMS DATA'!Y11+'IMS DATA'!Y12</f>
        <v>31821.879999999466</v>
      </c>
      <c r="Z5" s="19">
        <f>'IMS DATA'!Z9+'IMS DATA'!Z10+'IMS DATA'!Z11+'IMS DATA'!Z12</f>
        <v>55855.168799998552</v>
      </c>
      <c r="AA5" s="19">
        <f>'IMS DATA'!AA9+'IMS DATA'!AA10+'IMS DATA'!AA11+'IMS DATA'!AA12</f>
        <v>57131.244000002356</v>
      </c>
      <c r="AB5" s="19">
        <f>'IMS DATA'!AB9+'IMS DATA'!AB10+'IMS DATA'!AB11+'IMS DATA'!AB12</f>
        <v>53584.940000000584</v>
      </c>
      <c r="AC5" s="19">
        <f>'IMS DATA'!AC9+'IMS DATA'!AC10+'IMS DATA'!AC11+'IMS DATA'!AC12</f>
        <v>51432.585999998875</v>
      </c>
      <c r="AD5" s="19">
        <f>'IMS DATA'!AD9+'IMS DATA'!AD10+'IMS DATA'!AD11+'IMS DATA'!AD12</f>
        <v>61447.050000001458</v>
      </c>
      <c r="AE5" s="19">
        <f>'IMS DATA'!AE9+'IMS DATA'!AE10+'IMS DATA'!AE11+'IMS DATA'!AE12</f>
        <v>31887.969999998837</v>
      </c>
      <c r="AF5" s="19">
        <f>'IMS DATA'!AF9+'IMS DATA'!AF10+'IMS DATA'!AF11+'IMS DATA'!AF12</f>
        <v>1432326.0788000007</v>
      </c>
    </row>
    <row r="6" spans="1:35" x14ac:dyDescent="0.25">
      <c r="A6" s="103" t="s">
        <v>268</v>
      </c>
      <c r="B6" s="19">
        <f>'IMS DATA'!B17+'IMS DATA'!B18+'IMS DATA'!B19</f>
        <v>8482.3199999995977</v>
      </c>
      <c r="C6" s="19">
        <f>'IMS DATA'!C17+'IMS DATA'!C18+'IMS DATA'!C19</f>
        <v>6664.3299999997016</v>
      </c>
      <c r="D6" s="19">
        <f>'IMS DATA'!D17+'IMS DATA'!D18+'IMS DATA'!D19</f>
        <v>7183.7999999983331</v>
      </c>
      <c r="E6" s="19">
        <f>'IMS DATA'!E17+'IMS DATA'!E18+'IMS DATA'!E19</f>
        <v>8950.200000000872</v>
      </c>
      <c r="F6" s="19">
        <f>'IMS DATA'!F17+'IMS DATA'!F18+'IMS DATA'!F19</f>
        <v>7806.229999998819</v>
      </c>
      <c r="G6" s="19">
        <f>'IMS DATA'!G17+'IMS DATA'!G18+'IMS DATA'!G19</f>
        <v>6977.4100000024391</v>
      </c>
      <c r="H6" s="19">
        <f>'IMS DATA'!H17+'IMS DATA'!H18+'IMS DATA'!H19</f>
        <v>5915.680000000395</v>
      </c>
      <c r="I6" s="19">
        <f>'IMS DATA'!I17+'IMS DATA'!I18+'IMS DATA'!I19</f>
        <v>7762.4699999975219</v>
      </c>
      <c r="J6" s="19">
        <f>'IMS DATA'!J17+'IMS DATA'!J18+'IMS DATA'!J19</f>
        <v>8848.9800000011455</v>
      </c>
      <c r="K6" s="19">
        <f>'IMS DATA'!K17+'IMS DATA'!K18+'IMS DATA'!K19</f>
        <v>7892.9200000002083</v>
      </c>
      <c r="L6" s="19">
        <f>'IMS DATA'!L17+'IMS DATA'!L18+'IMS DATA'!L19</f>
        <v>7639.2000000015123</v>
      </c>
      <c r="M6" s="19">
        <f>'IMS DATA'!M17+'IMS DATA'!M18+'IMS DATA'!M19</f>
        <v>8126.6700000002402</v>
      </c>
      <c r="N6" s="19">
        <f>'IMS DATA'!N17+'IMS DATA'!N18+'IMS DATA'!N19</f>
        <v>7630.4999999986612</v>
      </c>
      <c r="O6" s="19">
        <f>'IMS DATA'!O17+'IMS DATA'!O18+'IMS DATA'!O19</f>
        <v>8339.5799999980954</v>
      </c>
      <c r="P6" s="19">
        <f>'IMS DATA'!P17+'IMS DATA'!P18+'IMS DATA'!P19</f>
        <v>3841.1600000017061</v>
      </c>
      <c r="Q6" s="19">
        <f>'IMS DATA'!Q17+'IMS DATA'!Q18+'IMS DATA'!Q19</f>
        <v>823.44999999925494</v>
      </c>
      <c r="R6" s="19">
        <f>'IMS DATA'!R17+'IMS DATA'!R18+'IMS DATA'!R19</f>
        <v>521</v>
      </c>
      <c r="S6" s="19">
        <f>'IMS DATA'!S17+'IMS DATA'!S18+'IMS DATA'!S19</f>
        <v>125.01000000163913</v>
      </c>
      <c r="T6" s="19">
        <f>'IMS DATA'!T17+'IMS DATA'!T18+'IMS DATA'!T19</f>
        <v>53.989999998360872</v>
      </c>
      <c r="U6" s="19">
        <f>'IMS DATA'!U17+'IMS DATA'!U18+'IMS DATA'!U19</f>
        <v>66</v>
      </c>
      <c r="V6" s="19">
        <f>'IMS DATA'!V17+'IMS DATA'!V18+'IMS DATA'!V19</f>
        <v>88</v>
      </c>
      <c r="W6" s="19">
        <f>'IMS DATA'!W17+'IMS DATA'!W18+'IMS DATA'!W19</f>
        <v>355.30000000074506</v>
      </c>
      <c r="X6" s="19">
        <f>'IMS DATA'!X17+'IMS DATA'!X18+'IMS DATA'!X19</f>
        <v>624.5599999986589</v>
      </c>
      <c r="Y6" s="19">
        <f>'IMS DATA'!Y17+'IMS DATA'!Y18+'IMS DATA'!Y19</f>
        <v>78</v>
      </c>
      <c r="Z6" s="19">
        <f>'IMS DATA'!Z17+'IMS DATA'!Z18+'IMS DATA'!Z19</f>
        <v>8028.899999999885</v>
      </c>
      <c r="AA6" s="19">
        <f>'IMS DATA'!AA17+'IMS DATA'!AA18+'IMS DATA'!AA19</f>
        <v>8948.9199999997436</v>
      </c>
      <c r="AB6" s="19">
        <f>'IMS DATA'!AB17+'IMS DATA'!AB18+'IMS DATA'!AB19</f>
        <v>8651.0800000002746</v>
      </c>
      <c r="AC6" s="19">
        <f>'IMS DATA'!AC17+'IMS DATA'!AC18+'IMS DATA'!AC19</f>
        <v>7619.4699999987934</v>
      </c>
      <c r="AD6" s="19">
        <f>'IMS DATA'!AD17+'IMS DATA'!AD18+'IMS DATA'!AD19</f>
        <v>8337.9800000026953</v>
      </c>
      <c r="AE6" s="19">
        <f>'IMS DATA'!AE17+'IMS DATA'!AE18+'IMS DATA'!AE19</f>
        <v>3604.1599999965529</v>
      </c>
      <c r="AF6" s="19">
        <f>'IMS DATA'!AF17+'IMS DATA'!AF18+'IMS DATA'!AF19</f>
        <v>159987.26999999589</v>
      </c>
    </row>
    <row r="7" spans="1:35" x14ac:dyDescent="0.25">
      <c r="A7" s="103" t="s">
        <v>24</v>
      </c>
      <c r="B7" s="19">
        <f>'IMS DATA'!B21+'IMS DATA'!B22+('IMS DATA'!B23)*57%+'IMS DATA'!B24</f>
        <v>14025.885100000287</v>
      </c>
      <c r="C7" s="19">
        <f>'IMS DATA'!C21+'IMS DATA'!C22+('IMS DATA'!C23)*57%+'IMS DATA'!C24</f>
        <v>13396.288200000065</v>
      </c>
      <c r="D7" s="19">
        <f>'IMS DATA'!D21+'IMS DATA'!D22+('IMS DATA'!D23)*57%+'IMS DATA'!D24</f>
        <v>11110.599499999569</v>
      </c>
      <c r="E7" s="19">
        <f>'IMS DATA'!E21+'IMS DATA'!E22+('IMS DATA'!E23)*57%+'IMS DATA'!E24</f>
        <v>14323.250200000526</v>
      </c>
      <c r="F7" s="19">
        <f>'IMS DATA'!F21+'IMS DATA'!F22+('IMS DATA'!F23)*57%+'IMS DATA'!F24</f>
        <v>13214.831399999834</v>
      </c>
      <c r="G7" s="19">
        <f>'IMS DATA'!G21+'IMS DATA'!G22+('IMS DATA'!G23)*57%+'IMS DATA'!G24</f>
        <v>12802.641700000022</v>
      </c>
      <c r="H7" s="19">
        <f>'IMS DATA'!H21+'IMS DATA'!H22+('IMS DATA'!H23)*57%+'IMS DATA'!H24</f>
        <v>12876.635499999669</v>
      </c>
      <c r="I7" s="19">
        <f>'IMS DATA'!I21+'IMS DATA'!I22+('IMS DATA'!I23)*57%+'IMS DATA'!I24</f>
        <v>11695.705999999858</v>
      </c>
      <c r="J7" s="19">
        <f>'IMS DATA'!J21+'IMS DATA'!J22+('IMS DATA'!J23)*57%+'IMS DATA'!J24</f>
        <v>12296.663700000405</v>
      </c>
      <c r="K7" s="19">
        <f>'IMS DATA'!K21+'IMS DATA'!K22+('IMS DATA'!K23)*57%+'IMS DATA'!K24</f>
        <v>13832.837499999976</v>
      </c>
      <c r="L7" s="19">
        <f>'IMS DATA'!L21+'IMS DATA'!L22+('IMS DATA'!L23)*57%+'IMS DATA'!L24</f>
        <v>12040.271599999867</v>
      </c>
      <c r="M7" s="19">
        <f>'IMS DATA'!M21+'IMS DATA'!M22+('IMS DATA'!M23)*57%+'IMS DATA'!M24</f>
        <v>12908.740800000071</v>
      </c>
      <c r="N7" s="19">
        <f>'IMS DATA'!N21+'IMS DATA'!N22+('IMS DATA'!N23)*57%+'IMS DATA'!N24</f>
        <v>12491.375999999775</v>
      </c>
      <c r="O7" s="19">
        <f>'IMS DATA'!O21+'IMS DATA'!O22+('IMS DATA'!O23)*57%+'IMS DATA'!O24</f>
        <v>12528.381900000237</v>
      </c>
      <c r="P7" s="19">
        <f>'IMS DATA'!P21+'IMS DATA'!P22+('IMS DATA'!P23)*57%+'IMS DATA'!P24</f>
        <v>12543.088100000201</v>
      </c>
      <c r="Q7" s="19">
        <f>'IMS DATA'!Q21+'IMS DATA'!Q22+('IMS DATA'!Q23)*57%+'IMS DATA'!Q24</f>
        <v>13366.621899999902</v>
      </c>
      <c r="R7" s="19">
        <f>'IMS DATA'!R21+'IMS DATA'!R22+('IMS DATA'!R23)*57%+'IMS DATA'!R24</f>
        <v>13434.153000000058</v>
      </c>
      <c r="S7" s="19">
        <f>'IMS DATA'!S21+'IMS DATA'!S22+('IMS DATA'!S23)*57%+'IMS DATA'!S24</f>
        <v>12758.367599999792</v>
      </c>
      <c r="T7" s="19">
        <f>'IMS DATA'!T21+'IMS DATA'!T22+('IMS DATA'!T23)*57%+'IMS DATA'!T24</f>
        <v>12503.535700000126</v>
      </c>
      <c r="U7" s="19">
        <f>'IMS DATA'!U21+'IMS DATA'!U22+('IMS DATA'!U23)*57%+'IMS DATA'!U24</f>
        <v>12663.504999999732</v>
      </c>
      <c r="V7" s="19">
        <f>'IMS DATA'!V21+'IMS DATA'!V22+('IMS DATA'!V23)*57%+'IMS DATA'!V24</f>
        <v>11135.399300000274</v>
      </c>
      <c r="W7" s="19">
        <f>'IMS DATA'!W21+'IMS DATA'!W22+('IMS DATA'!W23)*57%+'IMS DATA'!W24</f>
        <v>10641.863000000038</v>
      </c>
      <c r="X7" s="19">
        <f>'IMS DATA'!X21+'IMS DATA'!X22+('IMS DATA'!X23)*57%+'IMS DATA'!X24</f>
        <v>2662.6373999999778</v>
      </c>
      <c r="Y7" s="19">
        <f>'IMS DATA'!Y21+'IMS DATA'!Y22+('IMS DATA'!Y23)*57%+'IMS DATA'!Y24</f>
        <v>8158.8860000001478</v>
      </c>
      <c r="Z7" s="19">
        <f>'IMS DATA'!Z21+'IMS DATA'!Z22+('IMS DATA'!Z23)*57%+'IMS DATA'!Z24</f>
        <v>13922.423599999853</v>
      </c>
      <c r="AA7" s="19">
        <f>'IMS DATA'!AA21+'IMS DATA'!AA22+('IMS DATA'!AA23)*57%+'IMS DATA'!AA24</f>
        <v>12612.275300000025</v>
      </c>
      <c r="AB7" s="19">
        <f>'IMS DATA'!AB21+'IMS DATA'!AB22+('IMS DATA'!AB23)*57%+'IMS DATA'!AB24</f>
        <v>13600.082999999748</v>
      </c>
      <c r="AC7" s="19">
        <f>'IMS DATA'!AC21+'IMS DATA'!AC22+('IMS DATA'!AC23)*57%+'IMS DATA'!AC24</f>
        <v>12742.683700000176</v>
      </c>
      <c r="AD7" s="19">
        <f>'IMS DATA'!AD21+'IMS DATA'!AD22+('IMS DATA'!AD23)*57%+'IMS DATA'!AD24</f>
        <v>12310.747599999951</v>
      </c>
      <c r="AE7" s="19">
        <f>'IMS DATA'!AE21+'IMS DATA'!AE22+('IMS DATA'!AE23)*57%+'IMS DATA'!AE24</f>
        <v>8225.8161000001637</v>
      </c>
      <c r="AF7" s="19">
        <f>'IMS DATA'!AF21+'IMS DATA'!AF22+('IMS DATA'!AF23)*57%+'IMS DATA'!AF24</f>
        <v>362826.19540000038</v>
      </c>
    </row>
    <row r="8" spans="1:35" x14ac:dyDescent="0.25">
      <c r="A8" s="103" t="s">
        <v>25</v>
      </c>
      <c r="B8" s="19">
        <f>'IMS DATA'!B30+'IMS DATA'!B31+'IMS DATA'!B33+'IMS DATA'!B37+'IMS DATA'!B13+'IMS DATA'!B14+('IMS DATA'!B23)*43%+'IMS DATA'!B15+'IMS DATA'!B34+'IMS DATA'!B35+'IMS DATA'!B36</f>
        <v>61873.284900000646</v>
      </c>
      <c r="C8" s="19">
        <f>'IMS DATA'!C30+'IMS DATA'!C31+'IMS DATA'!C33+'IMS DATA'!C37+'IMS DATA'!C13+'IMS DATA'!C14+('IMS DATA'!C23)*43%+'IMS DATA'!C15+'IMS DATA'!C34+'IMS DATA'!C35+'IMS DATA'!C36</f>
        <v>57627.241800000578</v>
      </c>
      <c r="D8" s="19">
        <f>'IMS DATA'!D30+'IMS DATA'!D31+'IMS DATA'!D33+'IMS DATA'!D37+'IMS DATA'!D13+'IMS DATA'!D14+('IMS DATA'!D23)*43%+'IMS DATA'!D15+'IMS DATA'!D34+'IMS DATA'!D35+'IMS DATA'!D36</f>
        <v>48596.430500002592</v>
      </c>
      <c r="E8" s="19">
        <f>'IMS DATA'!E30+'IMS DATA'!E31+'IMS DATA'!E33+'IMS DATA'!E37+'IMS DATA'!E13+'IMS DATA'!E14+('IMS DATA'!E23)*43%+'IMS DATA'!E15+'IMS DATA'!E34+'IMS DATA'!E35+'IMS DATA'!E36</f>
        <v>57125.919799998512</v>
      </c>
      <c r="F8" s="19">
        <f>'IMS DATA'!F30+'IMS DATA'!F31+'IMS DATA'!F33+'IMS DATA'!F37+'IMS DATA'!F13+'IMS DATA'!F14+('IMS DATA'!F23)*43%+'IMS DATA'!F15+'IMS DATA'!F34+'IMS DATA'!F35+'IMS DATA'!F36</f>
        <v>59192.178600003281</v>
      </c>
      <c r="G8" s="19">
        <f>'IMS DATA'!G30+'IMS DATA'!G31+'IMS DATA'!G33+'IMS DATA'!G37+'IMS DATA'!G13+'IMS DATA'!G14+('IMS DATA'!G23)*43%+'IMS DATA'!G15+'IMS DATA'!G34+'IMS DATA'!G35+'IMS DATA'!G36</f>
        <v>53826.468299996843</v>
      </c>
      <c r="H8" s="19">
        <f>'IMS DATA'!H30+'IMS DATA'!H31+'IMS DATA'!H33+'IMS DATA'!H37+'IMS DATA'!H13+'IMS DATA'!H14+('IMS DATA'!H23)*43%+'IMS DATA'!H15+'IMS DATA'!H34+'IMS DATA'!H35+'IMS DATA'!H36</f>
        <v>53978.644499998918</v>
      </c>
      <c r="I8" s="19">
        <f>'IMS DATA'!I30+'IMS DATA'!I31+'IMS DATA'!I33+'IMS DATA'!I37+'IMS DATA'!I13+'IMS DATA'!I14+('IMS DATA'!I23)*43%+'IMS DATA'!I15+'IMS DATA'!I34+'IMS DATA'!I35+'IMS DATA'!I36</f>
        <v>52258.344000001787</v>
      </c>
      <c r="J8" s="19">
        <f>'IMS DATA'!J30+'IMS DATA'!J31+'IMS DATA'!J33+'IMS DATA'!J37+'IMS DATA'!J13+'IMS DATA'!J14+('IMS DATA'!J23)*43%+'IMS DATA'!J15+'IMS DATA'!J34+'IMS DATA'!J35+'IMS DATA'!J36</f>
        <v>50959.876300000069</v>
      </c>
      <c r="K8" s="19">
        <f>'IMS DATA'!K30+'IMS DATA'!K31+'IMS DATA'!K33+'IMS DATA'!K37+'IMS DATA'!K13+'IMS DATA'!K14+('IMS DATA'!K23)*43%+'IMS DATA'!K15+'IMS DATA'!K34+'IMS DATA'!K35+'IMS DATA'!K36</f>
        <v>51669.227699999974</v>
      </c>
      <c r="L8" s="19">
        <f>'IMS DATA'!L30+'IMS DATA'!L31+'IMS DATA'!L33+'IMS DATA'!L37+'IMS DATA'!L13+'IMS DATA'!L14+('IMS DATA'!L23)*43%+'IMS DATA'!L15+'IMS DATA'!L34+'IMS DATA'!L35+'IMS DATA'!L36</f>
        <v>48676.351600000286</v>
      </c>
      <c r="M8" s="19">
        <f>'IMS DATA'!M30+'IMS DATA'!M31+'IMS DATA'!M33+'IMS DATA'!M37+'IMS DATA'!M13+'IMS DATA'!M14+('IMS DATA'!M23)*43%+'IMS DATA'!M15+'IMS DATA'!M34+'IMS DATA'!M35+'IMS DATA'!M36</f>
        <v>52513.411199999136</v>
      </c>
      <c r="N8" s="19">
        <f>'IMS DATA'!N30+'IMS DATA'!N31+'IMS DATA'!N33+'IMS DATA'!N37+'IMS DATA'!N13+'IMS DATA'!N14+('IMS DATA'!N23)*43%+'IMS DATA'!N15+'IMS DATA'!N34+'IMS DATA'!N35+'IMS DATA'!N36</f>
        <v>48614.270000001583</v>
      </c>
      <c r="O8" s="19">
        <f>'IMS DATA'!O30+'IMS DATA'!O31+'IMS DATA'!O33+'IMS DATA'!O37+'IMS DATA'!O13+'IMS DATA'!O14+('IMS DATA'!O23)*43%+'IMS DATA'!O15+'IMS DATA'!O34+'IMS DATA'!O35+'IMS DATA'!O36</f>
        <v>49642.820300001324</v>
      </c>
      <c r="P8" s="19">
        <f>'IMS DATA'!P30+'IMS DATA'!P31+'IMS DATA'!P33+'IMS DATA'!P37+'IMS DATA'!P13+'IMS DATA'!P14+('IMS DATA'!P23)*43%+'IMS DATA'!P15+'IMS DATA'!P34+'IMS DATA'!P35+'IMS DATA'!P36</f>
        <v>51883.779699994731</v>
      </c>
      <c r="Q8" s="19">
        <f>'IMS DATA'!Q30+'IMS DATA'!Q31+'IMS DATA'!Q33+'IMS DATA'!Q37+'IMS DATA'!Q13+'IMS DATA'!Q14+('IMS DATA'!Q23)*43%+'IMS DATA'!Q15+'IMS DATA'!Q34+'IMS DATA'!Q35+'IMS DATA'!Q36</f>
        <v>50831.643100002795</v>
      </c>
      <c r="R8" s="19">
        <f>'IMS DATA'!R30+'IMS DATA'!R31+'IMS DATA'!R33+'IMS DATA'!R37+'IMS DATA'!R13+'IMS DATA'!R14+('IMS DATA'!R23)*43%+'IMS DATA'!R15+'IMS DATA'!R34+'IMS DATA'!R35+'IMS DATA'!R36</f>
        <v>53856.406000001254</v>
      </c>
      <c r="S8" s="19">
        <f>'IMS DATA'!S30+'IMS DATA'!S31+'IMS DATA'!S33+'IMS DATA'!S37+'IMS DATA'!S13+'IMS DATA'!S14+('IMS DATA'!S23)*43%+'IMS DATA'!S15+'IMS DATA'!S34+'IMS DATA'!S35+'IMS DATA'!S36</f>
        <v>52866.020399996785</v>
      </c>
      <c r="T8" s="19">
        <f>'IMS DATA'!T30+'IMS DATA'!T31+'IMS DATA'!T33+'IMS DATA'!T37+'IMS DATA'!T13+'IMS DATA'!T14+('IMS DATA'!T23)*43%+'IMS DATA'!T15+'IMS DATA'!T34+'IMS DATA'!T35+'IMS DATA'!T36</f>
        <v>52484.842300002638</v>
      </c>
      <c r="U8" s="19">
        <f>'IMS DATA'!U30+'IMS DATA'!U31+'IMS DATA'!U33+'IMS DATA'!U37+'IMS DATA'!U13+'IMS DATA'!U14+('IMS DATA'!U23)*43%+'IMS DATA'!U15+'IMS DATA'!U34+'IMS DATA'!U35+'IMS DATA'!U36</f>
        <v>52600.648999997997</v>
      </c>
      <c r="V8" s="19">
        <f>'IMS DATA'!V30+'IMS DATA'!V31+'IMS DATA'!V33+'IMS DATA'!V37+'IMS DATA'!V13+'IMS DATA'!V14+('IMS DATA'!V23)*43%+'IMS DATA'!V15+'IMS DATA'!V34+'IMS DATA'!V35+'IMS DATA'!V36</f>
        <v>45581.450700003239</v>
      </c>
      <c r="W8" s="19">
        <f>'IMS DATA'!W30+'IMS DATA'!W31+'IMS DATA'!W33+'IMS DATA'!W37+'IMS DATA'!W13+'IMS DATA'!W14+('IMS DATA'!W23)*43%+'IMS DATA'!W15+'IMS DATA'!W34+'IMS DATA'!W35+'IMS DATA'!W36</f>
        <v>43246.4989999971</v>
      </c>
      <c r="X8" s="19">
        <f>'IMS DATA'!X30+'IMS DATA'!X31+'IMS DATA'!X33+'IMS DATA'!X37+'IMS DATA'!X13+'IMS DATA'!X14+('IMS DATA'!X23)*43%+'IMS DATA'!X15+'IMS DATA'!X34+'IMS DATA'!X35+'IMS DATA'!X36</f>
        <v>16227.684600002702</v>
      </c>
      <c r="Y8" s="19">
        <f>'IMS DATA'!Y30+'IMS DATA'!Y31+'IMS DATA'!Y33+'IMS DATA'!Y37+'IMS DATA'!Y13+'IMS DATA'!Y14+('IMS DATA'!Y23)*43%+'IMS DATA'!Y15+'IMS DATA'!Y34+'IMS DATA'!Y35+'IMS DATA'!Y36</f>
        <v>32706.123599998533</v>
      </c>
      <c r="Z8" s="19">
        <f>'IMS DATA'!Z30+'IMS DATA'!Z31+'IMS DATA'!Z33+'IMS DATA'!Z37+'IMS DATA'!Z13+'IMS DATA'!Z14+('IMS DATA'!Z23)*43%+'IMS DATA'!Z15+'IMS DATA'!Z34+'IMS DATA'!Z35+'IMS DATA'!Z36</f>
        <v>54700.076400000784</v>
      </c>
      <c r="AA8" s="19">
        <f>'IMS DATA'!AA30+'IMS DATA'!AA31+'IMS DATA'!AA33+'IMS DATA'!AA37+'IMS DATA'!AA13+'IMS DATA'!AA14+('IMS DATA'!AA23)*43%+'IMS DATA'!AA15+'IMS DATA'!AA34+'IMS DATA'!AA35+'IMS DATA'!AA36</f>
        <v>54711.664699999157</v>
      </c>
      <c r="AB8" s="19">
        <f>'IMS DATA'!AB30+'IMS DATA'!AB31+'IMS DATA'!AB33+'IMS DATA'!AB37+'IMS DATA'!AB13+'IMS DATA'!AB14+('IMS DATA'!AB23)*43%+'IMS DATA'!AB15+'IMS DATA'!AB34+'IMS DATA'!AB35+'IMS DATA'!AB36</f>
        <v>52711.594999999135</v>
      </c>
      <c r="AC8" s="19">
        <f>'IMS DATA'!AC30+'IMS DATA'!AC31+'IMS DATA'!AC33+'IMS DATA'!AC37+'IMS DATA'!AC13+'IMS DATA'!AC14+('IMS DATA'!AC23)*43%+'IMS DATA'!AC15+'IMS DATA'!AC34+'IMS DATA'!AC35+'IMS DATA'!AC36</f>
        <v>51010.452300002922</v>
      </c>
      <c r="AD8" s="19">
        <f>'IMS DATA'!AD30+'IMS DATA'!AD31+'IMS DATA'!AD33+'IMS DATA'!AD37+'IMS DATA'!AD13+'IMS DATA'!AD14+('IMS DATA'!AD23)*43%+'IMS DATA'!AD15+'IMS DATA'!AD34+'IMS DATA'!AD35+'IMS DATA'!AD36</f>
        <v>56655.048399995292</v>
      </c>
      <c r="AE8" s="19">
        <f>'IMS DATA'!AE30+'IMS DATA'!AE31+'IMS DATA'!AE33+'IMS DATA'!AE37+'IMS DATA'!AE13+'IMS DATA'!AE14+('IMS DATA'!AE23)*43%+'IMS DATA'!AE15+'IMS DATA'!AE34+'IMS DATA'!AE35+'IMS DATA'!AE36</f>
        <v>31891.277900004738</v>
      </c>
      <c r="AF8" s="19">
        <f>'IMS DATA'!AF30+'IMS DATA'!AF31+'IMS DATA'!AF33+'IMS DATA'!AF37+'IMS DATA'!AF13+'IMS DATA'!AF14+('IMS DATA'!AF23)*43%+'IMS DATA'!AF15+'IMS DATA'!AF34+'IMS DATA'!AF35+'IMS DATA'!AF36</f>
        <v>1500519.6826000053</v>
      </c>
      <c r="AG8" s="8"/>
    </row>
    <row r="9" spans="1:35" x14ac:dyDescent="0.25">
      <c r="A9" s="103" t="s">
        <v>243</v>
      </c>
      <c r="B9" s="19">
        <f>'IMS DATA'!B42+'IMS DATA'!B43+'IMS DATA'!B44+'IMS DATA'!B45+'IMS DATA'!B50+0.35*('IMS DATA'!B46+'IMS DATA'!B47+'IMS DATA'!B58+'IMS DATA'!B48)</f>
        <v>32418.213000002906</v>
      </c>
      <c r="C9" s="19">
        <f>'IMS DATA'!C42+'IMS DATA'!C43+'IMS DATA'!C44+'IMS DATA'!C45+'IMS DATA'!C50+0.35*('IMS DATA'!C46+'IMS DATA'!C47+'IMS DATA'!C58+'IMS DATA'!C48)</f>
        <v>48073.746499997716</v>
      </c>
      <c r="D9" s="19">
        <f>'IMS DATA'!D42+'IMS DATA'!D43+'IMS DATA'!D44+'IMS DATA'!D45+'IMS DATA'!D50+0.35*('IMS DATA'!D46+'IMS DATA'!D47+'IMS DATA'!D58+'IMS DATA'!D48)</f>
        <v>61664.71850000073</v>
      </c>
      <c r="E9" s="19">
        <f>'IMS DATA'!E42+'IMS DATA'!E43+'IMS DATA'!E44+'IMS DATA'!E45+'IMS DATA'!E50+0.35*('IMS DATA'!E46+'IMS DATA'!E47+'IMS DATA'!E58+'IMS DATA'!E48)</f>
        <v>58514.545499999265</v>
      </c>
      <c r="F9" s="19">
        <f>'IMS DATA'!F42+'IMS DATA'!F43+'IMS DATA'!F44+'IMS DATA'!F45+'IMS DATA'!F50+0.35*('IMS DATA'!F46+'IMS DATA'!F47+'IMS DATA'!F58+'IMS DATA'!F48)</f>
        <v>61658.524000000216</v>
      </c>
      <c r="G9" s="19">
        <f>'IMS DATA'!G42+'IMS DATA'!G43+'IMS DATA'!G44+'IMS DATA'!G45+'IMS DATA'!G50+0.35*('IMS DATA'!G46+'IMS DATA'!G47+'IMS DATA'!G58+'IMS DATA'!G48)</f>
        <v>66366.476499999175</v>
      </c>
      <c r="H9" s="19">
        <f>'IMS DATA'!H42+'IMS DATA'!H43+'IMS DATA'!H44+'IMS DATA'!H45+'IMS DATA'!H50+0.35*('IMS DATA'!H46+'IMS DATA'!H47+'IMS DATA'!H58+'IMS DATA'!H48)</f>
        <v>56959.187000002537</v>
      </c>
      <c r="I9" s="19">
        <f>'IMS DATA'!I42+'IMS DATA'!I43+'IMS DATA'!I44+'IMS DATA'!I45+'IMS DATA'!I50+0.35*('IMS DATA'!I46+'IMS DATA'!I47+'IMS DATA'!I58+'IMS DATA'!I48)</f>
        <v>64286.945999999734</v>
      </c>
      <c r="J9" s="19">
        <f>'IMS DATA'!J42+'IMS DATA'!J43+'IMS DATA'!J44+'IMS DATA'!J45+'IMS DATA'!J50+0.35*('IMS DATA'!J46+'IMS DATA'!J47+'IMS DATA'!J58+'IMS DATA'!J48)</f>
        <v>64375.770499997205</v>
      </c>
      <c r="K9" s="19">
        <f>'IMS DATA'!K42+'IMS DATA'!K43+'IMS DATA'!K44+'IMS DATA'!K45+'IMS DATA'!K50+0.35*('IMS DATA'!K46+'IMS DATA'!K47+'IMS DATA'!K58+'IMS DATA'!K48)</f>
        <v>60567.759500003507</v>
      </c>
      <c r="L9" s="19">
        <f>'IMS DATA'!L42+'IMS DATA'!L43+'IMS DATA'!L44+'IMS DATA'!L45+'IMS DATA'!L50+0.35*('IMS DATA'!L46+'IMS DATA'!L47+'IMS DATA'!L58+'IMS DATA'!L48)</f>
        <v>64482.82949999821</v>
      </c>
      <c r="M9" s="19">
        <f>'IMS DATA'!M42+'IMS DATA'!M43+'IMS DATA'!M44+'IMS DATA'!M45+'IMS DATA'!M50+0.35*('IMS DATA'!M46+'IMS DATA'!M47+'IMS DATA'!M58+'IMS DATA'!M48)</f>
        <v>56052.159000000196</v>
      </c>
      <c r="N9" s="19">
        <f>'IMS DATA'!N42+'IMS DATA'!N43+'IMS DATA'!N44+'IMS DATA'!N45+'IMS DATA'!N50+0.35*('IMS DATA'!N46+'IMS DATA'!N47+'IMS DATA'!N58+'IMS DATA'!N48)</f>
        <v>64681.881000001864</v>
      </c>
      <c r="O9" s="19">
        <f>'IMS DATA'!O42+'IMS DATA'!O43+'IMS DATA'!O44+'IMS DATA'!O45+'IMS DATA'!O50+0.35*('IMS DATA'!O46+'IMS DATA'!O47+'IMS DATA'!O58+'IMS DATA'!O48)</f>
        <v>57662.368499998905</v>
      </c>
      <c r="P9" s="19">
        <f>'IMS DATA'!P42+'IMS DATA'!P43+'IMS DATA'!P44+'IMS DATA'!P45+'IMS DATA'!P50+0.35*('IMS DATA'!P46+'IMS DATA'!P47+'IMS DATA'!P58+'IMS DATA'!P48)</f>
        <v>50453.654499999036</v>
      </c>
      <c r="Q9" s="19">
        <f>'IMS DATA'!Q42+'IMS DATA'!Q43+'IMS DATA'!Q44+'IMS DATA'!Q45+'IMS DATA'!Q50+0.35*('IMS DATA'!Q46+'IMS DATA'!Q47+'IMS DATA'!Q58+'IMS DATA'!Q48)</f>
        <v>65194.444500002202</v>
      </c>
      <c r="R9" s="19">
        <f>'IMS DATA'!R42+'IMS DATA'!R43+'IMS DATA'!R44+'IMS DATA'!R45+'IMS DATA'!R50+0.35*('IMS DATA'!R46+'IMS DATA'!R47+'IMS DATA'!R58+'IMS DATA'!R48)</f>
        <v>62921.914500000305</v>
      </c>
      <c r="S9" s="19">
        <f>'IMS DATA'!S42+'IMS DATA'!S43+'IMS DATA'!S44+'IMS DATA'!S45+'IMS DATA'!S50+0.35*('IMS DATA'!S46+'IMS DATA'!S47+'IMS DATA'!S58+'IMS DATA'!S48)</f>
        <v>65706.591499997769</v>
      </c>
      <c r="T9" s="19">
        <f>'IMS DATA'!T42+'IMS DATA'!T43+'IMS DATA'!T44+'IMS DATA'!T45+'IMS DATA'!T50+0.35*('IMS DATA'!T46+'IMS DATA'!T47+'IMS DATA'!T58+'IMS DATA'!T48)</f>
        <v>64812.395500000282</v>
      </c>
      <c r="U9" s="19">
        <f>'IMS DATA'!U42+'IMS DATA'!U43+'IMS DATA'!U44+'IMS DATA'!U45+'IMS DATA'!U50+0.35*('IMS DATA'!U46+'IMS DATA'!U47+'IMS DATA'!U58+'IMS DATA'!U48)</f>
        <v>65545.078000000998</v>
      </c>
      <c r="V9" s="19">
        <f>'IMS DATA'!V42+'IMS DATA'!V43+'IMS DATA'!V44+'IMS DATA'!V45+'IMS DATA'!V50+0.35*('IMS DATA'!V46+'IMS DATA'!V47+'IMS DATA'!V58+'IMS DATA'!V48)</f>
        <v>63815.84099999992</v>
      </c>
      <c r="W9" s="19">
        <f>'IMS DATA'!W42+'IMS DATA'!W43+'IMS DATA'!W44+'IMS DATA'!W45+'IMS DATA'!W50+0.35*('IMS DATA'!W46+'IMS DATA'!W47+'IMS DATA'!W58+'IMS DATA'!W48)</f>
        <v>67243.805500001166</v>
      </c>
      <c r="X9" s="19">
        <f>'IMS DATA'!X42+'IMS DATA'!X43+'IMS DATA'!X44+'IMS DATA'!X45+'IMS DATA'!X50+0.35*('IMS DATA'!X46+'IMS DATA'!X47+'IMS DATA'!X58+'IMS DATA'!X48)</f>
        <v>64150.672999997245</v>
      </c>
      <c r="Y9" s="19">
        <f>'IMS DATA'!Y42+'IMS DATA'!Y43+'IMS DATA'!Y44+'IMS DATA'!Y45+'IMS DATA'!Y50+0.35*('IMS DATA'!Y46+'IMS DATA'!Y47+'IMS DATA'!Y58+'IMS DATA'!Y48)</f>
        <v>66192.451499997464</v>
      </c>
      <c r="Z9" s="19">
        <f>'IMS DATA'!Z42+'IMS DATA'!Z43+'IMS DATA'!Z44+'IMS DATA'!Z45+'IMS DATA'!Z50+0.35*('IMS DATA'!Z46+'IMS DATA'!Z47+'IMS DATA'!Z58+'IMS DATA'!Z48)</f>
        <v>65744.201500002557</v>
      </c>
      <c r="AA9" s="19">
        <f>'IMS DATA'!AA42+'IMS DATA'!AA43+'IMS DATA'!AA44+'IMS DATA'!AA45+'IMS DATA'!AA50+0.35*('IMS DATA'!AA46+'IMS DATA'!AA47+'IMS DATA'!AA58+'IMS DATA'!AA48)</f>
        <v>63331.083500000394</v>
      </c>
      <c r="AB9" s="19">
        <f>'IMS DATA'!AB42+'IMS DATA'!AB43+'IMS DATA'!AB44+'IMS DATA'!AB45+'IMS DATA'!AB50+0.35*('IMS DATA'!AB46+'IMS DATA'!AB47+'IMS DATA'!AB58+'IMS DATA'!AB48)</f>
        <v>53599.660000000127</v>
      </c>
      <c r="AC9" s="19">
        <f>'IMS DATA'!AC42+'IMS DATA'!AC43+'IMS DATA'!AC44+'IMS DATA'!AC45+'IMS DATA'!AC50+0.35*('IMS DATA'!AC46+'IMS DATA'!AC47+'IMS DATA'!AC58+'IMS DATA'!AC48)</f>
        <v>52340.307999999706</v>
      </c>
      <c r="AD9" s="19">
        <f>'IMS DATA'!AD42+'IMS DATA'!AD43+'IMS DATA'!AD44+'IMS DATA'!AD45+'IMS DATA'!AD50+0.35*('IMS DATA'!AD46+'IMS DATA'!AD47+'IMS DATA'!AD58+'IMS DATA'!AD48)</f>
        <v>56079.999999999804</v>
      </c>
      <c r="AE9" s="19">
        <f>'IMS DATA'!AE42+'IMS DATA'!AE43+'IMS DATA'!AE44+'IMS DATA'!AE45+'IMS DATA'!AE50+0.35*('IMS DATA'!AE46+'IMS DATA'!AE47+'IMS DATA'!AE58+'IMS DATA'!AE48)</f>
        <v>57541.825999997352</v>
      </c>
      <c r="AF9" s="19">
        <f>'IMS DATA'!AF42+'IMS DATA'!AF43+'IMS DATA'!AF44+'IMS DATA'!AF45+'IMS DATA'!AF50+0.35*('IMS DATA'!AF46+'IMS DATA'!AF47+'IMS DATA'!AF58+'IMS DATA'!AF48)</f>
        <v>1802439.053499999</v>
      </c>
    </row>
    <row r="10" spans="1:35" x14ac:dyDescent="0.25">
      <c r="A10" s="103" t="s">
        <v>242</v>
      </c>
      <c r="B10" s="19">
        <f>'IMS DATA'!B54+'IMS DATA'!B55+'IMS DATA'!B56+'IMS DATA'!B57+'IMS DATA'!B60+0.35*('IMS DATA'!B46+'IMS DATA'!B47+'IMS DATA'!B48+'IMS DATA'!B58)</f>
        <v>50505.562999997281</v>
      </c>
      <c r="C10" s="19">
        <f>'IMS DATA'!C54+'IMS DATA'!C55+'IMS DATA'!C56+'IMS DATA'!C57+'IMS DATA'!C60+0.35*('IMS DATA'!C46+'IMS DATA'!C47+'IMS DATA'!C48+'IMS DATA'!C58)</f>
        <v>42800.856500000948</v>
      </c>
      <c r="D10" s="19">
        <f>'IMS DATA'!D54+'IMS DATA'!D55+'IMS DATA'!D56+'IMS DATA'!D57+'IMS DATA'!D60+0.35*('IMS DATA'!D46+'IMS DATA'!D47+'IMS DATA'!D48+'IMS DATA'!D58)</f>
        <v>51942.688500000877</v>
      </c>
      <c r="E10" s="19">
        <f>'IMS DATA'!E54+'IMS DATA'!E55+'IMS DATA'!E56+'IMS DATA'!E57+'IMS DATA'!E60+0.35*('IMS DATA'!E46+'IMS DATA'!E47+'IMS DATA'!E48+'IMS DATA'!E58)</f>
        <v>45379.185499999221</v>
      </c>
      <c r="F10" s="19">
        <f>'IMS DATA'!F54+'IMS DATA'!F55+'IMS DATA'!F56+'IMS DATA'!F57+'IMS DATA'!F60+0.35*('IMS DATA'!F46+'IMS DATA'!F47+'IMS DATA'!F48+'IMS DATA'!F58)</f>
        <v>34290.83400000196</v>
      </c>
      <c r="G10" s="19">
        <f>'IMS DATA'!G54+'IMS DATA'!G55+'IMS DATA'!G56+'IMS DATA'!G57+'IMS DATA'!G60+0.35*('IMS DATA'!G46+'IMS DATA'!G47+'IMS DATA'!G48+'IMS DATA'!G58)</f>
        <v>28501.866500000026</v>
      </c>
      <c r="H10" s="19">
        <f>'IMS DATA'!H54+'IMS DATA'!H55+'IMS DATA'!H56+'IMS DATA'!H57+'IMS DATA'!H60+0.35*('IMS DATA'!H46+'IMS DATA'!H47+'IMS DATA'!H48+'IMS DATA'!H58)</f>
        <v>3328.9069999999133</v>
      </c>
      <c r="I10" s="19">
        <f>'IMS DATA'!I54+'IMS DATA'!I55+'IMS DATA'!I56+'IMS DATA'!I57+'IMS DATA'!I60+0.35*('IMS DATA'!I46+'IMS DATA'!I47+'IMS DATA'!I48+'IMS DATA'!I58)</f>
        <v>3059.6560000000754</v>
      </c>
      <c r="J10" s="19">
        <f>'IMS DATA'!J54+'IMS DATA'!J55+'IMS DATA'!J56+'IMS DATA'!J57+'IMS DATA'!J60+0.35*('IMS DATA'!J46+'IMS DATA'!J47+'IMS DATA'!J48+'IMS DATA'!J58)</f>
        <v>6535.1104999998452</v>
      </c>
      <c r="K10" s="19">
        <f>'IMS DATA'!K54+'IMS DATA'!K55+'IMS DATA'!K56+'IMS DATA'!K57+'IMS DATA'!K60+0.35*('IMS DATA'!K46+'IMS DATA'!K47+'IMS DATA'!K48+'IMS DATA'!K58)</f>
        <v>43703.379499999501</v>
      </c>
      <c r="L10" s="19">
        <f>'IMS DATA'!L54+'IMS DATA'!L55+'IMS DATA'!L56+'IMS DATA'!L57+'IMS DATA'!L60+0.35*('IMS DATA'!L46+'IMS DATA'!L47+'IMS DATA'!L48+'IMS DATA'!L58)</f>
        <v>49982.509499997526</v>
      </c>
      <c r="M10" s="19">
        <f>'IMS DATA'!M54+'IMS DATA'!M55+'IMS DATA'!M56+'IMS DATA'!M57+'IMS DATA'!M60+0.35*('IMS DATA'!M46+'IMS DATA'!M47+'IMS DATA'!M48+'IMS DATA'!M58)</f>
        <v>49314.179000001837</v>
      </c>
      <c r="N10" s="19">
        <f>'IMS DATA'!N54+'IMS DATA'!N55+'IMS DATA'!N56+'IMS DATA'!N57+'IMS DATA'!N60+0.35*('IMS DATA'!N46+'IMS DATA'!N47+'IMS DATA'!N48+'IMS DATA'!N58)</f>
        <v>48198.801000001789</v>
      </c>
      <c r="O10" s="19">
        <f>'IMS DATA'!O54+'IMS DATA'!O55+'IMS DATA'!O56+'IMS DATA'!O57+'IMS DATA'!O60+0.35*('IMS DATA'!O46+'IMS DATA'!O47+'IMS DATA'!O48+'IMS DATA'!O58)</f>
        <v>45660.218499999901</v>
      </c>
      <c r="P10" s="19">
        <f>'IMS DATA'!P54+'IMS DATA'!P55+'IMS DATA'!P56+'IMS DATA'!P57+'IMS DATA'!P60+0.35*('IMS DATA'!P46+'IMS DATA'!P47+'IMS DATA'!P48+'IMS DATA'!P58)</f>
        <v>46446.654499999153</v>
      </c>
      <c r="Q10" s="19">
        <f>'IMS DATA'!Q54+'IMS DATA'!Q55+'IMS DATA'!Q56+'IMS DATA'!Q57+'IMS DATA'!Q60+0.35*('IMS DATA'!Q46+'IMS DATA'!Q47+'IMS DATA'!Q48+'IMS DATA'!Q58)</f>
        <v>50417.484499998085</v>
      </c>
      <c r="R10" s="19">
        <f>'IMS DATA'!R54+'IMS DATA'!R55+'IMS DATA'!R56+'IMS DATA'!R57+'IMS DATA'!R60+0.35*('IMS DATA'!R46+'IMS DATA'!R47+'IMS DATA'!R48+'IMS DATA'!R58)</f>
        <v>47121.624500001628</v>
      </c>
      <c r="S10" s="19">
        <f>'IMS DATA'!S54+'IMS DATA'!S55+'IMS DATA'!S56+'IMS DATA'!S57+'IMS DATA'!S60+0.35*('IMS DATA'!S46+'IMS DATA'!S47+'IMS DATA'!S48+'IMS DATA'!S58)</f>
        <v>46605.951499997835</v>
      </c>
      <c r="T10" s="19">
        <f>'IMS DATA'!T54+'IMS DATA'!T55+'IMS DATA'!T56+'IMS DATA'!T57+'IMS DATA'!T60+0.35*('IMS DATA'!T46+'IMS DATA'!T47+'IMS DATA'!T48+'IMS DATA'!T58)</f>
        <v>52051.805500002447</v>
      </c>
      <c r="U10" s="19">
        <f>'IMS DATA'!U54+'IMS DATA'!U55+'IMS DATA'!U56+'IMS DATA'!U57+'IMS DATA'!U60+0.35*('IMS DATA'!U46+'IMS DATA'!U47+'IMS DATA'!U48+'IMS DATA'!U58)</f>
        <v>51655.367999998562</v>
      </c>
      <c r="V10" s="19">
        <f>'IMS DATA'!V54+'IMS DATA'!V55+'IMS DATA'!V56+'IMS DATA'!V57+'IMS DATA'!V60+0.35*('IMS DATA'!V46+'IMS DATA'!V47+'IMS DATA'!V48+'IMS DATA'!V58)</f>
        <v>50397.451000001893</v>
      </c>
      <c r="W10" s="19">
        <f>'IMS DATA'!W54+'IMS DATA'!W55+'IMS DATA'!W56+'IMS DATA'!W57+'IMS DATA'!W60+0.35*('IMS DATA'!W46+'IMS DATA'!W47+'IMS DATA'!W48+'IMS DATA'!W58)</f>
        <v>53024.695499997972</v>
      </c>
      <c r="X10" s="19">
        <f>'IMS DATA'!X54+'IMS DATA'!X55+'IMS DATA'!X56+'IMS DATA'!X57+'IMS DATA'!X60+0.35*('IMS DATA'!X46+'IMS DATA'!X47+'IMS DATA'!X48+'IMS DATA'!X58)</f>
        <v>51468.423000001778</v>
      </c>
      <c r="Y10" s="19">
        <f>'IMS DATA'!Y54+'IMS DATA'!Y55+'IMS DATA'!Y56+'IMS DATA'!Y57+'IMS DATA'!Y60+0.35*('IMS DATA'!Y46+'IMS DATA'!Y47+'IMS DATA'!Y48+'IMS DATA'!Y58)</f>
        <v>52160.59149999659</v>
      </c>
      <c r="Z10" s="19">
        <f>'IMS DATA'!Z54+'IMS DATA'!Z55+'IMS DATA'!Z56+'IMS DATA'!Z57+'IMS DATA'!Z60+0.35*('IMS DATA'!Z46+'IMS DATA'!Z47+'IMS DATA'!Z48+'IMS DATA'!Z58)</f>
        <v>50262.031500004494</v>
      </c>
      <c r="AA10" s="19">
        <f>'IMS DATA'!AA54+'IMS DATA'!AA55+'IMS DATA'!AA56+'IMS DATA'!AA57+'IMS DATA'!AA60+0.35*('IMS DATA'!AA46+'IMS DATA'!AA47+'IMS DATA'!AA48+'IMS DATA'!AA58)</f>
        <v>50551.993499997203</v>
      </c>
      <c r="AB10" s="19">
        <f>'IMS DATA'!AB54+'IMS DATA'!AB55+'IMS DATA'!AB56+'IMS DATA'!AB57+'IMS DATA'!AB60+0.35*('IMS DATA'!AB46+'IMS DATA'!AB47+'IMS DATA'!AB48+'IMS DATA'!AB58)</f>
        <v>46453.460000000785</v>
      </c>
      <c r="AC10" s="19">
        <f>'IMS DATA'!AC54+'IMS DATA'!AC55+'IMS DATA'!AC56+'IMS DATA'!AC57+'IMS DATA'!AC60+0.35*('IMS DATA'!AC46+'IMS DATA'!AC47+'IMS DATA'!AC48+'IMS DATA'!AC58)</f>
        <v>50813.088000001619</v>
      </c>
      <c r="AD10" s="19">
        <f>'IMS DATA'!AD54+'IMS DATA'!AD55+'IMS DATA'!AD56+'IMS DATA'!AD57+'IMS DATA'!AD60+0.35*('IMS DATA'!AD46+'IMS DATA'!AD47+'IMS DATA'!AD48+'IMS DATA'!AD58)</f>
        <v>45523.349999998136</v>
      </c>
      <c r="AE10" s="19">
        <f>'IMS DATA'!AE54+'IMS DATA'!AE55+'IMS DATA'!AE56+'IMS DATA'!AE57+'IMS DATA'!AE60+0.35*('IMS DATA'!AE46+'IMS DATA'!AE47+'IMS DATA'!AE48+'IMS DATA'!AE58)</f>
        <v>43484.816000000901</v>
      </c>
      <c r="AF10" s="19">
        <f>'IMS DATA'!AF54+'IMS DATA'!AF55+'IMS DATA'!AF56+'IMS DATA'!AF57+'IMS DATA'!AF60+0.35*('IMS DATA'!AF46+'IMS DATA'!AF47+'IMS DATA'!AF48+'IMS DATA'!AF58)</f>
        <v>1291642.5434999999</v>
      </c>
    </row>
    <row r="11" spans="1:35" x14ac:dyDescent="0.25">
      <c r="A11" s="103" t="s">
        <v>244</v>
      </c>
      <c r="B11" s="19">
        <f>'IMS DATA'!B64-'IMS DATA'!B65+0.15*('IMS DATA'!B46+'IMS DATA'!B47+'IMS DATA'!B48+'IMS DATA'!B58)</f>
        <v>3094.8869999999065</v>
      </c>
      <c r="C11" s="19">
        <f>'IMS DATA'!C64-'IMS DATA'!C65+0.15*('IMS DATA'!C46+'IMS DATA'!C47+'IMS DATA'!C48+'IMS DATA'!C58)</f>
        <v>2615.8184999989694</v>
      </c>
      <c r="D11" s="19">
        <f>'IMS DATA'!D64-'IMS DATA'!D65+0.15*('IMS DATA'!D46+'IMS DATA'!D47+'IMS DATA'!D48+'IMS DATA'!D58)</f>
        <v>2805.476500001304</v>
      </c>
      <c r="E11" s="19">
        <f>'IMS DATA'!E64-'IMS DATA'!E65+0.15*('IMS DATA'!E46+'IMS DATA'!E47+'IMS DATA'!E48+'IMS DATA'!E58)</f>
        <v>3160.0694999990183</v>
      </c>
      <c r="F11" s="19">
        <f>'IMS DATA'!F64-'IMS DATA'!F65+0.15*('IMS DATA'!F46+'IMS DATA'!F47+'IMS DATA'!F48+'IMS DATA'!F58)</f>
        <v>3015.4560000015977</v>
      </c>
      <c r="G11" s="19">
        <f>'IMS DATA'!G64-'IMS DATA'!G65+0.15*('IMS DATA'!G46+'IMS DATA'!G47+'IMS DATA'!G48+'IMS DATA'!G58)</f>
        <v>3267.5184999982184</v>
      </c>
      <c r="H11" s="19">
        <f>'IMS DATA'!H64-'IMS DATA'!H65+0.15*('IMS DATA'!H46+'IMS DATA'!H47+'IMS DATA'!H48+'IMS DATA'!H58)</f>
        <v>3275.2230000013938</v>
      </c>
      <c r="I11" s="19">
        <f>'IMS DATA'!I64-'IMS DATA'!I65+0.15*('IMS DATA'!I46+'IMS DATA'!I47+'IMS DATA'!I48+'IMS DATA'!I58)</f>
        <v>2952.0439999999653</v>
      </c>
      <c r="J11" s="19">
        <f>'IMS DATA'!J64-'IMS DATA'!J65+0.15*('IMS DATA'!J46+'IMS DATA'!J47+'IMS DATA'!J48+'IMS DATA'!J58)</f>
        <v>2427.0744999994859</v>
      </c>
      <c r="K11" s="19">
        <f>'IMS DATA'!K64-'IMS DATA'!K65+0.15*('IMS DATA'!K46+'IMS DATA'!K47+'IMS DATA'!K48+'IMS DATA'!K58)</f>
        <v>2550.2454999992465</v>
      </c>
      <c r="L11" s="19">
        <f>'IMS DATA'!L64-'IMS DATA'!L65+0.15*('IMS DATA'!L46+'IMS DATA'!L47+'IMS DATA'!L48+'IMS DATA'!L58)</f>
        <v>3216.5255000015868</v>
      </c>
      <c r="M11" s="19">
        <f>'IMS DATA'!M64-'IMS DATA'!M65+0.15*('IMS DATA'!M46+'IMS DATA'!M47+'IMS DATA'!M48+'IMS DATA'!M58)</f>
        <v>3164.8809999985415</v>
      </c>
      <c r="N11" s="19">
        <f>'IMS DATA'!N64-'IMS DATA'!N65+0.15*('IMS DATA'!N46+'IMS DATA'!N47+'IMS DATA'!N48+'IMS DATA'!N58)</f>
        <v>3431.9790000012827</v>
      </c>
      <c r="O11" s="19">
        <f>'IMS DATA'!O64-'IMS DATA'!O65+0.15*('IMS DATA'!O46+'IMS DATA'!O47+'IMS DATA'!O48+'IMS DATA'!O58)</f>
        <v>2685.0464999986375</v>
      </c>
      <c r="P11" s="19">
        <f>'IMS DATA'!P64-'IMS DATA'!P65+0.15*('IMS DATA'!P46+'IMS DATA'!P47+'IMS DATA'!P48+'IMS DATA'!P58)</f>
        <v>2899.8005000009434</v>
      </c>
      <c r="Q11" s="19">
        <f>'IMS DATA'!Q64-'IMS DATA'!Q65+0.15*('IMS DATA'!Q46+'IMS DATA'!Q47+'IMS DATA'!Q48+'IMS DATA'!Q58)</f>
        <v>2657.3804999998947</v>
      </c>
      <c r="R11" s="19">
        <f>'IMS DATA'!R64-'IMS DATA'!R65+0.15*('IMS DATA'!R46+'IMS DATA'!R47+'IMS DATA'!R48+'IMS DATA'!R58)</f>
        <v>3038.7404999991804</v>
      </c>
      <c r="S11" s="19">
        <f>'IMS DATA'!S64-'IMS DATA'!S65+0.15*('IMS DATA'!S46+'IMS DATA'!S47+'IMS DATA'!S48+'IMS DATA'!S58)</f>
        <v>3044.5835000015418</v>
      </c>
      <c r="T11" s="19">
        <f>'IMS DATA'!T64-'IMS DATA'!T65+0.15*('IMS DATA'!T46+'IMS DATA'!T47+'IMS DATA'!T48+'IMS DATA'!T58)</f>
        <v>3412.0794999992445</v>
      </c>
      <c r="U11" s="19">
        <f>'IMS DATA'!U64-'IMS DATA'!U65+0.15*('IMS DATA'!U46+'IMS DATA'!U47+'IMS DATA'!U48+'IMS DATA'!U58)</f>
        <v>3325.5120000006514</v>
      </c>
      <c r="V11" s="19">
        <f>'IMS DATA'!V64-'IMS DATA'!V65+0.15*('IMS DATA'!V46+'IMS DATA'!V47+'IMS DATA'!V48+'IMS DATA'!V58)</f>
        <v>3358.2589999995953</v>
      </c>
      <c r="W11" s="19">
        <f>'IMS DATA'!W64-'IMS DATA'!W65+0.15*('IMS DATA'!W46+'IMS DATA'!W47+'IMS DATA'!W48+'IMS DATA'!W58)</f>
        <v>3263.7794999989419</v>
      </c>
      <c r="X11" s="19">
        <f>'IMS DATA'!X64-'IMS DATA'!X65+0.15*('IMS DATA'!X46+'IMS DATA'!X47+'IMS DATA'!X48+'IMS DATA'!X58)</f>
        <v>3150.8770000001182</v>
      </c>
      <c r="Y11" s="19">
        <f>'IMS DATA'!Y64-'IMS DATA'!Y65+0.15*('IMS DATA'!Y46+'IMS DATA'!Y47+'IMS DATA'!Y48+'IMS DATA'!Y58)</f>
        <v>3019.0235000005923</v>
      </c>
      <c r="Z11" s="19">
        <f>'IMS DATA'!Z64-'IMS DATA'!Z65+0.15*('IMS DATA'!Z46+'IMS DATA'!Z47+'IMS DATA'!Z48+'IMS DATA'!Z58)</f>
        <v>3412.1935000007811</v>
      </c>
      <c r="AA11" s="19">
        <f>'IMS DATA'!AA64-'IMS DATA'!AA65+0.15*('IMS DATA'!AA46+'IMS DATA'!AA47+'IMS DATA'!AA48+'IMS DATA'!AA58)</f>
        <v>3189.2114999996875</v>
      </c>
      <c r="AB11" s="19">
        <f>'IMS DATA'!AB64-'IMS DATA'!AB65+0.15*('IMS DATA'!AB46+'IMS DATA'!AB47+'IMS DATA'!AB48+'IMS DATA'!AB58)</f>
        <v>3109.7100000001824</v>
      </c>
      <c r="AC11" s="19">
        <f>'IMS DATA'!AC64-'IMS DATA'!AC65+0.15*('IMS DATA'!AC46+'IMS DATA'!AC47+'IMS DATA'!AC48+'IMS DATA'!AC58)</f>
        <v>3273.7219999991166</v>
      </c>
      <c r="AD11" s="19">
        <f>'IMS DATA'!AD64-'IMS DATA'!AD65+0.15*('IMS DATA'!AD46+'IMS DATA'!AD47+'IMS DATA'!AD48+'IMS DATA'!AD58)</f>
        <v>3230.9200000010269</v>
      </c>
      <c r="AE11" s="19">
        <f>'IMS DATA'!AE64-'IMS DATA'!AE65+0.15*('IMS DATA'!AE46+'IMS DATA'!AE47+'IMS DATA'!AE48+'IMS DATA'!AE58)</f>
        <v>3125.823999998925</v>
      </c>
      <c r="AF11" s="19">
        <f>'IMS DATA'!AF64-'IMS DATA'!AF65+0.15*('IMS DATA'!AF46+'IMS DATA'!AF47+'IMS DATA'!AF48+'IMS DATA'!AF58)</f>
        <v>92173.861499999577</v>
      </c>
    </row>
    <row r="12" spans="1:35" x14ac:dyDescent="0.25">
      <c r="A12" s="103" t="s">
        <v>245</v>
      </c>
      <c r="B12" s="19">
        <f>'IMS DATA'!B67-'IMS DATA'!B68+0.15*('IMS DATA'!B46+'IMS DATA'!B47+'IMS DATA'!B48+'IMS DATA'!B58)</f>
        <v>2789.5269999997458</v>
      </c>
      <c r="C12" s="19">
        <f>'IMS DATA'!C67-'IMS DATA'!C68+0.15*('IMS DATA'!C46+'IMS DATA'!C47+'IMS DATA'!C48+'IMS DATA'!C58)</f>
        <v>3040.9385000000125</v>
      </c>
      <c r="D12" s="19">
        <f>'IMS DATA'!D67-'IMS DATA'!D68+0.15*('IMS DATA'!D46+'IMS DATA'!D47+'IMS DATA'!D48+'IMS DATA'!D58)</f>
        <v>2923.8665000000374</v>
      </c>
      <c r="E12" s="19">
        <f>'IMS DATA'!E67-'IMS DATA'!E68+0.15*('IMS DATA'!E46+'IMS DATA'!E47+'IMS DATA'!E48+'IMS DATA'!E58)</f>
        <v>3082.0794999998425</v>
      </c>
      <c r="F12" s="19">
        <f>'IMS DATA'!F67-'IMS DATA'!F68+0.15*('IMS DATA'!F46+'IMS DATA'!F47+'IMS DATA'!F48+'IMS DATA'!F58)</f>
        <v>3037.786000000217</v>
      </c>
      <c r="G12" s="19">
        <f>'IMS DATA'!G67-'IMS DATA'!G68+0.15*('IMS DATA'!G46+'IMS DATA'!G47+'IMS DATA'!G48+'IMS DATA'!G58)</f>
        <v>2899.2285000000438</v>
      </c>
      <c r="H12" s="19">
        <f>'IMS DATA'!H67-'IMS DATA'!H68+0.15*('IMS DATA'!H46+'IMS DATA'!H47+'IMS DATA'!H48+'IMS DATA'!H58)</f>
        <v>2825.102999999885</v>
      </c>
      <c r="I12" s="19">
        <f>'IMS DATA'!I67-'IMS DATA'!I68+0.15*('IMS DATA'!I46+'IMS DATA'!I47+'IMS DATA'!I48+'IMS DATA'!I58)</f>
        <v>2622.42399999997</v>
      </c>
      <c r="J12" s="19">
        <f>'IMS DATA'!J67-'IMS DATA'!J68+0.15*('IMS DATA'!J46+'IMS DATA'!J47+'IMS DATA'!J48+'IMS DATA'!J58)</f>
        <v>2725.8844999999492</v>
      </c>
      <c r="K12" s="19">
        <f>'IMS DATA'!K67-'IMS DATA'!K68+0.15*('IMS DATA'!K46+'IMS DATA'!K47+'IMS DATA'!K48+'IMS DATA'!K58)</f>
        <v>2995.3055000001173</v>
      </c>
      <c r="L12" s="19">
        <f>'IMS DATA'!L67-'IMS DATA'!L68+0.15*('IMS DATA'!L46+'IMS DATA'!L47+'IMS DATA'!L48+'IMS DATA'!L58)</f>
        <v>3248.0754999999454</v>
      </c>
      <c r="M12" s="19">
        <f>'IMS DATA'!M67-'IMS DATA'!M68+0.15*('IMS DATA'!M46+'IMS DATA'!M47+'IMS DATA'!M48+'IMS DATA'!M58)</f>
        <v>3084.7909999999129</v>
      </c>
      <c r="N12" s="19">
        <f>'IMS DATA'!N67-'IMS DATA'!N68+0.15*('IMS DATA'!N46+'IMS DATA'!N47+'IMS DATA'!N48+'IMS DATA'!N58)</f>
        <v>3138.6290000001418</v>
      </c>
      <c r="O12" s="19">
        <f>'IMS DATA'!O67-'IMS DATA'!O68+0.15*('IMS DATA'!O46+'IMS DATA'!O47+'IMS DATA'!O48+'IMS DATA'!O58)</f>
        <v>2930.2364999999786</v>
      </c>
      <c r="P12" s="19">
        <f>'IMS DATA'!P67-'IMS DATA'!P68+0.15*('IMS DATA'!P46+'IMS DATA'!P47+'IMS DATA'!P48+'IMS DATA'!P58)</f>
        <v>2878.2805000000517</v>
      </c>
      <c r="Q12" s="19">
        <f>'IMS DATA'!Q67-'IMS DATA'!Q68+0.15*('IMS DATA'!Q46+'IMS DATA'!Q47+'IMS DATA'!Q48+'IMS DATA'!Q58)</f>
        <v>2951.3504999998668</v>
      </c>
      <c r="R12" s="19">
        <f>'IMS DATA'!R67-'IMS DATA'!R68+0.15*('IMS DATA'!R46+'IMS DATA'!R47+'IMS DATA'!R48+'IMS DATA'!R58)</f>
        <v>2819.410499999979</v>
      </c>
      <c r="S12" s="19">
        <f>'IMS DATA'!S67-'IMS DATA'!S68+0.15*('IMS DATA'!S46+'IMS DATA'!S47+'IMS DATA'!S48+'IMS DATA'!S58)</f>
        <v>3620.693500000189</v>
      </c>
      <c r="T12" s="19">
        <f>'IMS DATA'!T67-'IMS DATA'!T68+0.15*('IMS DATA'!T46+'IMS DATA'!T47+'IMS DATA'!T48+'IMS DATA'!T58)</f>
        <v>4587.059499999692</v>
      </c>
      <c r="U12" s="19">
        <f>'IMS DATA'!U67-'IMS DATA'!U68+0.15*('IMS DATA'!U46+'IMS DATA'!U47+'IMS DATA'!U48+'IMS DATA'!U58)</f>
        <v>4538.8720000001722</v>
      </c>
      <c r="V12" s="19">
        <f>'IMS DATA'!V67-'IMS DATA'!V68+0.15*('IMS DATA'!V46+'IMS DATA'!V47+'IMS DATA'!V48+'IMS DATA'!V58)</f>
        <v>4339.479000000033</v>
      </c>
      <c r="W12" s="19">
        <f>'IMS DATA'!W67-'IMS DATA'!W68+0.15*('IMS DATA'!W46+'IMS DATA'!W47+'IMS DATA'!W48+'IMS DATA'!W58)</f>
        <v>4738.869499999957</v>
      </c>
      <c r="X12" s="19">
        <f>'IMS DATA'!X67-'IMS DATA'!X68+0.15*('IMS DATA'!X46+'IMS DATA'!X47+'IMS DATA'!X48+'IMS DATA'!X58)</f>
        <v>4520.4669999999696</v>
      </c>
      <c r="Y12" s="19">
        <f>'IMS DATA'!Y67-'IMS DATA'!Y68+0.15*('IMS DATA'!Y46+'IMS DATA'!Y47+'IMS DATA'!Y48+'IMS DATA'!Y58)</f>
        <v>4487.253499999817</v>
      </c>
      <c r="Z12" s="19">
        <f>'IMS DATA'!Z67-'IMS DATA'!Z68+0.15*('IMS DATA'!Z46+'IMS DATA'!Z47+'IMS DATA'!Z48+'IMS DATA'!Z58)</f>
        <v>4451.0135000003229</v>
      </c>
      <c r="AA12" s="19">
        <f>'IMS DATA'!AA67-'IMS DATA'!AA68+0.15*('IMS DATA'!AA46+'IMS DATA'!AA47+'IMS DATA'!AA48+'IMS DATA'!AA58)</f>
        <v>4506.7114999999785</v>
      </c>
      <c r="AB12" s="19">
        <f>'IMS DATA'!AB67-'IMS DATA'!AB68+0.15*('IMS DATA'!AB46+'IMS DATA'!AB47+'IMS DATA'!AB48+'IMS DATA'!AB58)</f>
        <v>4559.3400000000711</v>
      </c>
      <c r="AC12" s="19">
        <f>'IMS DATA'!AC67-'IMS DATA'!AC68+0.15*('IMS DATA'!AC46+'IMS DATA'!AC47+'IMS DATA'!AC48+'IMS DATA'!AC58)</f>
        <v>4658.7519999997849</v>
      </c>
      <c r="AD12" s="19">
        <f>'IMS DATA'!AD67-'IMS DATA'!AD68+0.15*('IMS DATA'!AD46+'IMS DATA'!AD47+'IMS DATA'!AD48+'IMS DATA'!AD58)</f>
        <v>4677.1500000001352</v>
      </c>
      <c r="AE12" s="19">
        <f>'IMS DATA'!AE67-'IMS DATA'!AE68+0.15*('IMS DATA'!AE46+'IMS DATA'!AE47+'IMS DATA'!AE48+'IMS DATA'!AE58)</f>
        <v>4115.0639999999057</v>
      </c>
      <c r="AF12" s="19">
        <f>'IMS DATA'!AF67-'IMS DATA'!AF68+0.15*('IMS DATA'!AF46+'IMS DATA'!AF47+'IMS DATA'!AF48+'IMS DATA'!AF58)</f>
        <v>107793.64149999972</v>
      </c>
    </row>
    <row r="13" spans="1:35" x14ac:dyDescent="0.25">
      <c r="A13" s="103" t="s">
        <v>33</v>
      </c>
      <c r="B13" s="19">
        <f>'IMS DATA'!B6+'IMS DATA'!B7+'IMS DATA'!B16+'IMS DATA'!B26+'IMS DATA'!B27+'IMS DATA'!B28+'IMS DATA'!B38+'IMS DATA'!B39+'IMS DATA'!B59+'IMS DATA'!B62+'IMS DATA'!B65+'IMS DATA'!B78+'IMS DATA'!B25</f>
        <v>2980.8000000001048</v>
      </c>
      <c r="C13" s="19">
        <f>'IMS DATA'!C6+'IMS DATA'!C7+'IMS DATA'!C16+'IMS DATA'!C26+'IMS DATA'!C27+'IMS DATA'!C28+'IMS DATA'!C38+'IMS DATA'!C39+'IMS DATA'!C59+'IMS DATA'!C62+'IMS DATA'!C65+'IMS DATA'!C78+'IMS DATA'!C25</f>
        <v>3786.8900000001886</v>
      </c>
      <c r="D13" s="19">
        <f>'IMS DATA'!D6+'IMS DATA'!D7+'IMS DATA'!D16+'IMS DATA'!D26+'IMS DATA'!D27+'IMS DATA'!D28+'IMS DATA'!D38+'IMS DATA'!D39+'IMS DATA'!D59+'IMS DATA'!D62+'IMS DATA'!D65+'IMS DATA'!D78+'IMS DATA'!D25</f>
        <v>3372.0600000001141</v>
      </c>
      <c r="E13" s="19">
        <f>'IMS DATA'!E6+'IMS DATA'!E7+'IMS DATA'!E16+'IMS DATA'!E26+'IMS DATA'!E27+'IMS DATA'!E28+'IMS DATA'!E38+'IMS DATA'!E39+'IMS DATA'!E59+'IMS DATA'!E62+'IMS DATA'!E65+'IMS DATA'!E78+'IMS DATA'!E25</f>
        <v>3036.0799999994342</v>
      </c>
      <c r="F13" s="19">
        <f>'IMS DATA'!F6+'IMS DATA'!F7+'IMS DATA'!F16+'IMS DATA'!F26+'IMS DATA'!F27+'IMS DATA'!F28+'IMS DATA'!F38+'IMS DATA'!F39+'IMS DATA'!F59+'IMS DATA'!F62+'IMS DATA'!F65+'IMS DATA'!F78+'IMS DATA'!F25</f>
        <v>2927.6499999997322</v>
      </c>
      <c r="G13" s="19">
        <f>'IMS DATA'!G6+'IMS DATA'!G7+'IMS DATA'!G16+'IMS DATA'!G26+'IMS DATA'!G27+'IMS DATA'!G28+'IMS DATA'!G38+'IMS DATA'!G39+'IMS DATA'!G59+'IMS DATA'!G62+'IMS DATA'!G65+'IMS DATA'!G78+'IMS DATA'!G25</f>
        <v>2784.6400000001886</v>
      </c>
      <c r="H13" s="19">
        <f>'IMS DATA'!H6+'IMS DATA'!H7+'IMS DATA'!H16+'IMS DATA'!H26+'IMS DATA'!H27+'IMS DATA'!H28+'IMS DATA'!H38+'IMS DATA'!H39+'IMS DATA'!H59+'IMS DATA'!H62+'IMS DATA'!H65+'IMS DATA'!H78+'IMS DATA'!H25</f>
        <v>2896.9900000002235</v>
      </c>
      <c r="I13" s="19">
        <f>'IMS DATA'!I6+'IMS DATA'!I7+'IMS DATA'!I16+'IMS DATA'!I26+'IMS DATA'!I27+'IMS DATA'!I28+'IMS DATA'!I38+'IMS DATA'!I39+'IMS DATA'!I59+'IMS DATA'!I62+'IMS DATA'!I65+'IMS DATA'!I78+'IMS DATA'!I25</f>
        <v>3193.8100000000559</v>
      </c>
      <c r="J13" s="19">
        <f>'IMS DATA'!J6+'IMS DATA'!J7+'IMS DATA'!J16+'IMS DATA'!J26+'IMS DATA'!J27+'IMS DATA'!J28+'IMS DATA'!J38+'IMS DATA'!J39+'IMS DATA'!J59+'IMS DATA'!J62+'IMS DATA'!J65+'IMS DATA'!J78+'IMS DATA'!J25</f>
        <v>3019.5899999999092</v>
      </c>
      <c r="K13" s="19">
        <f>'IMS DATA'!K6+'IMS DATA'!K7+'IMS DATA'!K16+'IMS DATA'!K26+'IMS DATA'!K27+'IMS DATA'!K28+'IMS DATA'!K38+'IMS DATA'!K39+'IMS DATA'!K59+'IMS DATA'!K62+'IMS DATA'!K65+'IMS DATA'!K78+'IMS DATA'!K25</f>
        <v>2929.7699999999022</v>
      </c>
      <c r="L13" s="19">
        <f>'IMS DATA'!L6+'IMS DATA'!L7+'IMS DATA'!L16+'IMS DATA'!L26+'IMS DATA'!L27+'IMS DATA'!L28+'IMS DATA'!L38+'IMS DATA'!L39+'IMS DATA'!L59+'IMS DATA'!L62+'IMS DATA'!L65+'IMS DATA'!L78+'IMS DATA'!L25</f>
        <v>2596.8099999999977</v>
      </c>
      <c r="M13" s="19">
        <f>'IMS DATA'!M6+'IMS DATA'!M7+'IMS DATA'!M16+'IMS DATA'!M26+'IMS DATA'!M27+'IMS DATA'!M28+'IMS DATA'!M38+'IMS DATA'!M39+'IMS DATA'!M59+'IMS DATA'!M62+'IMS DATA'!M65+'IMS DATA'!M78+'IMS DATA'!M25</f>
        <v>2926.2200000003795</v>
      </c>
      <c r="N13" s="19">
        <f>'IMS DATA'!N6+'IMS DATA'!N7+'IMS DATA'!N16+'IMS DATA'!N26+'IMS DATA'!N27+'IMS DATA'!N28+'IMS DATA'!N38+'IMS DATA'!N39+'IMS DATA'!N59+'IMS DATA'!N62+'IMS DATA'!N65+'IMS DATA'!N78+'IMS DATA'!N25</f>
        <v>2502.7099999994971</v>
      </c>
      <c r="O13" s="19">
        <f>'IMS DATA'!O6+'IMS DATA'!O7+'IMS DATA'!O16+'IMS DATA'!O26+'IMS DATA'!O27+'IMS DATA'!O28+'IMS DATA'!O38+'IMS DATA'!O39+'IMS DATA'!O59+'IMS DATA'!O62+'IMS DATA'!O65+'IMS DATA'!O78+'IMS DATA'!O25</f>
        <v>2501.0700000005309</v>
      </c>
      <c r="P13" s="19">
        <f>'IMS DATA'!P6+'IMS DATA'!P7+'IMS DATA'!P16+'IMS DATA'!P26+'IMS DATA'!P27+'IMS DATA'!P28+'IMS DATA'!P38+'IMS DATA'!P39+'IMS DATA'!P59+'IMS DATA'!P62+'IMS DATA'!P65+'IMS DATA'!P78+'IMS DATA'!P25</f>
        <v>2773.5299999995041</v>
      </c>
      <c r="Q13" s="19">
        <f>'IMS DATA'!Q6+'IMS DATA'!Q7+'IMS DATA'!Q16+'IMS DATA'!Q26+'IMS DATA'!Q27+'IMS DATA'!Q28+'IMS DATA'!Q38+'IMS DATA'!Q39+'IMS DATA'!Q59+'IMS DATA'!Q62+'IMS DATA'!Q65+'IMS DATA'!Q78+'IMS DATA'!Q25</f>
        <v>2745.7900000004447</v>
      </c>
      <c r="R13" s="19">
        <f>'IMS DATA'!R6+'IMS DATA'!R7+'IMS DATA'!R16+'IMS DATA'!R26+'IMS DATA'!R27+'IMS DATA'!R28+'IMS DATA'!R38+'IMS DATA'!R39+'IMS DATA'!R59+'IMS DATA'!R62+'IMS DATA'!R65+'IMS DATA'!R78+'IMS DATA'!R25</f>
        <v>2909.9999999998836</v>
      </c>
      <c r="S13" s="19">
        <f>'IMS DATA'!S6+'IMS DATA'!S7+'IMS DATA'!S16+'IMS DATA'!S26+'IMS DATA'!S27+'IMS DATA'!S28+'IMS DATA'!S38+'IMS DATA'!S39+'IMS DATA'!S59+'IMS DATA'!S62+'IMS DATA'!S65+'IMS DATA'!S78+'IMS DATA'!S25</f>
        <v>3404.9700000000303</v>
      </c>
      <c r="T13" s="19">
        <f>'IMS DATA'!T6+'IMS DATA'!T7+'IMS DATA'!T16+'IMS DATA'!T26+'IMS DATA'!T27+'IMS DATA'!T28+'IMS DATA'!T38+'IMS DATA'!T39+'IMS DATA'!T59+'IMS DATA'!T62+'IMS DATA'!T65+'IMS DATA'!T78+'IMS DATA'!T25</f>
        <v>2761.3400000000256</v>
      </c>
      <c r="U13" s="19">
        <f>'IMS DATA'!U6+'IMS DATA'!U7+'IMS DATA'!U16+'IMS DATA'!U26+'IMS DATA'!U27+'IMS DATA'!U28+'IMS DATA'!U38+'IMS DATA'!U39+'IMS DATA'!U59+'IMS DATA'!U62+'IMS DATA'!U65+'IMS DATA'!U78+'IMS DATA'!U25</f>
        <v>2063.9399999998277</v>
      </c>
      <c r="V13" s="19">
        <f>'IMS DATA'!V6+'IMS DATA'!V7+'IMS DATA'!V16+'IMS DATA'!V26+'IMS DATA'!V27+'IMS DATA'!V28+'IMS DATA'!V38+'IMS DATA'!V39+'IMS DATA'!V59+'IMS DATA'!V62+'IMS DATA'!V65+'IMS DATA'!V78+'IMS DATA'!V25</f>
        <v>2457.5900000000838</v>
      </c>
      <c r="W13" s="19">
        <f>'IMS DATA'!W6+'IMS DATA'!W7+'IMS DATA'!W16+'IMS DATA'!W26+'IMS DATA'!W27+'IMS DATA'!W28+'IMS DATA'!W38+'IMS DATA'!W39+'IMS DATA'!W59+'IMS DATA'!W62+'IMS DATA'!W65+'IMS DATA'!W78+'IMS DATA'!W25</f>
        <v>2678.6600000000908</v>
      </c>
      <c r="X13" s="19">
        <f>'IMS DATA'!X6+'IMS DATA'!X7+'IMS DATA'!X16+'IMS DATA'!X26+'IMS DATA'!X27+'IMS DATA'!X28+'IMS DATA'!X38+'IMS DATA'!X39+'IMS DATA'!X59+'IMS DATA'!X62+'IMS DATA'!X65+'IMS DATA'!X78+'IMS DATA'!X25</f>
        <v>2732.3499999996275</v>
      </c>
      <c r="Y13" s="19">
        <f>'IMS DATA'!Y6+'IMS DATA'!Y7+'IMS DATA'!Y16+'IMS DATA'!Y26+'IMS DATA'!Y27+'IMS DATA'!Y28+'IMS DATA'!Y38+'IMS DATA'!Y39+'IMS DATA'!Y59+'IMS DATA'!Y62+'IMS DATA'!Y65+'IMS DATA'!Y78+'IMS DATA'!Y25</f>
        <v>2949.8999999999651</v>
      </c>
      <c r="Z13" s="19">
        <f>'IMS DATA'!Z6+'IMS DATA'!Z7+'IMS DATA'!Z16+'IMS DATA'!Z26+'IMS DATA'!Z27+'IMS DATA'!Z28+'IMS DATA'!Z38+'IMS DATA'!Z39+'IMS DATA'!Z59+'IMS DATA'!Z62+'IMS DATA'!Z65+'IMS DATA'!Z78+'IMS DATA'!Z25</f>
        <v>2977.870000000461</v>
      </c>
      <c r="AA13" s="19">
        <f>'IMS DATA'!AA6+'IMS DATA'!AA7+'IMS DATA'!AA16+'IMS DATA'!AA26+'IMS DATA'!AA27+'IMS DATA'!AA28+'IMS DATA'!AA38+'IMS DATA'!AA39+'IMS DATA'!AA59+'IMS DATA'!AA62+'IMS DATA'!AA65+'IMS DATA'!AA78+'IMS DATA'!AA25</f>
        <v>3090.4399999996531</v>
      </c>
      <c r="AB13" s="19">
        <f>'IMS DATA'!AB6+'IMS DATA'!AB7+'IMS DATA'!AB16+'IMS DATA'!AB26+'IMS DATA'!AB27+'IMS DATA'!AB28+'IMS DATA'!AB38+'IMS DATA'!AB39+'IMS DATA'!AB59+'IMS DATA'!AB62+'IMS DATA'!AB65+'IMS DATA'!AB78+'IMS DATA'!AB25</f>
        <v>2906.6300000002725</v>
      </c>
      <c r="AC13" s="19">
        <f>'IMS DATA'!AC6+'IMS DATA'!AC7+'IMS DATA'!AC16+'IMS DATA'!AC26+'IMS DATA'!AC27+'IMS DATA'!AC28+'IMS DATA'!AC38+'IMS DATA'!AC39+'IMS DATA'!AC59+'IMS DATA'!AC62+'IMS DATA'!AC65+'IMS DATA'!AC78+'IMS DATA'!AC25</f>
        <v>2814.6400000000954</v>
      </c>
      <c r="AD13" s="19">
        <f>'IMS DATA'!AD6+'IMS DATA'!AD7+'IMS DATA'!AD16+'IMS DATA'!AD26+'IMS DATA'!AD27+'IMS DATA'!AD28+'IMS DATA'!AD38+'IMS DATA'!AD39+'IMS DATA'!AD59+'IMS DATA'!AD62+'IMS DATA'!AD65+'IMS DATA'!AD78+'IMS DATA'!AD25</f>
        <v>3307.799999999907</v>
      </c>
      <c r="AE13" s="19">
        <f>'IMS DATA'!AE6+'IMS DATA'!AE7+'IMS DATA'!AE16+'IMS DATA'!AE26+'IMS DATA'!AE27+'IMS DATA'!AE28+'IMS DATA'!AE38+'IMS DATA'!AE39+'IMS DATA'!AE59+'IMS DATA'!AE62+'IMS DATA'!AE65+'IMS DATA'!AE78+'IMS DATA'!AE25</f>
        <v>2648.5299999997369</v>
      </c>
      <c r="AF13" s="19">
        <f>'IMS DATA'!AF6+'IMS DATA'!AF7+'IMS DATA'!AF16+'IMS DATA'!AF26+'IMS DATA'!AF27+'IMS DATA'!AF28+'IMS DATA'!AF38+'IMS DATA'!AF39+'IMS DATA'!AF59+'IMS DATA'!AF62+'IMS DATA'!AF65+'IMS DATA'!AF78+'IMS DATA'!AF25</f>
        <v>86679.069999999861</v>
      </c>
    </row>
    <row r="14" spans="1:35" x14ac:dyDescent="0.25">
      <c r="A14" s="103" t="s">
        <v>216</v>
      </c>
      <c r="B14" s="19">
        <f>'IMS DATA'!B4+'IMS DATA'!B71</f>
        <v>1132.0900000003166</v>
      </c>
      <c r="C14" s="19">
        <f>'IMS DATA'!C4+'IMS DATA'!C71</f>
        <v>1183.7900000000373</v>
      </c>
      <c r="D14" s="19">
        <f>'IMS DATA'!D4+'IMS DATA'!D71</f>
        <v>1291.6399999996647</v>
      </c>
      <c r="E14" s="19">
        <f>'IMS DATA'!E4+'IMS DATA'!E71</f>
        <v>1926.1800000001676</v>
      </c>
      <c r="F14" s="19">
        <f>'IMS DATA'!F4+'IMS DATA'!F71</f>
        <v>2024.4199999999255</v>
      </c>
      <c r="G14" s="19">
        <f>'IMS DATA'!G4+'IMS DATA'!G71</f>
        <v>1897.5200000000186</v>
      </c>
      <c r="H14" s="19">
        <f>'IMS DATA'!H4+'IMS DATA'!H71</f>
        <v>1325.3599999998696</v>
      </c>
      <c r="I14" s="19">
        <f>'IMS DATA'!I4+'IMS DATA'!I71</f>
        <v>1355.6200000001118</v>
      </c>
      <c r="J14" s="19">
        <f>'IMS DATA'!J4+'IMS DATA'!J71</f>
        <v>1285.4199999999255</v>
      </c>
      <c r="K14" s="19">
        <f>'IMS DATA'!K4+'IMS DATA'!K71</f>
        <v>1311.1899999999441</v>
      </c>
      <c r="L14" s="19">
        <f>'IMS DATA'!L4+'IMS DATA'!L71</f>
        <v>1194.4900000002235</v>
      </c>
      <c r="M14" s="19">
        <f>'IMS DATA'!M4+'IMS DATA'!M71</f>
        <v>1205.4500000001863</v>
      </c>
      <c r="N14" s="19">
        <f>'IMS DATA'!N4+'IMS DATA'!N71</f>
        <v>1012.0200000000186</v>
      </c>
      <c r="O14" s="19">
        <f>'IMS DATA'!O4+'IMS DATA'!O71</f>
        <v>1125.25</v>
      </c>
      <c r="P14" s="19">
        <f>'IMS DATA'!P4+'IMS DATA'!P71</f>
        <v>1199.3499999996275</v>
      </c>
      <c r="Q14" s="19">
        <f>'IMS DATA'!Q4+'IMS DATA'!Q71</f>
        <v>1058.4000000003725</v>
      </c>
      <c r="R14" s="19">
        <f>'IMS DATA'!R4+'IMS DATA'!R71</f>
        <v>1143.7199999997392</v>
      </c>
      <c r="S14" s="19">
        <f>'IMS DATA'!S4+'IMS DATA'!S71</f>
        <v>1120.589999999851</v>
      </c>
      <c r="T14" s="19">
        <f>'IMS DATA'!T4+'IMS DATA'!T71</f>
        <v>1157.6500000003725</v>
      </c>
      <c r="U14" s="19">
        <f>'IMS DATA'!U4+'IMS DATA'!U71</f>
        <v>999.72999999998137</v>
      </c>
      <c r="V14" s="19">
        <f>'IMS DATA'!V4+'IMS DATA'!V71</f>
        <v>1023.3499999996275</v>
      </c>
      <c r="W14" s="19">
        <f>'IMS DATA'!W4+'IMS DATA'!W71</f>
        <v>980.12000000011176</v>
      </c>
      <c r="X14" s="19">
        <f>'IMS DATA'!X4+'IMS DATA'!X71</f>
        <v>1023.4599999999627</v>
      </c>
      <c r="Y14" s="19">
        <f>'IMS DATA'!Y4+'IMS DATA'!Y71</f>
        <v>1137.1500000003725</v>
      </c>
      <c r="Z14" s="19">
        <f>'IMS DATA'!Z4+'IMS DATA'!Z71</f>
        <v>1139.7199999997392</v>
      </c>
      <c r="AA14" s="19">
        <f>'IMS DATA'!AA4+'IMS DATA'!AA71</f>
        <v>1150.9599999999627</v>
      </c>
      <c r="AB14" s="19">
        <f>'IMS DATA'!AB4+'IMS DATA'!AB71</f>
        <v>1112.4799999999814</v>
      </c>
      <c r="AC14" s="19">
        <f>'IMS DATA'!AC4+'IMS DATA'!AC71</f>
        <v>1088.8799999998882</v>
      </c>
      <c r="AD14" s="19">
        <f>'IMS DATA'!AD4+'IMS DATA'!AD71</f>
        <v>1135.8900000001304</v>
      </c>
      <c r="AE14" s="19">
        <f>'IMS DATA'!AE4+'IMS DATA'!AE71</f>
        <v>1210.6400000001304</v>
      </c>
      <c r="AF14" s="19">
        <f>'IMS DATA'!AF4+'IMS DATA'!AF71</f>
        <v>36952.530000000261</v>
      </c>
    </row>
    <row r="15" spans="1:35" x14ac:dyDescent="0.25">
      <c r="A15" s="103" t="s">
        <v>28</v>
      </c>
      <c r="B15" s="19">
        <f t="shared" ref="B15:AF15" si="4">SUM(B4:B14)</f>
        <v>240235.07999999926</v>
      </c>
      <c r="C15" s="19">
        <f t="shared" si="4"/>
        <v>209263.42000000016</v>
      </c>
      <c r="D15" s="19">
        <f t="shared" si="4"/>
        <v>241683.98000000318</v>
      </c>
      <c r="E15" s="19">
        <f t="shared" si="4"/>
        <v>259455.9299999979</v>
      </c>
      <c r="F15" s="19">
        <f t="shared" si="4"/>
        <v>233787.99000000415</v>
      </c>
      <c r="G15" s="19">
        <f t="shared" si="4"/>
        <v>229150.88999999836</v>
      </c>
      <c r="H15" s="19">
        <f>SUM(H4:H14)</f>
        <v>194729.57000000175</v>
      </c>
      <c r="I15" s="19">
        <f t="shared" si="4"/>
        <v>200815.64000000031</v>
      </c>
      <c r="J15" s="19">
        <f t="shared" ref="J15" si="5">SUM(J4:J14)</f>
        <v>205624.4099999966</v>
      </c>
      <c r="K15" s="19">
        <f t="shared" si="4"/>
        <v>245164.43520000379</v>
      </c>
      <c r="L15" s="19">
        <f t="shared" si="4"/>
        <v>245097.76319999818</v>
      </c>
      <c r="M15" s="19">
        <f t="shared" si="4"/>
        <v>242224.66799999741</v>
      </c>
      <c r="N15" s="19">
        <f t="shared" si="4"/>
        <v>233522.69000000518</v>
      </c>
      <c r="O15" s="19">
        <f t="shared" si="4"/>
        <v>232317.08219999686</v>
      </c>
      <c r="P15" s="19">
        <f t="shared" si="4"/>
        <v>235011.19779999764</v>
      </c>
      <c r="Q15" s="19">
        <f t="shared" si="4"/>
        <v>252384.94500000158</v>
      </c>
      <c r="R15" s="19">
        <f t="shared" si="4"/>
        <v>230951.41900000395</v>
      </c>
      <c r="S15" s="19">
        <f t="shared" si="4"/>
        <v>242951.20799999608</v>
      </c>
      <c r="T15" s="19">
        <f t="shared" si="4"/>
        <v>247820.60800000466</v>
      </c>
      <c r="U15" s="19">
        <f t="shared" si="4"/>
        <v>237279.91399999644</v>
      </c>
      <c r="V15" s="19">
        <f t="shared" si="4"/>
        <v>231053.05000000511</v>
      </c>
      <c r="W15" s="19">
        <f t="shared" si="4"/>
        <v>228992.68199999537</v>
      </c>
      <c r="X15" s="19">
        <f t="shared" si="4"/>
        <v>151545.12199999951</v>
      </c>
      <c r="Y15" s="19">
        <f t="shared" si="4"/>
        <v>204014.0695999926</v>
      </c>
      <c r="Z15" s="19">
        <f t="shared" si="4"/>
        <v>261845.75880000761</v>
      </c>
      <c r="AA15" s="19">
        <f t="shared" si="4"/>
        <v>260561.20399999816</v>
      </c>
      <c r="AB15" s="19">
        <f t="shared" si="4"/>
        <v>241621.95800000124</v>
      </c>
      <c r="AC15" s="19">
        <f t="shared" si="4"/>
        <v>239452.59200000111</v>
      </c>
      <c r="AD15" s="19">
        <f t="shared" si="4"/>
        <v>254426.01599999837</v>
      </c>
      <c r="AE15" s="19">
        <f t="shared" si="4"/>
        <v>189804.10399999717</v>
      </c>
      <c r="AF15" s="19">
        <f t="shared" si="4"/>
        <v>6922789.3968000012</v>
      </c>
    </row>
    <row r="16" spans="1:35" x14ac:dyDescent="0.25">
      <c r="A16" s="103"/>
      <c r="B16" s="14"/>
      <c r="C16" s="14"/>
      <c r="D16" s="19"/>
      <c r="E16" s="19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I16" s="8"/>
    </row>
    <row r="17" spans="1:38" x14ac:dyDescent="0.25">
      <c r="A17" s="103" t="s">
        <v>29</v>
      </c>
      <c r="B17" s="19">
        <f t="shared" ref="B17:AF17" si="6">(B2+B3)-B15</f>
        <v>2031.9200000024866</v>
      </c>
      <c r="C17" s="19">
        <f t="shared" si="6"/>
        <v>1795.5800000001327</v>
      </c>
      <c r="D17" s="19">
        <f t="shared" si="6"/>
        <v>2141.0200000013574</v>
      </c>
      <c r="E17" s="19">
        <f t="shared" si="6"/>
        <v>2269.069999997213</v>
      </c>
      <c r="F17" s="19">
        <f t="shared" si="6"/>
        <v>2016.0099999944505</v>
      </c>
      <c r="G17" s="19">
        <f t="shared" si="6"/>
        <v>1970.1100000076985</v>
      </c>
      <c r="H17" s="19">
        <f t="shared" si="6"/>
        <v>1632.429999996908</v>
      </c>
      <c r="I17" s="19">
        <f t="shared" si="6"/>
        <v>1688.3599999945727</v>
      </c>
      <c r="J17" s="19">
        <f t="shared" si="6"/>
        <v>1814.5900000043912</v>
      </c>
      <c r="K17" s="19">
        <f t="shared" si="6"/>
        <v>2092.5647999977809</v>
      </c>
      <c r="L17" s="19">
        <f t="shared" si="6"/>
        <v>2129.2367999996059</v>
      </c>
      <c r="M17" s="19">
        <f t="shared" si="6"/>
        <v>2101.3320000049134</v>
      </c>
      <c r="N17" s="19">
        <f t="shared" si="6"/>
        <v>2017.309999991965</v>
      </c>
      <c r="O17" s="19">
        <f t="shared" si="6"/>
        <v>2000.9178000093671</v>
      </c>
      <c r="P17" s="19">
        <f t="shared" si="6"/>
        <v>1991.8021999966004</v>
      </c>
      <c r="Q17" s="19">
        <f t="shared" si="6"/>
        <v>2231.0550000047078</v>
      </c>
      <c r="R17" s="19">
        <f t="shared" si="6"/>
        <v>1886.5809999902849</v>
      </c>
      <c r="S17" s="19">
        <f t="shared" si="6"/>
        <v>2108.7920000060694</v>
      </c>
      <c r="T17" s="19">
        <f t="shared" si="6"/>
        <v>2159.3919999973732</v>
      </c>
      <c r="U17" s="19">
        <f t="shared" si="6"/>
        <v>2031.0859999988461</v>
      </c>
      <c r="V17" s="19">
        <f t="shared" si="6"/>
        <v>1991.9499999992549</v>
      </c>
      <c r="W17" s="19">
        <f t="shared" si="6"/>
        <v>1919.3180000002612</v>
      </c>
      <c r="X17" s="19">
        <f t="shared" si="6"/>
        <v>1335.878000001132</v>
      </c>
      <c r="Y17" s="19">
        <f t="shared" si="6"/>
        <v>1772.9304000101984</v>
      </c>
      <c r="Z17" s="19">
        <f t="shared" si="6"/>
        <v>2328.2411999932083</v>
      </c>
      <c r="AA17" s="19">
        <f t="shared" si="6"/>
        <v>2192.795999996888</v>
      </c>
      <c r="AB17" s="19">
        <f t="shared" si="6"/>
        <v>2108.0420000027807</v>
      </c>
      <c r="AC17" s="19">
        <f t="shared" si="6"/>
        <v>2048.4080000016256</v>
      </c>
      <c r="AD17" s="19">
        <f t="shared" si="6"/>
        <v>2084.9839999955148</v>
      </c>
      <c r="AE17" s="19">
        <f t="shared" si="6"/>
        <v>1641.8960000035877</v>
      </c>
      <c r="AF17" s="19">
        <f t="shared" si="6"/>
        <v>59533.603199999779</v>
      </c>
    </row>
    <row r="18" spans="1:38" x14ac:dyDescent="0.25">
      <c r="A18" s="103" t="s">
        <v>30</v>
      </c>
      <c r="B18" s="20">
        <f>B17/B15</f>
        <v>8.4580486746668841E-3</v>
      </c>
      <c r="C18" s="20">
        <f t="shared" ref="C18:H18" si="7">C17/C15</f>
        <v>8.5804771803888683E-3</v>
      </c>
      <c r="D18" s="20">
        <f t="shared" si="7"/>
        <v>8.8587584497794563E-3</v>
      </c>
      <c r="E18" s="20">
        <f t="shared" si="7"/>
        <v>8.7454929243560992E-3</v>
      </c>
      <c r="F18" s="20">
        <f t="shared" si="7"/>
        <v>8.6232402271580102E-3</v>
      </c>
      <c r="G18" s="20">
        <f t="shared" si="7"/>
        <v>8.5974355151215553E-3</v>
      </c>
      <c r="H18" s="20">
        <f t="shared" si="7"/>
        <v>8.383061699344857E-3</v>
      </c>
      <c r="I18" s="20">
        <f t="shared" ref="I18:AE18" si="8">I17/I15</f>
        <v>8.4075124825664475E-3</v>
      </c>
      <c r="J18" s="20">
        <f t="shared" ref="J18" si="9">J17/J15</f>
        <v>8.8247791203603758E-3</v>
      </c>
      <c r="K18" s="20">
        <f t="shared" si="8"/>
        <v>8.5353521945003077E-3</v>
      </c>
      <c r="L18" s="20">
        <f t="shared" si="8"/>
        <v>8.6872959271446417E-3</v>
      </c>
      <c r="M18" s="20">
        <f t="shared" si="8"/>
        <v>8.6751362582316999E-3</v>
      </c>
      <c r="N18" s="20">
        <f t="shared" si="8"/>
        <v>8.6386038118690753E-3</v>
      </c>
      <c r="O18" s="20">
        <f t="shared" si="8"/>
        <v>8.6128741849762873E-3</v>
      </c>
      <c r="P18" s="20">
        <f t="shared" si="8"/>
        <v>8.4753501902989758E-3</v>
      </c>
      <c r="Q18" s="20">
        <f t="shared" si="8"/>
        <v>8.8398893999192141E-3</v>
      </c>
      <c r="R18" s="20">
        <f t="shared" si="8"/>
        <v>8.1687352611167652E-3</v>
      </c>
      <c r="S18" s="20">
        <f t="shared" si="8"/>
        <v>8.6798992166612458E-3</v>
      </c>
      <c r="T18" s="20">
        <f t="shared" si="8"/>
        <v>8.7135287796458495E-3</v>
      </c>
      <c r="U18" s="20">
        <f t="shared" si="8"/>
        <v>8.5598732979938474E-3</v>
      </c>
      <c r="V18" s="20">
        <f t="shared" si="8"/>
        <v>8.6211802873808023E-3</v>
      </c>
      <c r="W18" s="20">
        <f t="shared" si="8"/>
        <v>8.3815691542505275E-3</v>
      </c>
      <c r="X18" s="20">
        <f t="shared" si="8"/>
        <v>8.8150511370543253E-3</v>
      </c>
      <c r="Y18" s="20">
        <f t="shared" si="8"/>
        <v>8.6902359405229106E-3</v>
      </c>
      <c r="Z18" s="20">
        <f t="shared" si="8"/>
        <v>8.8916513701162176E-3</v>
      </c>
      <c r="AA18" s="20">
        <f t="shared" si="8"/>
        <v>8.4156657489075134E-3</v>
      </c>
      <c r="AB18" s="20">
        <f t="shared" si="8"/>
        <v>8.7245464669348047E-3</v>
      </c>
      <c r="AC18" s="20">
        <f t="shared" si="8"/>
        <v>8.5545451101302593E-3</v>
      </c>
      <c r="AD18" s="20">
        <f t="shared" si="8"/>
        <v>8.1948537841174552E-3</v>
      </c>
      <c r="AE18" s="20">
        <f t="shared" si="8"/>
        <v>8.6504768095194192E-3</v>
      </c>
      <c r="AF18" s="20">
        <f t="shared" ref="AF18" si="10">AF17/AF15</f>
        <v>8.5996553972187383E-3</v>
      </c>
    </row>
    <row r="19" spans="1:38" x14ac:dyDescent="0.25">
      <c r="A19" s="103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14"/>
    </row>
    <row r="20" spans="1:38" x14ac:dyDescent="0.25">
      <c r="A20" s="103" t="s">
        <v>205</v>
      </c>
      <c r="B20" s="19">
        <f>B4+B5+B6+B7+B8+60%*(B13+B17)</f>
        <v>150321.63200000057</v>
      </c>
      <c r="C20" s="19">
        <f t="shared" ref="C20:AE20" si="11">C4+C5+C6+C7+C8+60%*(C13+C17)</f>
        <v>111110.86200000247</v>
      </c>
      <c r="D20" s="19">
        <f t="shared" si="11"/>
        <v>120991.37800000138</v>
      </c>
      <c r="E20" s="19">
        <f t="shared" si="11"/>
        <v>147540.87999999896</v>
      </c>
      <c r="F20" s="19">
        <f t="shared" si="11"/>
        <v>129799.51599999701</v>
      </c>
      <c r="G20" s="19">
        <f t="shared" si="11"/>
        <v>126286.49000000539</v>
      </c>
      <c r="H20" s="19">
        <f t="shared" si="11"/>
        <v>126836.45199999621</v>
      </c>
      <c r="I20" s="19">
        <f t="shared" si="11"/>
        <v>126274.44199999716</v>
      </c>
      <c r="J20" s="19">
        <f t="shared" ref="J20" si="12">J4+J5+J6+J7+J8+60%*(J13+J17)</f>
        <v>128156.06800000284</v>
      </c>
      <c r="K20" s="19">
        <f t="shared" si="11"/>
        <v>134120.18608000022</v>
      </c>
      <c r="L20" s="19">
        <f t="shared" si="11"/>
        <v>123212.15128000043</v>
      </c>
      <c r="M20" s="19">
        <f t="shared" si="11"/>
        <v>129493.51919999954</v>
      </c>
      <c r="N20" s="19">
        <f t="shared" si="11"/>
        <v>113268.6819999955</v>
      </c>
      <c r="O20" s="19">
        <f t="shared" si="11"/>
        <v>122454.08488000487</v>
      </c>
      <c r="P20" s="19">
        <f t="shared" si="11"/>
        <v>131219.12711999699</v>
      </c>
      <c r="Q20" s="19">
        <f t="shared" si="11"/>
        <v>130346.20200000382</v>
      </c>
      <c r="R20" s="19">
        <f t="shared" si="11"/>
        <v>113873.95759999735</v>
      </c>
      <c r="S20" s="19">
        <f t="shared" si="11"/>
        <v>122756.0852000025</v>
      </c>
      <c r="T20" s="19">
        <f t="shared" si="11"/>
        <v>121990.71720000106</v>
      </c>
      <c r="U20" s="19">
        <f t="shared" si="11"/>
        <v>111608.42959999543</v>
      </c>
      <c r="V20" s="19">
        <f t="shared" si="11"/>
        <v>108330.80400000358</v>
      </c>
      <c r="W20" s="19">
        <f t="shared" si="11"/>
        <v>99821.538799997346</v>
      </c>
      <c r="X20" s="19">
        <f t="shared" si="11"/>
        <v>26939.808800001243</v>
      </c>
      <c r="Y20" s="19">
        <f t="shared" si="11"/>
        <v>76901.39784000389</v>
      </c>
      <c r="Z20" s="19">
        <f t="shared" si="11"/>
        <v>137042.39551999545</v>
      </c>
      <c r="AA20" s="19">
        <f t="shared" si="11"/>
        <v>137910.74559999924</v>
      </c>
      <c r="AB20" s="19">
        <f t="shared" si="11"/>
        <v>132889.48120000164</v>
      </c>
      <c r="AC20" s="19">
        <f t="shared" si="11"/>
        <v>127381.03080000196</v>
      </c>
      <c r="AD20" s="19">
        <f t="shared" si="11"/>
        <v>143706.5763999965</v>
      </c>
      <c r="AE20" s="19">
        <f t="shared" si="11"/>
        <v>80251.659600002225</v>
      </c>
      <c r="AF20" s="19">
        <f>AF4+AF5+AF7+AF8+(AF13*60%)+(AF17*60%)</f>
        <v>3432849.0307200057</v>
      </c>
      <c r="AG20" s="8"/>
    </row>
    <row r="21" spans="1:38" x14ac:dyDescent="0.25">
      <c r="A21" s="103" t="s">
        <v>206</v>
      </c>
      <c r="B21" s="19">
        <f>B9+B10+B11+B12+40%*(B13+B17)</f>
        <v>90813.278000000864</v>
      </c>
      <c r="C21" s="19">
        <f t="shared" ref="C21:AE21" si="13">C9+C10+C11+C12+40%*(C13+C17)</f>
        <v>98764.347999997786</v>
      </c>
      <c r="D21" s="19">
        <f t="shared" si="13"/>
        <v>121541.98200000353</v>
      </c>
      <c r="E21" s="19">
        <f t="shared" si="13"/>
        <v>112257.93999999602</v>
      </c>
      <c r="F21" s="19">
        <f t="shared" si="13"/>
        <v>103980.06400000166</v>
      </c>
      <c r="G21" s="19">
        <f t="shared" si="13"/>
        <v>102936.99000000062</v>
      </c>
      <c r="H21" s="19">
        <f t="shared" si="13"/>
        <v>68200.18800000257</v>
      </c>
      <c r="I21" s="19">
        <f t="shared" si="13"/>
        <v>74873.937999997594</v>
      </c>
      <c r="J21" s="19">
        <f t="shared" ref="J21" si="14">J9+J10+J11+J12+40%*(J13+J17)</f>
        <v>77997.511999998227</v>
      </c>
      <c r="K21" s="19">
        <f t="shared" si="13"/>
        <v>111825.62392000145</v>
      </c>
      <c r="L21" s="19">
        <f t="shared" si="13"/>
        <v>122820.35871999711</v>
      </c>
      <c r="M21" s="19">
        <f t="shared" si="13"/>
        <v>113627.0308000026</v>
      </c>
      <c r="N21" s="19">
        <f t="shared" si="13"/>
        <v>121259.29800000167</v>
      </c>
      <c r="O21" s="19">
        <f t="shared" si="13"/>
        <v>110738.66512000139</v>
      </c>
      <c r="P21" s="19">
        <f t="shared" si="13"/>
        <v>104584.52287999763</v>
      </c>
      <c r="Q21" s="19">
        <f t="shared" si="13"/>
        <v>123211.39800000213</v>
      </c>
      <c r="R21" s="19">
        <f t="shared" si="13"/>
        <v>117820.32239999718</v>
      </c>
      <c r="S21" s="19">
        <f t="shared" si="13"/>
        <v>121183.32479999977</v>
      </c>
      <c r="T21" s="19">
        <f t="shared" si="13"/>
        <v>126831.63280000065</v>
      </c>
      <c r="U21" s="19">
        <f t="shared" si="13"/>
        <v>126702.84039999987</v>
      </c>
      <c r="V21" s="19">
        <f t="shared" si="13"/>
        <v>123690.84600000118</v>
      </c>
      <c r="W21" s="19">
        <f t="shared" si="13"/>
        <v>130110.34119999819</v>
      </c>
      <c r="X21" s="19">
        <f t="shared" si="13"/>
        <v>124917.73119999943</v>
      </c>
      <c r="Y21" s="19">
        <f t="shared" si="13"/>
        <v>127748.45215999853</v>
      </c>
      <c r="Z21" s="19">
        <f t="shared" si="13"/>
        <v>125991.88448000562</v>
      </c>
      <c r="AA21" s="19">
        <f t="shared" si="13"/>
        <v>123692.29439999588</v>
      </c>
      <c r="AB21" s="19">
        <f t="shared" si="13"/>
        <v>109728.03880000238</v>
      </c>
      <c r="AC21" s="19">
        <f t="shared" si="13"/>
        <v>113031.08920000092</v>
      </c>
      <c r="AD21" s="19">
        <f t="shared" si="13"/>
        <v>111668.53359999727</v>
      </c>
      <c r="AE21" s="19">
        <f t="shared" si="13"/>
        <v>109983.70039999842</v>
      </c>
      <c r="AF21" s="19">
        <f>AF9+AF10+AF11+AF12+(AF13*40%)+(AF17*40%)</f>
        <v>3352534.1692799986</v>
      </c>
    </row>
    <row r="22" spans="1:38" x14ac:dyDescent="0.25">
      <c r="A22" s="103" t="s">
        <v>217</v>
      </c>
      <c r="B22" s="19">
        <f t="shared" ref="B22:AF22" si="15">B14</f>
        <v>1132.0900000003166</v>
      </c>
      <c r="C22" s="19">
        <f t="shared" si="15"/>
        <v>1183.7900000000373</v>
      </c>
      <c r="D22" s="19">
        <f t="shared" si="15"/>
        <v>1291.6399999996647</v>
      </c>
      <c r="E22" s="19">
        <f t="shared" si="15"/>
        <v>1926.1800000001676</v>
      </c>
      <c r="F22" s="19">
        <f t="shared" si="15"/>
        <v>2024.4199999999255</v>
      </c>
      <c r="G22" s="19">
        <f t="shared" si="15"/>
        <v>1897.5200000000186</v>
      </c>
      <c r="H22" s="19">
        <f t="shared" si="15"/>
        <v>1325.3599999998696</v>
      </c>
      <c r="I22" s="19">
        <f t="shared" si="15"/>
        <v>1355.6200000001118</v>
      </c>
      <c r="J22" s="19">
        <f t="shared" si="15"/>
        <v>1285.4199999999255</v>
      </c>
      <c r="K22" s="19">
        <f t="shared" si="15"/>
        <v>1311.1899999999441</v>
      </c>
      <c r="L22" s="19">
        <f t="shared" si="15"/>
        <v>1194.4900000002235</v>
      </c>
      <c r="M22" s="19">
        <f t="shared" si="15"/>
        <v>1205.4500000001863</v>
      </c>
      <c r="N22" s="19">
        <f t="shared" si="15"/>
        <v>1012.0200000000186</v>
      </c>
      <c r="O22" s="19">
        <f t="shared" si="15"/>
        <v>1125.25</v>
      </c>
      <c r="P22" s="19">
        <f t="shared" si="15"/>
        <v>1199.3499999996275</v>
      </c>
      <c r="Q22" s="19">
        <f t="shared" si="15"/>
        <v>1058.4000000003725</v>
      </c>
      <c r="R22" s="19">
        <f t="shared" si="15"/>
        <v>1143.7199999997392</v>
      </c>
      <c r="S22" s="19">
        <f t="shared" si="15"/>
        <v>1120.589999999851</v>
      </c>
      <c r="T22" s="19">
        <f t="shared" si="15"/>
        <v>1157.6500000003725</v>
      </c>
      <c r="U22" s="19">
        <f t="shared" si="15"/>
        <v>999.72999999998137</v>
      </c>
      <c r="V22" s="19">
        <f t="shared" si="15"/>
        <v>1023.3499999996275</v>
      </c>
      <c r="W22" s="19">
        <f t="shared" si="15"/>
        <v>980.12000000011176</v>
      </c>
      <c r="X22" s="19">
        <f t="shared" si="15"/>
        <v>1023.4599999999627</v>
      </c>
      <c r="Y22" s="19">
        <f t="shared" si="15"/>
        <v>1137.1500000003725</v>
      </c>
      <c r="Z22" s="19">
        <f t="shared" si="15"/>
        <v>1139.7199999997392</v>
      </c>
      <c r="AA22" s="19">
        <f t="shared" si="15"/>
        <v>1150.9599999999627</v>
      </c>
      <c r="AB22" s="19">
        <f t="shared" si="15"/>
        <v>1112.4799999999814</v>
      </c>
      <c r="AC22" s="19">
        <f t="shared" si="15"/>
        <v>1088.8799999998882</v>
      </c>
      <c r="AD22" s="19">
        <f t="shared" si="15"/>
        <v>1135.8900000001304</v>
      </c>
      <c r="AE22" s="19">
        <f t="shared" si="15"/>
        <v>1210.6400000001304</v>
      </c>
      <c r="AF22" s="19">
        <f t="shared" si="15"/>
        <v>36952.530000000261</v>
      </c>
    </row>
    <row r="23" spans="1:38" x14ac:dyDescent="0.25">
      <c r="A23" s="103" t="s">
        <v>207</v>
      </c>
      <c r="B23" s="19">
        <f t="shared" ref="B23:AF23" si="16">SUM(B20:B22)</f>
        <v>242267.00000000175</v>
      </c>
      <c r="C23" s="19">
        <f t="shared" si="16"/>
        <v>211059.00000000029</v>
      </c>
      <c r="D23" s="19">
        <f t="shared" si="16"/>
        <v>243825.00000000457</v>
      </c>
      <c r="E23" s="19">
        <f t="shared" si="16"/>
        <v>261724.99999999514</v>
      </c>
      <c r="F23" s="19">
        <f t="shared" si="16"/>
        <v>235803.9999999986</v>
      </c>
      <c r="G23" s="19">
        <f t="shared" si="16"/>
        <v>231121.00000000602</v>
      </c>
      <c r="H23" s="19">
        <f t="shared" si="16"/>
        <v>196361.99999999866</v>
      </c>
      <c r="I23" s="19">
        <f t="shared" si="16"/>
        <v>202503.99999999488</v>
      </c>
      <c r="J23" s="19">
        <f t="shared" si="16"/>
        <v>207439.00000000099</v>
      </c>
      <c r="K23" s="19">
        <f t="shared" si="16"/>
        <v>247257.00000000163</v>
      </c>
      <c r="L23" s="19">
        <f t="shared" si="16"/>
        <v>247226.99999999776</v>
      </c>
      <c r="M23" s="19">
        <f t="shared" si="16"/>
        <v>244326.00000000233</v>
      </c>
      <c r="N23" s="19">
        <f t="shared" si="16"/>
        <v>235539.99999999721</v>
      </c>
      <c r="O23" s="19">
        <f t="shared" si="16"/>
        <v>234318.00000000626</v>
      </c>
      <c r="P23" s="19">
        <f t="shared" si="16"/>
        <v>237002.99999999424</v>
      </c>
      <c r="Q23" s="19">
        <f t="shared" si="16"/>
        <v>254616.00000000632</v>
      </c>
      <c r="R23" s="19">
        <f t="shared" si="16"/>
        <v>232837.99999999427</v>
      </c>
      <c r="S23" s="19">
        <f t="shared" si="16"/>
        <v>245060.00000000212</v>
      </c>
      <c r="T23" s="19">
        <f t="shared" si="16"/>
        <v>249980.0000000021</v>
      </c>
      <c r="U23" s="19">
        <f t="shared" si="16"/>
        <v>239310.99999999529</v>
      </c>
      <c r="V23" s="19">
        <f t="shared" si="16"/>
        <v>233045.00000000439</v>
      </c>
      <c r="W23" s="19">
        <f t="shared" si="16"/>
        <v>230911.99999999563</v>
      </c>
      <c r="X23" s="19">
        <f t="shared" si="16"/>
        <v>152881.00000000064</v>
      </c>
      <c r="Y23" s="19">
        <f t="shared" si="16"/>
        <v>205787.00000000279</v>
      </c>
      <c r="Z23" s="19">
        <f t="shared" si="16"/>
        <v>264174.00000000081</v>
      </c>
      <c r="AA23" s="19">
        <f t="shared" si="16"/>
        <v>262753.99999999511</v>
      </c>
      <c r="AB23" s="19">
        <f t="shared" si="16"/>
        <v>243730.00000000402</v>
      </c>
      <c r="AC23" s="19">
        <f t="shared" si="16"/>
        <v>241501.00000000276</v>
      </c>
      <c r="AD23" s="19">
        <f t="shared" si="16"/>
        <v>256510.99999999389</v>
      </c>
      <c r="AE23" s="19">
        <f t="shared" si="16"/>
        <v>191446.00000000076</v>
      </c>
      <c r="AF23" s="19">
        <f t="shared" si="16"/>
        <v>6822335.7300000051</v>
      </c>
    </row>
    <row r="24" spans="1:38" x14ac:dyDescent="0.25">
      <c r="A24" s="103" t="s">
        <v>208</v>
      </c>
      <c r="B24" s="14">
        <f t="shared" ref="B24:AE24" si="17">B3</f>
        <v>78705.000000001746</v>
      </c>
      <c r="C24" s="14">
        <f t="shared" si="17"/>
        <v>88805.000000000291</v>
      </c>
      <c r="D24" s="14">
        <f t="shared" si="17"/>
        <v>108933.00000000454</v>
      </c>
      <c r="E24" s="14">
        <f t="shared" si="17"/>
        <v>101850.99999999511</v>
      </c>
      <c r="F24" s="14">
        <f t="shared" si="17"/>
        <v>92635.999999998603</v>
      </c>
      <c r="G24" s="14">
        <f t="shared" si="17"/>
        <v>91869.000000006054</v>
      </c>
      <c r="H24" s="14">
        <f t="shared" si="17"/>
        <v>56421.999999998661</v>
      </c>
      <c r="I24" s="14">
        <f t="shared" si="17"/>
        <v>64831.999999994878</v>
      </c>
      <c r="J24" s="14">
        <f t="shared" si="17"/>
        <v>64987.00000000099</v>
      </c>
      <c r="K24" s="14">
        <f t="shared" si="17"/>
        <v>102097.00000000157</v>
      </c>
      <c r="L24" s="14">
        <f t="shared" si="17"/>
        <v>108506.99999999779</v>
      </c>
      <c r="M24" s="14">
        <f t="shared" si="17"/>
        <v>103690.00000000233</v>
      </c>
      <c r="N24" s="14">
        <f t="shared" si="17"/>
        <v>109235.99999999715</v>
      </c>
      <c r="O24" s="14">
        <f t="shared" si="17"/>
        <v>100602.00000000623</v>
      </c>
      <c r="P24" s="14">
        <f t="shared" si="17"/>
        <v>79310.999999994237</v>
      </c>
      <c r="Q24" s="14">
        <f t="shared" si="17"/>
        <v>65888.000000006286</v>
      </c>
      <c r="R24" s="14">
        <f t="shared" si="17"/>
        <v>61185.999999994237</v>
      </c>
      <c r="S24" s="14">
        <f t="shared" si="17"/>
        <v>63832.000000002154</v>
      </c>
      <c r="T24" s="14">
        <f t="shared" si="17"/>
        <v>61760.000000002037</v>
      </c>
      <c r="U24" s="14">
        <f t="shared" si="17"/>
        <v>62958.999999995285</v>
      </c>
      <c r="V24" s="14">
        <f t="shared" si="17"/>
        <v>62825.000000004366</v>
      </c>
      <c r="W24" s="14">
        <f t="shared" si="17"/>
        <v>63299.999999995634</v>
      </c>
      <c r="X24" s="14">
        <f t="shared" si="17"/>
        <v>62021.00000000064</v>
      </c>
      <c r="Y24" s="14">
        <f t="shared" si="17"/>
        <v>63603.000000002794</v>
      </c>
      <c r="Z24" s="14">
        <f t="shared" si="17"/>
        <v>106254.00000000081</v>
      </c>
      <c r="AA24" s="14">
        <f t="shared" si="17"/>
        <v>110689.99999999505</v>
      </c>
      <c r="AB24" s="14">
        <f t="shared" si="17"/>
        <v>93234.000000004016</v>
      </c>
      <c r="AC24" s="14">
        <f t="shared" si="17"/>
        <v>89317.000000002736</v>
      </c>
      <c r="AD24" s="14">
        <f t="shared" si="17"/>
        <v>99094.999999993888</v>
      </c>
      <c r="AE24" s="14">
        <f t="shared" si="17"/>
        <v>76718.000000000757</v>
      </c>
      <c r="AF24" s="14">
        <f>SUM(B24:AC24)</f>
        <v>2319352.0000000061</v>
      </c>
    </row>
    <row r="25" spans="1:38" x14ac:dyDescent="0.25">
      <c r="A25" s="103" t="s">
        <v>209</v>
      </c>
      <c r="B25" s="89">
        <f>B23-B24</f>
        <v>163562</v>
      </c>
      <c r="C25" s="89">
        <f t="shared" ref="C25:AE25" si="18">C23-C24</f>
        <v>122254</v>
      </c>
      <c r="D25" s="89">
        <f t="shared" si="18"/>
        <v>134892.00000000003</v>
      </c>
      <c r="E25" s="89">
        <f t="shared" si="18"/>
        <v>159874.00000000003</v>
      </c>
      <c r="F25" s="89">
        <f t="shared" si="18"/>
        <v>143168</v>
      </c>
      <c r="G25" s="89">
        <f t="shared" si="18"/>
        <v>139251.99999999997</v>
      </c>
      <c r="H25" s="89">
        <f t="shared" si="18"/>
        <v>139940</v>
      </c>
      <c r="I25" s="89">
        <f t="shared" si="18"/>
        <v>137672</v>
      </c>
      <c r="J25" s="89">
        <f t="shared" ref="J25" si="19">J23-J24</f>
        <v>142452</v>
      </c>
      <c r="K25" s="110">
        <f t="shared" si="18"/>
        <v>145160.00000000006</v>
      </c>
      <c r="L25" s="89">
        <f t="shared" si="18"/>
        <v>138719.99999999997</v>
      </c>
      <c r="M25" s="89">
        <f t="shared" si="18"/>
        <v>140636</v>
      </c>
      <c r="N25" s="89">
        <f t="shared" si="18"/>
        <v>126304.00000000006</v>
      </c>
      <c r="O25" s="89">
        <f t="shared" si="18"/>
        <v>133716.00000000003</v>
      </c>
      <c r="P25" s="89">
        <f t="shared" si="18"/>
        <v>157692</v>
      </c>
      <c r="Q25" s="89">
        <f t="shared" si="18"/>
        <v>188728.00000000003</v>
      </c>
      <c r="R25" s="89">
        <f t="shared" si="18"/>
        <v>171652.00000000003</v>
      </c>
      <c r="S25" s="89">
        <f t="shared" si="18"/>
        <v>181227.99999999997</v>
      </c>
      <c r="T25" s="89">
        <f t="shared" si="18"/>
        <v>188220.00000000006</v>
      </c>
      <c r="U25" s="89">
        <f t="shared" si="18"/>
        <v>176352</v>
      </c>
      <c r="V25" s="89">
        <f t="shared" si="18"/>
        <v>170220.00000000003</v>
      </c>
      <c r="W25" s="89">
        <f t="shared" si="18"/>
        <v>167612</v>
      </c>
      <c r="X25" s="89">
        <f t="shared" si="18"/>
        <v>90860</v>
      </c>
      <c r="Y25" s="89">
        <f t="shared" si="18"/>
        <v>142184</v>
      </c>
      <c r="Z25" s="89">
        <f t="shared" si="18"/>
        <v>157920</v>
      </c>
      <c r="AA25" s="89">
        <f t="shared" si="18"/>
        <v>152064.00000000006</v>
      </c>
      <c r="AB25" s="89">
        <f t="shared" si="18"/>
        <v>150496</v>
      </c>
      <c r="AC25" s="89">
        <f t="shared" si="18"/>
        <v>152184.00000000003</v>
      </c>
      <c r="AD25" s="89">
        <f t="shared" si="18"/>
        <v>157416</v>
      </c>
      <c r="AE25" s="89">
        <f t="shared" si="18"/>
        <v>114728</v>
      </c>
      <c r="AF25" s="57">
        <f>AF23-AF24</f>
        <v>4502983.7299999986</v>
      </c>
    </row>
    <row r="26" spans="1:38" x14ac:dyDescent="0.25">
      <c r="A26" s="104" t="s">
        <v>214</v>
      </c>
      <c r="B26" s="89">
        <f>B24/B23%</f>
        <v>32.486884305333035</v>
      </c>
      <c r="C26" s="89">
        <f t="shared" ref="C26:AE26" si="20">C24/C23%</f>
        <v>42.075912422592815</v>
      </c>
      <c r="D26" s="89">
        <f t="shared" si="20"/>
        <v>44.676714856968118</v>
      </c>
      <c r="E26" s="89">
        <f t="shared" si="20"/>
        <v>38.91527366510536</v>
      </c>
      <c r="F26" s="89">
        <f t="shared" si="20"/>
        <v>39.285169038692793</v>
      </c>
      <c r="G26" s="89">
        <f t="shared" si="20"/>
        <v>39.749308803615278</v>
      </c>
      <c r="H26" s="89">
        <f t="shared" si="20"/>
        <v>28.73366537313688</v>
      </c>
      <c r="I26" s="89">
        <f t="shared" si="20"/>
        <v>32.015170070712934</v>
      </c>
      <c r="J26" s="89">
        <f t="shared" ref="J26" si="21">J24/J23%</f>
        <v>31.328245893973978</v>
      </c>
      <c r="K26" s="110">
        <f t="shared" si="20"/>
        <v>41.291854224552146</v>
      </c>
      <c r="L26" s="89">
        <f t="shared" si="20"/>
        <v>43.8896237061481</v>
      </c>
      <c r="M26" s="89">
        <f t="shared" si="20"/>
        <v>42.439200085132704</v>
      </c>
      <c r="N26" s="89">
        <f t="shared" si="20"/>
        <v>46.376836206163901</v>
      </c>
      <c r="O26" s="89">
        <f t="shared" si="20"/>
        <v>42.933961539447907</v>
      </c>
      <c r="P26" s="89">
        <f t="shared" si="20"/>
        <v>33.464133365398823</v>
      </c>
      <c r="Q26" s="89">
        <f t="shared" si="20"/>
        <v>25.877399692087163</v>
      </c>
      <c r="R26" s="89">
        <f t="shared" si="20"/>
        <v>26.278356625634878</v>
      </c>
      <c r="S26" s="89">
        <f t="shared" si="20"/>
        <v>26.047498571778991</v>
      </c>
      <c r="T26" s="89">
        <f t="shared" si="20"/>
        <v>24.705976478118856</v>
      </c>
      <c r="U26" s="89">
        <f t="shared" si="20"/>
        <v>26.308443824143698</v>
      </c>
      <c r="V26" s="89">
        <f t="shared" si="20"/>
        <v>26.958312772212739</v>
      </c>
      <c r="W26" s="89">
        <f t="shared" si="20"/>
        <v>27.413040465630559</v>
      </c>
      <c r="X26" s="89">
        <f t="shared" si="20"/>
        <v>40.568154316102316</v>
      </c>
      <c r="Y26" s="89">
        <f t="shared" si="20"/>
        <v>30.907200163276556</v>
      </c>
      <c r="Z26" s="89">
        <f t="shared" si="20"/>
        <v>40.221217833700706</v>
      </c>
      <c r="AA26" s="89">
        <f t="shared" si="20"/>
        <v>42.126856299046679</v>
      </c>
      <c r="AB26" s="89">
        <f t="shared" si="20"/>
        <v>38.252984860297246</v>
      </c>
      <c r="AC26" s="89">
        <f t="shared" si="20"/>
        <v>36.984111867032318</v>
      </c>
      <c r="AD26" s="89">
        <f t="shared" si="20"/>
        <v>38.631871537671387</v>
      </c>
      <c r="AE26" s="89">
        <f t="shared" si="20"/>
        <v>40.072918734264732</v>
      </c>
      <c r="AF26" s="57">
        <f>AF24/AF23%</f>
        <v>33.996450655470809</v>
      </c>
      <c r="AH26" s="8"/>
    </row>
    <row r="27" spans="1:38" x14ac:dyDescent="0.25">
      <c r="A27" s="104" t="s">
        <v>215</v>
      </c>
      <c r="B27" s="89">
        <f>B25/B23%</f>
        <v>67.513115694666965</v>
      </c>
      <c r="C27" s="89">
        <f t="shared" ref="C27:AE27" si="22">C25/C23%</f>
        <v>57.924087577407185</v>
      </c>
      <c r="D27" s="89">
        <f t="shared" si="22"/>
        <v>55.323285143031896</v>
      </c>
      <c r="E27" s="89">
        <f t="shared" si="22"/>
        <v>61.08472633489464</v>
      </c>
      <c r="F27" s="89">
        <f t="shared" si="22"/>
        <v>60.714830961307214</v>
      </c>
      <c r="G27" s="89">
        <f t="shared" si="22"/>
        <v>60.250691196384729</v>
      </c>
      <c r="H27" s="89">
        <f t="shared" si="22"/>
        <v>71.266334626863113</v>
      </c>
      <c r="I27" s="89">
        <f t="shared" si="22"/>
        <v>67.984829929287059</v>
      </c>
      <c r="J27" s="89">
        <f t="shared" ref="J27" si="23">J25/J23%</f>
        <v>68.671754106026029</v>
      </c>
      <c r="K27" s="110">
        <f t="shared" si="22"/>
        <v>58.708145775447861</v>
      </c>
      <c r="L27" s="89">
        <f t="shared" si="22"/>
        <v>56.110376293851893</v>
      </c>
      <c r="M27" s="89">
        <f t="shared" si="22"/>
        <v>57.560799914867289</v>
      </c>
      <c r="N27" s="89">
        <f t="shared" si="22"/>
        <v>53.623163793836106</v>
      </c>
      <c r="O27" s="89">
        <f t="shared" si="22"/>
        <v>57.066038460552093</v>
      </c>
      <c r="P27" s="89">
        <f t="shared" si="22"/>
        <v>66.535866634601177</v>
      </c>
      <c r="Q27" s="89">
        <f t="shared" si="22"/>
        <v>74.122600307912833</v>
      </c>
      <c r="R27" s="89">
        <f t="shared" si="22"/>
        <v>73.721643374365115</v>
      </c>
      <c r="S27" s="89">
        <f t="shared" si="22"/>
        <v>73.952501428221012</v>
      </c>
      <c r="T27" s="89">
        <f t="shared" si="22"/>
        <v>75.294023521881144</v>
      </c>
      <c r="U27" s="89">
        <f t="shared" si="22"/>
        <v>73.691556175856306</v>
      </c>
      <c r="V27" s="89">
        <f t="shared" si="22"/>
        <v>73.041687227787264</v>
      </c>
      <c r="W27" s="89">
        <f t="shared" si="22"/>
        <v>72.586959534369441</v>
      </c>
      <c r="X27" s="89">
        <f t="shared" si="22"/>
        <v>59.431845683897691</v>
      </c>
      <c r="Y27" s="89">
        <f t="shared" si="22"/>
        <v>69.092799836723444</v>
      </c>
      <c r="Z27" s="89">
        <f t="shared" si="22"/>
        <v>59.778782166299301</v>
      </c>
      <c r="AA27" s="89">
        <f t="shared" si="22"/>
        <v>57.873143700953314</v>
      </c>
      <c r="AB27" s="89">
        <f t="shared" si="22"/>
        <v>61.747015139702754</v>
      </c>
      <c r="AC27" s="89">
        <f t="shared" si="22"/>
        <v>63.015888132967689</v>
      </c>
      <c r="AD27" s="89">
        <f t="shared" si="22"/>
        <v>61.36812846232862</v>
      </c>
      <c r="AE27" s="89">
        <f t="shared" si="22"/>
        <v>59.927081265735275</v>
      </c>
      <c r="AF27" s="57">
        <f>AF25/AF23%</f>
        <v>66.003549344529191</v>
      </c>
    </row>
    <row r="28" spans="1:38" ht="30" customHeight="1" x14ac:dyDescent="0.25">
      <c r="A28" s="104" t="s">
        <v>210</v>
      </c>
      <c r="B28" s="19">
        <f>0</f>
        <v>0</v>
      </c>
      <c r="C28" s="19">
        <f>0</f>
        <v>0</v>
      </c>
      <c r="D28" s="19">
        <f>0</f>
        <v>0</v>
      </c>
      <c r="E28" s="19">
        <f>0</f>
        <v>0</v>
      </c>
      <c r="F28" s="19">
        <f>0</f>
        <v>0</v>
      </c>
      <c r="G28" s="19">
        <f>0</f>
        <v>0</v>
      </c>
      <c r="H28" s="19">
        <f>0</f>
        <v>0</v>
      </c>
      <c r="I28" s="19">
        <f>0</f>
        <v>0</v>
      </c>
      <c r="J28" s="19">
        <f>0</f>
        <v>0</v>
      </c>
      <c r="K28" s="19">
        <f>0</f>
        <v>0</v>
      </c>
      <c r="L28" s="19">
        <f>0</f>
        <v>0</v>
      </c>
      <c r="M28" s="19">
        <f>0</f>
        <v>0</v>
      </c>
      <c r="N28" s="19">
        <f>0</f>
        <v>0</v>
      </c>
      <c r="O28" s="19">
        <f>0</f>
        <v>0</v>
      </c>
      <c r="P28" s="19">
        <f>0</f>
        <v>0</v>
      </c>
      <c r="Q28" s="19">
        <f>0</f>
        <v>0</v>
      </c>
      <c r="R28" s="19">
        <f>0</f>
        <v>0</v>
      </c>
      <c r="S28" s="19">
        <f>0</f>
        <v>0</v>
      </c>
      <c r="T28" s="19">
        <f>0</f>
        <v>0</v>
      </c>
      <c r="U28" s="19">
        <f>0</f>
        <v>0</v>
      </c>
      <c r="V28" s="19">
        <f>0</f>
        <v>0</v>
      </c>
      <c r="W28" s="19">
        <f>0</f>
        <v>0</v>
      </c>
      <c r="X28" s="19">
        <f>0</f>
        <v>0</v>
      </c>
      <c r="Y28" s="19">
        <f>0</f>
        <v>0</v>
      </c>
      <c r="Z28" s="19">
        <f>0</f>
        <v>0</v>
      </c>
      <c r="AA28" s="19">
        <f>0</f>
        <v>0</v>
      </c>
      <c r="AB28" s="19">
        <f>0</f>
        <v>0</v>
      </c>
      <c r="AC28" s="19">
        <f>0</f>
        <v>0</v>
      </c>
      <c r="AD28" s="19">
        <f>0</f>
        <v>0</v>
      </c>
      <c r="AE28" s="19">
        <f>0</f>
        <v>0</v>
      </c>
      <c r="AF28" s="19">
        <v>0</v>
      </c>
      <c r="AL28" s="8"/>
    </row>
    <row r="29" spans="1:38" x14ac:dyDescent="0.25">
      <c r="A29" s="104" t="s">
        <v>211</v>
      </c>
      <c r="B29" s="19">
        <f>B20</f>
        <v>150321.63200000057</v>
      </c>
      <c r="C29" s="19">
        <f t="shared" ref="C29:AE29" si="24">C20</f>
        <v>111110.86200000247</v>
      </c>
      <c r="D29" s="19">
        <f t="shared" si="24"/>
        <v>120991.37800000138</v>
      </c>
      <c r="E29" s="19">
        <f t="shared" si="24"/>
        <v>147540.87999999896</v>
      </c>
      <c r="F29" s="19">
        <f t="shared" si="24"/>
        <v>129799.51599999701</v>
      </c>
      <c r="G29" s="19">
        <f t="shared" si="24"/>
        <v>126286.49000000539</v>
      </c>
      <c r="H29" s="19">
        <f t="shared" si="24"/>
        <v>126836.45199999621</v>
      </c>
      <c r="I29" s="19">
        <f t="shared" si="24"/>
        <v>126274.44199999716</v>
      </c>
      <c r="J29" s="19">
        <f t="shared" si="24"/>
        <v>128156.06800000284</v>
      </c>
      <c r="K29" s="19">
        <f t="shared" si="24"/>
        <v>134120.18608000022</v>
      </c>
      <c r="L29" s="19">
        <f t="shared" si="24"/>
        <v>123212.15128000043</v>
      </c>
      <c r="M29" s="19">
        <f t="shared" si="24"/>
        <v>129493.51919999954</v>
      </c>
      <c r="N29" s="19">
        <f t="shared" si="24"/>
        <v>113268.6819999955</v>
      </c>
      <c r="O29" s="19">
        <f t="shared" si="24"/>
        <v>122454.08488000487</v>
      </c>
      <c r="P29" s="19">
        <f t="shared" si="24"/>
        <v>131219.12711999699</v>
      </c>
      <c r="Q29" s="19">
        <f t="shared" si="24"/>
        <v>130346.20200000382</v>
      </c>
      <c r="R29" s="19">
        <f t="shared" si="24"/>
        <v>113873.95759999735</v>
      </c>
      <c r="S29" s="19">
        <f t="shared" si="24"/>
        <v>122756.0852000025</v>
      </c>
      <c r="T29" s="19">
        <f t="shared" si="24"/>
        <v>121990.71720000106</v>
      </c>
      <c r="U29" s="19">
        <f t="shared" si="24"/>
        <v>111608.42959999543</v>
      </c>
      <c r="V29" s="19">
        <f t="shared" si="24"/>
        <v>108330.80400000358</v>
      </c>
      <c r="W29" s="19">
        <f t="shared" si="24"/>
        <v>99821.538799997346</v>
      </c>
      <c r="X29" s="19">
        <f t="shared" si="24"/>
        <v>26939.808800001243</v>
      </c>
      <c r="Y29" s="19">
        <f t="shared" si="24"/>
        <v>76901.39784000389</v>
      </c>
      <c r="Z29" s="19">
        <f t="shared" si="24"/>
        <v>137042.39551999545</v>
      </c>
      <c r="AA29" s="19">
        <f t="shared" si="24"/>
        <v>137910.74559999924</v>
      </c>
      <c r="AB29" s="19">
        <f t="shared" si="24"/>
        <v>132889.48120000164</v>
      </c>
      <c r="AC29" s="19">
        <f t="shared" si="24"/>
        <v>127381.03080000196</v>
      </c>
      <c r="AD29" s="19">
        <f t="shared" si="24"/>
        <v>143706.5763999965</v>
      </c>
      <c r="AE29" s="19">
        <f t="shared" si="24"/>
        <v>80251.659600002225</v>
      </c>
      <c r="AF29" s="19">
        <f>AF20</f>
        <v>3432849.0307200057</v>
      </c>
    </row>
    <row r="30" spans="1:38" x14ac:dyDescent="0.25">
      <c r="A30" s="104" t="s">
        <v>212</v>
      </c>
      <c r="B30" s="19">
        <f>B21-B11-B12-6224</f>
        <v>78704.864000001224</v>
      </c>
      <c r="C30" s="19">
        <f>C21-C11-C12-4399-804+900</f>
        <v>88804.590999998793</v>
      </c>
      <c r="D30" s="19">
        <f>D21-D11-D12-6884</f>
        <v>108928.63900000219</v>
      </c>
      <c r="E30" s="19">
        <f>E21-E11-E12-3299-865</f>
        <v>101851.79099999715</v>
      </c>
      <c r="F30" s="19">
        <f>F21-F11-F12-5523-362</f>
        <v>92041.821999999855</v>
      </c>
      <c r="G30" s="19">
        <f>G21-G11-G12-5691</f>
        <v>91079.24300000236</v>
      </c>
      <c r="H30" s="19">
        <f>H21-H11-H12-5678</f>
        <v>56421.862000001289</v>
      </c>
      <c r="I30" s="19">
        <f>I21-I11-I12-4467</f>
        <v>64832.469999997658</v>
      </c>
      <c r="J30" s="19">
        <f>J21-J11-J12-8421</f>
        <v>64423.552999998792</v>
      </c>
      <c r="K30" s="19">
        <f>K21-K11-K12-5041</f>
        <v>101239.07292000209</v>
      </c>
      <c r="L30" s="19">
        <f>L21-L11-L12-8786</f>
        <v>107569.75771999557</v>
      </c>
      <c r="M30" s="19">
        <f>M21-M11-M12-4570</f>
        <v>102807.35880000415</v>
      </c>
      <c r="N30" s="19">
        <f>N21-N11-N12-6381</f>
        <v>108307.69000000024</v>
      </c>
      <c r="O30" s="19">
        <f>O21-O11-O12-4721</f>
        <v>100402.38212000276</v>
      </c>
      <c r="P30" s="19">
        <f>P21-P11-P12-19995</f>
        <v>78811.441879996637</v>
      </c>
      <c r="Q30" s="19">
        <f>Q21-Q11-Q12-51715</f>
        <v>65887.667000002359</v>
      </c>
      <c r="R30" s="19">
        <f>R21-R11-R12-50790</f>
        <v>61172.171399998013</v>
      </c>
      <c r="S30" s="19">
        <f>S21-S11-S12-51234</f>
        <v>63284.04779999805</v>
      </c>
      <c r="T30" s="19">
        <f>T21-T11-T12-57612</f>
        <v>61220.493800001699</v>
      </c>
      <c r="U30" s="19">
        <f>U21-U11-U12-56408</f>
        <v>62430.456399999035</v>
      </c>
      <c r="V30" s="19">
        <f>V21-V11-V12-53706</f>
        <v>62287.10800000155</v>
      </c>
      <c r="W30" s="19">
        <f>W21-W11-W12-58808</f>
        <v>63299.692199999292</v>
      </c>
      <c r="X30" s="19">
        <f>X21-X11-X12-55225</f>
        <v>62021.387199999328</v>
      </c>
      <c r="Y30" s="19">
        <f>Y21-Y11-Y12-56639</f>
        <v>63603.175159998122</v>
      </c>
      <c r="Z30" s="19">
        <f>Z21-Z11-Z12-11877</f>
        <v>106251.67748000452</v>
      </c>
      <c r="AA30" s="19">
        <f>AA21-AA11-AA12-5306</f>
        <v>110690.37139999622</v>
      </c>
      <c r="AB30" s="19">
        <f>AB21-AB11-AB12-8825</f>
        <v>93233.988800002131</v>
      </c>
      <c r="AC30" s="19">
        <f>AC21-AC11-AC12-15782</f>
        <v>89316.615200002008</v>
      </c>
      <c r="AD30" s="19">
        <f>AD21-AD11-AD12-4665</f>
        <v>99095.463599996103</v>
      </c>
      <c r="AE30" s="19">
        <f>AE21-AE11-AE12-26025</f>
        <v>76717.812399999573</v>
      </c>
      <c r="AF30" s="19">
        <f>SUM(B30:AC30)</f>
        <v>2310925.3902800032</v>
      </c>
    </row>
    <row r="31" spans="1:38" x14ac:dyDescent="0.25">
      <c r="A31" s="104" t="s">
        <v>256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f>SUM(B31:AC31)</f>
        <v>0</v>
      </c>
    </row>
    <row r="32" spans="1:38" x14ac:dyDescent="0.25">
      <c r="A32" s="104" t="s">
        <v>213</v>
      </c>
      <c r="B32" s="19">
        <f t="shared" ref="B32:AE32" si="25">B21-B30</f>
        <v>12108.413999999641</v>
      </c>
      <c r="C32" s="19">
        <f t="shared" si="25"/>
        <v>9959.7569999989937</v>
      </c>
      <c r="D32" s="19">
        <f t="shared" si="25"/>
        <v>12613.343000001332</v>
      </c>
      <c r="E32" s="19">
        <f t="shared" si="25"/>
        <v>10406.14899999887</v>
      </c>
      <c r="F32" s="19">
        <f t="shared" si="25"/>
        <v>11938.242000001803</v>
      </c>
      <c r="G32" s="19">
        <f t="shared" si="25"/>
        <v>11857.746999998257</v>
      </c>
      <c r="H32" s="19">
        <f t="shared" si="25"/>
        <v>11778.326000001281</v>
      </c>
      <c r="I32" s="19">
        <f t="shared" si="25"/>
        <v>10041.467999999935</v>
      </c>
      <c r="J32" s="19">
        <f t="shared" si="25"/>
        <v>13573.958999999435</v>
      </c>
      <c r="K32" s="19">
        <f t="shared" si="25"/>
        <v>10586.550999999366</v>
      </c>
      <c r="L32" s="19">
        <f t="shared" si="25"/>
        <v>15250.601000001538</v>
      </c>
      <c r="M32" s="19">
        <f t="shared" si="25"/>
        <v>10819.671999998449</v>
      </c>
      <c r="N32" s="19">
        <f t="shared" si="25"/>
        <v>12951.608000001434</v>
      </c>
      <c r="O32" s="19">
        <f t="shared" si="25"/>
        <v>10336.282999998628</v>
      </c>
      <c r="P32" s="19">
        <f t="shared" si="25"/>
        <v>25773.081000000995</v>
      </c>
      <c r="Q32" s="19">
        <f t="shared" si="25"/>
        <v>57323.730999999767</v>
      </c>
      <c r="R32" s="19">
        <f t="shared" si="25"/>
        <v>56648.150999999169</v>
      </c>
      <c r="S32" s="19">
        <f t="shared" si="25"/>
        <v>57899.277000001719</v>
      </c>
      <c r="T32" s="19">
        <f t="shared" si="25"/>
        <v>65611.138999998948</v>
      </c>
      <c r="U32" s="19">
        <f t="shared" si="25"/>
        <v>64272.384000000835</v>
      </c>
      <c r="V32" s="19">
        <f t="shared" si="25"/>
        <v>61403.737999999634</v>
      </c>
      <c r="W32" s="19">
        <f t="shared" si="25"/>
        <v>66810.648999998899</v>
      </c>
      <c r="X32" s="19">
        <f t="shared" si="25"/>
        <v>62896.344000000099</v>
      </c>
      <c r="Y32" s="19">
        <f t="shared" si="25"/>
        <v>64145.277000000409</v>
      </c>
      <c r="Z32" s="19">
        <f t="shared" si="25"/>
        <v>19740.207000001101</v>
      </c>
      <c r="AA32" s="19">
        <f t="shared" si="25"/>
        <v>13001.922999999661</v>
      </c>
      <c r="AB32" s="19">
        <f t="shared" si="25"/>
        <v>16494.05000000025</v>
      </c>
      <c r="AC32" s="19">
        <f t="shared" si="25"/>
        <v>23714.473999998911</v>
      </c>
      <c r="AD32" s="19">
        <f t="shared" si="25"/>
        <v>12573.070000001171</v>
      </c>
      <c r="AE32" s="19">
        <f t="shared" si="25"/>
        <v>33265.887999998842</v>
      </c>
      <c r="AF32" s="19">
        <f>SUM(B32:AC32)</f>
        <v>819956.54499999934</v>
      </c>
    </row>
    <row r="33" spans="1:32" x14ac:dyDescent="0.25">
      <c r="A33" s="104" t="s">
        <v>220</v>
      </c>
      <c r="B33" s="19">
        <f>'IMS DATA'!B4-1108</f>
        <v>24.09000000031665</v>
      </c>
      <c r="C33" s="19">
        <f>'IMS DATA'!C4</f>
        <v>1183.7900000000373</v>
      </c>
      <c r="D33" s="19">
        <f>'IMS DATA'!D4</f>
        <v>1291.6399999996647</v>
      </c>
      <c r="E33" s="19">
        <f>'IMS DATA'!E4</f>
        <v>1926.1800000001676</v>
      </c>
      <c r="F33" s="19">
        <f>'IMS DATA'!F4</f>
        <v>2024.4199999999255</v>
      </c>
      <c r="G33" s="19">
        <f>'IMS DATA'!G4</f>
        <v>1897.5200000000186</v>
      </c>
      <c r="H33" s="19">
        <f>'IMS DATA'!H4</f>
        <v>1325.3599999998696</v>
      </c>
      <c r="I33" s="19">
        <f>'IMS DATA'!I4</f>
        <v>1355.6200000001118</v>
      </c>
      <c r="J33" s="19">
        <f>'IMS DATA'!J4</f>
        <v>1285.4199999999255</v>
      </c>
      <c r="K33" s="19">
        <f>'IMS DATA'!K4</f>
        <v>1311.1899999999441</v>
      </c>
      <c r="L33" s="19">
        <f>'IMS DATA'!L4</f>
        <v>1194.4900000002235</v>
      </c>
      <c r="M33" s="19">
        <f>'IMS DATA'!M4</f>
        <v>1205.4500000001863</v>
      </c>
      <c r="N33" s="19">
        <f>'IMS DATA'!N4</f>
        <v>1012.0200000000186</v>
      </c>
      <c r="O33" s="19">
        <f>'IMS DATA'!O4</f>
        <v>1125.25</v>
      </c>
      <c r="P33" s="19">
        <f>'IMS DATA'!P4</f>
        <v>1199.3499999996275</v>
      </c>
      <c r="Q33" s="19">
        <f>'IMS DATA'!Q4</f>
        <v>1058.4000000003725</v>
      </c>
      <c r="R33" s="19">
        <f>'IMS DATA'!R4</f>
        <v>1143.7199999997392</v>
      </c>
      <c r="S33" s="19">
        <f>'IMS DATA'!S4</f>
        <v>1120.589999999851</v>
      </c>
      <c r="T33" s="19">
        <f>'IMS DATA'!T4</f>
        <v>1157.6500000003725</v>
      </c>
      <c r="U33" s="19">
        <f>'IMS DATA'!U4</f>
        <v>999.72999999998137</v>
      </c>
      <c r="V33" s="19">
        <f>'IMS DATA'!V4</f>
        <v>1023.3499999996275</v>
      </c>
      <c r="W33" s="19">
        <f>'IMS DATA'!W4</f>
        <v>980.12000000011176</v>
      </c>
      <c r="X33" s="19">
        <f>'IMS DATA'!X4</f>
        <v>1023.4599999999627</v>
      </c>
      <c r="Y33" s="19">
        <f>'IMS DATA'!Y4</f>
        <v>1137.1500000003725</v>
      </c>
      <c r="Z33" s="19">
        <f>'IMS DATA'!Z4</f>
        <v>1139.7199999997392</v>
      </c>
      <c r="AA33" s="19">
        <f>'IMS DATA'!AA4</f>
        <v>1150.9599999999627</v>
      </c>
      <c r="AB33" s="19">
        <f>'IMS DATA'!AB4</f>
        <v>1112.4799999999814</v>
      </c>
      <c r="AC33" s="19">
        <f>'IMS DATA'!AC4</f>
        <v>1088.8799999998882</v>
      </c>
      <c r="AD33" s="19">
        <f>'IMS DATA'!AD4</f>
        <v>1135.8900000001304</v>
      </c>
      <c r="AE33" s="19">
        <f>'IMS DATA'!AE4</f>
        <v>1210.6400000001304</v>
      </c>
      <c r="AF33" s="19">
        <f>'IMS DATA'!AF4</f>
        <v>36952.530000000261</v>
      </c>
    </row>
    <row r="34" spans="1:32" x14ac:dyDescent="0.25">
      <c r="A34" s="104" t="s">
        <v>219</v>
      </c>
      <c r="B34" s="14">
        <f>'IMS DATA'!B71+1108</f>
        <v>1108</v>
      </c>
      <c r="C34" s="14">
        <f>'IMS DATA'!C71</f>
        <v>0</v>
      </c>
      <c r="D34" s="14">
        <f>'IMS DATA'!D71</f>
        <v>0</v>
      </c>
      <c r="E34" s="14">
        <f>'IMS DATA'!E71</f>
        <v>0</v>
      </c>
      <c r="F34" s="14">
        <f>'IMS DATA'!F71</f>
        <v>0</v>
      </c>
      <c r="G34" s="14">
        <f>'IMS DATA'!G71</f>
        <v>0</v>
      </c>
      <c r="H34" s="14">
        <f>'IMS DATA'!H71</f>
        <v>0</v>
      </c>
      <c r="I34" s="14">
        <f>'IMS DATA'!I71</f>
        <v>0</v>
      </c>
      <c r="J34" s="14">
        <f>'IMS DATA'!J71</f>
        <v>0</v>
      </c>
      <c r="K34" s="14">
        <f>'IMS DATA'!K71</f>
        <v>0</v>
      </c>
      <c r="L34" s="14">
        <f>'IMS DATA'!L71</f>
        <v>0</v>
      </c>
      <c r="M34" s="14">
        <f>'IMS DATA'!M71</f>
        <v>0</v>
      </c>
      <c r="N34" s="14">
        <f>'IMS DATA'!N71</f>
        <v>0</v>
      </c>
      <c r="O34" s="14">
        <f>'IMS DATA'!O71</f>
        <v>0</v>
      </c>
      <c r="P34" s="14">
        <f>'IMS DATA'!P71</f>
        <v>0</v>
      </c>
      <c r="Q34" s="14">
        <f>'IMS DATA'!Q71</f>
        <v>0</v>
      </c>
      <c r="R34" s="14">
        <f>'IMS DATA'!R71</f>
        <v>0</v>
      </c>
      <c r="S34" s="14">
        <f>'IMS DATA'!S71</f>
        <v>0</v>
      </c>
      <c r="T34" s="14">
        <f>'IMS DATA'!T71</f>
        <v>0</v>
      </c>
      <c r="U34" s="14">
        <f>'IMS DATA'!U71</f>
        <v>0</v>
      </c>
      <c r="V34" s="14">
        <f>'IMS DATA'!V71</f>
        <v>0</v>
      </c>
      <c r="W34" s="14">
        <f>'IMS DATA'!W71</f>
        <v>0</v>
      </c>
      <c r="X34" s="14">
        <f>'IMS DATA'!X71</f>
        <v>0</v>
      </c>
      <c r="Y34" s="14">
        <f>'IMS DATA'!Y71</f>
        <v>0</v>
      </c>
      <c r="Z34" s="14">
        <f>'IMS DATA'!Z71</f>
        <v>0</v>
      </c>
      <c r="AA34" s="14">
        <f>'IMS DATA'!AA71</f>
        <v>0</v>
      </c>
      <c r="AB34" s="14">
        <f>'IMS DATA'!AB71</f>
        <v>0</v>
      </c>
      <c r="AC34" s="14">
        <f>'IMS DATA'!AC71</f>
        <v>0</v>
      </c>
      <c r="AD34" s="14">
        <f>'IMS DATA'!AD71</f>
        <v>0</v>
      </c>
      <c r="AE34" s="14">
        <f>'IMS DATA'!AE71</f>
        <v>0</v>
      </c>
      <c r="AF34" s="19">
        <f>'IMS DATA'!AF71</f>
        <v>0</v>
      </c>
    </row>
    <row r="35" spans="1:32" x14ac:dyDescent="0.25">
      <c r="B35" s="8"/>
      <c r="H35" s="8"/>
      <c r="I35" s="8"/>
      <c r="L35" s="8"/>
      <c r="M35" s="8"/>
      <c r="N35" s="8"/>
      <c r="Q35" s="8"/>
      <c r="R35" s="8"/>
      <c r="T35" s="8"/>
      <c r="W35" s="8"/>
      <c r="AD35" s="8">
        <f>AD30-AD24</f>
        <v>0.4636000022146618</v>
      </c>
      <c r="AE35" s="8">
        <f>AE30-AE24</f>
        <v>-0.18760000118345488</v>
      </c>
    </row>
    <row r="36" spans="1:32" x14ac:dyDescent="0.25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spans="1:32" x14ac:dyDescent="0.25">
      <c r="C37" s="8"/>
      <c r="D37" s="8"/>
      <c r="E37" s="8"/>
      <c r="J37" s="8"/>
      <c r="K37" s="8"/>
      <c r="L37" s="8"/>
      <c r="N37" s="8"/>
      <c r="O37" s="8"/>
      <c r="Q37" s="8"/>
      <c r="R37" s="8"/>
      <c r="T37" s="8"/>
      <c r="W37" s="8"/>
      <c r="X37" s="8"/>
      <c r="Y37" s="8"/>
      <c r="Z37" s="8"/>
      <c r="AE37" s="8"/>
    </row>
    <row r="38" spans="1:32" x14ac:dyDescent="0.25">
      <c r="C38" s="8"/>
      <c r="E38" s="8"/>
      <c r="F38" s="8"/>
      <c r="G38" s="8"/>
      <c r="J38" s="8"/>
      <c r="K38" s="8"/>
      <c r="L38" s="8"/>
      <c r="M38" s="8"/>
      <c r="O38" s="8"/>
      <c r="P38" s="8"/>
      <c r="Q38" s="8"/>
      <c r="R38" s="8"/>
      <c r="S38" s="8"/>
      <c r="T38" s="8"/>
      <c r="U38" s="8"/>
      <c r="V38" s="8"/>
      <c r="X38" s="8"/>
      <c r="Y38" s="8"/>
      <c r="Z38" s="8"/>
      <c r="AC38" s="8"/>
      <c r="AE38" s="8"/>
    </row>
    <row r="39" spans="1:32" x14ac:dyDescent="0.25">
      <c r="C39" s="8"/>
      <c r="D39" s="8"/>
      <c r="G39" s="8"/>
      <c r="J39" s="8"/>
      <c r="L39" s="8"/>
      <c r="N39" s="8"/>
      <c r="O39" s="8"/>
      <c r="R39" s="8"/>
      <c r="T39" s="8"/>
      <c r="U39" s="8"/>
      <c r="V39" s="108"/>
      <c r="W39" s="8"/>
      <c r="X39" s="8"/>
      <c r="Z39" s="8"/>
      <c r="AA39" s="8"/>
      <c r="AC39" s="8"/>
      <c r="AD39" s="8"/>
    </row>
    <row r="40" spans="1:32" x14ac:dyDescent="0.25">
      <c r="J40" s="8"/>
      <c r="L40" s="8"/>
      <c r="N40" s="8"/>
      <c r="Q40" s="8"/>
      <c r="S40" s="8"/>
      <c r="V40" s="8"/>
      <c r="Z40" s="8"/>
      <c r="AD40" s="8"/>
    </row>
    <row r="41" spans="1:32" x14ac:dyDescent="0.25">
      <c r="L41" s="8"/>
      <c r="N41" s="8"/>
      <c r="V41" s="109"/>
      <c r="W41" s="108"/>
      <c r="AB41" s="8"/>
    </row>
    <row r="42" spans="1:32" x14ac:dyDescent="0.25">
      <c r="AB42" s="8"/>
    </row>
    <row r="45" spans="1:32" x14ac:dyDescent="0.25">
      <c r="T45" s="8"/>
    </row>
  </sheetData>
  <pageMargins left="0.7" right="0.7" top="0.75" bottom="0.75" header="0.3" footer="0.3"/>
  <pageSetup paperSize="9" scale="70" fitToWidth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C4C1C-22FF-4897-9231-B75DE20891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111"/>
  <sheetViews>
    <sheetView topLeftCell="A46" zoomScaleNormal="100" workbookViewId="0">
      <pane xSplit="1" topLeftCell="BC1" activePane="topRight" state="frozen"/>
      <selection pane="topRight" activeCell="BI70" sqref="BI70"/>
    </sheetView>
  </sheetViews>
  <sheetFormatPr defaultColWidth="9.140625" defaultRowHeight="15" x14ac:dyDescent="0.25"/>
  <cols>
    <col min="1" max="1" width="44.7109375" style="1" customWidth="1"/>
    <col min="2" max="2" width="17.28515625" style="1" customWidth="1"/>
    <col min="3" max="3" width="15.7109375" style="1" customWidth="1"/>
    <col min="4" max="4" width="13.28515625" style="1" customWidth="1"/>
    <col min="5" max="5" width="14.7109375" style="1" customWidth="1"/>
    <col min="6" max="6" width="12.85546875" style="1" customWidth="1"/>
    <col min="7" max="7" width="15" style="1" customWidth="1"/>
    <col min="8" max="8" width="12.5703125" style="1" customWidth="1"/>
    <col min="9" max="9" width="16.140625" style="1" customWidth="1"/>
    <col min="10" max="10" width="14" style="1" customWidth="1"/>
    <col min="11" max="11" width="14.7109375" style="34" customWidth="1"/>
    <col min="12" max="12" width="13.42578125" style="34" customWidth="1"/>
    <col min="13" max="14" width="15.28515625" style="95" customWidth="1"/>
    <col min="15" max="15" width="14.28515625" style="34" customWidth="1"/>
    <col min="16" max="16" width="15" style="34" customWidth="1"/>
    <col min="17" max="17" width="14.7109375" style="34" customWidth="1"/>
    <col min="18" max="18" width="15.5703125" style="34" customWidth="1"/>
    <col min="19" max="19" width="14.42578125" style="34" customWidth="1"/>
    <col min="20" max="20" width="15.5703125" style="34" customWidth="1"/>
    <col min="21" max="21" width="14" style="34" customWidth="1"/>
    <col min="22" max="22" width="15" style="34" customWidth="1"/>
    <col min="23" max="23" width="14.28515625" style="34" customWidth="1"/>
    <col min="24" max="24" width="14.42578125" style="34" customWidth="1"/>
    <col min="25" max="25" width="14.5703125" style="34" customWidth="1"/>
    <col min="26" max="26" width="15.140625" style="34" customWidth="1"/>
    <col min="27" max="27" width="14.5703125" style="34" customWidth="1"/>
    <col min="28" max="28" width="15.42578125" style="34" customWidth="1"/>
    <col min="29" max="29" width="15.140625" style="34" customWidth="1"/>
    <col min="30" max="30" width="16" style="34" customWidth="1"/>
    <col min="31" max="31" width="15" style="34" customWidth="1"/>
    <col min="32" max="32" width="16.5703125" style="34" customWidth="1"/>
    <col min="33" max="33" width="15" style="34" customWidth="1"/>
    <col min="34" max="34" width="16" style="34" customWidth="1"/>
    <col min="35" max="35" width="16.42578125" style="34" customWidth="1"/>
    <col min="36" max="37" width="17.42578125" style="34" customWidth="1"/>
    <col min="38" max="38" width="17.140625" style="34" customWidth="1"/>
    <col min="39" max="39" width="17.5703125" style="34" customWidth="1"/>
    <col min="40" max="40" width="16.85546875" style="34" customWidth="1"/>
    <col min="41" max="41" width="15.85546875" style="34" customWidth="1"/>
    <col min="42" max="42" width="15" style="34" customWidth="1"/>
    <col min="43" max="43" width="16.5703125" style="34" customWidth="1"/>
    <col min="44" max="44" width="17.28515625" style="34" customWidth="1"/>
    <col min="45" max="45" width="17" style="34" customWidth="1"/>
    <col min="46" max="46" width="16.42578125" style="34" customWidth="1"/>
    <col min="47" max="47" width="17.140625" style="34" customWidth="1"/>
    <col min="48" max="48" width="17.28515625" style="34" customWidth="1"/>
    <col min="49" max="49" width="20.140625" style="34" customWidth="1"/>
    <col min="50" max="51" width="18" style="34" customWidth="1"/>
    <col min="52" max="52" width="16.85546875" style="34" customWidth="1"/>
    <col min="53" max="53" width="18.140625" style="34" customWidth="1"/>
    <col min="54" max="54" width="18.42578125" style="34" customWidth="1"/>
    <col min="55" max="55" width="15.42578125" style="34" customWidth="1"/>
    <col min="56" max="56" width="17.42578125" style="34" customWidth="1"/>
    <col min="57" max="58" width="17" style="34" customWidth="1"/>
    <col min="59" max="59" width="16.140625" style="34" customWidth="1"/>
    <col min="60" max="60" width="17.5703125" style="34" customWidth="1"/>
    <col min="61" max="61" width="15.7109375" style="34" customWidth="1"/>
    <col min="62" max="62" width="17.28515625" style="34" customWidth="1"/>
    <col min="63" max="63" width="17.5703125" style="34" customWidth="1"/>
    <col min="64" max="64" width="18.140625" style="34" customWidth="1"/>
    <col min="65" max="16384" width="9.140625" style="34"/>
  </cols>
  <sheetData>
    <row r="1" spans="1:67" ht="45" x14ac:dyDescent="0.25">
      <c r="A1" s="86" t="s">
        <v>286</v>
      </c>
      <c r="B1" s="91" t="s">
        <v>339</v>
      </c>
      <c r="C1" s="91" t="s">
        <v>287</v>
      </c>
      <c r="D1" s="91" t="s">
        <v>287</v>
      </c>
      <c r="E1" s="91" t="s">
        <v>288</v>
      </c>
      <c r="F1" s="112" t="s">
        <v>289</v>
      </c>
      <c r="G1" s="92" t="s">
        <v>290</v>
      </c>
      <c r="H1" s="92" t="s">
        <v>291</v>
      </c>
      <c r="I1" s="92" t="s">
        <v>292</v>
      </c>
      <c r="J1" s="92" t="s">
        <v>293</v>
      </c>
      <c r="K1" s="92" t="s">
        <v>340</v>
      </c>
      <c r="L1" s="92" t="s">
        <v>294</v>
      </c>
      <c r="M1" s="92" t="s">
        <v>295</v>
      </c>
      <c r="N1" s="92" t="s">
        <v>296</v>
      </c>
      <c r="O1" s="92" t="s">
        <v>297</v>
      </c>
      <c r="P1" s="92" t="s">
        <v>341</v>
      </c>
      <c r="Q1" s="92" t="s">
        <v>298</v>
      </c>
      <c r="R1" s="92" t="s">
        <v>342</v>
      </c>
      <c r="S1" s="92" t="s">
        <v>299</v>
      </c>
      <c r="T1" s="92" t="s">
        <v>300</v>
      </c>
      <c r="U1" s="92" t="s">
        <v>343</v>
      </c>
      <c r="V1" s="92" t="s">
        <v>301</v>
      </c>
      <c r="W1" s="92" t="s">
        <v>302</v>
      </c>
      <c r="X1" s="92" t="s">
        <v>344</v>
      </c>
      <c r="Y1" s="92" t="s">
        <v>303</v>
      </c>
      <c r="Z1" s="92" t="s">
        <v>345</v>
      </c>
      <c r="AA1" s="92" t="s">
        <v>304</v>
      </c>
      <c r="AB1" s="92" t="s">
        <v>346</v>
      </c>
      <c r="AC1" s="92" t="s">
        <v>305</v>
      </c>
      <c r="AD1" s="92" t="s">
        <v>306</v>
      </c>
      <c r="AE1" s="92" t="s">
        <v>307</v>
      </c>
      <c r="AF1" s="92" t="s">
        <v>308</v>
      </c>
      <c r="AG1" s="92" t="s">
        <v>309</v>
      </c>
      <c r="AH1" s="92" t="s">
        <v>310</v>
      </c>
      <c r="AI1" s="92" t="s">
        <v>311</v>
      </c>
      <c r="AJ1" s="92" t="s">
        <v>312</v>
      </c>
      <c r="AK1" s="92" t="s">
        <v>313</v>
      </c>
      <c r="AL1" s="92" t="s">
        <v>314</v>
      </c>
      <c r="AM1" s="92" t="s">
        <v>315</v>
      </c>
      <c r="AN1" s="92" t="s">
        <v>316</v>
      </c>
      <c r="AO1" s="92" t="s">
        <v>317</v>
      </c>
      <c r="AP1" s="92" t="s">
        <v>318</v>
      </c>
      <c r="AQ1" s="92" t="s">
        <v>319</v>
      </c>
      <c r="AR1" s="92" t="s">
        <v>320</v>
      </c>
      <c r="AS1" s="92" t="s">
        <v>321</v>
      </c>
      <c r="AT1" s="92" t="s">
        <v>322</v>
      </c>
      <c r="AU1" s="92" t="s">
        <v>323</v>
      </c>
      <c r="AV1" s="92" t="s">
        <v>324</v>
      </c>
      <c r="AW1" s="92" t="s">
        <v>325</v>
      </c>
      <c r="AX1" s="92" t="s">
        <v>326</v>
      </c>
      <c r="AY1" s="92" t="s">
        <v>327</v>
      </c>
      <c r="AZ1" s="92" t="s">
        <v>328</v>
      </c>
      <c r="BA1" s="92" t="s">
        <v>329</v>
      </c>
      <c r="BB1" s="92" t="s">
        <v>330</v>
      </c>
      <c r="BC1" s="92" t="s">
        <v>331</v>
      </c>
      <c r="BD1" s="92" t="s">
        <v>332</v>
      </c>
      <c r="BE1" s="92" t="s">
        <v>333</v>
      </c>
      <c r="BF1" s="92" t="s">
        <v>334</v>
      </c>
      <c r="BG1" s="92" t="s">
        <v>335</v>
      </c>
      <c r="BH1" s="92" t="s">
        <v>336</v>
      </c>
      <c r="BI1" s="92" t="s">
        <v>337</v>
      </c>
      <c r="BJ1" s="92" t="s">
        <v>338</v>
      </c>
      <c r="BK1" s="92"/>
      <c r="BL1" s="92"/>
    </row>
    <row r="2" spans="1:67" x14ac:dyDescent="0.25">
      <c r="A2" s="5" t="s">
        <v>1</v>
      </c>
      <c r="B2" s="5">
        <v>196722.25</v>
      </c>
      <c r="C2" s="5">
        <v>196942.28</v>
      </c>
      <c r="D2" s="93">
        <f>C2-B2</f>
        <v>220.02999999999884</v>
      </c>
      <c r="E2" s="5">
        <v>197155.59</v>
      </c>
      <c r="F2" s="93">
        <f>E2-C2</f>
        <v>213.30999999999767</v>
      </c>
      <c r="G2" s="5">
        <v>197383.06</v>
      </c>
      <c r="H2" s="93">
        <f>G2-E2</f>
        <v>227.47000000000116</v>
      </c>
      <c r="I2" s="5">
        <v>197545.26</v>
      </c>
      <c r="J2" s="93">
        <f>I2-G2</f>
        <v>162.20000000001164</v>
      </c>
      <c r="K2" s="5">
        <v>197787.22</v>
      </c>
      <c r="L2" s="93">
        <f>K2-I2</f>
        <v>241.95999999999185</v>
      </c>
      <c r="M2" s="5">
        <v>198073.58</v>
      </c>
      <c r="N2" s="93">
        <f>M2-K2</f>
        <v>286.35999999998603</v>
      </c>
      <c r="O2" s="5">
        <v>198321.23</v>
      </c>
      <c r="P2" s="93">
        <f>O2-M2</f>
        <v>247.65000000002328</v>
      </c>
      <c r="Q2" s="5">
        <v>198631.63</v>
      </c>
      <c r="R2" s="93">
        <f>Q2-O2</f>
        <v>310.39999999999418</v>
      </c>
      <c r="S2" s="5">
        <v>198868.24</v>
      </c>
      <c r="T2" s="93">
        <f>S2-Q2</f>
        <v>236.60999999998603</v>
      </c>
      <c r="U2" s="5">
        <v>199146.37</v>
      </c>
      <c r="V2" s="93">
        <f>U2-S2</f>
        <v>278.13000000000466</v>
      </c>
      <c r="W2" s="5">
        <v>199389.86</v>
      </c>
      <c r="X2" s="93">
        <f>W2-U2</f>
        <v>243.48999999999069</v>
      </c>
      <c r="Y2" s="5">
        <v>199707.75599999999</v>
      </c>
      <c r="Z2" s="93">
        <f>Y2-W2</f>
        <v>317.89600000000792</v>
      </c>
      <c r="AA2" s="5">
        <v>199952.88</v>
      </c>
      <c r="AB2" s="93">
        <f>AA2-Y2</f>
        <v>245.12400000001071</v>
      </c>
      <c r="AC2" s="5">
        <v>200149.22</v>
      </c>
      <c r="AD2" s="93">
        <f>AC2-AA2</f>
        <v>196.33999999999651</v>
      </c>
      <c r="AE2" s="5">
        <v>200357.44</v>
      </c>
      <c r="AF2" s="93">
        <f>AE2-AC2</f>
        <v>208.22000000000116</v>
      </c>
      <c r="AG2" s="5">
        <v>200585.2</v>
      </c>
      <c r="AH2" s="93">
        <f>AG2-AE2</f>
        <v>227.76000000000931</v>
      </c>
      <c r="AI2" s="5">
        <v>200795.18</v>
      </c>
      <c r="AJ2" s="93">
        <f>AI2-AG2</f>
        <v>209.97999999998137</v>
      </c>
      <c r="AK2" s="5">
        <v>200986.9</v>
      </c>
      <c r="AL2" s="93">
        <f>AK2-AI2</f>
        <v>191.72000000000116</v>
      </c>
      <c r="AM2" s="5">
        <v>201284.06</v>
      </c>
      <c r="AN2" s="93">
        <f>AM2-AK2</f>
        <v>297.16000000000349</v>
      </c>
      <c r="AO2" s="5">
        <v>201461.25</v>
      </c>
      <c r="AP2" s="93">
        <f>AO2-AM2</f>
        <v>177.19000000000233</v>
      </c>
      <c r="AQ2" s="5">
        <v>201778.63</v>
      </c>
      <c r="AR2" s="93">
        <f>AQ2-AO2</f>
        <v>317.38000000000466</v>
      </c>
      <c r="AS2" s="5">
        <v>202083.11</v>
      </c>
      <c r="AT2" s="93">
        <f>AS2-AQ2</f>
        <v>304.47999999998137</v>
      </c>
      <c r="AU2" s="5">
        <v>202379.8</v>
      </c>
      <c r="AV2" s="93">
        <f>AU2-AS2</f>
        <v>296.69000000000233</v>
      </c>
      <c r="AW2" s="5">
        <v>202593.6</v>
      </c>
      <c r="AX2" s="93">
        <f>AW2-AU2</f>
        <v>213.80000000001746</v>
      </c>
      <c r="AY2" s="5">
        <v>202787.06</v>
      </c>
      <c r="AZ2" s="93">
        <f>AY2-AW2</f>
        <v>193.45999999999185</v>
      </c>
      <c r="BA2" s="5">
        <v>202988.56</v>
      </c>
      <c r="BB2" s="93">
        <f>BA2-AY2</f>
        <v>201.5</v>
      </c>
      <c r="BC2" s="5">
        <v>203185.33</v>
      </c>
      <c r="BD2" s="107">
        <f>BC2-BA2</f>
        <v>196.76999999998952</v>
      </c>
      <c r="BE2" s="5">
        <v>203465.35</v>
      </c>
      <c r="BF2" s="107">
        <f>BE2-BC2</f>
        <v>280.02000000001863</v>
      </c>
      <c r="BG2" s="5">
        <v>203718.06</v>
      </c>
      <c r="BH2" s="93">
        <f>BG2-BE2</f>
        <v>252.70999999999185</v>
      </c>
      <c r="BI2" s="5">
        <v>203982.14</v>
      </c>
      <c r="BJ2" s="93">
        <f>BI2-BG2</f>
        <v>264.0800000000163</v>
      </c>
      <c r="BK2" s="5"/>
      <c r="BL2" s="93"/>
    </row>
    <row r="3" spans="1:67" x14ac:dyDescent="0.25">
      <c r="A3" s="5" t="s">
        <v>122</v>
      </c>
      <c r="B3" s="5">
        <v>854.54967999999997</v>
      </c>
      <c r="C3" s="5">
        <v>857.30399999999997</v>
      </c>
      <c r="D3" s="93">
        <f>(C3-B3)*1000</f>
        <v>2754.320000000007</v>
      </c>
      <c r="E3" s="5">
        <v>859.86231999999995</v>
      </c>
      <c r="F3" s="93">
        <f>(E3-C3)*1000</f>
        <v>2558.3199999999806</v>
      </c>
      <c r="G3" s="5">
        <v>862.54512</v>
      </c>
      <c r="H3" s="93">
        <f>(G3-E3)*1000</f>
        <v>2682.8000000000429</v>
      </c>
      <c r="I3" s="5">
        <v>865.41624000000002</v>
      </c>
      <c r="J3" s="93">
        <f>(I3-G3)*1000</f>
        <v>2871.120000000019</v>
      </c>
      <c r="K3" s="5">
        <v>868.79431999999997</v>
      </c>
      <c r="L3" s="93">
        <f>(K3-I3)*1000</f>
        <v>3378.0799999999545</v>
      </c>
      <c r="M3" s="5">
        <v>871.96</v>
      </c>
      <c r="N3" s="93">
        <f>(M3-K3)*1000</f>
        <v>3165.6800000000658</v>
      </c>
      <c r="O3" s="5">
        <v>874.40503999999999</v>
      </c>
      <c r="P3" s="93">
        <f>(O3-M3)*1000</f>
        <v>2445.039999999949</v>
      </c>
      <c r="Q3" s="5">
        <v>877.08360000000005</v>
      </c>
      <c r="R3" s="93">
        <f>(Q3-O3)*1000</f>
        <v>2678.5600000000613</v>
      </c>
      <c r="S3" s="5">
        <v>879.56943999999999</v>
      </c>
      <c r="T3" s="93">
        <f>(S3-Q3)*1000</f>
        <v>2485.8399999999392</v>
      </c>
      <c r="U3" s="5">
        <v>882.22640000000001</v>
      </c>
      <c r="V3" s="93">
        <f>(U3-S3)*1000</f>
        <v>2656.9600000000264</v>
      </c>
      <c r="W3" s="5">
        <v>884.79297999999994</v>
      </c>
      <c r="X3" s="93">
        <f>(W3-U3)*1000</f>
        <v>2566.5799999999308</v>
      </c>
      <c r="Y3" s="5">
        <v>888.04647999999997</v>
      </c>
      <c r="Z3" s="93">
        <f>(Y3-W3)*1000</f>
        <v>3253.5000000000309</v>
      </c>
      <c r="AA3" s="5">
        <v>891.47080000000005</v>
      </c>
      <c r="AB3" s="93">
        <f>(AA3-Y3)*1000</f>
        <v>3424.3200000000797</v>
      </c>
      <c r="AC3" s="5">
        <v>895.16111999999998</v>
      </c>
      <c r="AD3" s="93">
        <f>(AC3-AA3)*1000</f>
        <v>3690.3199999999288</v>
      </c>
      <c r="AE3" s="5">
        <v>898.29387999999994</v>
      </c>
      <c r="AF3" s="93">
        <f>(AE3-AC3)*1000</f>
        <v>3132.759999999962</v>
      </c>
      <c r="AG3" s="5">
        <v>900.72695999999996</v>
      </c>
      <c r="AH3" s="93">
        <f>(AG3-AE3)*1000</f>
        <v>2433.0800000000181</v>
      </c>
      <c r="AI3" s="5">
        <v>903.09407999999996</v>
      </c>
      <c r="AJ3" s="93">
        <f>(AI3-AG3)*1000</f>
        <v>2367.12</v>
      </c>
      <c r="AK3" s="5">
        <v>905.45663999999999</v>
      </c>
      <c r="AL3" s="93">
        <f>(AK3-AI3)*1000</f>
        <v>2362.5600000000304</v>
      </c>
      <c r="AM3" s="5">
        <v>908.12512000000004</v>
      </c>
      <c r="AN3" s="93">
        <f>(AM3-AK3)*1000</f>
        <v>2668.480000000045</v>
      </c>
      <c r="AO3" s="5">
        <v>910.08687999999995</v>
      </c>
      <c r="AP3" s="93">
        <f>(AO3-AM3)*1000</f>
        <v>1961.7599999999129</v>
      </c>
      <c r="AQ3" s="5">
        <v>912.64279999999997</v>
      </c>
      <c r="AR3" s="93">
        <f>(AQ3-AO3)*1000</f>
        <v>2555.9200000000146</v>
      </c>
      <c r="AS3" s="5">
        <v>915.07431999999994</v>
      </c>
      <c r="AT3" s="93">
        <f>(AS3-AQ3)*1000</f>
        <v>2431.5199999999777</v>
      </c>
      <c r="AU3" s="5">
        <v>917.55751999999995</v>
      </c>
      <c r="AV3" s="93">
        <f>(AU3-AS3)*1000</f>
        <v>2483.2000000000107</v>
      </c>
      <c r="AW3" s="5">
        <v>919.82388000000003</v>
      </c>
      <c r="AX3" s="93">
        <f>(AW3-AU3)*1000</f>
        <v>2266.360000000077</v>
      </c>
      <c r="AY3" s="5">
        <v>922.16188999999997</v>
      </c>
      <c r="AZ3" s="93">
        <f>(AY3-AW3)*1000</f>
        <v>2338.0099999999402</v>
      </c>
      <c r="BA3" s="5">
        <v>924.48767999999995</v>
      </c>
      <c r="BB3" s="93">
        <f>(BA3-AY3)*1000</f>
        <v>2325.7899999999836</v>
      </c>
      <c r="BC3" s="5">
        <v>926.77751999999998</v>
      </c>
      <c r="BD3" s="107">
        <f>(BC3-BA3)*1000</f>
        <v>2289.8400000000265</v>
      </c>
      <c r="BE3" s="5">
        <v>929.28304000000003</v>
      </c>
      <c r="BF3" s="107">
        <f>(BE3-BC3)*1000</f>
        <v>2505.5200000000468</v>
      </c>
      <c r="BG3" s="5">
        <v>931.94640000000004</v>
      </c>
      <c r="BH3" s="93">
        <f>(BG3-BE3)*1000</f>
        <v>2663.3600000000115</v>
      </c>
      <c r="BI3" s="5">
        <v>934.47663999999997</v>
      </c>
      <c r="BJ3" s="93">
        <f>(BI3-BG3)*1000</f>
        <v>2530.2399999999352</v>
      </c>
      <c r="BK3" s="5"/>
      <c r="BL3" s="93"/>
    </row>
    <row r="4" spans="1:67" x14ac:dyDescent="0.25">
      <c r="A4" s="9" t="s">
        <v>107</v>
      </c>
      <c r="B4" s="5">
        <v>2934393.28</v>
      </c>
      <c r="C4" s="5">
        <v>2935525.37</v>
      </c>
      <c r="D4" s="93">
        <f>C4-B4</f>
        <v>1132.0900000003166</v>
      </c>
      <c r="E4" s="5">
        <v>2936709.16</v>
      </c>
      <c r="F4" s="93">
        <f>E4-C4</f>
        <v>1183.7900000000373</v>
      </c>
      <c r="G4" s="5">
        <v>2938000.8</v>
      </c>
      <c r="H4" s="93">
        <f>G4-E4</f>
        <v>1291.6399999996647</v>
      </c>
      <c r="I4" s="5">
        <v>2939926.98</v>
      </c>
      <c r="J4" s="93">
        <f>I4-G4</f>
        <v>1926.1800000001676</v>
      </c>
      <c r="K4" s="5">
        <v>2941951.4</v>
      </c>
      <c r="L4" s="93">
        <f>K4-I4</f>
        <v>2024.4199999999255</v>
      </c>
      <c r="M4" s="5">
        <v>2943848.92</v>
      </c>
      <c r="N4" s="93">
        <f>M4-K4</f>
        <v>1897.5200000000186</v>
      </c>
      <c r="O4" s="5">
        <v>2945174.28</v>
      </c>
      <c r="P4" s="93">
        <f>O4-M4</f>
        <v>1325.3599999998696</v>
      </c>
      <c r="Q4" s="5">
        <v>2946529.9</v>
      </c>
      <c r="R4" s="93">
        <f>Q4-O4</f>
        <v>1355.6200000001118</v>
      </c>
      <c r="S4" s="5">
        <v>2947815.32</v>
      </c>
      <c r="T4" s="93">
        <f>S4-Q4</f>
        <v>1285.4199999999255</v>
      </c>
      <c r="U4" s="5">
        <v>2949126.51</v>
      </c>
      <c r="V4" s="93">
        <f>U4-S4</f>
        <v>1311.1899999999441</v>
      </c>
      <c r="W4" s="5">
        <v>2950321</v>
      </c>
      <c r="X4" s="93">
        <f>W4-U4</f>
        <v>1194.4900000002235</v>
      </c>
      <c r="Y4" s="5">
        <v>2951526.45</v>
      </c>
      <c r="Z4" s="93">
        <f>Y4-W4</f>
        <v>1205.4500000001863</v>
      </c>
      <c r="AA4" s="5">
        <v>2952538.47</v>
      </c>
      <c r="AB4" s="93">
        <f>AA4-Y4</f>
        <v>1012.0200000000186</v>
      </c>
      <c r="AC4" s="5">
        <v>2953663.72</v>
      </c>
      <c r="AD4" s="93">
        <f>AC4-AA4</f>
        <v>1125.25</v>
      </c>
      <c r="AE4" s="5">
        <v>2954863.07</v>
      </c>
      <c r="AF4" s="93">
        <f>AE4-AC4</f>
        <v>1199.3499999996275</v>
      </c>
      <c r="AG4" s="5">
        <v>2955921.47</v>
      </c>
      <c r="AH4" s="93">
        <f>AG4-AE4</f>
        <v>1058.4000000003725</v>
      </c>
      <c r="AI4" s="5">
        <v>2957065.19</v>
      </c>
      <c r="AJ4" s="93">
        <f>AI4-AG4</f>
        <v>1143.7199999997392</v>
      </c>
      <c r="AK4" s="5">
        <v>2958185.78</v>
      </c>
      <c r="AL4" s="93">
        <f>AK4-AI4</f>
        <v>1120.589999999851</v>
      </c>
      <c r="AM4" s="5">
        <v>2959343.43</v>
      </c>
      <c r="AN4" s="93">
        <f>AM4-AK4</f>
        <v>1157.6500000003725</v>
      </c>
      <c r="AO4" s="5">
        <v>2960343.16</v>
      </c>
      <c r="AP4" s="93">
        <f>AO4-AM4</f>
        <v>999.72999999998137</v>
      </c>
      <c r="AQ4" s="5">
        <v>2961366.51</v>
      </c>
      <c r="AR4" s="93">
        <f>AQ4-AO4</f>
        <v>1023.3499999996275</v>
      </c>
      <c r="AS4" s="5">
        <v>2962346.63</v>
      </c>
      <c r="AT4" s="93">
        <f>AS4-AQ4</f>
        <v>980.12000000011176</v>
      </c>
      <c r="AU4" s="5">
        <v>2963370.09</v>
      </c>
      <c r="AV4" s="93">
        <f>AU4-AS4</f>
        <v>1023.4599999999627</v>
      </c>
      <c r="AW4" s="5">
        <v>2964507.24</v>
      </c>
      <c r="AX4" s="93">
        <f>AW4-AU4</f>
        <v>1137.1500000003725</v>
      </c>
      <c r="AY4" s="5">
        <v>2965646.96</v>
      </c>
      <c r="AZ4" s="93">
        <f>AY4-AW4</f>
        <v>1139.7199999997392</v>
      </c>
      <c r="BA4" s="5">
        <v>2966797.92</v>
      </c>
      <c r="BB4" s="93">
        <f>BA4-AY4</f>
        <v>1150.9599999999627</v>
      </c>
      <c r="BC4" s="5">
        <v>2967910.3999999999</v>
      </c>
      <c r="BD4" s="107">
        <f>BC4-BA4</f>
        <v>1112.4799999999814</v>
      </c>
      <c r="BE4" s="5">
        <v>2968999.28</v>
      </c>
      <c r="BF4" s="107">
        <f>BE4-BC4</f>
        <v>1088.8799999998882</v>
      </c>
      <c r="BG4" s="5">
        <v>2970135.17</v>
      </c>
      <c r="BH4" s="93">
        <f>BG4-BE4</f>
        <v>1135.8900000001304</v>
      </c>
      <c r="BI4" s="5">
        <v>2971345.81</v>
      </c>
      <c r="BJ4" s="93">
        <f>BI4-BG4</f>
        <v>1210.6400000001304</v>
      </c>
      <c r="BK4" s="5"/>
      <c r="BL4" s="93"/>
      <c r="BO4" s="34" t="s">
        <v>347</v>
      </c>
    </row>
    <row r="5" spans="1:67" x14ac:dyDescent="0.25">
      <c r="A5" s="9" t="s">
        <v>226</v>
      </c>
      <c r="B5" s="5">
        <v>709935.3</v>
      </c>
      <c r="C5" s="5">
        <v>710165.69</v>
      </c>
      <c r="D5" s="93">
        <f>C5-B5</f>
        <v>230.38999999989755</v>
      </c>
      <c r="E5" s="5">
        <v>710377.45</v>
      </c>
      <c r="F5" s="93">
        <f>E5-C5</f>
        <v>211.76000000000931</v>
      </c>
      <c r="G5" s="5">
        <v>710611.74</v>
      </c>
      <c r="H5" s="93">
        <f>G5-E5</f>
        <v>234.29000000003725</v>
      </c>
      <c r="I5" s="5">
        <v>710740.33</v>
      </c>
      <c r="J5" s="93">
        <f>I5-G5</f>
        <v>128.5899999999674</v>
      </c>
      <c r="K5" s="5">
        <v>710996.4</v>
      </c>
      <c r="L5" s="93">
        <f>K5-I5</f>
        <v>256.07000000006519</v>
      </c>
      <c r="M5" s="5">
        <v>711257.27</v>
      </c>
      <c r="N5" s="93">
        <f>M5-K5</f>
        <v>260.86999999999534</v>
      </c>
      <c r="O5" s="5">
        <v>711419.57</v>
      </c>
      <c r="P5" s="93">
        <f>O5-M5</f>
        <v>162.29999999993015</v>
      </c>
      <c r="Q5" s="5">
        <v>711663.76</v>
      </c>
      <c r="R5" s="93">
        <f>Q5-O5</f>
        <v>244.19000000006054</v>
      </c>
      <c r="S5" s="5">
        <v>711908.97</v>
      </c>
      <c r="T5" s="93">
        <f>S5-Q5</f>
        <v>245.20999999996275</v>
      </c>
      <c r="U5" s="5">
        <v>712161.8</v>
      </c>
      <c r="V5" s="93">
        <f>U5-S5</f>
        <v>252.83000000007451</v>
      </c>
      <c r="W5" s="5">
        <v>712400.52</v>
      </c>
      <c r="X5" s="93">
        <f>W5-U5</f>
        <v>238.71999999997206</v>
      </c>
      <c r="Y5" s="5">
        <v>712626.23</v>
      </c>
      <c r="Z5" s="93">
        <f>Y5-W5</f>
        <v>225.70999999996275</v>
      </c>
      <c r="AA5" s="5">
        <v>712811.96</v>
      </c>
      <c r="AB5" s="93">
        <f>AA5-Y5</f>
        <v>185.72999999998137</v>
      </c>
      <c r="AC5" s="5">
        <v>713028.68</v>
      </c>
      <c r="AD5" s="93">
        <f>AC5-AA5</f>
        <v>216.72000000008848</v>
      </c>
      <c r="AE5" s="5">
        <v>713259.2</v>
      </c>
      <c r="AF5" s="93">
        <f>AE5-AC5</f>
        <v>230.51999999990221</v>
      </c>
      <c r="AG5" s="5">
        <v>713476.58</v>
      </c>
      <c r="AH5" s="93">
        <f>AG5-AE5</f>
        <v>217.38000000000466</v>
      </c>
      <c r="AI5" s="5">
        <v>713652.89</v>
      </c>
      <c r="AJ5" s="93">
        <f>AI5-AG5</f>
        <v>176.31000000005588</v>
      </c>
      <c r="AK5" s="5">
        <v>713828.34</v>
      </c>
      <c r="AL5" s="93">
        <f>AK5-AI5</f>
        <v>175.44999999995343</v>
      </c>
      <c r="AM5" s="5">
        <v>714071.58</v>
      </c>
      <c r="AN5" s="93">
        <f>AM5-AK5</f>
        <v>243.23999999999069</v>
      </c>
      <c r="AO5" s="5">
        <v>714209.73</v>
      </c>
      <c r="AP5" s="93">
        <f>AO5-AM5</f>
        <v>138.15000000002328</v>
      </c>
      <c r="AQ5" s="5">
        <v>714463.13</v>
      </c>
      <c r="AR5" s="93">
        <f>AQ5-AO5</f>
        <v>253.40000000002328</v>
      </c>
      <c r="AS5" s="5">
        <v>714682.61</v>
      </c>
      <c r="AT5" s="93">
        <f>AS5-AQ5</f>
        <v>219.47999999998137</v>
      </c>
      <c r="AU5" s="5">
        <v>714928.81</v>
      </c>
      <c r="AV5" s="93">
        <f>AU5-AS5</f>
        <v>246.20000000006985</v>
      </c>
      <c r="AW5" s="5">
        <v>715058.29</v>
      </c>
      <c r="AX5" s="93">
        <f>AW5-AU5</f>
        <v>129.47999999998137</v>
      </c>
      <c r="AY5" s="5">
        <v>715221.37</v>
      </c>
      <c r="AZ5" s="93">
        <f>AY5-AW5</f>
        <v>163.07999999995809</v>
      </c>
      <c r="BA5" s="5">
        <v>715428.27</v>
      </c>
      <c r="BB5" s="93">
        <f>BA5-AY5</f>
        <v>206.90000000002328</v>
      </c>
      <c r="BC5" s="5">
        <v>715612.38</v>
      </c>
      <c r="BD5" s="107">
        <f>BC5-BA5</f>
        <v>184.10999999998603</v>
      </c>
      <c r="BE5" s="5">
        <v>715790.32</v>
      </c>
      <c r="BF5" s="107">
        <f>BE5-BC5</f>
        <v>177.93999999994412</v>
      </c>
      <c r="BG5" s="5">
        <v>716016.38</v>
      </c>
      <c r="BH5" s="93">
        <f>BG5-BE5</f>
        <v>226.06000000005588</v>
      </c>
      <c r="BI5" s="5">
        <v>716220.46</v>
      </c>
      <c r="BJ5" s="93">
        <f>BI5-BG5</f>
        <v>204.07999999995809</v>
      </c>
      <c r="BK5" s="5"/>
      <c r="BL5" s="93"/>
    </row>
    <row r="6" spans="1:67" x14ac:dyDescent="0.25">
      <c r="A6" s="5" t="s">
        <v>2</v>
      </c>
      <c r="B6" s="5">
        <v>811788.14</v>
      </c>
      <c r="C6" s="5">
        <v>811823.61</v>
      </c>
      <c r="D6" s="93">
        <f>C6-B6</f>
        <v>35.46999999997206</v>
      </c>
      <c r="E6" s="5">
        <v>811867.43</v>
      </c>
      <c r="F6" s="93">
        <f>E6-C6</f>
        <v>43.820000000065193</v>
      </c>
      <c r="G6" s="5">
        <v>811906.05</v>
      </c>
      <c r="H6" s="93">
        <f>G6-E6</f>
        <v>38.619999999995343</v>
      </c>
      <c r="I6" s="5">
        <v>811945.81</v>
      </c>
      <c r="J6" s="93">
        <f>I6-G6</f>
        <v>39.760000000009313</v>
      </c>
      <c r="K6" s="5">
        <v>811985.24</v>
      </c>
      <c r="L6" s="93">
        <f>K6-I6</f>
        <v>39.429999999934807</v>
      </c>
      <c r="M6" s="5">
        <v>812025.49</v>
      </c>
      <c r="N6" s="93">
        <f>M6-K6</f>
        <v>40.25</v>
      </c>
      <c r="O6" s="5">
        <v>812062.64</v>
      </c>
      <c r="P6" s="93">
        <f>O6-M6</f>
        <v>37.150000000023283</v>
      </c>
      <c r="Q6" s="5">
        <v>812102.74</v>
      </c>
      <c r="R6" s="93">
        <f>Q6-O6</f>
        <v>40.099999999976717</v>
      </c>
      <c r="S6" s="5">
        <v>812141.29</v>
      </c>
      <c r="T6" s="93">
        <f>S6-Q6</f>
        <v>38.550000000046566</v>
      </c>
      <c r="U6" s="5">
        <v>812180.58</v>
      </c>
      <c r="V6" s="93">
        <f>U6-S6</f>
        <v>39.289999999920838</v>
      </c>
      <c r="W6" s="5">
        <v>812219.84</v>
      </c>
      <c r="X6" s="93">
        <f>W6-U6</f>
        <v>39.260000000009313</v>
      </c>
      <c r="Y6" s="5">
        <v>812259.49</v>
      </c>
      <c r="Z6" s="93">
        <f>Y6-W6</f>
        <v>39.650000000023283</v>
      </c>
      <c r="AA6" s="5">
        <v>812296.98</v>
      </c>
      <c r="AB6" s="93">
        <f>AA6-Y6</f>
        <v>37.489999999990687</v>
      </c>
      <c r="AC6" s="5">
        <v>812337.68</v>
      </c>
      <c r="AD6" s="93">
        <f>AC6-AA6</f>
        <v>40.700000000069849</v>
      </c>
      <c r="AE6" s="5">
        <v>812376.11</v>
      </c>
      <c r="AF6" s="93">
        <f>AE6-AC6</f>
        <v>38.429999999934807</v>
      </c>
      <c r="AG6" s="5">
        <v>812415.9</v>
      </c>
      <c r="AH6" s="93">
        <f>AG6-AE6</f>
        <v>39.790000000037253</v>
      </c>
      <c r="AI6" s="5">
        <v>812456.52</v>
      </c>
      <c r="AJ6" s="93">
        <f>AI6-AG6</f>
        <v>40.619999999995343</v>
      </c>
      <c r="AK6" s="5">
        <v>812495.42</v>
      </c>
      <c r="AL6" s="93">
        <f>AK6-AI6</f>
        <v>38.900000000023283</v>
      </c>
      <c r="AM6" s="5">
        <v>812537.52</v>
      </c>
      <c r="AN6" s="93">
        <f>AM6-AK6</f>
        <v>42.099999999976717</v>
      </c>
      <c r="AO6" s="5">
        <v>812577.38</v>
      </c>
      <c r="AP6" s="93">
        <f>AO6-AM6</f>
        <v>39.85999999998603</v>
      </c>
      <c r="AQ6" s="5">
        <v>812614.47</v>
      </c>
      <c r="AR6" s="93">
        <f>AQ6-AO6</f>
        <v>37.089999999967404</v>
      </c>
      <c r="AS6" s="5">
        <v>812651.26</v>
      </c>
      <c r="AT6" s="93">
        <f>AS6-AQ6</f>
        <v>36.790000000037253</v>
      </c>
      <c r="AU6" s="5">
        <v>812690.83</v>
      </c>
      <c r="AV6" s="93">
        <f>AU6-AS6</f>
        <v>39.569999999948777</v>
      </c>
      <c r="AW6" s="5">
        <v>812728.6</v>
      </c>
      <c r="AX6" s="93">
        <f>AW6-AU6</f>
        <v>37.770000000018626</v>
      </c>
      <c r="AY6" s="5">
        <v>812765.76</v>
      </c>
      <c r="AZ6" s="93">
        <f>AY6-AW6</f>
        <v>37.160000000032596</v>
      </c>
      <c r="BA6" s="5">
        <v>812802.93</v>
      </c>
      <c r="BB6" s="93">
        <f>BA6-AY6</f>
        <v>37.17000000004191</v>
      </c>
      <c r="BC6" s="5">
        <v>812839.87</v>
      </c>
      <c r="BD6" s="107">
        <f>BC6-BA6</f>
        <v>36.939999999944121</v>
      </c>
      <c r="BE6" s="5">
        <v>812876.41</v>
      </c>
      <c r="BF6" s="107">
        <f>BE6-BC6</f>
        <v>36.540000000037253</v>
      </c>
      <c r="BG6" s="5">
        <v>812934.41</v>
      </c>
      <c r="BH6" s="93">
        <f>BG6-BE6</f>
        <v>58</v>
      </c>
      <c r="BI6" s="5">
        <v>812947.84</v>
      </c>
      <c r="BJ6" s="93">
        <f>BI6-BG6</f>
        <v>13.429999999934807</v>
      </c>
      <c r="BK6" s="5"/>
      <c r="BL6" s="93"/>
    </row>
    <row r="7" spans="1:67" x14ac:dyDescent="0.25">
      <c r="A7" s="5" t="s">
        <v>3</v>
      </c>
      <c r="B7" s="5">
        <v>387106.22</v>
      </c>
      <c r="C7" s="5">
        <v>387113.64</v>
      </c>
      <c r="D7" s="93">
        <f>C7-B7</f>
        <v>7.4200000000419095</v>
      </c>
      <c r="E7" s="5">
        <v>387115.79</v>
      </c>
      <c r="F7" s="93">
        <f>E7-C7</f>
        <v>2.1499999999650754</v>
      </c>
      <c r="G7" s="5">
        <v>387117.89</v>
      </c>
      <c r="H7" s="93">
        <f>G7-E7</f>
        <v>2.1000000000349246</v>
      </c>
      <c r="I7" s="5">
        <v>387128.95</v>
      </c>
      <c r="J7" s="93">
        <f>I7-G7</f>
        <v>11.059999999997672</v>
      </c>
      <c r="K7" s="5">
        <v>387131.08</v>
      </c>
      <c r="L7" s="93">
        <f>K7-I7</f>
        <v>2.1300000000046566</v>
      </c>
      <c r="M7" s="5">
        <v>387133.22</v>
      </c>
      <c r="N7" s="93">
        <f>M7-K7</f>
        <v>2.1399999999557622</v>
      </c>
      <c r="O7" s="5">
        <v>387183.61</v>
      </c>
      <c r="P7" s="93">
        <f>O7-M7</f>
        <v>50.39000000001397</v>
      </c>
      <c r="Q7" s="5">
        <v>387183.61</v>
      </c>
      <c r="R7" s="93">
        <f>Q7-O7</f>
        <v>0</v>
      </c>
      <c r="S7" s="5">
        <v>387189.49</v>
      </c>
      <c r="T7" s="93">
        <f>S7-Q7</f>
        <v>5.8800000000046566</v>
      </c>
      <c r="U7" s="5">
        <v>387189.6</v>
      </c>
      <c r="V7" s="93">
        <f>U7-S7</f>
        <v>0.10999999998603016</v>
      </c>
      <c r="W7" s="5">
        <v>387189.6</v>
      </c>
      <c r="X7" s="93">
        <f>W7-U7</f>
        <v>0</v>
      </c>
      <c r="Y7" s="5">
        <v>387154.64</v>
      </c>
      <c r="Z7" s="93">
        <v>0</v>
      </c>
      <c r="AA7" s="5">
        <v>387156.72</v>
      </c>
      <c r="AB7" s="93">
        <f>AA7-Y7</f>
        <v>2.0799999999580905</v>
      </c>
      <c r="AC7" s="5">
        <v>387158.88</v>
      </c>
      <c r="AD7" s="93">
        <f>AC7-AA7</f>
        <v>2.1600000000325963</v>
      </c>
      <c r="AE7" s="5">
        <v>387160.97</v>
      </c>
      <c r="AF7" s="93">
        <f>AE7-AC7</f>
        <v>2.0899999999674037</v>
      </c>
      <c r="AG7" s="5">
        <v>387163.05</v>
      </c>
      <c r="AH7" s="93">
        <f>AG7-AE7</f>
        <v>2.0800000000162981</v>
      </c>
      <c r="AI7" s="5">
        <v>387165</v>
      </c>
      <c r="AJ7" s="93">
        <f>AI7-AG7</f>
        <v>1.9500000000116415</v>
      </c>
      <c r="AK7" s="5">
        <v>387167</v>
      </c>
      <c r="AL7" s="93">
        <f>AK7-AI7</f>
        <v>2</v>
      </c>
      <c r="AM7" s="5">
        <v>387169.7</v>
      </c>
      <c r="AN7" s="93">
        <f>AM7-AK7</f>
        <v>2.7000000000116415</v>
      </c>
      <c r="AO7" s="5">
        <v>387171.81</v>
      </c>
      <c r="AP7" s="93">
        <f>AO7-AM7</f>
        <v>2.1099999999860302</v>
      </c>
      <c r="AQ7" s="5">
        <v>387173.93</v>
      </c>
      <c r="AR7" s="93">
        <f>AQ7-AO7</f>
        <v>2.1199999999953434</v>
      </c>
      <c r="AS7" s="5">
        <v>387176.01</v>
      </c>
      <c r="AT7" s="93">
        <f>AS7-AQ7</f>
        <v>2.0800000000162981</v>
      </c>
      <c r="AU7" s="5">
        <v>387178.6</v>
      </c>
      <c r="AV7" s="93">
        <f>AU7-AS7</f>
        <v>2.5899999999674037</v>
      </c>
      <c r="AW7" s="5">
        <v>387181.03</v>
      </c>
      <c r="AX7" s="93">
        <f>AW7-AU7</f>
        <v>2.4300000000512227</v>
      </c>
      <c r="AY7" s="5">
        <v>387183.46</v>
      </c>
      <c r="AZ7" s="93">
        <f>AY7-AW7</f>
        <v>2.4299999999930151</v>
      </c>
      <c r="BA7" s="5">
        <v>387185.91999999998</v>
      </c>
      <c r="BB7" s="93">
        <f>BA7-AY7</f>
        <v>2.4599999999627471</v>
      </c>
      <c r="BC7" s="5">
        <v>387190.13</v>
      </c>
      <c r="BD7" s="107">
        <f>BC7-BA7</f>
        <v>4.2100000000209548</v>
      </c>
      <c r="BE7" s="5">
        <v>387192.24</v>
      </c>
      <c r="BF7" s="107">
        <f>BE7-BC7</f>
        <v>2.1099999999860302</v>
      </c>
      <c r="BG7" s="5">
        <v>387194.34</v>
      </c>
      <c r="BH7" s="93">
        <f>BG7-BE7</f>
        <v>2.1000000000349246</v>
      </c>
      <c r="BI7" s="5">
        <v>387196.41</v>
      </c>
      <c r="BJ7" s="93">
        <f>BI7-BG7</f>
        <v>2.0699999999487773</v>
      </c>
      <c r="BK7" s="5"/>
      <c r="BL7" s="93"/>
    </row>
    <row r="8" spans="1:67" ht="18.75" x14ac:dyDescent="0.25">
      <c r="A8" s="86" t="s">
        <v>4</v>
      </c>
      <c r="B8" s="5"/>
      <c r="C8" s="5">
        <v>0</v>
      </c>
      <c r="D8" s="93"/>
      <c r="E8" s="5">
        <v>0</v>
      </c>
      <c r="F8" s="93"/>
      <c r="G8" s="5">
        <v>0</v>
      </c>
      <c r="H8" s="93"/>
      <c r="I8" s="5">
        <v>0</v>
      </c>
      <c r="J8" s="93"/>
      <c r="K8" s="5">
        <v>0</v>
      </c>
      <c r="L8" s="93"/>
      <c r="M8" s="5">
        <v>0</v>
      </c>
      <c r="N8" s="93"/>
      <c r="O8" s="5">
        <v>0</v>
      </c>
      <c r="P8" s="93"/>
      <c r="Q8" s="5">
        <v>0</v>
      </c>
      <c r="R8" s="93"/>
      <c r="S8" s="5">
        <v>0</v>
      </c>
      <c r="T8" s="93"/>
      <c r="U8" s="5">
        <v>0</v>
      </c>
      <c r="V8" s="93"/>
      <c r="W8" s="5">
        <v>0</v>
      </c>
      <c r="X8" s="93"/>
      <c r="Y8" s="5">
        <v>0</v>
      </c>
      <c r="Z8" s="93"/>
      <c r="AA8" s="5">
        <v>0</v>
      </c>
      <c r="AB8" s="93"/>
      <c r="AC8" s="5">
        <v>0</v>
      </c>
      <c r="AD8" s="93"/>
      <c r="AE8" s="5">
        <v>0</v>
      </c>
      <c r="AF8" s="93"/>
      <c r="AG8" s="5">
        <v>0</v>
      </c>
      <c r="AH8" s="93"/>
      <c r="AI8" s="5">
        <v>0</v>
      </c>
      <c r="AJ8" s="93"/>
      <c r="AK8" s="5">
        <v>0</v>
      </c>
      <c r="AL8" s="93"/>
      <c r="AM8" s="5"/>
      <c r="AN8" s="93"/>
      <c r="AO8" s="5"/>
      <c r="AP8" s="93"/>
      <c r="AQ8" s="5">
        <v>0</v>
      </c>
      <c r="AR8" s="93"/>
      <c r="AS8" s="5">
        <v>0</v>
      </c>
      <c r="AT8" s="93"/>
      <c r="AU8" s="5">
        <v>0</v>
      </c>
      <c r="AV8" s="93"/>
      <c r="AW8" s="5">
        <v>0</v>
      </c>
      <c r="AX8" s="93"/>
      <c r="AY8" s="5">
        <v>0</v>
      </c>
      <c r="AZ8" s="93"/>
      <c r="BA8" s="5">
        <v>0</v>
      </c>
      <c r="BB8" s="93"/>
      <c r="BC8" s="5">
        <v>0</v>
      </c>
      <c r="BD8" s="107"/>
      <c r="BE8" s="5">
        <v>0</v>
      </c>
      <c r="BF8" s="107"/>
      <c r="BG8" s="5">
        <v>0</v>
      </c>
      <c r="BH8" s="93"/>
      <c r="BI8" s="5">
        <v>0</v>
      </c>
      <c r="BJ8" s="93"/>
      <c r="BK8" s="5"/>
      <c r="BL8" s="93"/>
    </row>
    <row r="9" spans="1:67" x14ac:dyDescent="0.25">
      <c r="A9" s="5" t="s">
        <v>5</v>
      </c>
      <c r="B9" s="5">
        <v>8745.2792000000009</v>
      </c>
      <c r="C9" s="5">
        <v>8773.3544000000002</v>
      </c>
      <c r="D9" s="93">
        <f>(C9-B9)*1000</f>
        <v>28075.199999999313</v>
      </c>
      <c r="E9" s="5">
        <v>8784.4527999999991</v>
      </c>
      <c r="F9" s="93">
        <f>(E9-C9)*1000</f>
        <v>11098.399999998946</v>
      </c>
      <c r="G9" s="5">
        <v>8807.0231999999996</v>
      </c>
      <c r="H9" s="93">
        <f>(G9-E9)*1000</f>
        <v>22570.400000000518</v>
      </c>
      <c r="I9" s="5">
        <v>8835.1072000000004</v>
      </c>
      <c r="J9" s="93">
        <f>(I9-G9)*1000</f>
        <v>28084.000000000742</v>
      </c>
      <c r="K9" s="5">
        <v>8854.9375999999993</v>
      </c>
      <c r="L9" s="93">
        <f>(K9-I9)*1000</f>
        <v>19830.399999998917</v>
      </c>
      <c r="M9" s="5">
        <v>8874.8184000000001</v>
      </c>
      <c r="N9" s="93">
        <f>(M9-K9)*1000</f>
        <v>19880.800000000818</v>
      </c>
      <c r="O9" s="5">
        <v>8895.3135999999995</v>
      </c>
      <c r="P9" s="93">
        <f>(O9-M9)*1000</f>
        <v>20495.199999999386</v>
      </c>
      <c r="Q9" s="5">
        <v>8915.4215999999997</v>
      </c>
      <c r="R9" s="93">
        <f>(Q9-O9)*1000</f>
        <v>20108.000000000175</v>
      </c>
      <c r="S9" s="5">
        <v>8937.1919999999991</v>
      </c>
      <c r="T9" s="93">
        <f>(S9-Q9)*1000</f>
        <v>21770.399999999427</v>
      </c>
      <c r="U9" s="5">
        <v>8960.6831999999995</v>
      </c>
      <c r="V9" s="93">
        <f>(U9-S9)*1000</f>
        <v>23491.20000000039</v>
      </c>
      <c r="W9" s="5">
        <v>8981.4896000000008</v>
      </c>
      <c r="X9" s="93">
        <f>(W9-U9)*1000</f>
        <v>20806.400000001304</v>
      </c>
      <c r="Y9" s="5">
        <v>9001.7423999999992</v>
      </c>
      <c r="Z9" s="93">
        <f>(Y9-W9)*1000</f>
        <v>20252.799999998388</v>
      </c>
      <c r="AA9" s="5">
        <v>9017.5792000000001</v>
      </c>
      <c r="AB9" s="93">
        <f>(AA9-Y9)*1000</f>
        <v>15836.800000000949</v>
      </c>
      <c r="AC9" s="5">
        <v>9036.8583999999992</v>
      </c>
      <c r="AD9" s="93">
        <f>(AC9-AA9)*1000</f>
        <v>19279.199999999037</v>
      </c>
      <c r="AE9" s="5">
        <v>9062.2816000000003</v>
      </c>
      <c r="AF9" s="93">
        <f>(AE9-AC9)*1000</f>
        <v>25423.200000001088</v>
      </c>
      <c r="AG9" s="5">
        <v>9089.4151999999995</v>
      </c>
      <c r="AH9" s="93">
        <f>(AG9-AE9)*1000</f>
        <v>27133.599999999205</v>
      </c>
      <c r="AI9" s="5">
        <v>9106.3639999999996</v>
      </c>
      <c r="AJ9" s="93">
        <f>(AI9-AG9)*1000</f>
        <v>16948.800000000119</v>
      </c>
      <c r="AK9" s="5">
        <v>9130.4</v>
      </c>
      <c r="AL9" s="93">
        <f>(AK9-AI9)*1000</f>
        <v>24036.000000000058</v>
      </c>
      <c r="AM9" s="5">
        <v>9153.7576000000008</v>
      </c>
      <c r="AN9" s="93">
        <f>(AM9-AK9)*1000</f>
        <v>23357.600000001185</v>
      </c>
      <c r="AO9" s="5">
        <v>9172.5192000000006</v>
      </c>
      <c r="AP9" s="93">
        <f>(AO9-AM9)*1000</f>
        <v>18761.599999999817</v>
      </c>
      <c r="AQ9" s="5">
        <v>9191.4647999999997</v>
      </c>
      <c r="AR9" s="93">
        <f>(AQ9-AO9)*1000</f>
        <v>18945.599999999104</v>
      </c>
      <c r="AS9" s="5">
        <v>9209.0591999999997</v>
      </c>
      <c r="AT9" s="93">
        <f>(AS9-AQ9)*1000</f>
        <v>17594.399999999951</v>
      </c>
      <c r="AU9" s="5">
        <v>9209.0591999999997</v>
      </c>
      <c r="AV9" s="93">
        <f>(AU9-AS9)*1000</f>
        <v>0</v>
      </c>
      <c r="AW9" s="5">
        <v>9222.1198000000004</v>
      </c>
      <c r="AX9" s="93">
        <f>(AW9-AU9)*1000</f>
        <v>13060.600000000704</v>
      </c>
      <c r="AY9" s="5">
        <v>9246.8423999999995</v>
      </c>
      <c r="AZ9" s="93">
        <f>(AY9-AW9)*1000</f>
        <v>24722.599999999147</v>
      </c>
      <c r="BA9" s="5">
        <v>9272.1679999999997</v>
      </c>
      <c r="BB9" s="93">
        <f>(BA9-AY9)*1000</f>
        <v>25325.600000000122</v>
      </c>
      <c r="BC9" s="5">
        <v>9294.6815999999999</v>
      </c>
      <c r="BD9" s="107">
        <f>(BC9-BA9)*1000</f>
        <v>22513.600000000224</v>
      </c>
      <c r="BE9" s="5">
        <v>9316.5944</v>
      </c>
      <c r="BF9" s="107">
        <f>(BE9-BC9)*1000</f>
        <v>21912.800000000061</v>
      </c>
      <c r="BG9" s="5">
        <v>9344.7504000000008</v>
      </c>
      <c r="BH9" s="93">
        <f>(BG9-BE9)*1000</f>
        <v>28156.000000000859</v>
      </c>
      <c r="BI9" s="5">
        <v>9358.5007999999998</v>
      </c>
      <c r="BJ9" s="93">
        <f>(BI9-BG9)*1000</f>
        <v>13750.39999999899</v>
      </c>
      <c r="BK9" s="5"/>
      <c r="BL9" s="93"/>
    </row>
    <row r="10" spans="1:67" x14ac:dyDescent="0.25">
      <c r="A10" s="5" t="s">
        <v>249</v>
      </c>
      <c r="B10" s="5">
        <v>8998.0759999999991</v>
      </c>
      <c r="C10" s="5">
        <v>9026.1903999999995</v>
      </c>
      <c r="D10" s="93">
        <f>(C10-B10)*1000</f>
        <v>28114.400000000387</v>
      </c>
      <c r="E10" s="5">
        <v>9038.2160000000003</v>
      </c>
      <c r="F10" s="93">
        <f>(E10-C10)*1000</f>
        <v>12025.60000000085</v>
      </c>
      <c r="G10" s="5">
        <v>9059.8536000000004</v>
      </c>
      <c r="H10" s="93">
        <f>(G10-E10)*1000</f>
        <v>21637.60000000002</v>
      </c>
      <c r="I10" s="5">
        <v>9088.0504000000001</v>
      </c>
      <c r="J10" s="93">
        <f>(I10-G10)*1000</f>
        <v>28196.799999999712</v>
      </c>
      <c r="K10" s="5">
        <v>9107.8040000000001</v>
      </c>
      <c r="L10" s="93">
        <f>(K10-I10)*1000</f>
        <v>19753.600000000006</v>
      </c>
      <c r="M10" s="5">
        <v>9129.8799999999992</v>
      </c>
      <c r="N10" s="93">
        <f>(M10-K10)*1000</f>
        <v>22075.999999999112</v>
      </c>
      <c r="O10" s="5">
        <v>9153.7703999999994</v>
      </c>
      <c r="P10" s="93">
        <f>(O10-M10)*1000</f>
        <v>23890.400000000227</v>
      </c>
      <c r="Q10" s="5">
        <v>9177.9896000000008</v>
      </c>
      <c r="R10" s="93">
        <f>(Q10-O10)*1000</f>
        <v>24219.200000001365</v>
      </c>
      <c r="S10" s="5">
        <v>9202.1759999999995</v>
      </c>
      <c r="T10" s="93">
        <f>(S10-Q10)*1000</f>
        <v>24186.399999998685</v>
      </c>
      <c r="U10" s="5">
        <v>9228.5087999999996</v>
      </c>
      <c r="V10" s="93">
        <f>(U10-S10)*1000</f>
        <v>26332.800000000134</v>
      </c>
      <c r="W10" s="5">
        <v>9252.2240000000002</v>
      </c>
      <c r="X10" s="93">
        <f>(W10-U10)*1000</f>
        <v>23715.20000000055</v>
      </c>
      <c r="Y10" s="5">
        <v>9274.5787999999993</v>
      </c>
      <c r="Z10" s="93">
        <f>(Y10-W10)*1000</f>
        <v>22354.799999999159</v>
      </c>
      <c r="AA10" s="5">
        <v>9292.8143999999993</v>
      </c>
      <c r="AB10" s="93">
        <f>(AA10-Y10)*1000</f>
        <v>18235.599999999977</v>
      </c>
      <c r="AC10" s="5">
        <v>9314.7335999999996</v>
      </c>
      <c r="AD10" s="93">
        <f>(AC10-AA10)*1000</f>
        <v>21919.200000000274</v>
      </c>
      <c r="AE10" s="5">
        <v>9340.8328000000001</v>
      </c>
      <c r="AF10" s="93">
        <f>(AE10-AC10)*1000</f>
        <v>26099.200000000565</v>
      </c>
      <c r="AG10" s="5">
        <v>9368.5624000000007</v>
      </c>
      <c r="AH10" s="93">
        <f>(AG10-AE10)*1000</f>
        <v>27729.600000000573</v>
      </c>
      <c r="AI10" s="5">
        <v>9388.3760000000002</v>
      </c>
      <c r="AJ10" s="93">
        <f>(AI10-AG10)*1000</f>
        <v>19813.599999999497</v>
      </c>
      <c r="AK10" s="5">
        <v>9411.884</v>
      </c>
      <c r="AL10" s="93">
        <f>(AK10-AI10)*1000</f>
        <v>23507.999999999811</v>
      </c>
      <c r="AM10" s="5">
        <v>9435.2088000000003</v>
      </c>
      <c r="AN10" s="93">
        <f>(AM10-AK10)*1000</f>
        <v>23324.800000000323</v>
      </c>
      <c r="AO10" s="5">
        <v>9453.7484000000004</v>
      </c>
      <c r="AP10" s="93">
        <f>(AO10-AM10)*1000</f>
        <v>18539.600000000064</v>
      </c>
      <c r="AQ10" s="5">
        <v>9474.3304000000007</v>
      </c>
      <c r="AR10" s="93">
        <f>(AQ10-AO10)*1000</f>
        <v>20582.000000000335</v>
      </c>
      <c r="AS10" s="5">
        <v>9492.8775999999998</v>
      </c>
      <c r="AT10" s="93">
        <f>(AS10-AQ10)*1000</f>
        <v>18547.199999999066</v>
      </c>
      <c r="AU10" s="5">
        <v>9493.3176000000003</v>
      </c>
      <c r="AV10" s="93">
        <f>(AU10-AS10)*1000</f>
        <v>440.00000000050932</v>
      </c>
      <c r="AW10" s="5">
        <v>9507.6111999999994</v>
      </c>
      <c r="AX10" s="93">
        <f>(AW10-AU10)*1000</f>
        <v>14293.59999999906</v>
      </c>
      <c r="AY10" s="5">
        <v>26928.57</v>
      </c>
      <c r="AZ10" s="93">
        <f>(AY10-AW10)</f>
        <v>17420.9588</v>
      </c>
      <c r="BA10" s="5">
        <v>53864.063999999998</v>
      </c>
      <c r="BB10" s="93">
        <f>(BA10-AY10)</f>
        <v>26935.493999999999</v>
      </c>
      <c r="BC10" s="5">
        <v>78455.543999999994</v>
      </c>
      <c r="BD10" s="107">
        <f>(BC10-BA10)</f>
        <v>24591.479999999996</v>
      </c>
      <c r="BE10" s="5">
        <v>102246.86</v>
      </c>
      <c r="BF10" s="107">
        <f>(BE10-BC10)</f>
        <v>23791.316000000006</v>
      </c>
      <c r="BG10" s="5">
        <v>129588.27</v>
      </c>
      <c r="BH10" s="93">
        <f>(BG10-BE10)</f>
        <v>27341.410000000003</v>
      </c>
      <c r="BI10" s="5">
        <v>142544.25</v>
      </c>
      <c r="BJ10" s="93">
        <f>(BI10-BG10)</f>
        <v>12955.979999999996</v>
      </c>
      <c r="BK10" s="5"/>
      <c r="BL10" s="93"/>
    </row>
    <row r="11" spans="1:67" x14ac:dyDescent="0.25">
      <c r="A11" s="5" t="s">
        <v>6</v>
      </c>
      <c r="B11" s="5">
        <v>21747876.359999999</v>
      </c>
      <c r="C11" s="5">
        <v>21752819.899999999</v>
      </c>
      <c r="D11" s="5">
        <f>C11-B11</f>
        <v>4943.5399999991059</v>
      </c>
      <c r="E11" s="5">
        <v>21758227.550000001</v>
      </c>
      <c r="F11" s="5">
        <f>E11-C11</f>
        <v>5407.6500000022352</v>
      </c>
      <c r="G11" s="5">
        <v>21763834.34</v>
      </c>
      <c r="H11" s="5">
        <f>G11-E11</f>
        <v>5606.7899999991059</v>
      </c>
      <c r="I11" s="5">
        <v>21769955.640000001</v>
      </c>
      <c r="J11" s="5">
        <f>I11-G11</f>
        <v>6121.3000000007451</v>
      </c>
      <c r="K11" s="5">
        <v>21775437.66</v>
      </c>
      <c r="L11" s="5">
        <f>K11-I11</f>
        <v>5482.019999999553</v>
      </c>
      <c r="M11" s="5">
        <v>21780695.850000001</v>
      </c>
      <c r="N11" s="5">
        <f>M11-K11</f>
        <v>5258.1900000013411</v>
      </c>
      <c r="O11" s="5">
        <v>21786378.300000001</v>
      </c>
      <c r="P11" s="5">
        <f>O11-M11</f>
        <v>5682.4499999992549</v>
      </c>
      <c r="Q11" s="5">
        <v>21792086.48</v>
      </c>
      <c r="R11" s="5">
        <f>Q11-O11</f>
        <v>5708.179999999702</v>
      </c>
      <c r="S11" s="5">
        <v>21797887.120000001</v>
      </c>
      <c r="T11" s="5">
        <f>S11-Q11</f>
        <v>5800.640000000596</v>
      </c>
      <c r="U11" s="5">
        <v>21804190.420000002</v>
      </c>
      <c r="V11" s="5">
        <f>U11-S11</f>
        <v>6303.3000000007451</v>
      </c>
      <c r="W11" s="5">
        <v>21810813.199999999</v>
      </c>
      <c r="X11" s="5">
        <f>W11-U11</f>
        <v>6622.7799999974668</v>
      </c>
      <c r="Y11" s="5">
        <v>21816930.469999999</v>
      </c>
      <c r="Z11" s="5">
        <f>Y11-W11</f>
        <v>6117.269999999553</v>
      </c>
      <c r="AA11" s="5">
        <v>21822060.739999998</v>
      </c>
      <c r="AB11" s="5">
        <f>AA11-Y11</f>
        <v>5130.269999999553</v>
      </c>
      <c r="AC11" s="5">
        <v>21827385.899999999</v>
      </c>
      <c r="AD11" s="5">
        <f>AC11-AA11</f>
        <v>5325.160000000149</v>
      </c>
      <c r="AE11" s="5">
        <v>21833354.289999999</v>
      </c>
      <c r="AF11" s="5">
        <f>AE11-AC11</f>
        <v>5968.390000000596</v>
      </c>
      <c r="AG11" s="5">
        <v>21839218.899999999</v>
      </c>
      <c r="AH11" s="5">
        <f>AG11-AE11</f>
        <v>5864.609999999404</v>
      </c>
      <c r="AI11" s="5">
        <v>21844450.140000001</v>
      </c>
      <c r="AJ11" s="5">
        <f>AI11-AG11</f>
        <v>5231.2400000020862</v>
      </c>
      <c r="AK11" s="5">
        <v>21849861.780000001</v>
      </c>
      <c r="AL11" s="5">
        <f>AK11-AI11</f>
        <v>5411.640000000596</v>
      </c>
      <c r="AM11" s="5">
        <v>21855412.100000001</v>
      </c>
      <c r="AN11" s="107">
        <f>AM11-AK11</f>
        <v>5550.320000000298</v>
      </c>
      <c r="AO11" s="5">
        <v>21860684.91</v>
      </c>
      <c r="AP11" s="107">
        <f>AO11-AM11</f>
        <v>5272.8099999986589</v>
      </c>
      <c r="AQ11" s="5">
        <v>21865902.800000001</v>
      </c>
      <c r="AR11" s="107">
        <f>AQ11-AO11</f>
        <v>5217.890000000596</v>
      </c>
      <c r="AS11" s="5">
        <v>21870863.280000001</v>
      </c>
      <c r="AT11" s="107">
        <f>AS11-AQ11</f>
        <v>4960.480000000447</v>
      </c>
      <c r="AU11" s="5">
        <v>21873693</v>
      </c>
      <c r="AV11" s="107">
        <f>AU11-AS11</f>
        <v>2829.7199999988079</v>
      </c>
      <c r="AW11" s="5">
        <v>21878160.68</v>
      </c>
      <c r="AX11" s="107">
        <f>AW11-AU11</f>
        <v>4467.679999999702</v>
      </c>
      <c r="AY11" s="5">
        <v>21884072.289999999</v>
      </c>
      <c r="AZ11" s="107">
        <f>AY11-AW11</f>
        <v>5911.609999999404</v>
      </c>
      <c r="BA11" s="5">
        <v>21890042.440000001</v>
      </c>
      <c r="BB11" s="107">
        <f>BA11-AY11</f>
        <v>5970.1500000022352</v>
      </c>
      <c r="BC11" s="5">
        <v>21895758.300000001</v>
      </c>
      <c r="BD11" s="107">
        <f>BC11-BA11</f>
        <v>5715.859999999404</v>
      </c>
      <c r="BE11" s="5">
        <v>21901486.77</v>
      </c>
      <c r="BF11" s="107">
        <f>BE11-BC11</f>
        <v>5728.4699999988079</v>
      </c>
      <c r="BG11" s="5">
        <v>21907436.41</v>
      </c>
      <c r="BH11" s="107">
        <f>BG11-BE11</f>
        <v>5949.640000000596</v>
      </c>
      <c r="BI11" s="5">
        <v>21911618</v>
      </c>
      <c r="BJ11" s="107">
        <f>BI11-BG11</f>
        <v>4181.589999999851</v>
      </c>
      <c r="BK11" s="5"/>
      <c r="BL11" s="107"/>
    </row>
    <row r="12" spans="1:67" x14ac:dyDescent="0.25">
      <c r="A12" s="9" t="s">
        <v>129</v>
      </c>
      <c r="B12" s="5">
        <v>948706.22</v>
      </c>
      <c r="C12" s="5">
        <v>950104.06</v>
      </c>
      <c r="D12" s="93">
        <f>C12-B12</f>
        <v>1397.8400000000838</v>
      </c>
      <c r="E12" s="5">
        <v>950660.97</v>
      </c>
      <c r="F12" s="93">
        <f>E12-C12</f>
        <v>556.90999999991618</v>
      </c>
      <c r="G12" s="5">
        <v>951803.13</v>
      </c>
      <c r="H12" s="93">
        <f>G12-E12</f>
        <v>1142.1600000000326</v>
      </c>
      <c r="I12" s="5">
        <v>953183.56</v>
      </c>
      <c r="J12" s="93">
        <f>I12-G12</f>
        <v>1380.4300000000512</v>
      </c>
      <c r="K12" s="5">
        <v>954319.31</v>
      </c>
      <c r="L12" s="93">
        <f>K12-I12</f>
        <v>1135.75</v>
      </c>
      <c r="M12" s="5">
        <v>955409.32</v>
      </c>
      <c r="N12" s="93">
        <f>M12-K12</f>
        <v>1090.0099999998929</v>
      </c>
      <c r="O12" s="5">
        <v>956703.48</v>
      </c>
      <c r="P12" s="93">
        <f>O12-M12</f>
        <v>1294.1600000000326</v>
      </c>
      <c r="Q12" s="5">
        <v>957972.24</v>
      </c>
      <c r="R12" s="93">
        <f>Q12-O12</f>
        <v>1268.7600000000093</v>
      </c>
      <c r="S12" s="5">
        <v>959282.3</v>
      </c>
      <c r="T12" s="93">
        <f>S12-Q12</f>
        <v>1310.0600000000559</v>
      </c>
      <c r="U12" s="5">
        <v>960693.16</v>
      </c>
      <c r="V12" s="93">
        <f>U12-S12</f>
        <v>1410.859999999986</v>
      </c>
      <c r="W12" s="5">
        <v>961876.92</v>
      </c>
      <c r="X12" s="93">
        <f>W12-U12</f>
        <v>1183.7600000000093</v>
      </c>
      <c r="Y12" s="5">
        <v>963174.47</v>
      </c>
      <c r="Z12" s="93">
        <f>Y12-W12</f>
        <v>1297.5499999999302</v>
      </c>
      <c r="AA12" s="5">
        <v>964255.67</v>
      </c>
      <c r="AB12" s="93">
        <f>AA12-Y12</f>
        <v>1081.2000000000698</v>
      </c>
      <c r="AC12" s="5">
        <v>965376.45</v>
      </c>
      <c r="AD12" s="93">
        <f>AC12-AA12</f>
        <v>1120.7799999999115</v>
      </c>
      <c r="AE12" s="5">
        <v>966738.28</v>
      </c>
      <c r="AF12" s="93">
        <f>AE12-AC12</f>
        <v>1361.8300000000745</v>
      </c>
      <c r="AG12" s="5">
        <v>968161.77</v>
      </c>
      <c r="AH12" s="93">
        <f>AG12-AE12</f>
        <v>1423.4899999999907</v>
      </c>
      <c r="AI12" s="5">
        <v>969183.96</v>
      </c>
      <c r="AJ12" s="93">
        <f>AI12-AG12</f>
        <v>1022.1899999999441</v>
      </c>
      <c r="AK12" s="5">
        <v>970382.55</v>
      </c>
      <c r="AL12" s="93">
        <f>AK12-AI12</f>
        <v>1198.5900000000838</v>
      </c>
      <c r="AM12" s="5">
        <v>971587.71</v>
      </c>
      <c r="AN12" s="93">
        <f>AM12-AK12</f>
        <v>1205.1599999999162</v>
      </c>
      <c r="AO12" s="5">
        <v>972621.22</v>
      </c>
      <c r="AP12" s="93">
        <f>AO12-AM12</f>
        <v>1033.5100000000093</v>
      </c>
      <c r="AQ12" s="5">
        <v>973589.24</v>
      </c>
      <c r="AR12" s="93">
        <f>AQ12-AO12</f>
        <v>968.02000000001863</v>
      </c>
      <c r="AS12" s="5">
        <v>974508.23</v>
      </c>
      <c r="AT12" s="93">
        <f>AS12-AQ12</f>
        <v>918.98999999999069</v>
      </c>
      <c r="AU12" s="5">
        <v>974711.92</v>
      </c>
      <c r="AV12" s="93">
        <f>AU12-AS12</f>
        <v>203.69000000006054</v>
      </c>
      <c r="AW12" s="5">
        <v>975378.55</v>
      </c>
      <c r="AX12" s="93">
        <f>AW12-AU12</f>
        <v>666.63000000000466</v>
      </c>
      <c r="AY12" s="5">
        <v>976747.22</v>
      </c>
      <c r="AZ12" s="93">
        <f>AY12-AW12</f>
        <v>1368.6699999999255</v>
      </c>
      <c r="BA12" s="5">
        <v>978179.73</v>
      </c>
      <c r="BB12" s="93">
        <f>BA12-AY12</f>
        <v>1432.5100000000093</v>
      </c>
      <c r="BC12" s="5">
        <v>979447.6</v>
      </c>
      <c r="BD12" s="107">
        <f>BC12-BA12</f>
        <v>1267.8699999999953</v>
      </c>
      <c r="BE12" s="5">
        <v>980776.05</v>
      </c>
      <c r="BF12" s="107">
        <f>BE12-BC12</f>
        <v>1328.4500000000698</v>
      </c>
      <c r="BG12" s="5">
        <v>982148.62</v>
      </c>
      <c r="BH12" s="93">
        <f>BG12-BE12</f>
        <v>1372.5699999999488</v>
      </c>
      <c r="BI12" s="5">
        <v>982891.43</v>
      </c>
      <c r="BJ12" s="93">
        <f>BI12-BG12</f>
        <v>742.81000000005588</v>
      </c>
      <c r="BK12" s="5"/>
      <c r="BL12" s="93"/>
    </row>
    <row r="13" spans="1:67" x14ac:dyDescent="0.25">
      <c r="A13" s="87" t="s">
        <v>250</v>
      </c>
      <c r="B13" s="5">
        <v>605.21424000000002</v>
      </c>
      <c r="C13" s="5">
        <v>608.65683999999999</v>
      </c>
      <c r="D13" s="5">
        <f>(C13-B13)*1000</f>
        <v>3442.5999999999704</v>
      </c>
      <c r="E13" s="5">
        <v>612.03959999999995</v>
      </c>
      <c r="F13" s="5">
        <f>(E13-C13)*1000</f>
        <v>3382.759999999962</v>
      </c>
      <c r="G13" s="5">
        <v>615.12216000000001</v>
      </c>
      <c r="H13" s="5">
        <f>(G13-E13)*1000</f>
        <v>3082.5600000000577</v>
      </c>
      <c r="I13" s="5">
        <v>618.41755999999998</v>
      </c>
      <c r="J13" s="5">
        <f>(I13-G13)*1000</f>
        <v>3295.3999999999724</v>
      </c>
      <c r="K13" s="5">
        <v>621.8048</v>
      </c>
      <c r="L13" s="5">
        <f>(K13-I13)*1000</f>
        <v>3387.2400000000198</v>
      </c>
      <c r="M13" s="5">
        <v>625.00663999999995</v>
      </c>
      <c r="N13" s="5">
        <f>(M13-K13)*1000</f>
        <v>3201.8399999999474</v>
      </c>
      <c r="O13" s="5">
        <v>627.93403999999998</v>
      </c>
      <c r="P13" s="5">
        <f>(O13-M13)*1000</f>
        <v>2927.4000000000342</v>
      </c>
      <c r="Q13" s="5">
        <v>631.49824000000001</v>
      </c>
      <c r="R13" s="5">
        <f>(Q13-O13)*1000</f>
        <v>3564.200000000028</v>
      </c>
      <c r="S13" s="5">
        <v>634.95788000000005</v>
      </c>
      <c r="T13" s="5">
        <f>(S13-Q13)*1000</f>
        <v>3459.6400000000358</v>
      </c>
      <c r="U13" s="5">
        <v>638.43096000000003</v>
      </c>
      <c r="V13" s="5">
        <f>(U13-S13)*1000</f>
        <v>3473.0799999999817</v>
      </c>
      <c r="W13" s="5">
        <v>641.77088000000003</v>
      </c>
      <c r="X13" s="5">
        <f>(W13-U13)*1000</f>
        <v>3339.9200000000064</v>
      </c>
      <c r="Y13" s="5">
        <v>645.00644</v>
      </c>
      <c r="Z13" s="5">
        <f>(Y13-W13)*1000</f>
        <v>3235.559999999964</v>
      </c>
      <c r="AA13" s="5">
        <v>648.22176000000002</v>
      </c>
      <c r="AB13" s="5">
        <f>(AA13-Y13)*1000</f>
        <v>3215.3200000000197</v>
      </c>
      <c r="AC13" s="5">
        <v>651.31863999999996</v>
      </c>
      <c r="AD13" s="5">
        <f>(AC13-AA13)*1000</f>
        <v>3096.8799999999419</v>
      </c>
      <c r="AE13" s="5">
        <v>653.81551999999999</v>
      </c>
      <c r="AF13" s="5">
        <f>(AE13-AC13)*1000</f>
        <v>2496.8800000000329</v>
      </c>
      <c r="AG13" s="5">
        <v>655.51415999999995</v>
      </c>
      <c r="AH13" s="5">
        <f>(AG13-AE13)*1000</f>
        <v>1698.6399999999549</v>
      </c>
      <c r="AI13" s="5">
        <v>657.29908</v>
      </c>
      <c r="AJ13" s="5">
        <f>(AI13-AG13)*1000</f>
        <v>1784.9200000000565</v>
      </c>
      <c r="AK13" s="5">
        <v>659.25536</v>
      </c>
      <c r="AL13" s="5">
        <f>(AK13-AI13)*1000</f>
        <v>1956.2799999999925</v>
      </c>
      <c r="AM13" s="5">
        <v>661.19971999999996</v>
      </c>
      <c r="AN13" s="107">
        <f>(AM13-AK13)*1000</f>
        <v>1944.3599999999606</v>
      </c>
      <c r="AO13" s="5">
        <v>662.98476000000005</v>
      </c>
      <c r="AP13" s="107">
        <f>(AO13-AM13)*1000</f>
        <v>1785.0400000000946</v>
      </c>
      <c r="AQ13" s="5">
        <v>664.72892000000002</v>
      </c>
      <c r="AR13" s="107">
        <f>(AQ13-AO13)*1000</f>
        <v>1744.1599999999653</v>
      </c>
      <c r="AS13" s="5">
        <v>666.53272000000004</v>
      </c>
      <c r="AT13" s="107">
        <f>(AS13-AQ13)*1000</f>
        <v>1803.8000000000238</v>
      </c>
      <c r="AU13" s="5">
        <v>668.30835999999999</v>
      </c>
      <c r="AV13" s="107">
        <f>(AU13-AS13)*1000</f>
        <v>1775.639999999953</v>
      </c>
      <c r="AW13" s="5">
        <v>670.07471999999996</v>
      </c>
      <c r="AX13" s="107">
        <f>(AW13-AU13)*1000</f>
        <v>1766.3599999999633</v>
      </c>
      <c r="AY13" s="5">
        <v>673.29600000000005</v>
      </c>
      <c r="AZ13" s="107">
        <f>(AY13-AW13)*1000</f>
        <v>3221.2800000000925</v>
      </c>
      <c r="BA13" s="5">
        <v>676.78616</v>
      </c>
      <c r="BB13" s="107">
        <f>(BA13-AY13)*1000</f>
        <v>3490.1599999999462</v>
      </c>
      <c r="BC13" s="5">
        <v>680.07767999999999</v>
      </c>
      <c r="BD13" s="107">
        <f>(BC13-BA13)*1000</f>
        <v>3291.5199999999913</v>
      </c>
      <c r="BE13" s="5">
        <v>683.22847999999999</v>
      </c>
      <c r="BF13" s="107">
        <f>(BE13-BC13)*1000</f>
        <v>3150.8000000000038</v>
      </c>
      <c r="BG13" s="5">
        <v>687.09663999999998</v>
      </c>
      <c r="BH13" s="107">
        <f>(BG13-BE13)*1000</f>
        <v>3868.1599999999889</v>
      </c>
      <c r="BI13" s="5">
        <v>688.77560000000005</v>
      </c>
      <c r="BJ13" s="107">
        <f>(BI13-BG13)*1000</f>
        <v>1678.9600000000746</v>
      </c>
      <c r="BK13" s="5"/>
      <c r="BL13" s="107"/>
    </row>
    <row r="14" spans="1:67" x14ac:dyDescent="0.25">
      <c r="A14" s="88" t="s">
        <v>248</v>
      </c>
      <c r="B14" s="5">
        <v>568.01639999999998</v>
      </c>
      <c r="C14" s="5">
        <v>573.0412</v>
      </c>
      <c r="D14" s="93">
        <f>(C14-B14)*1000</f>
        <v>5024.8000000000275</v>
      </c>
      <c r="E14" s="5">
        <v>579.05812000000003</v>
      </c>
      <c r="F14" s="93">
        <f>(E14-C14)*1000</f>
        <v>6016.9200000000274</v>
      </c>
      <c r="G14" s="5">
        <v>583.47684000000004</v>
      </c>
      <c r="H14" s="93">
        <f>(G14-E14)*1000</f>
        <v>4418.7200000000075</v>
      </c>
      <c r="I14" s="5">
        <v>588.24667999999997</v>
      </c>
      <c r="J14" s="93">
        <f>(I14-G14)*1000</f>
        <v>4769.839999999931</v>
      </c>
      <c r="K14" s="5">
        <v>593.55083999999999</v>
      </c>
      <c r="L14" s="93">
        <f>(K14-I14)*1000</f>
        <v>5304.1600000000244</v>
      </c>
      <c r="M14" s="5">
        <v>598.68647999999996</v>
      </c>
      <c r="N14" s="93">
        <f>(M14-K14)*1000</f>
        <v>5135.6399999999667</v>
      </c>
      <c r="O14" s="5">
        <v>603.88576</v>
      </c>
      <c r="P14" s="93">
        <f>(O14-M14)*1000</f>
        <v>5199.2800000000443</v>
      </c>
      <c r="Q14" s="5">
        <v>609.08744000000002</v>
      </c>
      <c r="R14" s="93">
        <f>(Q14-O14)*1000</f>
        <v>5201.6800000000103</v>
      </c>
      <c r="S14" s="5">
        <v>614.13516000000004</v>
      </c>
      <c r="T14" s="93">
        <f>(S14-Q14)*1000</f>
        <v>5047.7200000000266</v>
      </c>
      <c r="U14" s="5">
        <v>618.84903999999995</v>
      </c>
      <c r="V14" s="93">
        <f>(U14-S14)*1000</f>
        <v>4713.8799999999037</v>
      </c>
      <c r="W14" s="5">
        <v>623.84928000000002</v>
      </c>
      <c r="X14" s="93">
        <f>(W14-U14)*1000</f>
        <v>5000.2400000000762</v>
      </c>
      <c r="Y14" s="5">
        <v>629.12408000000005</v>
      </c>
      <c r="Z14" s="93">
        <f>(Y14-W14)*1000</f>
        <v>5274.8000000000275</v>
      </c>
      <c r="AA14" s="5">
        <v>634.47587999999996</v>
      </c>
      <c r="AB14" s="93">
        <f>(AA14-Y14)*1000</f>
        <v>5351.799999999912</v>
      </c>
      <c r="AC14" s="5">
        <v>639.56100000000004</v>
      </c>
      <c r="AD14" s="93">
        <f>(AC14-AA14)*1000</f>
        <v>5085.1200000000745</v>
      </c>
      <c r="AE14" s="5">
        <v>644.21975999999995</v>
      </c>
      <c r="AF14" s="93">
        <f>(AE14-AC14)*1000</f>
        <v>4658.7599999999156</v>
      </c>
      <c r="AG14" s="5">
        <v>648.82216000000005</v>
      </c>
      <c r="AH14" s="93">
        <f>(AG14-AE14)*1000</f>
        <v>4602.4000000001024</v>
      </c>
      <c r="AI14" s="5">
        <v>654.07983999999999</v>
      </c>
      <c r="AJ14" s="93">
        <f>(AI14-AG14)*1000</f>
        <v>5257.6799999999366</v>
      </c>
      <c r="AK14" s="5">
        <v>658.90628000000004</v>
      </c>
      <c r="AL14" s="93">
        <f>(AK14-AI14)*1000</f>
        <v>4826.4400000000478</v>
      </c>
      <c r="AM14" s="5">
        <v>663.66423999999995</v>
      </c>
      <c r="AN14" s="93">
        <f>(AM14-AK14)*1000</f>
        <v>4757.9599999999118</v>
      </c>
      <c r="AO14" s="5">
        <v>669.10712000000001</v>
      </c>
      <c r="AP14" s="93">
        <f>(AO14-AM14)*1000</f>
        <v>5442.8800000000592</v>
      </c>
      <c r="AQ14" s="5">
        <v>673.11767999999995</v>
      </c>
      <c r="AR14" s="93">
        <f>(AQ14-AO14)*1000</f>
        <v>4010.5599999999413</v>
      </c>
      <c r="AS14" s="5">
        <v>677.64215999999999</v>
      </c>
      <c r="AT14" s="93">
        <f>(AS14-AQ14)*1000</f>
        <v>4524.4800000000396</v>
      </c>
      <c r="AU14" s="5">
        <v>678.68407999999999</v>
      </c>
      <c r="AV14" s="93">
        <f>(AU14-AS14)*1000</f>
        <v>1041.9200000000046</v>
      </c>
      <c r="AW14" s="5">
        <v>681.63535999999999</v>
      </c>
      <c r="AX14" s="93">
        <f>(AW14-AU14)*1000</f>
        <v>2951.279999999997</v>
      </c>
      <c r="AY14" s="5">
        <v>686.22316000000001</v>
      </c>
      <c r="AZ14" s="93">
        <f>(AY14-AW14)*1000</f>
        <v>4587.8000000000156</v>
      </c>
      <c r="BA14" s="5">
        <v>690.24</v>
      </c>
      <c r="BB14" s="93">
        <f>(BA14-AY14)*1000</f>
        <v>4016.840000000002</v>
      </c>
      <c r="BC14" s="5">
        <v>694.88703999999996</v>
      </c>
      <c r="BD14" s="107">
        <f>(BC14-BA14)*1000</f>
        <v>4647.0399999999472</v>
      </c>
      <c r="BE14" s="5">
        <v>699.45128</v>
      </c>
      <c r="BF14" s="93">
        <f>(BE14-BC14)*1000</f>
        <v>4564.2400000000407</v>
      </c>
      <c r="BG14" s="5">
        <v>703.89815999999996</v>
      </c>
      <c r="BH14" s="93">
        <f>(BG14-BE14)*1000</f>
        <v>4446.8799999999646</v>
      </c>
      <c r="BI14" s="5">
        <v>706.56687999999997</v>
      </c>
      <c r="BJ14" s="93">
        <f>(BI14-BG14)*1000</f>
        <v>2668.7200000000075</v>
      </c>
      <c r="BK14" s="5"/>
      <c r="BL14" s="93"/>
    </row>
    <row r="15" spans="1:67" ht="27" customHeight="1" x14ac:dyDescent="0.25">
      <c r="A15" s="87" t="s">
        <v>38</v>
      </c>
      <c r="B15" s="5">
        <v>5987972.21</v>
      </c>
      <c r="C15" s="5">
        <v>5992309.5899999999</v>
      </c>
      <c r="D15" s="93">
        <f>C15-B15</f>
        <v>4337.3799999998882</v>
      </c>
      <c r="E15" s="5">
        <v>5996736.2000000002</v>
      </c>
      <c r="F15" s="93">
        <f>E15-C15</f>
        <v>4426.6100000003353</v>
      </c>
      <c r="G15" s="5">
        <v>6001076.2599999998</v>
      </c>
      <c r="H15" s="93">
        <f>G15-E15</f>
        <v>4340.0599999995902</v>
      </c>
      <c r="I15" s="5">
        <v>6005333.25</v>
      </c>
      <c r="J15" s="93">
        <f>I15-G15</f>
        <v>4256.9900000002235</v>
      </c>
      <c r="K15" s="5">
        <v>6009734.6600000001</v>
      </c>
      <c r="L15" s="93">
        <f>K15-I15</f>
        <v>4401.410000000149</v>
      </c>
      <c r="M15" s="5">
        <v>6014083.5700000003</v>
      </c>
      <c r="N15" s="93">
        <f>M15-K15</f>
        <v>4348.910000000149</v>
      </c>
      <c r="O15" s="5">
        <v>6018464.75</v>
      </c>
      <c r="P15" s="93">
        <f>O15-M15</f>
        <v>4381.179999999702</v>
      </c>
      <c r="Q15" s="5">
        <v>6022949.3099999996</v>
      </c>
      <c r="R15" s="93">
        <f>Q15-O15</f>
        <v>4484.5599999995902</v>
      </c>
      <c r="S15" s="5">
        <v>6027260.4400000004</v>
      </c>
      <c r="T15" s="93">
        <f>S15-Q15</f>
        <v>4311.1300000008196</v>
      </c>
      <c r="U15" s="5">
        <v>6031652.9900000002</v>
      </c>
      <c r="V15" s="93">
        <f>U15-S15</f>
        <v>4392.5499999998137</v>
      </c>
      <c r="W15" s="5">
        <v>6036080.4900000002</v>
      </c>
      <c r="X15" s="93">
        <f>W15-U15</f>
        <v>4427.5</v>
      </c>
      <c r="Y15" s="5">
        <v>6040411.0099999998</v>
      </c>
      <c r="Z15" s="93">
        <f>Y15-W15</f>
        <v>4330.519999999553</v>
      </c>
      <c r="AA15" s="5">
        <v>6044754.2800000003</v>
      </c>
      <c r="AB15" s="93">
        <f>AA15-Y15</f>
        <v>4343.2700000004843</v>
      </c>
      <c r="AC15" s="5">
        <v>6049205.7000000002</v>
      </c>
      <c r="AD15" s="93">
        <f>AC15-AA15</f>
        <v>4451.4199999999255</v>
      </c>
      <c r="AE15" s="5">
        <v>6053568.6799999997</v>
      </c>
      <c r="AF15" s="93">
        <f>AE15-AC15</f>
        <v>4362.9799999995157</v>
      </c>
      <c r="AG15" s="5">
        <v>6057909.5300000003</v>
      </c>
      <c r="AH15" s="93">
        <f>AG15-AE15</f>
        <v>4340.8500000005588</v>
      </c>
      <c r="AI15" s="5">
        <v>6062349.1399999997</v>
      </c>
      <c r="AJ15" s="93">
        <f>AI15-AG15</f>
        <v>4439.609999999404</v>
      </c>
      <c r="AK15" s="5">
        <v>6066774.7800000003</v>
      </c>
      <c r="AL15" s="93">
        <f>AK15-AI15</f>
        <v>4425.640000000596</v>
      </c>
      <c r="AM15" s="5">
        <v>6071232.3099999996</v>
      </c>
      <c r="AN15" s="93">
        <f>AM15-AK15</f>
        <v>4457.5299999993294</v>
      </c>
      <c r="AO15" s="5">
        <v>6075623.2800000003</v>
      </c>
      <c r="AP15" s="93">
        <f>AO15-AM15</f>
        <v>4390.9700000006706</v>
      </c>
      <c r="AQ15" s="5">
        <v>6080033.1900000004</v>
      </c>
      <c r="AR15" s="93">
        <f>AQ15-AO15</f>
        <v>4409.910000000149</v>
      </c>
      <c r="AS15" s="5">
        <v>6084493.9800000004</v>
      </c>
      <c r="AT15" s="93">
        <f>AS15-AQ15</f>
        <v>4460.7900000000373</v>
      </c>
      <c r="AU15" s="5">
        <v>6089061.4400000004</v>
      </c>
      <c r="AV15" s="93">
        <f>AU15-AS15</f>
        <v>4567.4599999999627</v>
      </c>
      <c r="AW15" s="5">
        <v>6093544.0599999996</v>
      </c>
      <c r="AX15" s="93">
        <f>AW15-AU15</f>
        <v>4482.6199999991804</v>
      </c>
      <c r="AY15" s="5">
        <v>6097964.6699999999</v>
      </c>
      <c r="AZ15" s="93">
        <f>AY15-AW15</f>
        <v>4420.6100000003353</v>
      </c>
      <c r="BA15" s="5">
        <v>6102383.8300000001</v>
      </c>
      <c r="BB15" s="93">
        <f>BA15-AY15</f>
        <v>4419.160000000149</v>
      </c>
      <c r="BC15" s="5">
        <v>6106838.8399999999</v>
      </c>
      <c r="BD15" s="107">
        <f>BC15-BA15</f>
        <v>4455.0099999997765</v>
      </c>
      <c r="BE15" s="5">
        <v>6111266.7400000002</v>
      </c>
      <c r="BF15" s="93">
        <f>BE15-BC15</f>
        <v>4427.9000000003725</v>
      </c>
      <c r="BG15" s="5">
        <v>6117146.9500000002</v>
      </c>
      <c r="BH15" s="93">
        <f>BG15-BE15</f>
        <v>5880.2099999999627</v>
      </c>
      <c r="BI15" s="5">
        <v>6119721.7199999997</v>
      </c>
      <c r="BJ15" s="93">
        <f>BI15-BG15</f>
        <v>2574.769999999553</v>
      </c>
      <c r="BK15" s="5"/>
      <c r="BL15" s="93"/>
    </row>
    <row r="16" spans="1:67" ht="17.25" customHeight="1" x14ac:dyDescent="0.25">
      <c r="A16" s="88" t="s">
        <v>3</v>
      </c>
      <c r="B16" s="5"/>
      <c r="C16" s="5">
        <v>0</v>
      </c>
      <c r="D16" s="93">
        <v>162</v>
      </c>
      <c r="E16" s="5">
        <v>0</v>
      </c>
      <c r="F16" s="93">
        <v>124</v>
      </c>
      <c r="G16" s="5">
        <v>0</v>
      </c>
      <c r="H16" s="93">
        <v>162</v>
      </c>
      <c r="I16" s="5">
        <v>0</v>
      </c>
      <c r="J16" s="93">
        <v>142</v>
      </c>
      <c r="K16" s="5">
        <v>0</v>
      </c>
      <c r="L16" s="93">
        <v>121</v>
      </c>
      <c r="M16" s="5">
        <v>0</v>
      </c>
      <c r="N16" s="93">
        <v>121</v>
      </c>
      <c r="O16" s="5">
        <v>0</v>
      </c>
      <c r="P16" s="93">
        <v>142</v>
      </c>
      <c r="Q16" s="5">
        <v>0</v>
      </c>
      <c r="R16" s="93">
        <v>142</v>
      </c>
      <c r="S16" s="5">
        <v>0</v>
      </c>
      <c r="T16" s="93">
        <v>121</v>
      </c>
      <c r="U16" s="5">
        <v>0</v>
      </c>
      <c r="V16" s="93">
        <v>121</v>
      </c>
      <c r="W16" s="5">
        <v>0</v>
      </c>
      <c r="X16" s="93">
        <v>121</v>
      </c>
      <c r="Y16" s="5">
        <v>0</v>
      </c>
      <c r="Z16" s="93">
        <v>121</v>
      </c>
      <c r="AA16" s="5">
        <v>0</v>
      </c>
      <c r="AB16" s="93">
        <v>121</v>
      </c>
      <c r="AC16" s="5">
        <v>0</v>
      </c>
      <c r="AD16" s="93">
        <v>121</v>
      </c>
      <c r="AE16" s="5">
        <v>0</v>
      </c>
      <c r="AF16" s="93">
        <v>121</v>
      </c>
      <c r="AG16" s="5">
        <v>0</v>
      </c>
      <c r="AH16" s="93">
        <v>121</v>
      </c>
      <c r="AI16" s="5">
        <v>0</v>
      </c>
      <c r="AJ16" s="93">
        <v>121</v>
      </c>
      <c r="AK16" s="5">
        <v>0</v>
      </c>
      <c r="AL16" s="93">
        <v>121</v>
      </c>
      <c r="AM16" s="5">
        <v>0</v>
      </c>
      <c r="AN16" s="93">
        <v>121</v>
      </c>
      <c r="AO16" s="5">
        <v>0</v>
      </c>
      <c r="AP16" s="93">
        <v>121</v>
      </c>
      <c r="AQ16" s="5">
        <v>0</v>
      </c>
      <c r="AR16" s="93">
        <v>121</v>
      </c>
      <c r="AS16" s="5">
        <v>0</v>
      </c>
      <c r="AT16" s="93">
        <v>121</v>
      </c>
      <c r="AU16" s="5">
        <v>0</v>
      </c>
      <c r="AV16" s="93">
        <v>236</v>
      </c>
      <c r="AW16" s="5">
        <v>0</v>
      </c>
      <c r="AX16" s="93">
        <v>340</v>
      </c>
      <c r="AY16" s="5">
        <v>0</v>
      </c>
      <c r="AZ16" s="93">
        <v>254</v>
      </c>
      <c r="BA16" s="5">
        <v>0</v>
      </c>
      <c r="BB16" s="93">
        <v>312</v>
      </c>
      <c r="BC16" s="5">
        <v>387190.13</v>
      </c>
      <c r="BD16" s="107">
        <v>328.9</v>
      </c>
      <c r="BE16" s="5">
        <v>387192.24</v>
      </c>
      <c r="BF16" s="93">
        <v>322.60000000000002</v>
      </c>
      <c r="BG16" s="5">
        <v>387194.34</v>
      </c>
      <c r="BH16" s="93">
        <v>289.2</v>
      </c>
      <c r="BI16" s="5">
        <v>0</v>
      </c>
      <c r="BJ16" s="93">
        <v>315</v>
      </c>
      <c r="BK16" s="5"/>
      <c r="BL16" s="93"/>
    </row>
    <row r="17" spans="1:64" ht="17.25" customHeight="1" x14ac:dyDescent="0.25">
      <c r="A17" s="88" t="s">
        <v>265</v>
      </c>
      <c r="B17" s="5">
        <v>1227.0745999999999</v>
      </c>
      <c r="C17" s="5">
        <v>1233.8054</v>
      </c>
      <c r="D17" s="93">
        <f>(C17-B17)*1000</f>
        <v>6730.8000000000447</v>
      </c>
      <c r="E17" s="5">
        <v>1235.9761000000001</v>
      </c>
      <c r="F17" s="93">
        <f>(E17-C17)*1000</f>
        <v>2170.7000000001244</v>
      </c>
      <c r="G17" s="5">
        <v>1240.8979999999999</v>
      </c>
      <c r="H17" s="93">
        <f>(G17-E17)*1000</f>
        <v>4921.8999999998232</v>
      </c>
      <c r="I17" s="5">
        <v>1247.0859</v>
      </c>
      <c r="J17" s="93">
        <f>(I17-G17)*1000</f>
        <v>6187.900000000127</v>
      </c>
      <c r="K17" s="5">
        <v>1252.2349999999999</v>
      </c>
      <c r="L17" s="93">
        <f>(K17-I17)*1000</f>
        <v>5149.0999999998621</v>
      </c>
      <c r="M17" s="5">
        <v>1256.9875</v>
      </c>
      <c r="N17" s="93">
        <f>(M17-K17)*1000</f>
        <v>4752.5000000000546</v>
      </c>
      <c r="O17" s="5">
        <v>1260.9396999999999</v>
      </c>
      <c r="P17" s="93">
        <f>(O17-M17)*1000</f>
        <v>3952.199999999948</v>
      </c>
      <c r="Q17" s="5">
        <v>1266.3003000000001</v>
      </c>
      <c r="R17" s="93">
        <f>(Q17-O17)*1000</f>
        <v>5360.6000000002041</v>
      </c>
      <c r="S17" s="5">
        <v>1272.4436000000001</v>
      </c>
      <c r="T17" s="93">
        <f>(S17-Q17)*1000</f>
        <v>6143.2999999999538</v>
      </c>
      <c r="U17" s="5">
        <v>1277.7474</v>
      </c>
      <c r="V17" s="93">
        <f>(U17-S17)*1000</f>
        <v>5303.7999999999101</v>
      </c>
      <c r="W17" s="5">
        <v>1282.933</v>
      </c>
      <c r="X17" s="93">
        <f>(W17-U17)*1000</f>
        <v>5185.6000000000222</v>
      </c>
      <c r="Y17" s="5">
        <v>1288.5844999999999</v>
      </c>
      <c r="Z17" s="93">
        <f>(Y17-W17)*1000</f>
        <v>5651.4999999999418</v>
      </c>
      <c r="AA17" s="5">
        <v>1293.8656000000001</v>
      </c>
      <c r="AB17" s="93">
        <f>(AA17-Y17)*1000</f>
        <v>5281.1000000001513</v>
      </c>
      <c r="AC17" s="5">
        <v>1299.7936</v>
      </c>
      <c r="AD17" s="93">
        <f>(AC17-AA17)*1000</f>
        <v>5927.9999999998836</v>
      </c>
      <c r="AE17" s="5">
        <v>1302.46</v>
      </c>
      <c r="AF17" s="93">
        <f>(AE17-AC17)*1000</f>
        <v>2666.4000000000669</v>
      </c>
      <c r="AG17" s="5">
        <v>1302.46</v>
      </c>
      <c r="AH17" s="93">
        <f>(AG17-AE17)*1000</f>
        <v>0</v>
      </c>
      <c r="AI17" s="5">
        <v>1302.46</v>
      </c>
      <c r="AJ17" s="93">
        <f>(AI17-AG17)*1000</f>
        <v>0</v>
      </c>
      <c r="AK17" s="5">
        <v>1302.46</v>
      </c>
      <c r="AL17" s="93">
        <f>(AK17-AI17)*1000</f>
        <v>0</v>
      </c>
      <c r="AM17" s="5">
        <v>1302.46</v>
      </c>
      <c r="AN17" s="93">
        <f>(AM17-AK17)*1000</f>
        <v>0</v>
      </c>
      <c r="AO17" s="5">
        <v>1302.46</v>
      </c>
      <c r="AP17" s="93">
        <f>(AO17-AM17)*1000</f>
        <v>0</v>
      </c>
      <c r="AQ17" s="5">
        <v>1302.46</v>
      </c>
      <c r="AR17" s="93">
        <f>(AQ17-AO17)*1000</f>
        <v>0</v>
      </c>
      <c r="AS17" s="5">
        <v>1302.46</v>
      </c>
      <c r="AT17" s="93">
        <f>(AS17-AQ17)*1000</f>
        <v>0</v>
      </c>
      <c r="AU17" s="5">
        <v>1302.46</v>
      </c>
      <c r="AV17" s="93">
        <f>(AU17-AS17)*1000</f>
        <v>0</v>
      </c>
      <c r="AW17" s="5">
        <v>1302.46</v>
      </c>
      <c r="AX17" s="93">
        <f>(AW17-AU17)*1000</f>
        <v>0</v>
      </c>
      <c r="AY17" s="5">
        <v>1308.3888999999999</v>
      </c>
      <c r="AZ17" s="93">
        <f>(AY17-AW17)*1000</f>
        <v>5928.899999999885</v>
      </c>
      <c r="BA17" s="5">
        <v>1315.0068000000001</v>
      </c>
      <c r="BB17" s="93">
        <f>(BA17-AY17)*1000</f>
        <v>6617.9000000001906</v>
      </c>
      <c r="BC17" s="5">
        <v>1321.8063999999999</v>
      </c>
      <c r="BD17" s="107">
        <f>(BC17-BA17)*1000</f>
        <v>6799.5999999998276</v>
      </c>
      <c r="BE17" s="5">
        <v>1327.9223999999999</v>
      </c>
      <c r="BF17" s="93">
        <f>(BE17-BC17)*1000</f>
        <v>6115.9999999999854</v>
      </c>
      <c r="BG17" s="5">
        <v>1334.6179999999999</v>
      </c>
      <c r="BH17" s="93">
        <f>(BG17-BE17)*1000</f>
        <v>6695.6000000000131</v>
      </c>
      <c r="BI17" s="5">
        <v>1337.4635000000001</v>
      </c>
      <c r="BJ17" s="93">
        <f>(BI17-BG17)*1000</f>
        <v>2845.5000000001291</v>
      </c>
      <c r="BK17" s="5"/>
      <c r="BL17" s="93"/>
    </row>
    <row r="18" spans="1:64" ht="17.25" customHeight="1" x14ac:dyDescent="0.25">
      <c r="A18" s="88" t="s">
        <v>266</v>
      </c>
      <c r="B18" s="5">
        <v>24015203.210000001</v>
      </c>
      <c r="C18" s="5">
        <v>24016842.73</v>
      </c>
      <c r="D18" s="93">
        <f>(C18-B18)</f>
        <v>1639.519999999553</v>
      </c>
      <c r="E18" s="5">
        <v>24018392.16</v>
      </c>
      <c r="F18" s="93">
        <f>E18-C18</f>
        <v>1549.429999999702</v>
      </c>
      <c r="G18" s="5">
        <v>24019734.059999999</v>
      </c>
      <c r="H18" s="93">
        <f>G18-E18</f>
        <v>1341.8999999985099</v>
      </c>
      <c r="I18" s="5">
        <v>24021246.359999999</v>
      </c>
      <c r="J18" s="93">
        <f>I18-G18</f>
        <v>1512.3000000007451</v>
      </c>
      <c r="K18" s="5">
        <v>24022839.489999998</v>
      </c>
      <c r="L18" s="93">
        <f>K18-I18</f>
        <v>1593.1299999989569</v>
      </c>
      <c r="M18" s="5">
        <v>24024241.800000001</v>
      </c>
      <c r="N18" s="93">
        <f>M18-K18</f>
        <v>1402.3100000023842</v>
      </c>
      <c r="O18" s="5">
        <v>24025300.280000001</v>
      </c>
      <c r="P18" s="93">
        <f>O18-M18</f>
        <v>1058.480000000447</v>
      </c>
      <c r="Q18" s="5">
        <v>24026867.149999999</v>
      </c>
      <c r="R18" s="93">
        <f>Q18-O18</f>
        <v>1566.8699999973178</v>
      </c>
      <c r="S18" s="5">
        <v>24028563.93</v>
      </c>
      <c r="T18" s="93">
        <f>S18-Q18</f>
        <v>1696.7800000011921</v>
      </c>
      <c r="U18" s="5">
        <v>24030166.25</v>
      </c>
      <c r="V18" s="93">
        <f>U18-S18</f>
        <v>1602.320000000298</v>
      </c>
      <c r="W18" s="5">
        <v>24031765.850000001</v>
      </c>
      <c r="X18" s="93">
        <f>W18-U18</f>
        <v>1599.6000000014901</v>
      </c>
      <c r="Y18" s="5">
        <v>24033330.420000002</v>
      </c>
      <c r="Z18" s="93">
        <f>Y18-W18</f>
        <v>1564.570000000298</v>
      </c>
      <c r="AA18" s="5">
        <v>24034810.32</v>
      </c>
      <c r="AB18" s="93">
        <f>AA18-Y18</f>
        <v>1479.8999999985099</v>
      </c>
      <c r="AC18" s="5">
        <v>24036326.899999999</v>
      </c>
      <c r="AD18" s="93">
        <f>AC18-AA18</f>
        <v>1516.5799999982119</v>
      </c>
      <c r="AE18" s="5">
        <v>24037045.66</v>
      </c>
      <c r="AF18" s="93">
        <f>AE18-AC18</f>
        <v>718.76000000163913</v>
      </c>
      <c r="AG18" s="5">
        <v>24037048.109999999</v>
      </c>
      <c r="AH18" s="93">
        <f>AG18-AE18</f>
        <v>2.4499999992549419</v>
      </c>
      <c r="AI18" s="5">
        <v>24037048.109999999</v>
      </c>
      <c r="AJ18" s="93">
        <f>AI18-AG18</f>
        <v>0</v>
      </c>
      <c r="AK18" s="5">
        <v>24037053.120000001</v>
      </c>
      <c r="AL18" s="93">
        <f>AK18-AI18</f>
        <v>5.0100000016391277</v>
      </c>
      <c r="AM18" s="5">
        <v>24037053.109999999</v>
      </c>
      <c r="AN18" s="93">
        <f>AM18-AK18</f>
        <v>-1.0000001639127731E-2</v>
      </c>
      <c r="AO18" s="5">
        <v>24037053.109999999</v>
      </c>
      <c r="AP18" s="93">
        <f>AO18-AM18</f>
        <v>0</v>
      </c>
      <c r="AQ18" s="5">
        <v>24037053.109999999</v>
      </c>
      <c r="AR18" s="93">
        <f>AQ18-AO18</f>
        <v>0</v>
      </c>
      <c r="AS18" s="5">
        <v>24037063.41</v>
      </c>
      <c r="AT18" s="93">
        <f>AS18-AQ18</f>
        <v>10.300000000745058</v>
      </c>
      <c r="AU18" s="5">
        <v>24037065.969999999</v>
      </c>
      <c r="AV18" s="93">
        <f>AU18-AS18</f>
        <v>2.5599999986588955</v>
      </c>
      <c r="AW18" s="5">
        <v>24037065.969999999</v>
      </c>
      <c r="AX18" s="93">
        <f>AW18-AU18</f>
        <v>0</v>
      </c>
      <c r="AY18" s="5">
        <v>24038515.07</v>
      </c>
      <c r="AZ18" s="93">
        <v>1278</v>
      </c>
      <c r="BA18" s="5">
        <v>24040191.09</v>
      </c>
      <c r="BB18" s="93">
        <f>BA18-AY18</f>
        <v>1676.019999999553</v>
      </c>
      <c r="BC18" s="5">
        <v>24041810.57</v>
      </c>
      <c r="BD18" s="107">
        <f>BC18-BA18</f>
        <v>1619.480000000447</v>
      </c>
      <c r="BE18" s="5">
        <v>24043246.039999999</v>
      </c>
      <c r="BF18" s="93">
        <f>BE18-BC18</f>
        <v>1435.4699999988079</v>
      </c>
      <c r="BG18" s="5">
        <v>24044853.420000002</v>
      </c>
      <c r="BH18" s="93">
        <f>BG18-BE18</f>
        <v>1607.3800000026822</v>
      </c>
      <c r="BI18" s="5">
        <v>24045490.079999998</v>
      </c>
      <c r="BJ18" s="93">
        <f>BI18-BG18</f>
        <v>636.65999999642372</v>
      </c>
      <c r="BK18" s="5"/>
      <c r="BL18" s="93"/>
    </row>
    <row r="19" spans="1:64" ht="17.25" customHeight="1" x14ac:dyDescent="0.25">
      <c r="A19" s="88"/>
      <c r="B19" s="5"/>
      <c r="C19" s="5">
        <v>0</v>
      </c>
      <c r="D19" s="93"/>
      <c r="E19" s="5">
        <v>0</v>
      </c>
      <c r="F19" s="93">
        <v>814.9</v>
      </c>
      <c r="G19" s="5">
        <v>0</v>
      </c>
      <c r="H19" s="93">
        <v>744</v>
      </c>
      <c r="I19" s="5">
        <v>0</v>
      </c>
      <c r="J19" s="93">
        <v>1250</v>
      </c>
      <c r="K19" s="5">
        <v>0</v>
      </c>
      <c r="L19" s="93">
        <v>1064</v>
      </c>
      <c r="M19" s="5">
        <v>0</v>
      </c>
      <c r="N19" s="93">
        <v>822.6</v>
      </c>
      <c r="O19" s="5">
        <v>0</v>
      </c>
      <c r="P19" s="93">
        <v>905</v>
      </c>
      <c r="Q19" s="5">
        <v>0</v>
      </c>
      <c r="R19" s="93">
        <v>835</v>
      </c>
      <c r="S19" s="5">
        <v>0</v>
      </c>
      <c r="T19" s="93">
        <v>1008.9</v>
      </c>
      <c r="U19" s="5">
        <v>0</v>
      </c>
      <c r="V19" s="93">
        <v>986.8</v>
      </c>
      <c r="W19" s="5">
        <v>0</v>
      </c>
      <c r="X19" s="93">
        <v>854</v>
      </c>
      <c r="Y19" s="5">
        <v>0</v>
      </c>
      <c r="Z19" s="93">
        <v>910.6</v>
      </c>
      <c r="AA19" s="5">
        <v>0</v>
      </c>
      <c r="AB19" s="93">
        <v>869.5</v>
      </c>
      <c r="AC19" s="5">
        <v>0</v>
      </c>
      <c r="AD19" s="93">
        <v>895</v>
      </c>
      <c r="AE19" s="5">
        <v>0</v>
      </c>
      <c r="AF19" s="93">
        <v>456</v>
      </c>
      <c r="AG19" s="5">
        <v>0</v>
      </c>
      <c r="AH19" s="93">
        <v>821</v>
      </c>
      <c r="AI19" s="5">
        <v>0</v>
      </c>
      <c r="AJ19" s="93">
        <v>521</v>
      </c>
      <c r="AK19" s="5">
        <v>0</v>
      </c>
      <c r="AL19" s="93">
        <v>120</v>
      </c>
      <c r="AM19" s="5">
        <v>0</v>
      </c>
      <c r="AN19" s="93">
        <v>54</v>
      </c>
      <c r="AO19" s="5">
        <v>0</v>
      </c>
      <c r="AP19" s="93">
        <v>66</v>
      </c>
      <c r="AQ19" s="5">
        <v>0</v>
      </c>
      <c r="AR19" s="93">
        <v>88</v>
      </c>
      <c r="AS19" s="5">
        <v>0</v>
      </c>
      <c r="AT19" s="93">
        <v>345</v>
      </c>
      <c r="AU19" s="5">
        <v>0</v>
      </c>
      <c r="AV19" s="93">
        <v>622</v>
      </c>
      <c r="AW19" s="5">
        <v>0</v>
      </c>
      <c r="AX19" s="93">
        <v>78</v>
      </c>
      <c r="AY19" s="5">
        <v>0</v>
      </c>
      <c r="AZ19" s="93">
        <v>822</v>
      </c>
      <c r="BA19" s="5">
        <v>0</v>
      </c>
      <c r="BB19" s="93">
        <v>655</v>
      </c>
      <c r="BC19" s="5">
        <v>0</v>
      </c>
      <c r="BD19" s="107">
        <v>232</v>
      </c>
      <c r="BE19" s="5">
        <v>0</v>
      </c>
      <c r="BF19" s="93">
        <v>68</v>
      </c>
      <c r="BG19" s="5">
        <v>0</v>
      </c>
      <c r="BH19" s="93">
        <v>35</v>
      </c>
      <c r="BI19" s="5">
        <v>0</v>
      </c>
      <c r="BJ19" s="93">
        <v>122</v>
      </c>
      <c r="BK19" s="5"/>
      <c r="BL19" s="93"/>
    </row>
    <row r="20" spans="1:64" ht="18.75" x14ac:dyDescent="0.25">
      <c r="A20" s="86" t="s">
        <v>7</v>
      </c>
      <c r="B20" s="5"/>
      <c r="C20" s="5">
        <v>0</v>
      </c>
      <c r="D20" s="93"/>
      <c r="E20" s="5">
        <v>0</v>
      </c>
      <c r="F20" s="93"/>
      <c r="G20" s="5">
        <v>0</v>
      </c>
      <c r="H20" s="93"/>
      <c r="I20" s="5">
        <v>0</v>
      </c>
      <c r="J20" s="93"/>
      <c r="K20" s="5">
        <v>0</v>
      </c>
      <c r="L20" s="93"/>
      <c r="M20" s="5">
        <v>0</v>
      </c>
      <c r="N20" s="93"/>
      <c r="O20" s="5">
        <v>0</v>
      </c>
      <c r="P20" s="93"/>
      <c r="Q20" s="5">
        <v>0</v>
      </c>
      <c r="R20" s="93"/>
      <c r="S20" s="5">
        <v>0</v>
      </c>
      <c r="T20" s="93"/>
      <c r="U20" s="5">
        <v>0</v>
      </c>
      <c r="V20" s="93"/>
      <c r="W20" s="5">
        <v>0</v>
      </c>
      <c r="X20" s="93"/>
      <c r="Y20" s="5">
        <v>0</v>
      </c>
      <c r="Z20" s="93"/>
      <c r="AA20" s="5">
        <v>0</v>
      </c>
      <c r="AB20" s="93"/>
      <c r="AC20" s="5">
        <v>0</v>
      </c>
      <c r="AD20" s="93"/>
      <c r="AE20" s="5">
        <v>0</v>
      </c>
      <c r="AF20" s="93"/>
      <c r="AG20" s="5">
        <v>0</v>
      </c>
      <c r="AH20" s="93"/>
      <c r="AI20" s="5">
        <v>0</v>
      </c>
      <c r="AJ20" s="93"/>
      <c r="AK20" s="5">
        <v>0</v>
      </c>
      <c r="AL20" s="93"/>
      <c r="AM20" s="5">
        <v>0</v>
      </c>
      <c r="AN20" s="93"/>
      <c r="AO20" s="5">
        <v>0</v>
      </c>
      <c r="AP20" s="93"/>
      <c r="AQ20" s="5">
        <v>0</v>
      </c>
      <c r="AR20" s="93"/>
      <c r="AS20" s="5">
        <v>0</v>
      </c>
      <c r="AT20" s="93"/>
      <c r="AU20" s="5">
        <v>0</v>
      </c>
      <c r="AV20" s="93"/>
      <c r="AW20" s="5">
        <v>0</v>
      </c>
      <c r="AX20" s="93"/>
      <c r="AY20" s="5">
        <v>0</v>
      </c>
      <c r="AZ20" s="93"/>
      <c r="BA20" s="5">
        <v>0</v>
      </c>
      <c r="BB20" s="93"/>
      <c r="BC20" s="5">
        <v>0</v>
      </c>
      <c r="BD20" s="107"/>
      <c r="BE20" s="5">
        <v>0</v>
      </c>
      <c r="BF20" s="93"/>
      <c r="BG20" s="5">
        <v>0</v>
      </c>
      <c r="BH20" s="93"/>
      <c r="BI20" s="5">
        <v>0</v>
      </c>
      <c r="BJ20" s="93"/>
      <c r="BK20" s="5"/>
      <c r="BL20" s="93"/>
    </row>
    <row r="21" spans="1:64" x14ac:dyDescent="0.25">
      <c r="A21" s="5" t="s">
        <v>8</v>
      </c>
      <c r="B21" s="5">
        <v>3698.2269999999999</v>
      </c>
      <c r="C21" s="5">
        <v>3707.2660000000001</v>
      </c>
      <c r="D21" s="93">
        <f>(C21-B21)*1000</f>
        <v>9039.0000000002146</v>
      </c>
      <c r="E21" s="5">
        <v>3715.8760000000002</v>
      </c>
      <c r="F21" s="93">
        <f>(E21-C21)*1000</f>
        <v>8610.0000000001273</v>
      </c>
      <c r="G21" s="5">
        <v>3722.5659999999998</v>
      </c>
      <c r="H21" s="93">
        <f>(G21-E21)*1000</f>
        <v>6689.9999999995998</v>
      </c>
      <c r="I21" s="5">
        <v>3731.5940000000001</v>
      </c>
      <c r="J21" s="93">
        <f>(I21-G21)*1000</f>
        <v>9028.0000000002474</v>
      </c>
      <c r="K21" s="5">
        <v>3740.029</v>
      </c>
      <c r="L21" s="93">
        <f>(K21-I21)*1000</f>
        <v>8434.9999999999454</v>
      </c>
      <c r="M21" s="5">
        <v>3748.049</v>
      </c>
      <c r="N21" s="93">
        <f>(M21-K21)*1000</f>
        <v>8019.9999999999818</v>
      </c>
      <c r="O21" s="5">
        <v>3755.4319999999998</v>
      </c>
      <c r="P21" s="93">
        <f>(O21-M21)*1000</f>
        <v>7382.9999999998108</v>
      </c>
      <c r="Q21" s="5">
        <v>3763.4319999999998</v>
      </c>
      <c r="R21" s="93">
        <f>(Q21-O21)*1000</f>
        <v>8000</v>
      </c>
      <c r="S21" s="5">
        <v>3771.0909999999999</v>
      </c>
      <c r="T21" s="93">
        <f>(S21-Q21)*1000</f>
        <v>7659.0000000001055</v>
      </c>
      <c r="U21" s="5">
        <v>3780.027</v>
      </c>
      <c r="V21" s="93">
        <f>(U21-S21)*1000</f>
        <v>8936.0000000001492</v>
      </c>
      <c r="W21" s="5">
        <v>3787.328</v>
      </c>
      <c r="X21" s="93">
        <f>(W21-U21)*1000</f>
        <v>7300.9999999999309</v>
      </c>
      <c r="Y21" s="5">
        <v>3795.5340000000001</v>
      </c>
      <c r="Z21" s="93">
        <f>(Y21-W21)*1000</f>
        <v>8206.000000000131</v>
      </c>
      <c r="AA21" s="5">
        <v>3803.3359999999998</v>
      </c>
      <c r="AB21" s="93">
        <f>(AA21-Y21)*1000</f>
        <v>7801.9999999996799</v>
      </c>
      <c r="AC21" s="5">
        <v>3811.1410000000001</v>
      </c>
      <c r="AD21" s="93">
        <f>(AC21-AA21)*1000</f>
        <v>7805.000000000291</v>
      </c>
      <c r="AE21" s="5">
        <v>3819.0140000000001</v>
      </c>
      <c r="AF21" s="93">
        <f>(AE21-AC21)*1000</f>
        <v>7873.0000000000473</v>
      </c>
      <c r="AG21" s="5">
        <v>3827.5880000000002</v>
      </c>
      <c r="AH21" s="93">
        <f>(AG21-AE21)*1000</f>
        <v>8574.0000000000691</v>
      </c>
      <c r="AI21" s="5">
        <v>3836.13</v>
      </c>
      <c r="AJ21" s="93">
        <f>(AI21-AG21)*1000</f>
        <v>8541.9999999999163</v>
      </c>
      <c r="AK21" s="5">
        <v>3844.143</v>
      </c>
      <c r="AL21" s="93">
        <f>(AK21-AI21)*1000</f>
        <v>8012.99999999992</v>
      </c>
      <c r="AM21" s="5">
        <v>3852.02</v>
      </c>
      <c r="AN21" s="93">
        <f>(AM21-AK21)*1000</f>
        <v>7876.9999999999527</v>
      </c>
      <c r="AO21" s="5">
        <v>3859.8229999999999</v>
      </c>
      <c r="AP21" s="93">
        <f>(AO21-AM21)*1000</f>
        <v>7802.9999999998836</v>
      </c>
      <c r="AQ21" s="5">
        <v>3866.1790000000001</v>
      </c>
      <c r="AR21" s="93">
        <f>(AQ21-AO21)*1000</f>
        <v>6356.0000000002219</v>
      </c>
      <c r="AS21" s="5">
        <v>3872.2460000000001</v>
      </c>
      <c r="AT21" s="93">
        <f>(AS21-AQ21)*1000</f>
        <v>6067.0000000000073</v>
      </c>
      <c r="AU21" s="5">
        <v>3872.998</v>
      </c>
      <c r="AV21" s="93">
        <f>(AU21-AS21)*1000</f>
        <v>751.99999999995271</v>
      </c>
      <c r="AW21" s="5">
        <v>3877.5790000000002</v>
      </c>
      <c r="AX21" s="93">
        <f>(AW21-AU21)*1000</f>
        <v>4581.000000000131</v>
      </c>
      <c r="AY21" s="5">
        <v>3886.5230000000001</v>
      </c>
      <c r="AZ21" s="93">
        <f>(AY21-AW21)*1000</f>
        <v>8943.99999999996</v>
      </c>
      <c r="BA21" s="5">
        <v>3894.4549999999999</v>
      </c>
      <c r="BB21" s="93">
        <f>(BA21-AY21)*1000</f>
        <v>7931.999999999789</v>
      </c>
      <c r="BC21" s="5">
        <v>3903.0259999999998</v>
      </c>
      <c r="BD21" s="107">
        <f>(BC21-BA21)*1000</f>
        <v>8570.9999999999127</v>
      </c>
      <c r="BE21" s="5">
        <v>3910.8910000000001</v>
      </c>
      <c r="BF21" s="93">
        <f>(BE21-BC21)*1000</f>
        <v>7865.0000000002365</v>
      </c>
      <c r="BG21" s="5">
        <v>3918.3589999999999</v>
      </c>
      <c r="BH21" s="93">
        <f>(BG21-BE21)*1000</f>
        <v>7467.9999999998472</v>
      </c>
      <c r="BI21" s="5">
        <v>3922.848</v>
      </c>
      <c r="BJ21" s="93">
        <f>(BI21-BG21)*1000</f>
        <v>4489.0000000000327</v>
      </c>
      <c r="BK21" s="5"/>
      <c r="BL21" s="93"/>
    </row>
    <row r="22" spans="1:64" x14ac:dyDescent="0.25">
      <c r="A22" s="88" t="s">
        <v>277</v>
      </c>
      <c r="B22" s="5">
        <v>5863295</v>
      </c>
      <c r="C22" s="5">
        <v>5864063</v>
      </c>
      <c r="D22" s="93">
        <f>C22-B22</f>
        <v>768</v>
      </c>
      <c r="E22" s="5">
        <v>5864832</v>
      </c>
      <c r="F22" s="93">
        <f>E22-C22</f>
        <v>769</v>
      </c>
      <c r="G22" s="5">
        <v>5865599</v>
      </c>
      <c r="H22" s="93">
        <f>G22-E22</f>
        <v>767</v>
      </c>
      <c r="I22" s="5">
        <v>5866368</v>
      </c>
      <c r="J22" s="93">
        <f>I22-G22</f>
        <v>769</v>
      </c>
      <c r="K22" s="5">
        <v>5867008</v>
      </c>
      <c r="L22" s="93">
        <f>K22-I22</f>
        <v>640</v>
      </c>
      <c r="M22" s="5">
        <v>5867776</v>
      </c>
      <c r="N22" s="93">
        <f>M22-K22</f>
        <v>768</v>
      </c>
      <c r="O22" s="5">
        <v>5868543</v>
      </c>
      <c r="P22" s="93">
        <f>O22-M22</f>
        <v>767</v>
      </c>
      <c r="Q22" s="5">
        <v>5869311</v>
      </c>
      <c r="R22" s="93">
        <f>Q22-O22</f>
        <v>768</v>
      </c>
      <c r="S22" s="5">
        <v>5869952</v>
      </c>
      <c r="T22" s="93">
        <f>S22-Q22</f>
        <v>641</v>
      </c>
      <c r="U22" s="5">
        <v>5870719</v>
      </c>
      <c r="V22" s="93">
        <f>U22-S22</f>
        <v>767</v>
      </c>
      <c r="W22" s="5">
        <v>5871488</v>
      </c>
      <c r="X22" s="93">
        <f>W22-U22</f>
        <v>769</v>
      </c>
      <c r="Y22" s="5">
        <v>5872256</v>
      </c>
      <c r="Z22" s="93">
        <f>Y22-W22</f>
        <v>768</v>
      </c>
      <c r="AA22" s="5">
        <v>5873023</v>
      </c>
      <c r="AB22" s="93">
        <f>AA22-Y22</f>
        <v>767</v>
      </c>
      <c r="AC22" s="5">
        <v>5873792</v>
      </c>
      <c r="AD22" s="93">
        <f>AC22-AA22</f>
        <v>769</v>
      </c>
      <c r="AE22" s="5">
        <v>5874559</v>
      </c>
      <c r="AF22" s="93">
        <f>AE22-AC22</f>
        <v>767</v>
      </c>
      <c r="AG22" s="5">
        <v>5875328</v>
      </c>
      <c r="AH22" s="93">
        <f>AG22-AE22</f>
        <v>769</v>
      </c>
      <c r="AI22" s="5">
        <v>5876096</v>
      </c>
      <c r="AJ22" s="93">
        <f>AI22-AG22</f>
        <v>768</v>
      </c>
      <c r="AK22" s="5">
        <v>5876864</v>
      </c>
      <c r="AL22" s="93">
        <f>AK22-AI22</f>
        <v>768</v>
      </c>
      <c r="AM22" s="5">
        <v>5877503</v>
      </c>
      <c r="AN22" s="93">
        <f>AM22-AK22</f>
        <v>639</v>
      </c>
      <c r="AO22" s="5">
        <v>5878272</v>
      </c>
      <c r="AP22" s="93">
        <f>AO22-AM22</f>
        <v>769</v>
      </c>
      <c r="AQ22" s="5">
        <v>5878911</v>
      </c>
      <c r="AR22" s="93">
        <f>AQ22-AO22</f>
        <v>639</v>
      </c>
      <c r="AS22" s="5">
        <v>5879551</v>
      </c>
      <c r="AT22" s="93">
        <f>AS22-AQ22</f>
        <v>640</v>
      </c>
      <c r="AU22" s="5">
        <v>5879808</v>
      </c>
      <c r="AV22" s="93">
        <f>AU22-AS22</f>
        <v>257</v>
      </c>
      <c r="AW22" s="5">
        <v>5880320</v>
      </c>
      <c r="AX22" s="93">
        <f>AW22-AU22</f>
        <v>512</v>
      </c>
      <c r="AY22" s="5">
        <v>5881088</v>
      </c>
      <c r="AZ22" s="93">
        <f>AY22-AW22</f>
        <v>768</v>
      </c>
      <c r="BA22" s="5">
        <v>5881856</v>
      </c>
      <c r="BB22" s="93">
        <f>BA22-AY22</f>
        <v>768</v>
      </c>
      <c r="BC22" s="5">
        <v>5882624</v>
      </c>
      <c r="BD22" s="107">
        <f>BC22-BA22</f>
        <v>768</v>
      </c>
      <c r="BE22" s="5">
        <v>5883263</v>
      </c>
      <c r="BF22" s="93">
        <f>BE22-BC22</f>
        <v>639</v>
      </c>
      <c r="BG22" s="5">
        <v>5883904</v>
      </c>
      <c r="BH22" s="93">
        <f>BG22-BE22</f>
        <v>641</v>
      </c>
      <c r="BI22" s="5">
        <v>5884416</v>
      </c>
      <c r="BJ22" s="93">
        <f>BI22-BG22</f>
        <v>512</v>
      </c>
      <c r="BK22" s="5"/>
      <c r="BL22" s="93"/>
    </row>
    <row r="23" spans="1:64" s="98" customFormat="1" x14ac:dyDescent="0.25">
      <c r="A23" s="96" t="s">
        <v>118</v>
      </c>
      <c r="B23" s="97">
        <v>1779.9813999999999</v>
      </c>
      <c r="C23" s="5">
        <v>1787.2026000000001</v>
      </c>
      <c r="D23" s="97">
        <f>(C23-B23)*1000</f>
        <v>7221.2000000001808</v>
      </c>
      <c r="E23" s="5">
        <v>1794.3824</v>
      </c>
      <c r="F23" s="97">
        <f>(E23-C23)*1000</f>
        <v>7179.7999999998865</v>
      </c>
      <c r="G23" s="5">
        <v>1800.8679999999999</v>
      </c>
      <c r="H23" s="97">
        <f>(G23-E23)*1000</f>
        <v>6485.5999999999767</v>
      </c>
      <c r="I23" s="5">
        <v>1808.0930000000001</v>
      </c>
      <c r="J23" s="97">
        <f>(I23-G23)*1000</f>
        <v>7225.0000000001364</v>
      </c>
      <c r="K23" s="5">
        <v>1815.1759999999999</v>
      </c>
      <c r="L23" s="97">
        <f>(K23-I23)*1000</f>
        <v>7082.9999999998563</v>
      </c>
      <c r="M23" s="5">
        <v>1822.0716</v>
      </c>
      <c r="N23" s="97">
        <f>(M23-K23)*1000</f>
        <v>6895.6000000000586</v>
      </c>
      <c r="O23" s="5">
        <v>1828.9821999999999</v>
      </c>
      <c r="P23" s="97">
        <f>(O23-M23)*1000</f>
        <v>6910.5999999999312</v>
      </c>
      <c r="Q23" s="5">
        <v>1836.1651999999999</v>
      </c>
      <c r="R23" s="97">
        <f>(Q23-O23)*1000</f>
        <v>7182.9999999999927</v>
      </c>
      <c r="S23" s="5">
        <v>1843.0450000000001</v>
      </c>
      <c r="T23" s="97">
        <f>(S23-Q23)*1000</f>
        <v>6879.8000000001593</v>
      </c>
      <c r="U23" s="5">
        <v>1850.1071999999999</v>
      </c>
      <c r="V23" s="97">
        <f>(U23-S23)*1000</f>
        <v>7062.1999999998479</v>
      </c>
      <c r="W23" s="5">
        <v>1857.0085999999999</v>
      </c>
      <c r="X23" s="97">
        <f>(W23-U23)*1000</f>
        <v>6901.3999999999669</v>
      </c>
      <c r="Y23" s="5">
        <v>1863.8571999999999</v>
      </c>
      <c r="Z23" s="97">
        <f>(Y23-W23)*1000</f>
        <v>6848.6000000000331</v>
      </c>
      <c r="AA23" s="5">
        <v>1870.4767999999999</v>
      </c>
      <c r="AB23" s="97">
        <f>(AA23-Y23)*1000</f>
        <v>6619.5999999999913</v>
      </c>
      <c r="AC23" s="5">
        <v>1877.0634</v>
      </c>
      <c r="AD23" s="97">
        <f>(AC23-AA23)*1000</f>
        <v>6586.6000000000895</v>
      </c>
      <c r="AE23" s="5">
        <v>1883.7872</v>
      </c>
      <c r="AF23" s="97">
        <f>(AE23-AC23)*1000</f>
        <v>6723.7999999999829</v>
      </c>
      <c r="AG23" s="5">
        <v>1890.6243999999999</v>
      </c>
      <c r="AH23" s="97">
        <f>(AG23-AE23)*1000</f>
        <v>6837.1999999999389</v>
      </c>
      <c r="AI23" s="5">
        <v>1897.5716</v>
      </c>
      <c r="AJ23" s="97">
        <f>(AI23-AG23)*1000</f>
        <v>6947.2000000000662</v>
      </c>
      <c r="AK23" s="5">
        <v>1904.2783999999999</v>
      </c>
      <c r="AL23" s="97">
        <f>(AK23-AI23)*1000</f>
        <v>6706.7999999999302</v>
      </c>
      <c r="AM23" s="5">
        <v>1910.8810000000001</v>
      </c>
      <c r="AN23" s="97">
        <f>(AM23-AK23)*1000</f>
        <v>6602.6000000001659</v>
      </c>
      <c r="AO23" s="5">
        <v>1917.7192</v>
      </c>
      <c r="AP23" s="97">
        <f>(AO23-AM23)*1000</f>
        <v>6838.1999999999152</v>
      </c>
      <c r="AQ23" s="5">
        <v>1924.5070000000001</v>
      </c>
      <c r="AR23" s="97">
        <f>(AQ23-AO23)*1000</f>
        <v>6787.8000000000611</v>
      </c>
      <c r="AS23" s="5">
        <v>1931.2891999999999</v>
      </c>
      <c r="AT23" s="97">
        <f>(AS23-AQ23)*1000</f>
        <v>6782.1999999998752</v>
      </c>
      <c r="AU23" s="5">
        <v>1934.7123999999999</v>
      </c>
      <c r="AV23" s="97">
        <f>(AU23-AS23)*1000</f>
        <v>3423.1999999999516</v>
      </c>
      <c r="AW23" s="5">
        <v>1940.1741999999999</v>
      </c>
      <c r="AX23" s="97">
        <f>(AW23-AU23)*1000</f>
        <v>5461.8000000000393</v>
      </c>
      <c r="AY23" s="5">
        <v>1947.2850000000001</v>
      </c>
      <c r="AZ23" s="97">
        <f>(AY23-AW23)*1000</f>
        <v>7110.8000000001539</v>
      </c>
      <c r="BA23" s="5">
        <v>1954.5506</v>
      </c>
      <c r="BB23" s="97">
        <f>(BA23-AY23)*1000</f>
        <v>7265.5999999999494</v>
      </c>
      <c r="BC23" s="5">
        <v>1961.7698</v>
      </c>
      <c r="BD23" s="97">
        <f>(BC23-BA23)*1000</f>
        <v>7219.2000000000007</v>
      </c>
      <c r="BE23" s="5">
        <v>1968.8096</v>
      </c>
      <c r="BF23" s="97">
        <f>(BE23-BC23)*1000</f>
        <v>7039.8000000000138</v>
      </c>
      <c r="BG23" s="5">
        <v>1975.8652</v>
      </c>
      <c r="BH23" s="97">
        <f>(BG23-BE23)*1000</f>
        <v>7055.5999999999131</v>
      </c>
      <c r="BI23" s="5">
        <v>1980.577</v>
      </c>
      <c r="BJ23" s="97">
        <f>(BI23-BG23)*1000</f>
        <v>4711.8000000000393</v>
      </c>
      <c r="BK23" s="97"/>
      <c r="BL23" s="97"/>
    </row>
    <row r="24" spans="1:64" s="98" customFormat="1" ht="18" customHeight="1" x14ac:dyDescent="0.25">
      <c r="A24" s="96" t="s">
        <v>251</v>
      </c>
      <c r="B24" s="97">
        <v>385.99560000000002</v>
      </c>
      <c r="C24" s="5">
        <v>387.1123</v>
      </c>
      <c r="D24" s="97">
        <f>(C24-B24)*1000</f>
        <v>1116.6999999999803</v>
      </c>
      <c r="E24" s="5">
        <v>388.18060000000003</v>
      </c>
      <c r="F24" s="97">
        <f>(E24-C24)*1000</f>
        <v>1068.300000000022</v>
      </c>
      <c r="G24" s="5">
        <v>389.16640000000001</v>
      </c>
      <c r="H24" s="97">
        <f>(G24-E24)*1000</f>
        <v>985.79999999998336</v>
      </c>
      <c r="I24" s="5">
        <v>390.24380000000002</v>
      </c>
      <c r="J24" s="97">
        <f>(I24-G24)*1000</f>
        <v>1077.4000000000115</v>
      </c>
      <c r="K24" s="5">
        <v>391.26229999999998</v>
      </c>
      <c r="L24" s="97">
        <f>(K24-I24)*1000</f>
        <v>1018.4999999999604</v>
      </c>
      <c r="M24" s="5">
        <v>392.27600000000001</v>
      </c>
      <c r="N24" s="97">
        <f>(M24-K24)*1000</f>
        <v>1013.7000000000285</v>
      </c>
      <c r="O24" s="5">
        <v>393.97300000000001</v>
      </c>
      <c r="P24" s="97">
        <f>(O24-M24)*1000</f>
        <v>1697.0000000000027</v>
      </c>
      <c r="Q24" s="5">
        <v>394.34789999999998</v>
      </c>
      <c r="R24" s="97">
        <f>(Q24-O24)*1000</f>
        <v>374.89999999996826</v>
      </c>
      <c r="S24" s="5">
        <v>395.3467</v>
      </c>
      <c r="T24" s="97">
        <f>(S24-Q24)*1000</f>
        <v>998.80000000001701</v>
      </c>
      <c r="U24" s="5">
        <v>396.40210000000002</v>
      </c>
      <c r="V24" s="97">
        <f>(U24-S24)*1000</f>
        <v>1055.4000000000201</v>
      </c>
      <c r="W24" s="5">
        <v>397.36169999999998</v>
      </c>
      <c r="X24" s="97">
        <f>(W24-U24)*1000</f>
        <v>959.59999999996626</v>
      </c>
      <c r="Y24" s="5">
        <v>398.32249999999999</v>
      </c>
      <c r="Z24" s="97">
        <f>(Y24-W24)*1000</f>
        <v>960.80000000000609</v>
      </c>
      <c r="AA24" s="5">
        <v>399.31119999999999</v>
      </c>
      <c r="AB24" s="97">
        <f>(AA24-Y24)*1000</f>
        <v>988.69999999999436</v>
      </c>
      <c r="AC24" s="5">
        <v>400.31259999999997</v>
      </c>
      <c r="AD24" s="97">
        <f>(AC24-AA24)*1000</f>
        <v>1001.3999999999896</v>
      </c>
      <c r="AE24" s="5">
        <v>401.30279999999999</v>
      </c>
      <c r="AF24" s="97">
        <f>(AE24-AC24)*1000</f>
        <v>990.20000000001573</v>
      </c>
      <c r="AG24" s="5">
        <v>402.33240000000001</v>
      </c>
      <c r="AH24" s="97">
        <f>(AG24-AE24)*1000</f>
        <v>1029.6000000000163</v>
      </c>
      <c r="AI24" s="5">
        <v>403.39400000000001</v>
      </c>
      <c r="AJ24" s="97">
        <f>(AI24-AG24)*1000</f>
        <v>1061.5999999999985</v>
      </c>
      <c r="AK24" s="5">
        <v>404.44459999999998</v>
      </c>
      <c r="AL24" s="97">
        <f>(AK24-AI24)*1000</f>
        <v>1050.5999999999744</v>
      </c>
      <c r="AM24" s="5">
        <v>405.49149999999997</v>
      </c>
      <c r="AN24" s="97">
        <f>(AM24-AK24)*1000</f>
        <v>1046.8999999999937</v>
      </c>
      <c r="AO24" s="5">
        <v>406.52409999999998</v>
      </c>
      <c r="AP24" s="97">
        <f>(AO24-AM24)*1000</f>
        <v>1032.6000000000022</v>
      </c>
      <c r="AQ24" s="5">
        <v>407.48020000000002</v>
      </c>
      <c r="AR24" s="97">
        <f>(AQ24-AO24)*1000</f>
        <v>956.10000000004902</v>
      </c>
      <c r="AS24" s="5">
        <v>408.36790000000002</v>
      </c>
      <c r="AT24" s="97">
        <f>(AS24-AQ24)*1000</f>
        <v>887.69999999999527</v>
      </c>
      <c r="AU24" s="5">
        <v>408.73230000000001</v>
      </c>
      <c r="AV24" s="97">
        <f>(AU24-AS24)*1000</f>
        <v>364.39999999998918</v>
      </c>
      <c r="AW24" s="5">
        <v>409.4556</v>
      </c>
      <c r="AX24" s="97">
        <f>(AW24-AU24)*1000</f>
        <v>723.29999999999472</v>
      </c>
      <c r="AY24" s="5">
        <v>410.53359999999998</v>
      </c>
      <c r="AZ24" s="97">
        <f>(AY24-AW24)*1000</f>
        <v>1077.9999999999745</v>
      </c>
      <c r="BA24" s="5">
        <v>411.58760000000001</v>
      </c>
      <c r="BB24" s="97">
        <f>(BA24-AY24)*1000</f>
        <v>1054.0000000000305</v>
      </c>
      <c r="BC24" s="5">
        <v>412.6499</v>
      </c>
      <c r="BD24" s="97">
        <f>(BC24-BA24)*1000</f>
        <v>1062.2999999999934</v>
      </c>
      <c r="BE24" s="5">
        <v>413.70490000000001</v>
      </c>
      <c r="BF24" s="97">
        <f>(BE24-BC24)*1000</f>
        <v>1055.0000000000068</v>
      </c>
      <c r="BG24" s="5">
        <v>414.76670000000001</v>
      </c>
      <c r="BH24" s="97">
        <f>(BG24-BE24)*1000</f>
        <v>1061.8000000000052</v>
      </c>
      <c r="BI24" s="5">
        <v>415.58730000000003</v>
      </c>
      <c r="BJ24" s="97">
        <f>(BI24-BG24)*1000</f>
        <v>820.6000000000131</v>
      </c>
      <c r="BK24" s="97"/>
      <c r="BL24" s="97"/>
    </row>
    <row r="25" spans="1:64" x14ac:dyDescent="0.25">
      <c r="A25" s="9" t="s">
        <v>255</v>
      </c>
      <c r="B25" s="5"/>
      <c r="C25" s="5">
        <v>0</v>
      </c>
      <c r="D25" s="93">
        <f>C25-B25</f>
        <v>0</v>
      </c>
      <c r="E25" s="5">
        <v>0</v>
      </c>
      <c r="F25" s="93">
        <f>E25-C25</f>
        <v>0</v>
      </c>
      <c r="G25" s="5">
        <v>0</v>
      </c>
      <c r="H25" s="93">
        <f>G25-E25</f>
        <v>0</v>
      </c>
      <c r="I25" s="5">
        <v>0</v>
      </c>
      <c r="J25" s="93">
        <f>I25-G25</f>
        <v>0</v>
      </c>
      <c r="K25" s="5">
        <v>0</v>
      </c>
      <c r="L25" s="93">
        <f>K25-I25</f>
        <v>0</v>
      </c>
      <c r="M25" s="5">
        <v>0</v>
      </c>
      <c r="N25" s="93">
        <f>M25-K25</f>
        <v>0</v>
      </c>
      <c r="O25" s="5">
        <v>0</v>
      </c>
      <c r="P25" s="93">
        <f>O25-M25</f>
        <v>0</v>
      </c>
      <c r="Q25" s="5">
        <v>0</v>
      </c>
      <c r="R25" s="93">
        <f>Q25-O25</f>
        <v>0</v>
      </c>
      <c r="S25" s="5">
        <v>0</v>
      </c>
      <c r="T25" s="93">
        <f>S25-Q25</f>
        <v>0</v>
      </c>
      <c r="U25" s="5">
        <v>0</v>
      </c>
      <c r="V25" s="93">
        <f>U25-S25</f>
        <v>0</v>
      </c>
      <c r="W25" s="5">
        <v>0</v>
      </c>
      <c r="X25" s="93">
        <f>W25-U25</f>
        <v>0</v>
      </c>
      <c r="Y25" s="5">
        <v>0</v>
      </c>
      <c r="Z25" s="93">
        <f>Y25-W25</f>
        <v>0</v>
      </c>
      <c r="AA25" s="5">
        <v>0</v>
      </c>
      <c r="AB25" s="93">
        <f>AA25-Y25</f>
        <v>0</v>
      </c>
      <c r="AC25" s="5">
        <v>0</v>
      </c>
      <c r="AD25" s="93">
        <f>AC25-AA25</f>
        <v>0</v>
      </c>
      <c r="AE25" s="5">
        <v>0</v>
      </c>
      <c r="AF25" s="93">
        <f>AE25-AC25</f>
        <v>0</v>
      </c>
      <c r="AG25" s="5">
        <v>0</v>
      </c>
      <c r="AH25" s="93">
        <f>AG25-AE25</f>
        <v>0</v>
      </c>
      <c r="AI25" s="5">
        <v>0</v>
      </c>
      <c r="AJ25" s="93">
        <f>AI25-AG25</f>
        <v>0</v>
      </c>
      <c r="AK25" s="5">
        <v>0</v>
      </c>
      <c r="AL25" s="93">
        <f>AK25-AI25</f>
        <v>0</v>
      </c>
      <c r="AM25" s="5">
        <v>0</v>
      </c>
      <c r="AN25" s="93">
        <f>AM25-AK25</f>
        <v>0</v>
      </c>
      <c r="AO25" s="5">
        <v>0</v>
      </c>
      <c r="AP25" s="93">
        <f>AO25-AM25</f>
        <v>0</v>
      </c>
      <c r="AQ25" s="5">
        <v>0</v>
      </c>
      <c r="AR25" s="93">
        <f>AQ25-AO25</f>
        <v>0</v>
      </c>
      <c r="AS25" s="5">
        <v>0</v>
      </c>
      <c r="AT25" s="93">
        <f>AS25-AQ25</f>
        <v>0</v>
      </c>
      <c r="AU25" s="5">
        <v>0</v>
      </c>
      <c r="AV25" s="93">
        <f>AU25-AS25</f>
        <v>0</v>
      </c>
      <c r="AW25" s="5">
        <v>0</v>
      </c>
      <c r="AX25" s="93">
        <f>AW25-AU25</f>
        <v>0</v>
      </c>
      <c r="AY25" s="5">
        <v>0</v>
      </c>
      <c r="AZ25" s="93">
        <f>AY25-AW25</f>
        <v>0</v>
      </c>
      <c r="BA25" s="5">
        <v>0</v>
      </c>
      <c r="BB25" s="93">
        <f>BA25-AY25</f>
        <v>0</v>
      </c>
      <c r="BC25" s="5">
        <v>0</v>
      </c>
      <c r="BD25" s="107">
        <f>BC25-BA25</f>
        <v>0</v>
      </c>
      <c r="BE25" s="5">
        <v>0</v>
      </c>
      <c r="BF25" s="93">
        <f>BE25-BC25</f>
        <v>0</v>
      </c>
      <c r="BG25" s="5">
        <v>0</v>
      </c>
      <c r="BH25" s="93">
        <f>BG25-BE25</f>
        <v>0</v>
      </c>
      <c r="BI25" s="5">
        <v>0</v>
      </c>
      <c r="BJ25" s="93">
        <f>BI25-BG25</f>
        <v>0</v>
      </c>
      <c r="BK25" s="5"/>
      <c r="BL25" s="93"/>
    </row>
    <row r="26" spans="1:64" x14ac:dyDescent="0.25">
      <c r="A26" s="9" t="s">
        <v>111</v>
      </c>
      <c r="B26" s="5"/>
      <c r="C26" s="5">
        <v>0</v>
      </c>
      <c r="D26" s="93">
        <v>79</v>
      </c>
      <c r="E26" s="5">
        <v>0</v>
      </c>
      <c r="F26" s="93">
        <v>54</v>
      </c>
      <c r="G26" s="5">
        <v>0</v>
      </c>
      <c r="H26" s="93">
        <v>42</v>
      </c>
      <c r="I26" s="5">
        <v>0</v>
      </c>
      <c r="J26" s="93">
        <v>79</v>
      </c>
      <c r="K26" s="5">
        <v>0</v>
      </c>
      <c r="L26" s="93">
        <v>54</v>
      </c>
      <c r="M26" s="5">
        <v>0</v>
      </c>
      <c r="N26" s="93">
        <v>54</v>
      </c>
      <c r="O26" s="5">
        <v>0</v>
      </c>
      <c r="P26" s="93">
        <v>54</v>
      </c>
      <c r="Q26" s="5">
        <v>0</v>
      </c>
      <c r="R26" s="93">
        <v>54</v>
      </c>
      <c r="S26" s="5">
        <v>0</v>
      </c>
      <c r="T26" s="93">
        <v>54</v>
      </c>
      <c r="U26" s="5">
        <v>0</v>
      </c>
      <c r="V26" s="93">
        <v>54</v>
      </c>
      <c r="W26" s="5">
        <v>0</v>
      </c>
      <c r="X26" s="93">
        <v>54</v>
      </c>
      <c r="Y26" s="5">
        <v>0</v>
      </c>
      <c r="Z26" s="93">
        <v>54</v>
      </c>
      <c r="AA26" s="5">
        <v>0</v>
      </c>
      <c r="AB26" s="93">
        <v>54</v>
      </c>
      <c r="AC26" s="5">
        <v>0</v>
      </c>
      <c r="AD26" s="93">
        <v>52</v>
      </c>
      <c r="AE26" s="5">
        <v>0</v>
      </c>
      <c r="AF26" s="93">
        <v>54</v>
      </c>
      <c r="AG26" s="5">
        <v>0</v>
      </c>
      <c r="AH26" s="93">
        <v>54</v>
      </c>
      <c r="AI26" s="5">
        <v>0</v>
      </c>
      <c r="AJ26" s="93">
        <v>54</v>
      </c>
      <c r="AK26" s="5">
        <v>0</v>
      </c>
      <c r="AL26" s="93">
        <v>54</v>
      </c>
      <c r="AM26" s="5">
        <v>0</v>
      </c>
      <c r="AN26" s="93">
        <v>54</v>
      </c>
      <c r="AO26" s="5">
        <v>0</v>
      </c>
      <c r="AP26" s="93">
        <v>54</v>
      </c>
      <c r="AQ26" s="5">
        <v>0</v>
      </c>
      <c r="AR26" s="93">
        <v>54</v>
      </c>
      <c r="AS26" s="5">
        <v>0</v>
      </c>
      <c r="AT26" s="93">
        <v>54</v>
      </c>
      <c r="AU26" s="5">
        <v>0</v>
      </c>
      <c r="AV26" s="93">
        <v>189</v>
      </c>
      <c r="AW26" s="5">
        <v>0</v>
      </c>
      <c r="AX26" s="93">
        <v>68</v>
      </c>
      <c r="AY26" s="5">
        <v>0</v>
      </c>
      <c r="AZ26" s="93">
        <v>89</v>
      </c>
      <c r="BA26" s="5">
        <v>0</v>
      </c>
      <c r="BB26" s="93">
        <v>89</v>
      </c>
      <c r="BC26" s="5">
        <v>0</v>
      </c>
      <c r="BD26" s="107">
        <v>79</v>
      </c>
      <c r="BE26" s="5">
        <v>0</v>
      </c>
      <c r="BF26" s="93">
        <v>102</v>
      </c>
      <c r="BG26" s="5">
        <v>0</v>
      </c>
      <c r="BH26" s="93">
        <v>98.2</v>
      </c>
      <c r="BI26" s="5">
        <v>0</v>
      </c>
      <c r="BJ26" s="93">
        <v>54</v>
      </c>
      <c r="BK26" s="5"/>
      <c r="BL26" s="93"/>
    </row>
    <row r="27" spans="1:64" x14ac:dyDescent="0.25">
      <c r="A27" s="9" t="s">
        <v>105</v>
      </c>
      <c r="B27" s="5"/>
      <c r="C27" s="5">
        <v>0</v>
      </c>
      <c r="D27" s="93">
        <v>50</v>
      </c>
      <c r="E27" s="5">
        <v>0</v>
      </c>
      <c r="F27" s="93">
        <v>50</v>
      </c>
      <c r="G27" s="5">
        <v>0</v>
      </c>
      <c r="H27" s="93">
        <v>50</v>
      </c>
      <c r="I27" s="5">
        <v>0</v>
      </c>
      <c r="J27" s="93">
        <v>50</v>
      </c>
      <c r="K27" s="5">
        <v>0</v>
      </c>
      <c r="L27" s="93">
        <v>50</v>
      </c>
      <c r="M27" s="5">
        <v>0</v>
      </c>
      <c r="N27" s="93">
        <v>50</v>
      </c>
      <c r="O27" s="5">
        <v>0</v>
      </c>
      <c r="P27" s="93">
        <v>50</v>
      </c>
      <c r="Q27" s="5">
        <v>0</v>
      </c>
      <c r="R27" s="93">
        <v>50</v>
      </c>
      <c r="S27" s="5">
        <v>0</v>
      </c>
      <c r="T27" s="93">
        <v>50</v>
      </c>
      <c r="U27" s="5">
        <v>0</v>
      </c>
      <c r="V27" s="93">
        <v>50</v>
      </c>
      <c r="W27" s="5">
        <v>0</v>
      </c>
      <c r="X27" s="93">
        <v>50</v>
      </c>
      <c r="Y27" s="5">
        <v>0</v>
      </c>
      <c r="Z27" s="93">
        <v>50</v>
      </c>
      <c r="AA27" s="5">
        <v>0</v>
      </c>
      <c r="AB27" s="93">
        <v>50</v>
      </c>
      <c r="AC27" s="5">
        <v>0</v>
      </c>
      <c r="AD27" s="93">
        <v>50</v>
      </c>
      <c r="AE27" s="5">
        <v>0</v>
      </c>
      <c r="AF27" s="93">
        <v>50</v>
      </c>
      <c r="AG27" s="5">
        <v>0</v>
      </c>
      <c r="AH27" s="93">
        <v>50</v>
      </c>
      <c r="AI27" s="5">
        <v>0</v>
      </c>
      <c r="AJ27" s="93">
        <v>50</v>
      </c>
      <c r="AK27" s="5">
        <v>0</v>
      </c>
      <c r="AL27" s="93">
        <v>50</v>
      </c>
      <c r="AM27" s="5">
        <v>0</v>
      </c>
      <c r="AN27" s="93">
        <v>50</v>
      </c>
      <c r="AO27" s="5">
        <v>0</v>
      </c>
      <c r="AP27" s="93">
        <v>50</v>
      </c>
      <c r="AQ27" s="5">
        <v>0</v>
      </c>
      <c r="AR27" s="93">
        <v>50</v>
      </c>
      <c r="AS27" s="5">
        <v>0</v>
      </c>
      <c r="AT27" s="93">
        <v>50</v>
      </c>
      <c r="AU27" s="5">
        <v>0</v>
      </c>
      <c r="AV27" s="93">
        <v>50</v>
      </c>
      <c r="AW27" s="5">
        <v>2604458.4</v>
      </c>
      <c r="AX27" s="93">
        <v>50</v>
      </c>
      <c r="AY27" s="5">
        <v>0</v>
      </c>
      <c r="AZ27" s="93">
        <v>50</v>
      </c>
      <c r="BA27" s="5">
        <v>0</v>
      </c>
      <c r="BB27" s="93">
        <v>50</v>
      </c>
      <c r="BC27" s="5">
        <v>0</v>
      </c>
      <c r="BD27" s="107">
        <v>50</v>
      </c>
      <c r="BE27" s="5">
        <v>0</v>
      </c>
      <c r="BF27" s="93">
        <v>50</v>
      </c>
      <c r="BG27" s="5">
        <v>0</v>
      </c>
      <c r="BH27" s="93">
        <v>50</v>
      </c>
      <c r="BI27" s="5">
        <v>0</v>
      </c>
      <c r="BJ27" s="93">
        <v>50</v>
      </c>
      <c r="BK27" s="5"/>
      <c r="BL27" s="93"/>
    </row>
    <row r="28" spans="1:64" x14ac:dyDescent="0.25">
      <c r="A28" s="9" t="s">
        <v>114</v>
      </c>
      <c r="B28" s="5">
        <v>2586445.33</v>
      </c>
      <c r="C28" s="5">
        <v>2587327.1</v>
      </c>
      <c r="D28" s="93">
        <f>C28-B28</f>
        <v>881.77000000001863</v>
      </c>
      <c r="E28" s="5">
        <v>2588321.64</v>
      </c>
      <c r="F28" s="93">
        <f>E28-C28</f>
        <v>994.54000000003725</v>
      </c>
      <c r="G28" s="5">
        <v>2589267.89</v>
      </c>
      <c r="H28" s="93">
        <f>G28-E28</f>
        <v>946.25</v>
      </c>
      <c r="I28" s="5">
        <v>2590146.0299999998</v>
      </c>
      <c r="J28" s="93">
        <f>I28-G28</f>
        <v>878.13999999966472</v>
      </c>
      <c r="K28" s="5">
        <v>2591009.0099999998</v>
      </c>
      <c r="L28" s="93">
        <f>K28-I28</f>
        <v>862.97999999998137</v>
      </c>
      <c r="M28" s="5">
        <v>2591769.7999999998</v>
      </c>
      <c r="N28" s="93">
        <f>M28-K28</f>
        <v>760.79000000003725</v>
      </c>
      <c r="O28" s="5">
        <v>2592494.25</v>
      </c>
      <c r="P28" s="93">
        <f>O28-M28</f>
        <v>724.45000000018626</v>
      </c>
      <c r="Q28" s="5">
        <v>2593449.4500000002</v>
      </c>
      <c r="R28" s="93">
        <f>Q28-O28</f>
        <v>955.20000000018626</v>
      </c>
      <c r="S28" s="5">
        <v>2594324.84</v>
      </c>
      <c r="T28" s="93">
        <f>S28-Q28</f>
        <v>875.38999999966472</v>
      </c>
      <c r="U28" s="5">
        <v>2595122.29</v>
      </c>
      <c r="V28" s="93">
        <f>U28-S28</f>
        <v>797.45000000018626</v>
      </c>
      <c r="W28" s="5">
        <v>2595868.81</v>
      </c>
      <c r="X28" s="93">
        <f>W28-U28</f>
        <v>746.52000000001863</v>
      </c>
      <c r="Y28" s="5">
        <v>2596627.9700000002</v>
      </c>
      <c r="Z28" s="93">
        <f>Y28-W28</f>
        <v>759.16000000014901</v>
      </c>
      <c r="AA28" s="5">
        <v>2597229.77</v>
      </c>
      <c r="AB28" s="93">
        <f>AA28-Y28</f>
        <v>601.79999999981374</v>
      </c>
      <c r="AC28" s="5">
        <v>2597764.7000000002</v>
      </c>
      <c r="AD28" s="93">
        <f>AC28-AA28</f>
        <v>534.93000000016764</v>
      </c>
      <c r="AE28" s="5">
        <v>2598507.17</v>
      </c>
      <c r="AF28" s="93">
        <f>AE28-AC28</f>
        <v>742.46999999973923</v>
      </c>
      <c r="AG28" s="5">
        <v>2599218.7000000002</v>
      </c>
      <c r="AH28" s="93">
        <f>AG28-AE28</f>
        <v>711.53000000026077</v>
      </c>
      <c r="AI28" s="5">
        <v>2599921</v>
      </c>
      <c r="AJ28" s="93">
        <f>AI28-AG28</f>
        <v>702.29999999981374</v>
      </c>
      <c r="AK28" s="5">
        <v>2600621.12</v>
      </c>
      <c r="AL28" s="93">
        <f>AK28-AI28</f>
        <v>700.12000000011176</v>
      </c>
      <c r="AM28" s="5">
        <v>2601321.71</v>
      </c>
      <c r="AN28" s="93">
        <f>AM28-AK28</f>
        <v>700.58999999985099</v>
      </c>
      <c r="AO28" s="5">
        <v>2601920.41</v>
      </c>
      <c r="AP28" s="93">
        <f>AO28-AM28</f>
        <v>598.70000000018626</v>
      </c>
      <c r="AQ28" s="5">
        <v>2602378.7200000002</v>
      </c>
      <c r="AR28" s="93">
        <f>AQ28-AO28</f>
        <v>458.31000000005588</v>
      </c>
      <c r="AS28" s="5">
        <v>2603071.02</v>
      </c>
      <c r="AT28" s="93">
        <f>AS28-AQ28</f>
        <v>692.29999999981374</v>
      </c>
      <c r="AU28" s="5">
        <v>2603736.4</v>
      </c>
      <c r="AV28" s="93">
        <f>AU28-AS28</f>
        <v>665.37999999988824</v>
      </c>
      <c r="AW28" s="5">
        <v>2604458.4</v>
      </c>
      <c r="AX28" s="93">
        <f>AW28-AU28</f>
        <v>722</v>
      </c>
      <c r="AY28" s="5">
        <v>2605166.7200000002</v>
      </c>
      <c r="AZ28" s="93">
        <f>AY28-AW28</f>
        <v>708.32000000029802</v>
      </c>
      <c r="BA28" s="5">
        <v>2605892.0299999998</v>
      </c>
      <c r="BB28" s="93">
        <f>BA28-AY28</f>
        <v>725.30999999959022</v>
      </c>
      <c r="BC28" s="5">
        <v>2606602.33</v>
      </c>
      <c r="BD28" s="107">
        <f>BC28-BA28</f>
        <v>710.3000000002794</v>
      </c>
      <c r="BE28" s="5">
        <v>2607265.7200000002</v>
      </c>
      <c r="BF28" s="93">
        <f>BE28-BC28</f>
        <v>663.39000000013039</v>
      </c>
      <c r="BG28" s="5">
        <v>2608023.44</v>
      </c>
      <c r="BH28" s="93">
        <f>BG28-BE28</f>
        <v>757.71999999973923</v>
      </c>
      <c r="BI28" s="5">
        <v>2608778.5099999998</v>
      </c>
      <c r="BJ28" s="93">
        <f>BI28-BG28</f>
        <v>755.06999999983236</v>
      </c>
      <c r="BK28" s="5"/>
      <c r="BL28" s="93"/>
    </row>
    <row r="29" spans="1:64" ht="18.75" x14ac:dyDescent="0.25">
      <c r="A29" s="86" t="s">
        <v>9</v>
      </c>
      <c r="B29" s="5"/>
      <c r="C29" s="5">
        <v>0</v>
      </c>
      <c r="D29" s="93"/>
      <c r="E29" s="5">
        <v>0</v>
      </c>
      <c r="F29" s="93"/>
      <c r="G29" s="5">
        <v>0</v>
      </c>
      <c r="H29" s="93"/>
      <c r="I29" s="5">
        <v>0</v>
      </c>
      <c r="J29" s="93"/>
      <c r="K29" s="5"/>
      <c r="L29" s="93"/>
      <c r="M29" s="5">
        <v>0</v>
      </c>
      <c r="N29" s="93"/>
      <c r="O29" s="5">
        <v>0</v>
      </c>
      <c r="P29" s="93"/>
      <c r="Q29" s="5">
        <v>0</v>
      </c>
      <c r="R29" s="93"/>
      <c r="S29" s="5">
        <v>0</v>
      </c>
      <c r="T29" s="93"/>
      <c r="U29" s="5">
        <v>0</v>
      </c>
      <c r="V29" s="93"/>
      <c r="W29" s="5">
        <v>0</v>
      </c>
      <c r="X29" s="93"/>
      <c r="Y29" s="5">
        <v>0</v>
      </c>
      <c r="Z29" s="93"/>
      <c r="AA29" s="5">
        <v>0</v>
      </c>
      <c r="AB29" s="93"/>
      <c r="AC29" s="5">
        <v>0</v>
      </c>
      <c r="AD29" s="93"/>
      <c r="AE29" s="5">
        <v>0</v>
      </c>
      <c r="AF29" s="93"/>
      <c r="AG29" s="5">
        <v>0</v>
      </c>
      <c r="AH29" s="93"/>
      <c r="AI29" s="5">
        <v>0</v>
      </c>
      <c r="AJ29" s="93"/>
      <c r="AK29" s="5">
        <v>0</v>
      </c>
      <c r="AL29" s="93"/>
      <c r="AM29" s="5"/>
      <c r="AN29" s="93"/>
      <c r="AO29" s="5">
        <v>0</v>
      </c>
      <c r="AP29" s="93"/>
      <c r="AQ29" s="5">
        <v>0</v>
      </c>
      <c r="AR29" s="93"/>
      <c r="AS29" s="5">
        <v>0</v>
      </c>
      <c r="AT29" s="93"/>
      <c r="AU29" s="5">
        <v>0</v>
      </c>
      <c r="AV29" s="93"/>
      <c r="AW29" s="5"/>
      <c r="AX29" s="93"/>
      <c r="AY29" s="5">
        <v>0</v>
      </c>
      <c r="AZ29" s="93"/>
      <c r="BA29" s="5">
        <v>0</v>
      </c>
      <c r="BB29" s="93"/>
      <c r="BC29" s="5">
        <v>0</v>
      </c>
      <c r="BD29" s="107"/>
      <c r="BE29" s="5">
        <v>0</v>
      </c>
      <c r="BF29" s="93"/>
      <c r="BG29" s="5">
        <v>0</v>
      </c>
      <c r="BH29" s="93"/>
      <c r="BI29" s="5">
        <v>0</v>
      </c>
      <c r="BJ29" s="93"/>
      <c r="BK29" s="5"/>
      <c r="BL29" s="93"/>
    </row>
    <row r="30" spans="1:64" x14ac:dyDescent="0.25">
      <c r="A30" s="5" t="s">
        <v>252</v>
      </c>
      <c r="B30" s="5">
        <v>7344.6559999999999</v>
      </c>
      <c r="C30" s="5">
        <v>7370.3864000000003</v>
      </c>
      <c r="D30" s="93">
        <f>(C30-B30)*1000</f>
        <v>25730.400000000373</v>
      </c>
      <c r="E30" s="5">
        <v>7391.9359999999997</v>
      </c>
      <c r="F30" s="93">
        <f>(E30-C30)*1000</f>
        <v>21549.599999999373</v>
      </c>
      <c r="G30" s="5">
        <v>7409.12</v>
      </c>
      <c r="H30" s="93">
        <f>(G30-E30)*1000</f>
        <v>17184.000000000196</v>
      </c>
      <c r="I30" s="5">
        <v>7432.0079999999998</v>
      </c>
      <c r="J30" s="93">
        <f>(I30-G30)*1000</f>
        <v>22887.99999999992</v>
      </c>
      <c r="K30" s="5">
        <v>7455.6247999999996</v>
      </c>
      <c r="L30" s="93">
        <f>(K30-I30)*1000</f>
        <v>23616.799999999785</v>
      </c>
      <c r="M30" s="5">
        <v>7474.76</v>
      </c>
      <c r="N30" s="93">
        <f>(M30-K30)*1000</f>
        <v>19135.200000000623</v>
      </c>
      <c r="O30" s="5">
        <v>7494.0680000000002</v>
      </c>
      <c r="P30" s="93">
        <f>(O30-M30)*1000</f>
        <v>19307.999999999993</v>
      </c>
      <c r="Q30" s="5">
        <v>7512.5528000000004</v>
      </c>
      <c r="R30" s="93">
        <f>(Q30-O30)*1000</f>
        <v>18484.800000000178</v>
      </c>
      <c r="S30" s="5">
        <v>7530.0104000000001</v>
      </c>
      <c r="T30" s="93">
        <f>(S30-Q30)*1000</f>
        <v>17457.599999999729</v>
      </c>
      <c r="U30" s="5">
        <v>7548.7575999999999</v>
      </c>
      <c r="V30" s="93">
        <f>(U30-S30)*1000</f>
        <v>18747.199999999793</v>
      </c>
      <c r="W30" s="5">
        <v>7566.3919999999998</v>
      </c>
      <c r="X30" s="93">
        <f>(W30-U30)*1000</f>
        <v>17634.399999999914</v>
      </c>
      <c r="Y30" s="5">
        <v>7587.5775999999996</v>
      </c>
      <c r="Z30" s="93">
        <f>(Y30-W30)*1000</f>
        <v>21185.599999999795</v>
      </c>
      <c r="AA30" s="5">
        <v>7605.1072000000004</v>
      </c>
      <c r="AB30" s="93">
        <f>(AA30-Y30)*1000</f>
        <v>17529.600000000755</v>
      </c>
      <c r="AC30" s="5">
        <v>7621.7992000000004</v>
      </c>
      <c r="AD30" s="93">
        <f>(AC30-AA30)*1000</f>
        <v>16692.000000000007</v>
      </c>
      <c r="AE30" s="5">
        <v>7639.424</v>
      </c>
      <c r="AF30" s="93">
        <f>(AE30-AC30)*1000</f>
        <v>17624.799999999595</v>
      </c>
      <c r="AG30" s="5">
        <v>7657.0392000000002</v>
      </c>
      <c r="AH30" s="93">
        <f>(AG30-AE30)*1000</f>
        <v>17615.200000000186</v>
      </c>
      <c r="AI30" s="5">
        <v>7676.3768</v>
      </c>
      <c r="AJ30" s="93">
        <f>(AI30-AG30)*1000</f>
        <v>19337.599999999838</v>
      </c>
      <c r="AK30" s="5">
        <v>7694.5839999999998</v>
      </c>
      <c r="AL30" s="93">
        <f>(AK30-AI30)*1000</f>
        <v>18207.19999999983</v>
      </c>
      <c r="AM30" s="5">
        <v>7712.3095999999996</v>
      </c>
      <c r="AN30" s="93">
        <f>(AM30-AK30)*1000</f>
        <v>17725.599999999758</v>
      </c>
      <c r="AO30" s="5">
        <v>7729.7136</v>
      </c>
      <c r="AP30" s="93">
        <f>(AO30-AM30)*1000</f>
        <v>17404.000000000451</v>
      </c>
      <c r="AQ30" s="5">
        <v>7743.5360000000001</v>
      </c>
      <c r="AR30" s="93">
        <f>(AQ30-AO30)*1000</f>
        <v>13822.400000000016</v>
      </c>
      <c r="AS30" s="5">
        <v>7754.4049999999997</v>
      </c>
      <c r="AT30" s="93">
        <f>(AS30-AQ30)*1000</f>
        <v>10868.999999999687</v>
      </c>
      <c r="AU30" s="5">
        <v>1275.1844000000001</v>
      </c>
      <c r="AV30" s="93">
        <v>1974.0000000001601</v>
      </c>
      <c r="AW30" s="5">
        <v>9228.5560000000005</v>
      </c>
      <c r="AX30" s="93">
        <f>(AW30-AU30)</f>
        <v>7953.3716000000004</v>
      </c>
      <c r="AY30" s="5">
        <v>27922.16</v>
      </c>
      <c r="AZ30" s="93">
        <f>(AY30-AW30)</f>
        <v>18693.603999999999</v>
      </c>
      <c r="BA30" s="5">
        <v>47043.184000000001</v>
      </c>
      <c r="BB30" s="93">
        <f>(BA30-AY30)</f>
        <v>19121.024000000001</v>
      </c>
      <c r="BC30" s="5">
        <v>66322.080000000002</v>
      </c>
      <c r="BD30" s="107">
        <f>(BC30-BA30)</f>
        <v>19278.896000000001</v>
      </c>
      <c r="BE30" s="5">
        <v>84299.728000000003</v>
      </c>
      <c r="BF30" s="93">
        <f>(BE30-BC30)</f>
        <v>17977.648000000001</v>
      </c>
      <c r="BG30" s="5">
        <v>105534.9</v>
      </c>
      <c r="BH30" s="93">
        <f>(BG30-BE30)</f>
        <v>21235.171999999991</v>
      </c>
      <c r="BI30" s="5">
        <v>115574.44</v>
      </c>
      <c r="BJ30" s="93">
        <f>(BI30-BG30)</f>
        <v>10039.540000000008</v>
      </c>
      <c r="BK30" s="5"/>
      <c r="BL30" s="93"/>
    </row>
    <row r="31" spans="1:64" x14ac:dyDescent="0.25">
      <c r="A31" s="9" t="s">
        <v>10</v>
      </c>
      <c r="B31" s="5">
        <v>18400233.649999999</v>
      </c>
      <c r="C31" s="5">
        <v>18405790.989999998</v>
      </c>
      <c r="D31" s="93">
        <f>C31-B31</f>
        <v>5557.339999999851</v>
      </c>
      <c r="E31" s="5">
        <v>18411190.789999999</v>
      </c>
      <c r="F31" s="93">
        <f>E31-C31</f>
        <v>5399.8000000007451</v>
      </c>
      <c r="G31" s="5">
        <v>18416281.140000001</v>
      </c>
      <c r="H31" s="93">
        <f>G31-E31</f>
        <v>5090.3500000014901</v>
      </c>
      <c r="I31" s="5">
        <v>18421833.84</v>
      </c>
      <c r="J31" s="93">
        <f>I31-G31</f>
        <v>5552.6999999992549</v>
      </c>
      <c r="K31" s="5">
        <v>18427285.690000001</v>
      </c>
      <c r="L31" s="93">
        <f>K31-I31</f>
        <v>5451.8500000014901</v>
      </c>
      <c r="M31" s="5">
        <v>18432562.800000001</v>
      </c>
      <c r="N31" s="93">
        <f>M31-K31</f>
        <v>5277.109999999404</v>
      </c>
      <c r="O31" s="5">
        <v>18437823.09</v>
      </c>
      <c r="P31" s="93">
        <f>O31-M31</f>
        <v>5260.2899999991059</v>
      </c>
      <c r="Q31" s="5">
        <v>18443172.02</v>
      </c>
      <c r="R31" s="93">
        <f>Q31-O31</f>
        <v>5348.929999999702</v>
      </c>
      <c r="S31" s="5">
        <v>18448300.77</v>
      </c>
      <c r="T31" s="93">
        <f>S31-Q31</f>
        <v>5128.75</v>
      </c>
      <c r="U31" s="5">
        <v>18453224.09</v>
      </c>
      <c r="V31" s="93">
        <f>U31-S31</f>
        <v>4923.320000000298</v>
      </c>
      <c r="W31" s="5">
        <v>18457190.690000001</v>
      </c>
      <c r="X31" s="93">
        <f>W31-U31</f>
        <v>3966.6000000014901</v>
      </c>
      <c r="Y31" s="5">
        <v>18461410.420000002</v>
      </c>
      <c r="Z31" s="93">
        <f>Y31-W31</f>
        <v>4219.730000000447</v>
      </c>
      <c r="AA31" s="5">
        <v>18465452.120000001</v>
      </c>
      <c r="AB31" s="93">
        <f>AA31-Y31</f>
        <v>4041.6999999992549</v>
      </c>
      <c r="AC31" s="5">
        <v>18469549.16</v>
      </c>
      <c r="AD31" s="93">
        <f>AC31-AA31</f>
        <v>4097.0399999991059</v>
      </c>
      <c r="AE31" s="5">
        <v>18473965.079999998</v>
      </c>
      <c r="AF31" s="93">
        <f>AE31-AC31</f>
        <v>4415.9199999980628</v>
      </c>
      <c r="AG31" s="5">
        <v>18479020.129999999</v>
      </c>
      <c r="AH31" s="93">
        <f>AG31-AE31</f>
        <v>5055.0500000007451</v>
      </c>
      <c r="AI31" s="5">
        <v>18484110.690000001</v>
      </c>
      <c r="AJ31" s="93">
        <f>AI31-AG31</f>
        <v>5090.5600000023842</v>
      </c>
      <c r="AK31" s="5">
        <v>18489008.359999999</v>
      </c>
      <c r="AL31" s="93">
        <f>AK31-AI31</f>
        <v>4897.6699999980628</v>
      </c>
      <c r="AM31" s="5">
        <v>18493918.260000002</v>
      </c>
      <c r="AN31" s="93">
        <f t="shared" ref="AN31" si="0">AM31-AK31</f>
        <v>4909.9000000022352</v>
      </c>
      <c r="AO31" s="5">
        <v>18498733.489999998</v>
      </c>
      <c r="AP31" s="93">
        <f>AO31-AM31</f>
        <v>4815.2299999967217</v>
      </c>
      <c r="AQ31" s="5">
        <v>18503188.600000001</v>
      </c>
      <c r="AR31" s="93">
        <f>AQ31-AO31</f>
        <v>4455.1100000031292</v>
      </c>
      <c r="AS31" s="5">
        <v>18507680.52</v>
      </c>
      <c r="AT31" s="93">
        <f>AS31-AQ31</f>
        <v>4491.9199999980628</v>
      </c>
      <c r="AU31" s="5">
        <v>18510489.890000001</v>
      </c>
      <c r="AV31" s="93">
        <f>AU31-AS31</f>
        <v>2809.3700000010431</v>
      </c>
      <c r="AW31" s="5">
        <v>18514523.59</v>
      </c>
      <c r="AX31" s="93">
        <f>AW31-AU31</f>
        <v>4033.6999999992549</v>
      </c>
      <c r="AY31" s="5">
        <v>18519729</v>
      </c>
      <c r="AZ31" s="93">
        <f>AY31-AW31</f>
        <v>5205.410000000149</v>
      </c>
      <c r="BA31" s="5">
        <v>18525016.879999999</v>
      </c>
      <c r="BB31" s="93">
        <f>BA31-AY31</f>
        <v>5287.8799999989569</v>
      </c>
      <c r="BC31" s="5">
        <v>18530297.199999999</v>
      </c>
      <c r="BD31" s="107">
        <f>BC31-BA31</f>
        <v>5280.320000000298</v>
      </c>
      <c r="BE31" s="5">
        <v>18535399.460000001</v>
      </c>
      <c r="BF31" s="93">
        <f>BE31-BC31</f>
        <v>5102.2600000016391</v>
      </c>
      <c r="BG31" s="5">
        <v>18541843.809999999</v>
      </c>
      <c r="BH31" s="93">
        <f>BG31-BE31</f>
        <v>6444.3499999977648</v>
      </c>
      <c r="BI31" s="5">
        <v>18544731.359999999</v>
      </c>
      <c r="BJ31" s="93">
        <f>BI31-BG31</f>
        <v>2887.5500000007451</v>
      </c>
      <c r="BK31" s="5"/>
      <c r="BL31" s="93"/>
    </row>
    <row r="32" spans="1:64" x14ac:dyDescent="0.25">
      <c r="A32" s="5" t="s">
        <v>11</v>
      </c>
      <c r="B32" s="5"/>
      <c r="C32" s="5">
        <v>0</v>
      </c>
      <c r="D32" s="93">
        <f>C32-B32</f>
        <v>0</v>
      </c>
      <c r="E32" s="5">
        <v>0</v>
      </c>
      <c r="F32" s="93">
        <f>E32-C32</f>
        <v>0</v>
      </c>
      <c r="G32" s="5">
        <v>0</v>
      </c>
      <c r="H32" s="93">
        <f>G32-E32</f>
        <v>0</v>
      </c>
      <c r="I32" s="5">
        <v>0</v>
      </c>
      <c r="J32" s="93">
        <f>I32-G32</f>
        <v>0</v>
      </c>
      <c r="K32" s="5">
        <v>0</v>
      </c>
      <c r="L32" s="93">
        <f>K32-I32</f>
        <v>0</v>
      </c>
      <c r="M32" s="5">
        <v>0</v>
      </c>
      <c r="N32" s="93">
        <f>M32-K32</f>
        <v>0</v>
      </c>
      <c r="O32" s="5">
        <v>0</v>
      </c>
      <c r="P32" s="93">
        <f>O32-M32</f>
        <v>0</v>
      </c>
      <c r="Q32" s="5">
        <v>0</v>
      </c>
      <c r="R32" s="93">
        <f>Q32-O32</f>
        <v>0</v>
      </c>
      <c r="S32" s="5">
        <v>0</v>
      </c>
      <c r="T32" s="93">
        <f>S32-Q32</f>
        <v>0</v>
      </c>
      <c r="U32" s="5">
        <v>0</v>
      </c>
      <c r="V32" s="93">
        <f>U32-S32</f>
        <v>0</v>
      </c>
      <c r="W32" s="5">
        <v>0</v>
      </c>
      <c r="X32" s="93">
        <f>W32-U32</f>
        <v>0</v>
      </c>
      <c r="Y32" s="5">
        <v>0</v>
      </c>
      <c r="Z32" s="93">
        <f>Y32-W32</f>
        <v>0</v>
      </c>
      <c r="AA32" s="5">
        <v>0</v>
      </c>
      <c r="AB32" s="93">
        <f>AA32-Y32</f>
        <v>0</v>
      </c>
      <c r="AC32" s="5">
        <v>0</v>
      </c>
      <c r="AD32" s="93">
        <f>AC32-AA32</f>
        <v>0</v>
      </c>
      <c r="AE32" s="5">
        <v>0</v>
      </c>
      <c r="AF32" s="93">
        <f>AE32-AC32</f>
        <v>0</v>
      </c>
      <c r="AG32" s="5">
        <v>0</v>
      </c>
      <c r="AH32" s="93">
        <f>AG32-AE32</f>
        <v>0</v>
      </c>
      <c r="AI32" s="5">
        <v>0</v>
      </c>
      <c r="AJ32" s="93">
        <f>AI32-AG32</f>
        <v>0</v>
      </c>
      <c r="AK32" s="5">
        <v>0</v>
      </c>
      <c r="AL32" s="93">
        <f>AK32-AI32</f>
        <v>0</v>
      </c>
      <c r="AM32" s="5">
        <v>0</v>
      </c>
      <c r="AN32" s="93">
        <f>AM32-AK32</f>
        <v>0</v>
      </c>
      <c r="AO32" s="5">
        <v>0</v>
      </c>
      <c r="AP32" s="93">
        <f>AO32-AM32</f>
        <v>0</v>
      </c>
      <c r="AQ32" s="5">
        <v>0</v>
      </c>
      <c r="AR32" s="93">
        <f>AQ32-AO32</f>
        <v>0</v>
      </c>
      <c r="AS32" s="5">
        <v>0</v>
      </c>
      <c r="AT32" s="93">
        <f>AS32-AQ32</f>
        <v>0</v>
      </c>
      <c r="AU32" s="5">
        <v>0</v>
      </c>
      <c r="AV32" s="93">
        <f>AU32-AS32</f>
        <v>0</v>
      </c>
      <c r="AW32" s="5">
        <v>0</v>
      </c>
      <c r="AX32" s="93">
        <f>AW32-AU32</f>
        <v>0</v>
      </c>
      <c r="AY32" s="5">
        <v>0</v>
      </c>
      <c r="AZ32" s="93">
        <f>AY32-AW32</f>
        <v>0</v>
      </c>
      <c r="BA32" s="5">
        <v>0</v>
      </c>
      <c r="BB32" s="93">
        <f>BA32-AY32</f>
        <v>0</v>
      </c>
      <c r="BC32" s="5">
        <v>0</v>
      </c>
      <c r="BD32" s="107">
        <f>BC32-BA32</f>
        <v>0</v>
      </c>
      <c r="BE32" s="5">
        <v>0</v>
      </c>
      <c r="BF32" s="93">
        <f>BE32-BC32</f>
        <v>0</v>
      </c>
      <c r="BG32" s="5">
        <v>0</v>
      </c>
      <c r="BH32" s="93">
        <f>BG32-BE32</f>
        <v>0</v>
      </c>
      <c r="BI32" s="5">
        <v>0</v>
      </c>
      <c r="BJ32" s="93">
        <f>BI32-BG32</f>
        <v>0</v>
      </c>
      <c r="BK32" s="5"/>
      <c r="BL32" s="93"/>
    </row>
    <row r="33" spans="1:64" x14ac:dyDescent="0.25">
      <c r="A33" s="9" t="s">
        <v>119</v>
      </c>
      <c r="B33" s="5">
        <v>1194.4528</v>
      </c>
      <c r="C33" s="5">
        <v>1208.2633000000001</v>
      </c>
      <c r="D33" s="5">
        <f>(C33-B33)*1000</f>
        <v>13810.500000000047</v>
      </c>
      <c r="E33" s="5">
        <v>1221.7273</v>
      </c>
      <c r="F33" s="5">
        <f>(E33-C33)*1000</f>
        <v>13463.999999999942</v>
      </c>
      <c r="G33" s="5">
        <v>1233.8412000000001</v>
      </c>
      <c r="H33" s="5">
        <f>(G33-E33)*1000</f>
        <v>12113.900000000058</v>
      </c>
      <c r="I33" s="5">
        <v>1247.8009999999999</v>
      </c>
      <c r="J33" s="5">
        <f>(I33-G33)*1000</f>
        <v>13959.799999999859</v>
      </c>
      <c r="K33" s="5">
        <v>1261.2140999999999</v>
      </c>
      <c r="L33" s="5">
        <f>(K33-I33)*1000</f>
        <v>13413.099999999986</v>
      </c>
      <c r="M33" s="5">
        <v>1273.9628</v>
      </c>
      <c r="N33" s="5">
        <f>(M33-K33)*1000</f>
        <v>12748.700000000099</v>
      </c>
      <c r="O33" s="5">
        <v>1286.9339</v>
      </c>
      <c r="P33" s="5">
        <f>(O33-M33)*1000</f>
        <v>12971.099999999979</v>
      </c>
      <c r="Q33" s="5">
        <v>1300.3213000000001</v>
      </c>
      <c r="R33" s="5">
        <f>(Q33-O33)*1000</f>
        <v>13387.400000000071</v>
      </c>
      <c r="S33" s="5">
        <v>1312.9429</v>
      </c>
      <c r="T33" s="5">
        <f>(S33-Q33)*1000</f>
        <v>12621.599999999944</v>
      </c>
      <c r="U33" s="5">
        <v>1325.1456000000001</v>
      </c>
      <c r="V33" s="5">
        <f>(U33-S33)*1000</f>
        <v>12202.70000000005</v>
      </c>
      <c r="W33" s="5">
        <v>1337.124</v>
      </c>
      <c r="X33" s="5">
        <f>(W33-U33)*1000</f>
        <v>11978.399999999965</v>
      </c>
      <c r="Y33" s="5">
        <v>1350.1066000000001</v>
      </c>
      <c r="Z33" s="5">
        <f>(Y33-W33)*1000</f>
        <v>12982.600000000048</v>
      </c>
      <c r="AA33" s="5">
        <v>1362.6001000000001</v>
      </c>
      <c r="AB33" s="5">
        <f>(AA33-Y33)*1000</f>
        <v>12493.50000000004</v>
      </c>
      <c r="AC33" s="5">
        <v>1376.0795000000001</v>
      </c>
      <c r="AD33" s="5">
        <f>(AC33-AA33)*1000</f>
        <v>13479.399999999941</v>
      </c>
      <c r="AE33" s="5">
        <v>1388.7267999999999</v>
      </c>
      <c r="AF33" s="5">
        <f>(AE33-AC33)*1000</f>
        <v>12647.299999999859</v>
      </c>
      <c r="AG33" s="5">
        <v>1400.6527000000001</v>
      </c>
      <c r="AH33" s="5">
        <f>(AG33-AE33)*1000</f>
        <v>11925.900000000183</v>
      </c>
      <c r="AI33" s="5">
        <v>1412.6958</v>
      </c>
      <c r="AJ33" s="5">
        <f>(AI33-AG33)*1000</f>
        <v>12043.099999999868</v>
      </c>
      <c r="AK33" s="5">
        <v>1425.095</v>
      </c>
      <c r="AL33" s="5">
        <f>(AK33-AI33)*1000</f>
        <v>12399.200000000064</v>
      </c>
      <c r="AM33" s="5">
        <v>1436.9167</v>
      </c>
      <c r="AN33" s="107">
        <f>(AM33-AK33)*1000</f>
        <v>11821.699999999964</v>
      </c>
      <c r="AO33" s="5">
        <v>1449.64</v>
      </c>
      <c r="AP33" s="107">
        <f>(AO33-AM33)*1000</f>
        <v>12723.300000000108</v>
      </c>
      <c r="AQ33" s="5">
        <v>1460.6619000000001</v>
      </c>
      <c r="AR33" s="107">
        <f>(AQ33-AO33)*1000</f>
        <v>11021.89999999996</v>
      </c>
      <c r="AS33" s="5">
        <v>1472.4521</v>
      </c>
      <c r="AT33" s="107">
        <f>(AS33-AQ33)*1000</f>
        <v>11790.199999999913</v>
      </c>
      <c r="AU33" s="5">
        <v>1474.6215</v>
      </c>
      <c r="AV33" s="107">
        <f>(AU33-AS33)*1000</f>
        <v>2169.399999999996</v>
      </c>
      <c r="AW33" s="5">
        <v>1481.8707999999999</v>
      </c>
      <c r="AX33" s="107">
        <f>(AW33-AU33)*1000</f>
        <v>7249.2999999999483</v>
      </c>
      <c r="AY33" s="5">
        <v>1494.6144999999999</v>
      </c>
      <c r="AZ33" s="107">
        <f>(AY33-AW33)*1000</f>
        <v>12743.69999999999</v>
      </c>
      <c r="BA33" s="5">
        <v>1507.5487000000001</v>
      </c>
      <c r="BB33" s="107">
        <f>(BA33-AY33)*1000</f>
        <v>12934.200000000146</v>
      </c>
      <c r="BC33" s="5">
        <v>1520.2628</v>
      </c>
      <c r="BD33" s="107">
        <f>(BC33-BA33)*1000</f>
        <v>12714.099999999917</v>
      </c>
      <c r="BE33" s="5">
        <v>1532.9308000000001</v>
      </c>
      <c r="BF33" s="107">
        <f>(BE33-BC33)*1000</f>
        <v>12668.00000000012</v>
      </c>
      <c r="BG33" s="5">
        <v>1545.9872</v>
      </c>
      <c r="BH33" s="107">
        <f>(BG33-BE33)*1000</f>
        <v>13056.39999999994</v>
      </c>
      <c r="BI33" s="5">
        <v>1552.3478</v>
      </c>
      <c r="BJ33" s="107">
        <f>(BI33-BG33)*1000</f>
        <v>6360.5999999999767</v>
      </c>
      <c r="BK33" s="5"/>
      <c r="BL33" s="107"/>
    </row>
    <row r="34" spans="1:64" ht="26.25" customHeight="1" x14ac:dyDescent="0.25">
      <c r="A34" s="88" t="s">
        <v>254</v>
      </c>
      <c r="B34" s="5">
        <v>214588.86</v>
      </c>
      <c r="C34" s="5">
        <v>214588.86</v>
      </c>
      <c r="D34" s="93">
        <f>C34-B34</f>
        <v>0</v>
      </c>
      <c r="E34" s="5">
        <v>214588.86</v>
      </c>
      <c r="F34" s="93">
        <f>E34-C34</f>
        <v>0</v>
      </c>
      <c r="G34" s="5">
        <v>214588.86</v>
      </c>
      <c r="H34" s="93">
        <f>G34-E34</f>
        <v>0</v>
      </c>
      <c r="I34" s="5">
        <v>214588.86</v>
      </c>
      <c r="J34" s="93">
        <f>I34-G34</f>
        <v>0</v>
      </c>
      <c r="K34" s="5">
        <v>214588.86</v>
      </c>
      <c r="L34" s="93">
        <f>K34-I34</f>
        <v>0</v>
      </c>
      <c r="M34" s="5">
        <v>214588.86</v>
      </c>
      <c r="N34" s="93">
        <f>M34-K34</f>
        <v>0</v>
      </c>
      <c r="O34" s="5">
        <v>214588.86</v>
      </c>
      <c r="P34" s="93">
        <f>O34-M34</f>
        <v>0</v>
      </c>
      <c r="Q34" s="5">
        <v>214588.86</v>
      </c>
      <c r="R34" s="93">
        <f>Q34-O34</f>
        <v>0</v>
      </c>
      <c r="S34" s="5">
        <v>214589.93</v>
      </c>
      <c r="T34" s="93">
        <f>S34-Q34</f>
        <v>1.0700000000069849</v>
      </c>
      <c r="U34" s="5">
        <v>214589.93</v>
      </c>
      <c r="V34" s="93">
        <f>U34-S34</f>
        <v>0</v>
      </c>
      <c r="W34" s="5">
        <v>214592.39</v>
      </c>
      <c r="X34" s="93">
        <f>W34-U34</f>
        <v>2.4600000000209548</v>
      </c>
      <c r="Y34" s="5">
        <v>214592.39</v>
      </c>
      <c r="Z34" s="93">
        <f t="shared" ref="Z34:Z40" si="1">Y34-W34</f>
        <v>0</v>
      </c>
      <c r="AA34" s="5">
        <v>214594.22</v>
      </c>
      <c r="AB34" s="93">
        <f>AA34-Y34</f>
        <v>1.8299999999871943</v>
      </c>
      <c r="AC34" s="5">
        <v>214594.22</v>
      </c>
      <c r="AD34" s="93">
        <f>AC34-AA34</f>
        <v>0</v>
      </c>
      <c r="AE34" s="5">
        <v>214594.22</v>
      </c>
      <c r="AF34" s="93">
        <f>AE34-AC34</f>
        <v>0</v>
      </c>
      <c r="AG34" s="5">
        <v>214606.23</v>
      </c>
      <c r="AH34" s="93">
        <f>AG34-AE34</f>
        <v>12.010000000009313</v>
      </c>
      <c r="AI34" s="5">
        <v>214606.23</v>
      </c>
      <c r="AJ34" s="93">
        <f>AI34-AG34</f>
        <v>0</v>
      </c>
      <c r="AK34" s="5">
        <v>214613.53</v>
      </c>
      <c r="AL34" s="93">
        <f>AK34-AI34</f>
        <v>7.2999999999883585</v>
      </c>
      <c r="AM34" s="5">
        <v>214613.53</v>
      </c>
      <c r="AN34" s="93">
        <f>AM34-AK34</f>
        <v>0</v>
      </c>
      <c r="AO34" s="5">
        <v>214613.56</v>
      </c>
      <c r="AP34" s="93">
        <f>AO34-AM34</f>
        <v>2.9999999998835847E-2</v>
      </c>
      <c r="AQ34" s="5">
        <v>214613.56</v>
      </c>
      <c r="AR34" s="93">
        <f>AQ34-AO34</f>
        <v>0</v>
      </c>
      <c r="AS34" s="5">
        <v>214613.56</v>
      </c>
      <c r="AT34" s="93">
        <f>AS34-AQ34</f>
        <v>0</v>
      </c>
      <c r="AU34" s="5">
        <v>214613.56</v>
      </c>
      <c r="AV34" s="93">
        <f>AU34-AS34</f>
        <v>0</v>
      </c>
      <c r="AW34" s="5">
        <v>214613.56</v>
      </c>
      <c r="AX34" s="93">
        <f>AW34-AU34</f>
        <v>0</v>
      </c>
      <c r="AY34" s="5">
        <v>214613.56</v>
      </c>
      <c r="AZ34" s="93">
        <f>AY34-AW34</f>
        <v>0</v>
      </c>
      <c r="BA34" s="5">
        <v>214711.32</v>
      </c>
      <c r="BB34" s="93">
        <f>BA34-AY34</f>
        <v>97.760000000009313</v>
      </c>
      <c r="BC34" s="5">
        <v>215392.58</v>
      </c>
      <c r="BD34" s="107">
        <f>BC34-BA34</f>
        <v>681.25999999998021</v>
      </c>
      <c r="BE34" s="5">
        <v>216067.56</v>
      </c>
      <c r="BF34" s="93">
        <f>BE34-BC34</f>
        <v>674.98000000001048</v>
      </c>
      <c r="BG34" s="5">
        <v>216733.76</v>
      </c>
      <c r="BH34" s="93">
        <f>BG34-BE34</f>
        <v>666.20000000001164</v>
      </c>
      <c r="BI34" s="5">
        <v>216734.47</v>
      </c>
      <c r="BJ34" s="93">
        <f>BI34-BG34</f>
        <v>0.70999999999185093</v>
      </c>
      <c r="BK34" s="5"/>
      <c r="BL34" s="93"/>
    </row>
    <row r="35" spans="1:64" x14ac:dyDescent="0.25">
      <c r="A35" s="9" t="s">
        <v>39</v>
      </c>
      <c r="B35" s="5">
        <v>6074007.1299999999</v>
      </c>
      <c r="C35" s="5">
        <v>6074007.1299999999</v>
      </c>
      <c r="D35" s="93">
        <f>C35-B35</f>
        <v>0</v>
      </c>
      <c r="E35" s="5">
        <v>6074007.1299999999</v>
      </c>
      <c r="F35" s="93">
        <f>E35-C35</f>
        <v>0</v>
      </c>
      <c r="G35" s="5">
        <v>6074007.1299999999</v>
      </c>
      <c r="H35" s="93">
        <f>G35-E35</f>
        <v>0</v>
      </c>
      <c r="I35" s="5">
        <v>6074030.1799999997</v>
      </c>
      <c r="J35" s="93">
        <f>I35-G35</f>
        <v>23.049999999813735</v>
      </c>
      <c r="K35" s="5">
        <v>6074980.3300000001</v>
      </c>
      <c r="L35" s="93">
        <f>K35-I35</f>
        <v>950.15000000037253</v>
      </c>
      <c r="M35" s="5">
        <v>6074986.7199999997</v>
      </c>
      <c r="N35" s="93">
        <f>M35-K35</f>
        <v>6.3899999996647239</v>
      </c>
      <c r="O35" s="5">
        <v>6074986.7199999997</v>
      </c>
      <c r="P35" s="93">
        <f>O35-M35</f>
        <v>0</v>
      </c>
      <c r="Q35" s="5">
        <v>6074986.7199999997</v>
      </c>
      <c r="R35" s="93">
        <f>Q35-O35</f>
        <v>0</v>
      </c>
      <c r="S35" s="5">
        <v>6074998.6500000004</v>
      </c>
      <c r="T35" s="93">
        <f>S35-Q35</f>
        <v>11.930000000633299</v>
      </c>
      <c r="U35" s="5">
        <v>6074998.6500000004</v>
      </c>
      <c r="V35" s="93">
        <f>U35-S35</f>
        <v>0</v>
      </c>
      <c r="W35" s="5">
        <v>6074998.6500000004</v>
      </c>
      <c r="X35" s="93">
        <f>W35-U35</f>
        <v>0</v>
      </c>
      <c r="Y35" s="5">
        <v>6074998.6500000004</v>
      </c>
      <c r="Z35" s="93">
        <f t="shared" si="1"/>
        <v>0</v>
      </c>
      <c r="AA35" s="5">
        <v>6074998.6500000004</v>
      </c>
      <c r="AB35" s="93">
        <f>AA35-Y35</f>
        <v>0</v>
      </c>
      <c r="AC35" s="5">
        <v>6074998.6500000004</v>
      </c>
      <c r="AD35" s="93">
        <f>AC35-AA35</f>
        <v>0</v>
      </c>
      <c r="AE35" s="5">
        <v>6074998.6500000004</v>
      </c>
      <c r="AF35" s="93">
        <f>AE35-AC35</f>
        <v>0</v>
      </c>
      <c r="AG35" s="5">
        <v>6075148.1200000001</v>
      </c>
      <c r="AH35" s="93">
        <f>AG35-AE35</f>
        <v>149.46999999973923</v>
      </c>
      <c r="AI35" s="5">
        <v>6075148.1200000001</v>
      </c>
      <c r="AJ35" s="93">
        <f>AI35-AG35</f>
        <v>0</v>
      </c>
      <c r="AK35" s="5">
        <v>6076009.1200000001</v>
      </c>
      <c r="AL35" s="93">
        <f>AK35-AI35</f>
        <v>861</v>
      </c>
      <c r="AM35" s="5">
        <v>6076009.1200000001</v>
      </c>
      <c r="AN35" s="93">
        <f>AM35-AK35</f>
        <v>0</v>
      </c>
      <c r="AO35" s="5">
        <v>6076020.8899999997</v>
      </c>
      <c r="AP35" s="93">
        <f>AO35-AM35</f>
        <v>11.769999999552965</v>
      </c>
      <c r="AQ35" s="5">
        <v>6076020.8899999997</v>
      </c>
      <c r="AR35" s="93">
        <f>AQ35-AO35</f>
        <v>0</v>
      </c>
      <c r="AS35" s="5">
        <v>6076035.6200000001</v>
      </c>
      <c r="AT35" s="93">
        <f>AS35-AQ35</f>
        <v>14.730000000447035</v>
      </c>
      <c r="AU35" s="5">
        <v>6076035.6200000001</v>
      </c>
      <c r="AV35" s="93">
        <f>AU35-AS35</f>
        <v>0</v>
      </c>
      <c r="AW35" s="5">
        <v>6076035.6200000001</v>
      </c>
      <c r="AX35" s="93">
        <f>AW35-AU35</f>
        <v>0</v>
      </c>
      <c r="AY35" s="5">
        <v>6077009.2800000003</v>
      </c>
      <c r="AZ35" s="93">
        <f>AY35-AW35</f>
        <v>973.66000000014901</v>
      </c>
      <c r="BA35" s="5">
        <v>6078134.2400000002</v>
      </c>
      <c r="BB35" s="93">
        <f>BA35-AY35</f>
        <v>1124.9599999999627</v>
      </c>
      <c r="BC35" s="5">
        <v>6078134.2400000002</v>
      </c>
      <c r="BD35" s="107">
        <f>BC35-BA35</f>
        <v>0</v>
      </c>
      <c r="BE35" s="5">
        <v>6078134.2400000002</v>
      </c>
      <c r="BF35" s="93">
        <f>BE35-BC35</f>
        <v>0</v>
      </c>
      <c r="BG35" s="5">
        <v>6078137.7400000002</v>
      </c>
      <c r="BH35" s="93">
        <f>BG35-BE35</f>
        <v>3.5</v>
      </c>
      <c r="BI35" s="5">
        <v>6078139.6500000004</v>
      </c>
      <c r="BJ35" s="93">
        <f>BI35-BG35</f>
        <v>1.9100000001490116</v>
      </c>
      <c r="BK35" s="5"/>
      <c r="BL35" s="93"/>
    </row>
    <row r="36" spans="1:64" x14ac:dyDescent="0.25">
      <c r="A36" s="9" t="s">
        <v>42</v>
      </c>
      <c r="B36" s="5">
        <v>6676883.8799999999</v>
      </c>
      <c r="C36" s="5">
        <v>6678269.9199999999</v>
      </c>
      <c r="D36" s="93">
        <f>C36-B36</f>
        <v>1386.0400000000373</v>
      </c>
      <c r="E36" s="5">
        <v>6680050.6699999999</v>
      </c>
      <c r="F36" s="93">
        <f>E36-C36</f>
        <v>1780.75</v>
      </c>
      <c r="G36" s="5">
        <v>6681561.4299999997</v>
      </c>
      <c r="H36" s="93">
        <f>G36-E36</f>
        <v>1510.7599999997765</v>
      </c>
      <c r="I36" s="5">
        <v>6682362.1399999997</v>
      </c>
      <c r="J36" s="93">
        <f>I36-G36</f>
        <v>800.70999999996275</v>
      </c>
      <c r="K36" s="5">
        <v>6683521.5800000001</v>
      </c>
      <c r="L36" s="93">
        <f>K36-I36</f>
        <v>1159.4400000004098</v>
      </c>
      <c r="M36" s="5">
        <v>6685615.8099999996</v>
      </c>
      <c r="N36" s="93">
        <f>M36-K36</f>
        <v>2094.2299999995157</v>
      </c>
      <c r="O36" s="5">
        <v>6687825.1600000001</v>
      </c>
      <c r="P36" s="93">
        <f>O36-M36</f>
        <v>2209.3500000005588</v>
      </c>
      <c r="Q36" s="5">
        <v>6690118.3899999997</v>
      </c>
      <c r="R36" s="93">
        <f>Q36-O36</f>
        <v>2293.2299999995157</v>
      </c>
      <c r="S36" s="5">
        <v>6692327.9299999997</v>
      </c>
      <c r="T36" s="93">
        <f>S36-Q36</f>
        <v>2209.5400000000373</v>
      </c>
      <c r="U36" s="5">
        <v>6694534.1200000001</v>
      </c>
      <c r="V36" s="93">
        <f>U36-S36</f>
        <v>2206.1900000004098</v>
      </c>
      <c r="W36" s="5">
        <v>6696296.4800000004</v>
      </c>
      <c r="X36" s="93">
        <f>W36-U36</f>
        <v>1762.3600000003353</v>
      </c>
      <c r="Y36" s="5">
        <v>6696386.1600000001</v>
      </c>
      <c r="Z36" s="93">
        <f t="shared" si="1"/>
        <v>89.679999999701977</v>
      </c>
      <c r="AA36" s="5">
        <v>6696906.6399999997</v>
      </c>
      <c r="AB36" s="93">
        <f>AA36-Y36</f>
        <v>520.47999999951571</v>
      </c>
      <c r="AC36" s="5">
        <v>6699495.9000000004</v>
      </c>
      <c r="AD36" s="93">
        <f>AC36-AA36</f>
        <v>2589.2600000007078</v>
      </c>
      <c r="AE36" s="5">
        <v>6702142.0199999996</v>
      </c>
      <c r="AF36" s="93">
        <f>AE36-AC36</f>
        <v>2646.1199999991804</v>
      </c>
      <c r="AG36" s="5">
        <v>6704325.1100000003</v>
      </c>
      <c r="AH36" s="93">
        <f>AG36-AE36</f>
        <v>2183.0900000007823</v>
      </c>
      <c r="AI36" s="5">
        <v>6706616.8700000001</v>
      </c>
      <c r="AJ36" s="93">
        <f>AI36-AG36</f>
        <v>2291.7599999997765</v>
      </c>
      <c r="AK36" s="5">
        <v>6708120.6699999999</v>
      </c>
      <c r="AL36" s="93">
        <f>AK36-AI36</f>
        <v>1503.7999999998137</v>
      </c>
      <c r="AM36" s="5">
        <v>6710493.8899999997</v>
      </c>
      <c r="AN36" s="93">
        <f>AM36-AK36</f>
        <v>2373.2199999997392</v>
      </c>
      <c r="AO36" s="5">
        <v>6712788</v>
      </c>
      <c r="AP36" s="93">
        <f>AO36-AM36</f>
        <v>2294.1100000003353</v>
      </c>
      <c r="AQ36" s="5">
        <v>6715069.8700000001</v>
      </c>
      <c r="AR36" s="93">
        <f>AQ36-AO36</f>
        <v>2281.8700000001118</v>
      </c>
      <c r="AS36" s="5">
        <v>6717370.2599999998</v>
      </c>
      <c r="AT36" s="93">
        <f>AS36-AQ36</f>
        <v>2300.3899999996647</v>
      </c>
      <c r="AU36" s="5">
        <v>6719283.75</v>
      </c>
      <c r="AV36" s="93">
        <f>AU36-AS36</f>
        <v>1913.4900000002235</v>
      </c>
      <c r="AW36" s="5">
        <v>6721448.8700000001</v>
      </c>
      <c r="AX36" s="93">
        <f>AW36-AU36</f>
        <v>2165.1200000001118</v>
      </c>
      <c r="AY36" s="5">
        <v>6722925.2400000002</v>
      </c>
      <c r="AZ36" s="93">
        <f>AY36-AW36</f>
        <v>1476.3700000001118</v>
      </c>
      <c r="BA36" s="5">
        <v>6723884.4100000001</v>
      </c>
      <c r="BB36" s="93">
        <f>BA36-AY36</f>
        <v>959.16999999992549</v>
      </c>
      <c r="BC36" s="5">
        <v>6723987</v>
      </c>
      <c r="BD36" s="107">
        <f>BC36-BA36</f>
        <v>102.58999999985099</v>
      </c>
      <c r="BE36" s="5">
        <v>6724054.5199999996</v>
      </c>
      <c r="BF36" s="93">
        <f>BE36-BC36</f>
        <v>67.519999999552965</v>
      </c>
      <c r="BG36" s="5">
        <v>6724497.5899999999</v>
      </c>
      <c r="BH36" s="93">
        <f>BG36-BE36</f>
        <v>443.07000000029802</v>
      </c>
      <c r="BI36" s="5">
        <v>6725813.9400000004</v>
      </c>
      <c r="BJ36" s="93">
        <f>BI36-BG36</f>
        <v>1316.3500000005588</v>
      </c>
      <c r="BK36" s="5"/>
      <c r="BL36" s="93"/>
    </row>
    <row r="37" spans="1:64" x14ac:dyDescent="0.25">
      <c r="A37" s="9" t="s">
        <v>253</v>
      </c>
      <c r="B37" s="5">
        <v>172684.88</v>
      </c>
      <c r="C37" s="5">
        <v>175153.44</v>
      </c>
      <c r="D37" s="93">
        <f>(C37-B37)</f>
        <v>2468.5599999999977</v>
      </c>
      <c r="E37" s="5">
        <v>177491.84</v>
      </c>
      <c r="F37" s="93">
        <f>(E37-C37)</f>
        <v>2338.3999999999942</v>
      </c>
      <c r="G37" s="5">
        <v>179274.1</v>
      </c>
      <c r="H37" s="93">
        <f>(G37-E37)</f>
        <v>1782.2600000000093</v>
      </c>
      <c r="I37" s="5">
        <v>181580.18</v>
      </c>
      <c r="J37" s="93">
        <f>(I37-G37)</f>
        <v>2306.0799999999872</v>
      </c>
      <c r="K37" s="5">
        <v>183818.84</v>
      </c>
      <c r="L37" s="93">
        <f>(K37-I37)</f>
        <v>2238.6600000000035</v>
      </c>
      <c r="M37" s="5">
        <v>186093.5</v>
      </c>
      <c r="N37" s="93">
        <f>(M37-K37)</f>
        <v>2274.6600000000035</v>
      </c>
      <c r="O37" s="5">
        <v>188029.2</v>
      </c>
      <c r="P37" s="93">
        <f>(O37-M37)</f>
        <v>1935.7000000000116</v>
      </c>
      <c r="Q37" s="5">
        <v>189693.5</v>
      </c>
      <c r="R37" s="93">
        <f>(Q37-O37)</f>
        <v>1664.2999999999884</v>
      </c>
      <c r="S37" s="5">
        <v>556.94560000000001</v>
      </c>
      <c r="T37" s="93">
        <v>1718.9599999999919</v>
      </c>
      <c r="U37" s="5">
        <v>2405.3807999999999</v>
      </c>
      <c r="V37" s="93">
        <f>(U37-S37)</f>
        <v>1848.4351999999999</v>
      </c>
      <c r="W37" s="5">
        <v>4099.5039999999999</v>
      </c>
      <c r="X37" s="93">
        <f>(W37-U37)</f>
        <v>1694.1232</v>
      </c>
      <c r="Y37" s="5">
        <v>5913.1459999999997</v>
      </c>
      <c r="Z37" s="93">
        <f t="shared" si="1"/>
        <v>1813.6419999999998</v>
      </c>
      <c r="AA37" s="5">
        <v>7541.6319999999996</v>
      </c>
      <c r="AB37" s="93">
        <f>(AA37-Y37)</f>
        <v>1628.4859999999999</v>
      </c>
      <c r="AC37" s="5">
        <v>9260.1142</v>
      </c>
      <c r="AD37" s="93">
        <f>(AC37-AA37)</f>
        <v>1718.4822000000004</v>
      </c>
      <c r="AE37" s="5">
        <v>11204.592000000001</v>
      </c>
      <c r="AF37" s="93">
        <f>(AE37-AC37)</f>
        <v>1944.4778000000006</v>
      </c>
      <c r="AG37" s="5">
        <v>13422.257</v>
      </c>
      <c r="AH37" s="93">
        <f>(AG37-AE37)</f>
        <v>2217.6649999999991</v>
      </c>
      <c r="AI37" s="5">
        <v>15802.216</v>
      </c>
      <c r="AJ37" s="93">
        <f>(AI37-AG37)</f>
        <v>2379.9590000000007</v>
      </c>
      <c r="AK37" s="5">
        <v>18064.434000000001</v>
      </c>
      <c r="AL37" s="93">
        <f>(AK37-AI37)</f>
        <v>2262.2180000000008</v>
      </c>
      <c r="AM37" s="5">
        <v>20296.412</v>
      </c>
      <c r="AN37" s="93">
        <f>(AM37-AK37)</f>
        <v>2231.9779999999992</v>
      </c>
      <c r="AO37" s="5">
        <v>22207.006000000001</v>
      </c>
      <c r="AP37" s="93">
        <f>(AO37-AM37)</f>
        <v>1910.594000000001</v>
      </c>
      <c r="AQ37" s="5">
        <v>23567.135999999999</v>
      </c>
      <c r="AR37" s="93">
        <f>(AQ37-AO37)</f>
        <v>1360.1299999999974</v>
      </c>
      <c r="AS37" s="5">
        <v>25042.448</v>
      </c>
      <c r="AT37" s="93">
        <f>(AS37-AQ37)</f>
        <v>1475.3120000000017</v>
      </c>
      <c r="AU37" s="5">
        <v>25066.34</v>
      </c>
      <c r="AV37" s="93">
        <f>(AU37-AS37)</f>
        <v>23.891999999999825</v>
      </c>
      <c r="AW37" s="5">
        <v>25902.687999999998</v>
      </c>
      <c r="AX37" s="93">
        <f>(AW37-AU37)</f>
        <v>836.34799999999814</v>
      </c>
      <c r="AY37" s="5">
        <v>28154.024000000001</v>
      </c>
      <c r="AZ37" s="93">
        <f>(AY37-AW37)</f>
        <v>2251.336000000003</v>
      </c>
      <c r="BA37" s="5">
        <v>30474.62</v>
      </c>
      <c r="BB37" s="93">
        <f>(BA37-AY37)</f>
        <v>2320.5959999999977</v>
      </c>
      <c r="BC37" s="5">
        <v>32508.912</v>
      </c>
      <c r="BD37" s="107">
        <f>(BC37-BA37)</f>
        <v>2034.2920000000013</v>
      </c>
      <c r="BE37" s="5">
        <v>34348.959999999999</v>
      </c>
      <c r="BF37" s="93">
        <f>(BE37-BC37)</f>
        <v>1840.0479999999989</v>
      </c>
      <c r="BG37" s="5">
        <v>36585.163999999997</v>
      </c>
      <c r="BH37" s="93">
        <f>(BG37-BE37)</f>
        <v>2236.2039999999979</v>
      </c>
      <c r="BI37" s="5">
        <v>37728.228000000003</v>
      </c>
      <c r="BJ37" s="93">
        <f>(BI37-BG37)</f>
        <v>1143.0640000000058</v>
      </c>
      <c r="BK37" s="5"/>
      <c r="BL37" s="93"/>
    </row>
    <row r="38" spans="1:64" x14ac:dyDescent="0.25">
      <c r="A38" s="9" t="s">
        <v>12</v>
      </c>
      <c r="B38" s="5">
        <v>1941885.82</v>
      </c>
      <c r="C38" s="5">
        <v>1942116.41</v>
      </c>
      <c r="D38" s="93">
        <f>C38-B38</f>
        <v>230.58999999985099</v>
      </c>
      <c r="E38" s="5">
        <v>1942439.7</v>
      </c>
      <c r="F38" s="93">
        <f>E38-C38</f>
        <v>323.29000000003725</v>
      </c>
      <c r="G38" s="5">
        <v>1942714.97</v>
      </c>
      <c r="H38" s="93">
        <f>G38-E38</f>
        <v>275.27000000001863</v>
      </c>
      <c r="I38" s="5">
        <v>1942994.04</v>
      </c>
      <c r="J38" s="93">
        <f>I38-G38</f>
        <v>279.07000000006519</v>
      </c>
      <c r="K38" s="5">
        <v>1943268.63</v>
      </c>
      <c r="L38" s="93">
        <f>K38-I38</f>
        <v>274.58999999985099</v>
      </c>
      <c r="M38" s="5">
        <v>1943539.64</v>
      </c>
      <c r="N38" s="93">
        <f>M38-K38</f>
        <v>271.01000000000931</v>
      </c>
      <c r="O38" s="5">
        <v>1943801.46</v>
      </c>
      <c r="P38" s="93">
        <f>O38-M38</f>
        <v>261.82000000006519</v>
      </c>
      <c r="Q38" s="5">
        <v>1944078.73</v>
      </c>
      <c r="R38" s="93">
        <f>Q38-O38</f>
        <v>277.27000000001863</v>
      </c>
      <c r="S38" s="5">
        <v>1944336.05</v>
      </c>
      <c r="T38" s="93">
        <f>S38-Q38</f>
        <v>257.32000000006519</v>
      </c>
      <c r="U38" s="5">
        <v>1944604.29</v>
      </c>
      <c r="V38" s="93">
        <f>U38-S38</f>
        <v>268.23999999999069</v>
      </c>
      <c r="W38" s="5">
        <v>1944674.52</v>
      </c>
      <c r="X38" s="93">
        <f>W38-U38</f>
        <v>70.229999999981374</v>
      </c>
      <c r="Y38" s="5">
        <v>1945132.6</v>
      </c>
      <c r="Z38" s="93">
        <f t="shared" si="1"/>
        <v>458.08000000007451</v>
      </c>
      <c r="AA38" s="5">
        <v>1945412.4</v>
      </c>
      <c r="AB38" s="93">
        <f>AA38-Y38</f>
        <v>279.79999999981374</v>
      </c>
      <c r="AC38" s="5">
        <v>1945689.13</v>
      </c>
      <c r="AD38" s="93">
        <f>AC38-AA38</f>
        <v>276.72999999998137</v>
      </c>
      <c r="AE38" s="5">
        <v>1945957.4</v>
      </c>
      <c r="AF38" s="93">
        <f>AE38-AC38</f>
        <v>268.27000000001863</v>
      </c>
      <c r="AG38" s="5">
        <v>1946226.56</v>
      </c>
      <c r="AH38" s="93">
        <f>AG38-AE38</f>
        <v>269.16000000014901</v>
      </c>
      <c r="AI38" s="5">
        <v>1946501.5</v>
      </c>
      <c r="AJ38" s="93">
        <f>AI38-AG38</f>
        <v>274.93999999994412</v>
      </c>
      <c r="AK38" s="5">
        <v>1946774.98</v>
      </c>
      <c r="AL38" s="93">
        <f>AK38-AI38</f>
        <v>273.47999999998137</v>
      </c>
      <c r="AM38" s="5">
        <v>1947044.26</v>
      </c>
      <c r="AN38" s="93">
        <f>AM38-AK38</f>
        <v>269.28000000002794</v>
      </c>
      <c r="AO38" s="5">
        <v>1947321.16</v>
      </c>
      <c r="AP38" s="93">
        <f>AO38-AM38</f>
        <v>276.89999999990687</v>
      </c>
      <c r="AQ38" s="5">
        <v>1947600.9</v>
      </c>
      <c r="AR38" s="93">
        <f>AQ38-AO38</f>
        <v>279.73999999999069</v>
      </c>
      <c r="AS38" s="5">
        <v>1947875.77</v>
      </c>
      <c r="AT38" s="93">
        <f>AS38-AQ38</f>
        <v>274.87000000011176</v>
      </c>
      <c r="AU38" s="5">
        <v>1948148.43</v>
      </c>
      <c r="AV38" s="93">
        <f>AU38-AS38</f>
        <v>272.65999999991618</v>
      </c>
      <c r="AW38" s="5">
        <v>1948427.47</v>
      </c>
      <c r="AX38" s="93">
        <f>AW38-AU38</f>
        <v>279.04000000003725</v>
      </c>
      <c r="AY38" s="5">
        <v>1948713.23</v>
      </c>
      <c r="AZ38" s="93">
        <f>AY38-AW38</f>
        <v>285.76000000000931</v>
      </c>
      <c r="BA38" s="5">
        <v>1949016.11</v>
      </c>
      <c r="BB38" s="93">
        <f>BA38-AY38</f>
        <v>302.88000000012107</v>
      </c>
      <c r="BC38" s="5">
        <v>1949346.47</v>
      </c>
      <c r="BD38" s="107">
        <f>BC38-BA38</f>
        <v>330.35999999986961</v>
      </c>
      <c r="BE38" s="5">
        <v>1949637.25</v>
      </c>
      <c r="BF38" s="93">
        <f>BE38-BC38</f>
        <v>290.78000000002794</v>
      </c>
      <c r="BG38" s="5">
        <v>1949993.25</v>
      </c>
      <c r="BH38" s="93">
        <f>BG38-BE38</f>
        <v>356</v>
      </c>
      <c r="BI38" s="5">
        <v>1950209.32</v>
      </c>
      <c r="BJ38" s="93">
        <f>BI38-BG38</f>
        <v>216.07000000006519</v>
      </c>
      <c r="BK38" s="5"/>
      <c r="BL38" s="93"/>
    </row>
    <row r="39" spans="1:64" x14ac:dyDescent="0.25">
      <c r="A39" s="9" t="s">
        <v>106</v>
      </c>
      <c r="B39" s="5">
        <v>1645931.38</v>
      </c>
      <c r="C39" s="5">
        <v>1646642.32</v>
      </c>
      <c r="D39" s="93">
        <f>C39-B39</f>
        <v>710.94000000017695</v>
      </c>
      <c r="E39" s="5">
        <v>1647318.87</v>
      </c>
      <c r="F39" s="93">
        <f>E39-C39</f>
        <v>676.55000000004657</v>
      </c>
      <c r="G39" s="5">
        <v>1647982.86</v>
      </c>
      <c r="H39" s="93">
        <f>G39-E39</f>
        <v>663.98999999999069</v>
      </c>
      <c r="I39" s="5">
        <v>1648696.42</v>
      </c>
      <c r="J39" s="93">
        <f>I39-G39</f>
        <v>713.55999999982305</v>
      </c>
      <c r="K39" s="5">
        <v>1649410.48</v>
      </c>
      <c r="L39" s="93">
        <f>K39-I39</f>
        <v>714.06000000005588</v>
      </c>
      <c r="M39" s="5">
        <v>1650095.72</v>
      </c>
      <c r="N39" s="93">
        <f>M39-K39</f>
        <v>685.23999999999069</v>
      </c>
      <c r="O39" s="5">
        <v>1650802.48</v>
      </c>
      <c r="P39" s="93">
        <f>O39-M39</f>
        <v>706.76000000000931</v>
      </c>
      <c r="Q39" s="5">
        <v>1651522.96</v>
      </c>
      <c r="R39" s="93">
        <f>Q39-O39</f>
        <v>720.47999999998137</v>
      </c>
      <c r="S39" s="5">
        <v>1652214.9</v>
      </c>
      <c r="T39" s="93">
        <f>S39-Q39</f>
        <v>691.93999999994412</v>
      </c>
      <c r="U39" s="5">
        <v>1652918.41</v>
      </c>
      <c r="V39" s="93">
        <f>U39-S39</f>
        <v>703.51000000000931</v>
      </c>
      <c r="W39" s="5">
        <v>1653612.89</v>
      </c>
      <c r="X39" s="93">
        <f>W39-U39</f>
        <v>694.47999999998137</v>
      </c>
      <c r="Y39" s="5">
        <v>1654269.7</v>
      </c>
      <c r="Z39" s="93">
        <f t="shared" si="1"/>
        <v>656.81000000005588</v>
      </c>
      <c r="AA39" s="5">
        <v>1654905.2</v>
      </c>
      <c r="AB39" s="93">
        <f>AA39-Y39</f>
        <v>635.5</v>
      </c>
      <c r="AC39" s="5">
        <v>1655565.36</v>
      </c>
      <c r="AD39" s="93">
        <f>AC39-AA39</f>
        <v>660.16000000014901</v>
      </c>
      <c r="AE39" s="5">
        <v>1656251.8</v>
      </c>
      <c r="AF39" s="93">
        <f>AE39-AC39</f>
        <v>686.43999999994412</v>
      </c>
      <c r="AG39" s="5">
        <v>1656946.73</v>
      </c>
      <c r="AH39" s="93">
        <f>AG39-AE39</f>
        <v>694.92999999993481</v>
      </c>
      <c r="AI39" s="5">
        <v>1657661.92</v>
      </c>
      <c r="AJ39" s="93">
        <f>AI39-AG39</f>
        <v>715.18999999994412</v>
      </c>
      <c r="AK39" s="5">
        <v>1658964.71</v>
      </c>
      <c r="AL39" s="93">
        <f>AK39-AI39</f>
        <v>1302.7900000000373</v>
      </c>
      <c r="AM39" s="5">
        <v>1659604.84</v>
      </c>
      <c r="AN39" s="93">
        <f>AM39-AK39</f>
        <v>640.13000000012107</v>
      </c>
      <c r="AO39" s="5">
        <v>1659740.5</v>
      </c>
      <c r="AP39" s="93">
        <f>AO39-AM39</f>
        <v>135.65999999991618</v>
      </c>
      <c r="AQ39" s="5">
        <v>1660403.06</v>
      </c>
      <c r="AR39" s="93">
        <f>AQ39-AO39</f>
        <v>662.56000000005588</v>
      </c>
      <c r="AS39" s="5">
        <v>1660997.32</v>
      </c>
      <c r="AT39" s="93">
        <f>AS39-AQ39</f>
        <v>594.26000000000931</v>
      </c>
      <c r="AU39" s="5">
        <v>1661473.21</v>
      </c>
      <c r="AV39" s="93">
        <f>AU39-AS39</f>
        <v>475.88999999989755</v>
      </c>
      <c r="AW39" s="5">
        <v>1662094.9</v>
      </c>
      <c r="AX39" s="93">
        <f>AW39-AU39</f>
        <v>621.68999999994412</v>
      </c>
      <c r="AY39" s="5">
        <v>1662808.3</v>
      </c>
      <c r="AZ39" s="93">
        <f>AY39-AW39</f>
        <v>713.4000000001397</v>
      </c>
      <c r="BA39" s="5">
        <v>1663527.64</v>
      </c>
      <c r="BB39" s="93">
        <f>BA39-AY39</f>
        <v>719.33999999985099</v>
      </c>
      <c r="BC39" s="5">
        <v>1664138.95</v>
      </c>
      <c r="BD39" s="107">
        <f>BC39-BA39</f>
        <v>611.31000000005588</v>
      </c>
      <c r="BE39" s="5">
        <v>1664755.66</v>
      </c>
      <c r="BF39" s="93">
        <f>BE39-BC39</f>
        <v>616.70999999996275</v>
      </c>
      <c r="BG39" s="5">
        <v>1665534.55</v>
      </c>
      <c r="BH39" s="93">
        <f>BG39-BE39</f>
        <v>778.89000000013039</v>
      </c>
      <c r="BI39" s="5">
        <v>1665906.24</v>
      </c>
      <c r="BJ39" s="93">
        <f>BI39-BG39</f>
        <v>371.68999999994412</v>
      </c>
      <c r="BK39" s="5"/>
      <c r="BL39" s="93"/>
    </row>
    <row r="40" spans="1:64" x14ac:dyDescent="0.25">
      <c r="A40" s="9" t="s">
        <v>108</v>
      </c>
      <c r="B40" s="5"/>
      <c r="C40" s="5">
        <v>0</v>
      </c>
      <c r="D40" s="93">
        <f>C40-B40</f>
        <v>0</v>
      </c>
      <c r="E40" s="5">
        <v>0</v>
      </c>
      <c r="F40" s="93">
        <f>E40-C40</f>
        <v>0</v>
      </c>
      <c r="G40" s="5">
        <v>0</v>
      </c>
      <c r="H40" s="93">
        <f>G40-E40</f>
        <v>0</v>
      </c>
      <c r="I40" s="5">
        <v>0</v>
      </c>
      <c r="J40" s="93">
        <f>I40-G40</f>
        <v>0</v>
      </c>
      <c r="K40" s="5">
        <v>0</v>
      </c>
      <c r="L40" s="93">
        <f>K40-I40</f>
        <v>0</v>
      </c>
      <c r="M40" s="5">
        <v>0</v>
      </c>
      <c r="N40" s="93">
        <f>M40-K40</f>
        <v>0</v>
      </c>
      <c r="O40" s="5">
        <v>0</v>
      </c>
      <c r="P40" s="93">
        <f>O40-M40</f>
        <v>0</v>
      </c>
      <c r="Q40" s="5">
        <v>0</v>
      </c>
      <c r="R40" s="93">
        <f>Q40-O40</f>
        <v>0</v>
      </c>
      <c r="S40" s="5">
        <v>0</v>
      </c>
      <c r="T40" s="93">
        <f>S40-Q40</f>
        <v>0</v>
      </c>
      <c r="U40" s="5">
        <v>0</v>
      </c>
      <c r="V40" s="93">
        <f>U40-S40</f>
        <v>0</v>
      </c>
      <c r="W40" s="5">
        <v>0</v>
      </c>
      <c r="X40" s="93">
        <f>W40-U40</f>
        <v>0</v>
      </c>
      <c r="Y40" s="5">
        <v>0</v>
      </c>
      <c r="Z40" s="93">
        <f t="shared" si="1"/>
        <v>0</v>
      </c>
      <c r="AA40" s="5">
        <v>0</v>
      </c>
      <c r="AB40" s="93">
        <f>AA40-Y40</f>
        <v>0</v>
      </c>
      <c r="AC40" s="5">
        <v>0</v>
      </c>
      <c r="AD40" s="93">
        <f>AC40-AA40</f>
        <v>0</v>
      </c>
      <c r="AE40" s="5">
        <v>0</v>
      </c>
      <c r="AF40" s="93">
        <f>AE40-AC40</f>
        <v>0</v>
      </c>
      <c r="AG40" s="5">
        <v>0</v>
      </c>
      <c r="AH40" s="93">
        <f>AG40-AE40</f>
        <v>0</v>
      </c>
      <c r="AI40" s="5">
        <v>0</v>
      </c>
      <c r="AJ40" s="93">
        <f>AI40-AG40</f>
        <v>0</v>
      </c>
      <c r="AK40" s="5">
        <v>0</v>
      </c>
      <c r="AL40" s="93">
        <f>AK40-AI40</f>
        <v>0</v>
      </c>
      <c r="AM40" s="5">
        <v>0</v>
      </c>
      <c r="AN40" s="93">
        <f>AM40-AK40</f>
        <v>0</v>
      </c>
      <c r="AO40" s="5">
        <v>0</v>
      </c>
      <c r="AP40" s="93">
        <f>AO40-AM40</f>
        <v>0</v>
      </c>
      <c r="AQ40" s="5">
        <v>0</v>
      </c>
      <c r="AR40" s="93">
        <f>AQ40-AO40</f>
        <v>0</v>
      </c>
      <c r="AS40" s="5">
        <v>0</v>
      </c>
      <c r="AT40" s="93">
        <f>AS40-AQ40</f>
        <v>0</v>
      </c>
      <c r="AU40" s="5">
        <v>0</v>
      </c>
      <c r="AV40" s="93">
        <f>AU40-AS40</f>
        <v>0</v>
      </c>
      <c r="AW40" s="5">
        <v>0</v>
      </c>
      <c r="AX40" s="93">
        <f>AW40-AU40</f>
        <v>0</v>
      </c>
      <c r="AY40" s="5">
        <v>0</v>
      </c>
      <c r="AZ40" s="93">
        <f>AY40-AW40</f>
        <v>0</v>
      </c>
      <c r="BA40" s="5">
        <v>0</v>
      </c>
      <c r="BB40" s="93">
        <f>BA40-AY40</f>
        <v>0</v>
      </c>
      <c r="BC40" s="5">
        <v>0</v>
      </c>
      <c r="BD40" s="107">
        <f>BC40-BA40</f>
        <v>0</v>
      </c>
      <c r="BE40" s="5">
        <v>0</v>
      </c>
      <c r="BF40" s="93">
        <f>BE40-BC40</f>
        <v>0</v>
      </c>
      <c r="BG40" s="5">
        <v>0</v>
      </c>
      <c r="BH40" s="93">
        <f>BG40-BE40</f>
        <v>0</v>
      </c>
      <c r="BI40" s="5">
        <v>0</v>
      </c>
      <c r="BJ40" s="93">
        <f>BI40-BG40</f>
        <v>0</v>
      </c>
      <c r="BK40" s="5"/>
      <c r="BL40" s="93"/>
    </row>
    <row r="41" spans="1:64" ht="18.75" x14ac:dyDescent="0.25">
      <c r="A41" s="86" t="s">
        <v>227</v>
      </c>
      <c r="B41" s="5"/>
      <c r="C41" s="5">
        <v>0</v>
      </c>
      <c r="D41" s="93"/>
      <c r="E41" s="5">
        <v>0</v>
      </c>
      <c r="F41" s="93"/>
      <c r="G41" s="5">
        <v>0</v>
      </c>
      <c r="H41" s="93"/>
      <c r="I41" s="5">
        <v>0</v>
      </c>
      <c r="J41" s="93"/>
      <c r="K41" s="5">
        <v>0</v>
      </c>
      <c r="L41" s="93"/>
      <c r="M41" s="5">
        <v>0</v>
      </c>
      <c r="N41" s="93"/>
      <c r="O41" s="5">
        <v>0</v>
      </c>
      <c r="P41" s="93"/>
      <c r="Q41" s="5">
        <v>0</v>
      </c>
      <c r="R41" s="93"/>
      <c r="S41" s="5">
        <v>0</v>
      </c>
      <c r="T41" s="93"/>
      <c r="U41" s="5">
        <v>0</v>
      </c>
      <c r="V41" s="93"/>
      <c r="W41" s="5">
        <v>0</v>
      </c>
      <c r="X41" s="93"/>
      <c r="Y41" s="5">
        <v>0</v>
      </c>
      <c r="Z41" s="93"/>
      <c r="AA41" s="5">
        <v>0</v>
      </c>
      <c r="AB41" s="93"/>
      <c r="AC41" s="5">
        <v>0</v>
      </c>
      <c r="AD41" s="93"/>
      <c r="AE41" s="5">
        <v>0</v>
      </c>
      <c r="AF41" s="93"/>
      <c r="AG41" s="5">
        <v>0</v>
      </c>
      <c r="AH41" s="93"/>
      <c r="AI41" s="5">
        <v>0</v>
      </c>
      <c r="AJ41" s="93"/>
      <c r="AK41" s="5">
        <v>0</v>
      </c>
      <c r="AL41" s="93"/>
      <c r="AM41" s="5">
        <v>0</v>
      </c>
      <c r="AN41" s="93"/>
      <c r="AO41" s="5"/>
      <c r="AP41" s="93"/>
      <c r="AQ41" s="5"/>
      <c r="AR41" s="93"/>
      <c r="AS41" s="5">
        <v>0</v>
      </c>
      <c r="AT41" s="93"/>
      <c r="AU41" s="5">
        <v>0</v>
      </c>
      <c r="AV41" s="93"/>
      <c r="AW41" s="5"/>
      <c r="AX41" s="93"/>
      <c r="AY41" s="5">
        <v>0</v>
      </c>
      <c r="AZ41" s="93"/>
      <c r="BA41" s="5">
        <v>0</v>
      </c>
      <c r="BB41" s="93"/>
      <c r="BC41" s="5">
        <v>0</v>
      </c>
      <c r="BD41" s="107"/>
      <c r="BE41" s="5">
        <v>0</v>
      </c>
      <c r="BF41" s="93"/>
      <c r="BG41" s="5">
        <v>0</v>
      </c>
      <c r="BH41" s="93"/>
      <c r="BI41" s="5">
        <v>0</v>
      </c>
      <c r="BJ41" s="93"/>
      <c r="BK41" s="5"/>
      <c r="BL41" s="93"/>
    </row>
    <row r="42" spans="1:64" x14ac:dyDescent="0.25">
      <c r="A42" s="5" t="s">
        <v>14</v>
      </c>
      <c r="B42" s="5">
        <v>15971.442999999999</v>
      </c>
      <c r="C42" s="5">
        <v>15993.066000000001</v>
      </c>
      <c r="D42" s="93">
        <f>(C42-B42)*1000</f>
        <v>21623.000000001412</v>
      </c>
      <c r="E42" s="5">
        <v>16028.459000000001</v>
      </c>
      <c r="F42" s="93">
        <f>(E42-C42)*1000</f>
        <v>35393.000000000029</v>
      </c>
      <c r="G42" s="5">
        <v>16076.41</v>
      </c>
      <c r="H42" s="93">
        <f>(G42-E42)*1000</f>
        <v>47950.999999999112</v>
      </c>
      <c r="I42" s="5">
        <v>16121.462</v>
      </c>
      <c r="J42" s="93">
        <f>(I42-G42)*1000</f>
        <v>45051.99999999968</v>
      </c>
      <c r="K42" s="5">
        <v>16168.406000000001</v>
      </c>
      <c r="L42" s="93">
        <f>(K42-I42)*1000</f>
        <v>46944.000000001324</v>
      </c>
      <c r="M42" s="5">
        <v>16219.407999999999</v>
      </c>
      <c r="N42" s="93">
        <f>(M42-K42)*1000</f>
        <v>51001.999999998588</v>
      </c>
      <c r="O42" s="5">
        <v>16262.898999999999</v>
      </c>
      <c r="P42" s="93">
        <f>(O42-M42)*1000</f>
        <v>43490.999999999985</v>
      </c>
      <c r="Q42" s="5">
        <v>16313.156999999999</v>
      </c>
      <c r="R42" s="93">
        <f>(Q42-O42)*1000</f>
        <v>50257.999999999811</v>
      </c>
      <c r="S42" s="5">
        <v>16362.017</v>
      </c>
      <c r="T42" s="93">
        <f>(S42-Q42)*1000</f>
        <v>48860.000000000582</v>
      </c>
      <c r="U42" s="5">
        <v>16409.075000000001</v>
      </c>
      <c r="V42" s="93">
        <f>(U42-S42)*1000</f>
        <v>47058.000000000902</v>
      </c>
      <c r="W42" s="5">
        <v>16460.09</v>
      </c>
      <c r="X42" s="93">
        <f>(W42-U42)*1000</f>
        <v>51014.999999999418</v>
      </c>
      <c r="Y42" s="5">
        <v>16502.649000000001</v>
      </c>
      <c r="Z42" s="93">
        <f>(Y42-W42)*1000</f>
        <v>42559.000000001106</v>
      </c>
      <c r="AA42" s="5">
        <v>16553.806</v>
      </c>
      <c r="AB42" s="93">
        <f>(AA42-Y42)*1000</f>
        <v>51156.999999999243</v>
      </c>
      <c r="AC42" s="5">
        <v>16598.77</v>
      </c>
      <c r="AD42" s="93">
        <f>(AC42-AA42)*1000</f>
        <v>44963.999999999942</v>
      </c>
      <c r="AE42" s="5">
        <v>16637.196</v>
      </c>
      <c r="AF42" s="93">
        <f>(AE42-AC42)*1000</f>
        <v>38425.999999999476</v>
      </c>
      <c r="AG42" s="5">
        <v>16688.771000000001</v>
      </c>
      <c r="AH42" s="93">
        <f>(AG42-AE42)*1000</f>
        <v>51575.000000000728</v>
      </c>
      <c r="AI42" s="5">
        <v>16737.896000000001</v>
      </c>
      <c r="AJ42" s="93">
        <f>(AI42-AG42)*1000</f>
        <v>49125</v>
      </c>
      <c r="AK42" s="5">
        <v>16788.225999999999</v>
      </c>
      <c r="AL42" s="93">
        <f>(AK42-AI42)*1000</f>
        <v>50329.999999998108</v>
      </c>
      <c r="AM42" s="5">
        <v>16839.196</v>
      </c>
      <c r="AN42" s="93">
        <f>(AM42-AK42)*1000</f>
        <v>50970.000000001164</v>
      </c>
      <c r="AO42" s="5">
        <v>16889.936000000002</v>
      </c>
      <c r="AP42" s="93">
        <f>(AO42-AM42)*1000</f>
        <v>50740.000000001601</v>
      </c>
      <c r="AQ42" s="5">
        <v>16939.544000000002</v>
      </c>
      <c r="AR42" s="93">
        <f>(AQ42-AO42)*1000</f>
        <v>49608.000000000175</v>
      </c>
      <c r="AS42" s="5">
        <v>16991.330000000002</v>
      </c>
      <c r="AT42" s="93">
        <f>(AS42-AQ42)*1000</f>
        <v>51786.000000000058</v>
      </c>
      <c r="AU42" s="5">
        <v>17041.392</v>
      </c>
      <c r="AV42" s="93">
        <f>(AU42-AS42)*1000-750</f>
        <v>49311.999999998079</v>
      </c>
      <c r="AW42" s="5">
        <v>17092.849999999999</v>
      </c>
      <c r="AX42" s="93">
        <f>(AW42-AU42)*1000</f>
        <v>51457.999999998719</v>
      </c>
      <c r="AY42" s="5">
        <v>17143.538</v>
      </c>
      <c r="AZ42" s="93">
        <f>(AY42-AW42)*1000</f>
        <v>50688.000000001921</v>
      </c>
      <c r="BA42" s="5">
        <v>17193.081999999999</v>
      </c>
      <c r="BB42" s="93">
        <f>(BA42-AY42)*1000</f>
        <v>49543.99999999805</v>
      </c>
      <c r="BC42" s="5">
        <v>17233.968000000001</v>
      </c>
      <c r="BD42" s="107">
        <f>(BC42-BA42)*1000</f>
        <v>40886.000000002241</v>
      </c>
      <c r="BE42" s="5">
        <v>17273.085999999999</v>
      </c>
      <c r="BF42" s="93">
        <f>(BE42-BC42)*1000</f>
        <v>39117.999999998574</v>
      </c>
      <c r="BG42" s="5">
        <v>17316.82</v>
      </c>
      <c r="BH42" s="93">
        <f>(BG42-BE42)*1000</f>
        <v>43734.000000000378</v>
      </c>
      <c r="BI42" s="5">
        <v>17361.169999999998</v>
      </c>
      <c r="BJ42" s="93">
        <f>(BI42-BG42)*1000</f>
        <v>44349.999999998545</v>
      </c>
      <c r="BK42" s="5"/>
      <c r="BL42" s="93"/>
    </row>
    <row r="43" spans="1:64" x14ac:dyDescent="0.25">
      <c r="A43" s="5" t="s">
        <v>275</v>
      </c>
      <c r="B43" s="5">
        <v>606.28899999999999</v>
      </c>
      <c r="C43" s="5">
        <v>610.18535999999995</v>
      </c>
      <c r="D43" s="93">
        <f>(C43-B43)*1000</f>
        <v>3896.3599999999587</v>
      </c>
      <c r="E43" s="5">
        <v>615.23379999999997</v>
      </c>
      <c r="F43" s="93">
        <f>(E43-C43)*1000</f>
        <v>5048.4400000000278</v>
      </c>
      <c r="G43" s="5">
        <v>621.11667999999997</v>
      </c>
      <c r="H43" s="93">
        <f>(G43-E43)*1000</f>
        <v>5882.88</v>
      </c>
      <c r="I43" s="5">
        <v>626.70755999999994</v>
      </c>
      <c r="J43" s="93">
        <f>(I43-G43)*1000</f>
        <v>5590.8799999999701</v>
      </c>
      <c r="K43" s="5">
        <v>632.85688000000005</v>
      </c>
      <c r="L43" s="93">
        <f>(K43-I43)*1000</f>
        <v>6149.3200000001025</v>
      </c>
      <c r="M43" s="5">
        <v>639.40635999999995</v>
      </c>
      <c r="N43" s="93">
        <f>(M43-K43)*1000</f>
        <v>6549.4799999999032</v>
      </c>
      <c r="O43" s="5">
        <v>645.20244000000002</v>
      </c>
      <c r="P43" s="93">
        <f>(O43-M43)*1000</f>
        <v>5796.0800000000745</v>
      </c>
      <c r="Q43" s="5">
        <v>651.74552000000006</v>
      </c>
      <c r="R43" s="93">
        <f>(Q43-O43)*1000</f>
        <v>6543.0800000000318</v>
      </c>
      <c r="S43" s="5">
        <v>658.07219999999995</v>
      </c>
      <c r="T43" s="93">
        <f>(S43-Q43)*1000</f>
        <v>6326.6799999998966</v>
      </c>
      <c r="U43" s="5">
        <v>664.37788</v>
      </c>
      <c r="V43" s="93">
        <f>(U43-S43)*1000</f>
        <v>6305.6800000000521</v>
      </c>
      <c r="W43" s="5">
        <v>671.05007999999998</v>
      </c>
      <c r="X43" s="93">
        <f>(W43-U43)*1000</f>
        <v>6672.1999999999753</v>
      </c>
      <c r="Y43" s="5">
        <v>676.51512000000002</v>
      </c>
      <c r="Z43" s="93">
        <f>(Y43-W43)*1000</f>
        <v>5465.0400000000445</v>
      </c>
      <c r="AA43" s="5">
        <v>683.21519999999998</v>
      </c>
      <c r="AB43" s="93">
        <f>(AA43-Y43)*1000</f>
        <v>6700.0799999999572</v>
      </c>
      <c r="AC43" s="5">
        <v>689.67424000000005</v>
      </c>
      <c r="AD43" s="93">
        <f>(AC43-AA43)*1000</f>
        <v>6459.0400000000727</v>
      </c>
      <c r="AE43" s="5">
        <v>695.01080000000002</v>
      </c>
      <c r="AF43" s="93">
        <f>(AE43-AC43)*1000</f>
        <v>5336.5599999999631</v>
      </c>
      <c r="AG43" s="5">
        <v>701.85230999999999</v>
      </c>
      <c r="AH43" s="93">
        <f>(AG43-AE43)*1000</f>
        <v>6841.5099999999711</v>
      </c>
      <c r="AI43" s="5">
        <v>708.57352000000003</v>
      </c>
      <c r="AJ43" s="93">
        <f>(AI43-AG43)*1000</f>
        <v>6721.2100000000419</v>
      </c>
      <c r="AK43" s="5">
        <v>715.62591999999995</v>
      </c>
      <c r="AL43" s="93">
        <f>(AK43-AI43)*1000</f>
        <v>7052.3999999999205</v>
      </c>
      <c r="AM43" s="5">
        <v>722.75919999999996</v>
      </c>
      <c r="AN43" s="93">
        <f>(AM43-AK43)*1000</f>
        <v>7133.2800000000134</v>
      </c>
      <c r="AO43" s="5">
        <v>729.90671999999995</v>
      </c>
      <c r="AP43" s="93">
        <f>(AO43-AM43)*1000</f>
        <v>7147.5199999999859</v>
      </c>
      <c r="AQ43" s="5">
        <v>736.91495999999995</v>
      </c>
      <c r="AR43" s="93">
        <f>(AQ43-AO43)*1000</f>
        <v>7008.2400000000007</v>
      </c>
      <c r="AS43" s="5">
        <v>744.29984000000002</v>
      </c>
      <c r="AT43" s="93">
        <f>(AS43-AQ43)*1000</f>
        <v>7384.8800000000665</v>
      </c>
      <c r="AU43" s="5">
        <v>751.38040000000001</v>
      </c>
      <c r="AV43" s="93">
        <f>(AU43-AS43)*1000</f>
        <v>7080.5599999999913</v>
      </c>
      <c r="AW43" s="5">
        <v>758.59415000000001</v>
      </c>
      <c r="AX43" s="93">
        <f>(AW43-AU43)*1000</f>
        <v>7213.7500000000045</v>
      </c>
      <c r="AY43" s="5">
        <v>765.79615999999999</v>
      </c>
      <c r="AZ43" s="93">
        <f>(AY43-AW43)*1000</f>
        <v>7202.0099999999729</v>
      </c>
      <c r="BA43" s="5">
        <v>772.53063999999995</v>
      </c>
      <c r="BB43" s="93">
        <f>(BA43-AY43)*1000</f>
        <v>6734.4799999999623</v>
      </c>
      <c r="BC43" s="5">
        <v>777.78527999999994</v>
      </c>
      <c r="BD43" s="107">
        <f>(BC43-BA43)*1000</f>
        <v>5254.6399999999949</v>
      </c>
      <c r="BE43" s="5">
        <v>783.08112000000006</v>
      </c>
      <c r="BF43" s="93">
        <f>(BE43-BC43)*1000</f>
        <v>5295.840000000112</v>
      </c>
      <c r="BG43" s="5">
        <v>788.85663999999997</v>
      </c>
      <c r="BH43" s="93">
        <f>(BG43-BE43)*1000</f>
        <v>5775.5199999999149</v>
      </c>
      <c r="BI43" s="5">
        <v>794.80295999999998</v>
      </c>
      <c r="BJ43" s="93">
        <f>(BI43-BG43)*1000</f>
        <v>5946.3200000000143</v>
      </c>
      <c r="BK43" s="5"/>
      <c r="BL43" s="93"/>
    </row>
    <row r="44" spans="1:64" x14ac:dyDescent="0.25">
      <c r="A44" s="9" t="s">
        <v>45</v>
      </c>
      <c r="B44" s="5">
        <v>19678610.559999999</v>
      </c>
      <c r="C44" s="5">
        <v>19682209.800000001</v>
      </c>
      <c r="D44" s="5">
        <f t="shared" ref="D44:D51" si="2">C44-B44</f>
        <v>3599.2400000020862</v>
      </c>
      <c r="E44" s="5">
        <v>19686152.899999999</v>
      </c>
      <c r="F44" s="5">
        <f t="shared" ref="F44:H51" si="3">E44-C44</f>
        <v>3943.0999999977648</v>
      </c>
      <c r="G44" s="5">
        <v>19690362.34</v>
      </c>
      <c r="H44" s="5">
        <f t="shared" ref="H44:AH51" si="4">G44-E44</f>
        <v>4209.4400000013411</v>
      </c>
      <c r="I44" s="5">
        <v>19694608.25</v>
      </c>
      <c r="J44" s="5">
        <f t="shared" si="4"/>
        <v>4245.910000000149</v>
      </c>
      <c r="K44" s="5">
        <v>19698973.579999998</v>
      </c>
      <c r="L44" s="5">
        <f t="shared" si="4"/>
        <v>4365.3299999982119</v>
      </c>
      <c r="M44" s="5">
        <v>19703420.629999999</v>
      </c>
      <c r="N44" s="5">
        <f t="shared" si="4"/>
        <v>4447.0500000007451</v>
      </c>
      <c r="O44" s="5">
        <v>19707683.100000001</v>
      </c>
      <c r="P44" s="5">
        <f t="shared" si="4"/>
        <v>4262.4700000025332</v>
      </c>
      <c r="Q44" s="5">
        <v>19712277.510000002</v>
      </c>
      <c r="R44" s="5">
        <f t="shared" ref="R44:R51" si="5">Q44-O44</f>
        <v>4594.410000000149</v>
      </c>
      <c r="S44" s="5">
        <v>19716557.989999998</v>
      </c>
      <c r="T44" s="5">
        <f t="shared" si="4"/>
        <v>4280.4799999967217</v>
      </c>
      <c r="U44" s="5">
        <v>19720925.300000001</v>
      </c>
      <c r="V44" s="5">
        <f t="shared" si="4"/>
        <v>4367.3100000023842</v>
      </c>
      <c r="W44" s="5">
        <v>19725508.18</v>
      </c>
      <c r="X44" s="5">
        <f t="shared" si="4"/>
        <v>4582.8799999989569</v>
      </c>
      <c r="Y44" s="5">
        <v>19729549.129999999</v>
      </c>
      <c r="Z44" s="5">
        <f t="shared" si="4"/>
        <v>4040.9499999992549</v>
      </c>
      <c r="AA44" s="5">
        <v>19733860.280000001</v>
      </c>
      <c r="AB44" s="5">
        <f t="shared" si="4"/>
        <v>4311.1500000022352</v>
      </c>
      <c r="AC44" s="5">
        <v>19737595.57</v>
      </c>
      <c r="AD44" s="5">
        <f t="shared" si="4"/>
        <v>3735.2899999991059</v>
      </c>
      <c r="AE44" s="5">
        <v>19740840.859999999</v>
      </c>
      <c r="AF44" s="5">
        <f t="shared" si="4"/>
        <v>3245.2899999991059</v>
      </c>
      <c r="AG44" s="5">
        <v>19744992.600000001</v>
      </c>
      <c r="AH44" s="5">
        <f t="shared" si="4"/>
        <v>4151.7400000020862</v>
      </c>
      <c r="AI44" s="5">
        <v>19749015.760000002</v>
      </c>
      <c r="AJ44" s="5">
        <f t="shared" ref="AJ44:AL51" si="6">AI44-AG44</f>
        <v>4023.160000000149</v>
      </c>
      <c r="AK44" s="5">
        <v>19753238.690000001</v>
      </c>
      <c r="AL44" s="5">
        <f t="shared" ref="AL44:AL51" si="7">AK44-AI44</f>
        <v>4222.929999999702</v>
      </c>
      <c r="AM44" s="5">
        <v>19757591.710000001</v>
      </c>
      <c r="AN44" s="107">
        <f t="shared" ref="AN44:AN51" si="8">AM44-AK44</f>
        <v>4353.019999999553</v>
      </c>
      <c r="AO44" s="5">
        <v>19762152.75</v>
      </c>
      <c r="AP44" s="107">
        <f t="shared" ref="AP44:AR51" si="9">AO44-AM44</f>
        <v>4561.0399999991059</v>
      </c>
      <c r="AQ44" s="5">
        <v>19766607.52</v>
      </c>
      <c r="AR44" s="107">
        <f t="shared" si="9"/>
        <v>4454.769999999553</v>
      </c>
      <c r="AS44" s="5">
        <v>19771330.800000001</v>
      </c>
      <c r="AT44" s="107">
        <f t="shared" ref="AT44:AV51" si="10">AS44-AQ44</f>
        <v>4723.2800000011921</v>
      </c>
      <c r="AU44" s="5">
        <v>19775713.84</v>
      </c>
      <c r="AV44" s="107">
        <f t="shared" ref="AV44:BJ51" si="11">AU44-AS44</f>
        <v>4383.0399999991059</v>
      </c>
      <c r="AW44" s="5">
        <v>19780194.949999999</v>
      </c>
      <c r="AX44" s="107">
        <f t="shared" ref="AX44" si="12">AW44-AU44</f>
        <v>4481.109999999404</v>
      </c>
      <c r="AY44" s="5">
        <v>19784751.789999999</v>
      </c>
      <c r="AZ44" s="107">
        <f t="shared" ref="AZ44" si="13">AY44-AW44</f>
        <v>4556.839999999851</v>
      </c>
      <c r="BA44" s="5">
        <v>19789218.010000002</v>
      </c>
      <c r="BB44" s="107">
        <f t="shared" si="11"/>
        <v>4466.2200000025332</v>
      </c>
      <c r="BC44" s="5">
        <v>19793378.609999999</v>
      </c>
      <c r="BD44" s="107">
        <f t="shared" si="11"/>
        <v>4160.5999999977648</v>
      </c>
      <c r="BE44" s="5">
        <v>19797126.640000001</v>
      </c>
      <c r="BF44" s="107">
        <f t="shared" si="11"/>
        <v>3748.0300000011921</v>
      </c>
      <c r="BG44" s="5">
        <v>19800938</v>
      </c>
      <c r="BH44" s="107">
        <f t="shared" si="11"/>
        <v>3811.359999999404</v>
      </c>
      <c r="BI44" s="5">
        <v>19804400.629999999</v>
      </c>
      <c r="BJ44" s="107">
        <f t="shared" si="11"/>
        <v>3462.6299999989569</v>
      </c>
      <c r="BK44" s="5"/>
      <c r="BL44" s="107"/>
    </row>
    <row r="45" spans="1:64" x14ac:dyDescent="0.25">
      <c r="A45" s="5" t="s">
        <v>127</v>
      </c>
      <c r="B45" s="5">
        <v>1705895.1</v>
      </c>
      <c r="C45" s="5">
        <v>1706069.41</v>
      </c>
      <c r="D45" s="93">
        <f t="shared" si="2"/>
        <v>174.30999999982305</v>
      </c>
      <c r="E45" s="5">
        <v>1706404.08</v>
      </c>
      <c r="F45" s="93">
        <f t="shared" si="3"/>
        <v>334.67000000015832</v>
      </c>
      <c r="G45" s="5">
        <v>1706846.11</v>
      </c>
      <c r="H45" s="93">
        <f t="shared" si="4"/>
        <v>442.03000000002794</v>
      </c>
      <c r="I45" s="5">
        <v>1707285.68</v>
      </c>
      <c r="J45" s="93">
        <f t="shared" si="4"/>
        <v>439.56999999983236</v>
      </c>
      <c r="K45" s="5">
        <v>1707851.26</v>
      </c>
      <c r="L45" s="93">
        <f t="shared" si="4"/>
        <v>565.58000000007451</v>
      </c>
      <c r="M45" s="5">
        <v>1708417.4</v>
      </c>
      <c r="N45" s="93">
        <f t="shared" si="4"/>
        <v>566.13999999989755</v>
      </c>
      <c r="O45" s="5">
        <v>1708856.26</v>
      </c>
      <c r="P45" s="93">
        <f t="shared" si="4"/>
        <v>438.86000000010245</v>
      </c>
      <c r="Q45" s="5">
        <v>1709438.86</v>
      </c>
      <c r="R45" s="93">
        <f t="shared" si="5"/>
        <v>582.60000000009313</v>
      </c>
      <c r="S45" s="5">
        <v>1710056.56</v>
      </c>
      <c r="T45" s="93">
        <f t="shared" si="4"/>
        <v>617.69999999995343</v>
      </c>
      <c r="U45" s="5">
        <v>1710675.95</v>
      </c>
      <c r="V45" s="93">
        <f t="shared" si="4"/>
        <v>619.38999999989755</v>
      </c>
      <c r="W45" s="5">
        <v>1711382</v>
      </c>
      <c r="X45" s="93">
        <f t="shared" si="4"/>
        <v>706.05000000004657</v>
      </c>
      <c r="Y45" s="5">
        <v>1711912.99</v>
      </c>
      <c r="Z45" s="93">
        <f t="shared" si="4"/>
        <v>530.98999999999069</v>
      </c>
      <c r="AA45" s="5">
        <v>1712534.84</v>
      </c>
      <c r="AB45" s="93">
        <f t="shared" si="4"/>
        <v>621.85000000009313</v>
      </c>
      <c r="AC45" s="5">
        <v>1713009.82</v>
      </c>
      <c r="AD45" s="93">
        <f t="shared" si="4"/>
        <v>474.97999999998137</v>
      </c>
      <c r="AE45" s="5">
        <v>1713431.78</v>
      </c>
      <c r="AF45" s="93">
        <f t="shared" si="4"/>
        <v>421.95999999996275</v>
      </c>
      <c r="AG45" s="5">
        <v>1714001.29</v>
      </c>
      <c r="AH45" s="93">
        <f t="shared" si="4"/>
        <v>569.51000000000931</v>
      </c>
      <c r="AI45" s="5">
        <v>1714587.45</v>
      </c>
      <c r="AJ45" s="93">
        <f t="shared" si="6"/>
        <v>586.15999999991618</v>
      </c>
      <c r="AK45" s="5">
        <v>1715182.93</v>
      </c>
      <c r="AL45" s="93">
        <f t="shared" si="7"/>
        <v>595.47999999998137</v>
      </c>
      <c r="AM45" s="5">
        <v>1715784.48</v>
      </c>
      <c r="AN45" s="93">
        <f t="shared" si="8"/>
        <v>601.55000000004657</v>
      </c>
      <c r="AO45" s="5">
        <v>1716360.1</v>
      </c>
      <c r="AP45" s="93">
        <f t="shared" si="9"/>
        <v>575.62000000011176</v>
      </c>
      <c r="AQ45" s="5">
        <v>1716842.3</v>
      </c>
      <c r="AR45" s="93">
        <f t="shared" ref="AR45:AR51" si="14">AQ45-AO45</f>
        <v>482.19999999995343</v>
      </c>
      <c r="AS45" s="5">
        <v>1717407.38</v>
      </c>
      <c r="AT45" s="93">
        <f t="shared" si="10"/>
        <v>565.07999999984168</v>
      </c>
      <c r="AU45" s="5">
        <v>1717853.89</v>
      </c>
      <c r="AV45" s="93">
        <f t="shared" si="11"/>
        <v>446.51000000000931</v>
      </c>
      <c r="AW45" s="5">
        <v>1718310.73</v>
      </c>
      <c r="AX45" s="93">
        <f t="shared" ref="AX45:AX51" si="15">AW45-AU45</f>
        <v>456.84000000008382</v>
      </c>
      <c r="AY45" s="5">
        <v>1718825.45</v>
      </c>
      <c r="AZ45" s="93">
        <f t="shared" ref="AZ45:BB51" si="16">AY45-AW45</f>
        <v>514.71999999997206</v>
      </c>
      <c r="BA45" s="5">
        <v>1719327.56</v>
      </c>
      <c r="BB45" s="93">
        <f t="shared" si="16"/>
        <v>502.11000000010245</v>
      </c>
      <c r="BC45" s="5">
        <v>1719870.69</v>
      </c>
      <c r="BD45" s="107">
        <f t="shared" ref="BB45:BJ51" si="17">BC45-BA45</f>
        <v>543.12999999988824</v>
      </c>
      <c r="BE45" s="5">
        <v>1720343.66</v>
      </c>
      <c r="BF45" s="93">
        <f t="shared" si="17"/>
        <v>472.96999999997206</v>
      </c>
      <c r="BG45" s="5">
        <v>1720848.37</v>
      </c>
      <c r="BH45" s="93">
        <f t="shared" si="17"/>
        <v>504.71000000019558</v>
      </c>
      <c r="BI45" s="5">
        <v>1721280.37</v>
      </c>
      <c r="BJ45" s="93">
        <f t="shared" si="17"/>
        <v>432</v>
      </c>
      <c r="BK45" s="5"/>
      <c r="BL45" s="93"/>
    </row>
    <row r="46" spans="1:64" x14ac:dyDescent="0.25">
      <c r="A46" s="5" t="s">
        <v>125</v>
      </c>
      <c r="B46" s="5">
        <v>369186</v>
      </c>
      <c r="C46" s="5">
        <v>369186</v>
      </c>
      <c r="D46" s="93">
        <f t="shared" si="2"/>
        <v>0</v>
      </c>
      <c r="E46" s="5">
        <v>369186</v>
      </c>
      <c r="F46" s="93">
        <f t="shared" si="3"/>
        <v>0</v>
      </c>
      <c r="G46" s="5">
        <v>369186</v>
      </c>
      <c r="H46" s="93">
        <f t="shared" si="4"/>
        <v>0</v>
      </c>
      <c r="I46" s="5">
        <v>369186</v>
      </c>
      <c r="J46" s="93">
        <f t="shared" si="4"/>
        <v>0</v>
      </c>
      <c r="K46" s="5">
        <v>369186</v>
      </c>
      <c r="L46" s="93">
        <f t="shared" si="4"/>
        <v>0</v>
      </c>
      <c r="M46" s="5">
        <v>369186</v>
      </c>
      <c r="N46" s="93">
        <f t="shared" si="4"/>
        <v>0</v>
      </c>
      <c r="O46" s="5">
        <v>369186</v>
      </c>
      <c r="P46" s="93">
        <f t="shared" si="4"/>
        <v>0</v>
      </c>
      <c r="Q46" s="5">
        <v>369186</v>
      </c>
      <c r="R46" s="93">
        <f t="shared" si="5"/>
        <v>0</v>
      </c>
      <c r="S46" s="5">
        <v>369186</v>
      </c>
      <c r="T46" s="93">
        <f t="shared" si="4"/>
        <v>0</v>
      </c>
      <c r="U46" s="5">
        <v>369186</v>
      </c>
      <c r="V46" s="93">
        <f t="shared" si="4"/>
        <v>0</v>
      </c>
      <c r="W46" s="5">
        <v>369186</v>
      </c>
      <c r="X46" s="93">
        <f t="shared" si="4"/>
        <v>0</v>
      </c>
      <c r="Y46" s="5">
        <v>369186</v>
      </c>
      <c r="Z46" s="93">
        <f t="shared" si="4"/>
        <v>0</v>
      </c>
      <c r="AA46" s="5">
        <v>369186</v>
      </c>
      <c r="AB46" s="93">
        <f t="shared" si="4"/>
        <v>0</v>
      </c>
      <c r="AC46" s="5">
        <v>369186</v>
      </c>
      <c r="AD46" s="93">
        <f t="shared" si="4"/>
        <v>0</v>
      </c>
      <c r="AE46" s="5">
        <v>369186</v>
      </c>
      <c r="AF46" s="93">
        <f t="shared" si="4"/>
        <v>0</v>
      </c>
      <c r="AG46" s="5">
        <v>369186</v>
      </c>
      <c r="AH46" s="93">
        <f t="shared" si="4"/>
        <v>0</v>
      </c>
      <c r="AI46" s="5">
        <v>369186</v>
      </c>
      <c r="AJ46" s="93">
        <f t="shared" si="6"/>
        <v>0</v>
      </c>
      <c r="AK46" s="5">
        <v>369633</v>
      </c>
      <c r="AL46" s="93">
        <f t="shared" si="7"/>
        <v>447</v>
      </c>
      <c r="AM46" s="5">
        <v>370263</v>
      </c>
      <c r="AN46" s="93">
        <f t="shared" si="8"/>
        <v>630</v>
      </c>
      <c r="AO46" s="5">
        <v>370891</v>
      </c>
      <c r="AP46" s="93">
        <f t="shared" si="9"/>
        <v>628</v>
      </c>
      <c r="AQ46" s="5">
        <v>371716</v>
      </c>
      <c r="AR46" s="93">
        <f t="shared" si="9"/>
        <v>825</v>
      </c>
      <c r="AS46" s="5">
        <v>372202</v>
      </c>
      <c r="AT46" s="93">
        <f t="shared" si="10"/>
        <v>486</v>
      </c>
      <c r="AU46" s="5">
        <v>372795</v>
      </c>
      <c r="AV46" s="93">
        <f t="shared" si="10"/>
        <v>593</v>
      </c>
      <c r="AW46" s="5">
        <v>373422</v>
      </c>
      <c r="AX46" s="93">
        <f t="shared" si="11"/>
        <v>627</v>
      </c>
      <c r="AY46" s="5">
        <v>374039</v>
      </c>
      <c r="AZ46" s="93">
        <f t="shared" si="16"/>
        <v>617</v>
      </c>
      <c r="BA46" s="5">
        <v>374652</v>
      </c>
      <c r="BB46" s="93">
        <f t="shared" si="17"/>
        <v>613</v>
      </c>
      <c r="BC46" s="5">
        <v>375276</v>
      </c>
      <c r="BD46" s="107">
        <f t="shared" si="17"/>
        <v>624</v>
      </c>
      <c r="BE46" s="5">
        <v>375924</v>
      </c>
      <c r="BF46" s="93">
        <f t="shared" si="17"/>
        <v>648</v>
      </c>
      <c r="BG46" s="5">
        <v>376516</v>
      </c>
      <c r="BH46" s="93">
        <f t="shared" si="17"/>
        <v>592</v>
      </c>
      <c r="BI46" s="5">
        <v>377102</v>
      </c>
      <c r="BJ46" s="93">
        <f t="shared" si="17"/>
        <v>586</v>
      </c>
      <c r="BK46" s="5"/>
      <c r="BL46" s="93"/>
    </row>
    <row r="47" spans="1:64" x14ac:dyDescent="0.25">
      <c r="A47" s="5" t="s">
        <v>281</v>
      </c>
      <c r="B47" s="5">
        <v>5169269.74</v>
      </c>
      <c r="C47" s="5">
        <v>5169357.72</v>
      </c>
      <c r="D47" s="93">
        <f t="shared" si="2"/>
        <v>87.979999999515712</v>
      </c>
      <c r="E47" s="5">
        <v>5169449.76</v>
      </c>
      <c r="F47" s="93">
        <f t="shared" si="3"/>
        <v>92.040000000037253</v>
      </c>
      <c r="G47" s="5">
        <v>5169551.3899999997</v>
      </c>
      <c r="H47" s="93">
        <f t="shared" si="4"/>
        <v>101.62999999988824</v>
      </c>
      <c r="I47" s="5">
        <v>5169637.4800000004</v>
      </c>
      <c r="J47" s="93">
        <f t="shared" si="4"/>
        <v>86.090000000782311</v>
      </c>
      <c r="K47" s="5">
        <v>5169720.3099999996</v>
      </c>
      <c r="L47" s="93">
        <f t="shared" si="4"/>
        <v>82.829999999143183</v>
      </c>
      <c r="M47" s="5">
        <v>5169802.45</v>
      </c>
      <c r="N47" s="93">
        <f t="shared" si="4"/>
        <v>82.140000000596046</v>
      </c>
      <c r="O47" s="5">
        <v>5169874.2300000004</v>
      </c>
      <c r="P47" s="93">
        <f t="shared" si="4"/>
        <v>71.78000000026077</v>
      </c>
      <c r="Q47" s="5">
        <v>5169952.83</v>
      </c>
      <c r="R47" s="93">
        <f t="shared" si="5"/>
        <v>78.599999999627471</v>
      </c>
      <c r="S47" s="5">
        <v>5170006.8600000003</v>
      </c>
      <c r="T47" s="93">
        <f t="shared" si="4"/>
        <v>54.03000000026077</v>
      </c>
      <c r="U47" s="5">
        <v>5170075.9400000004</v>
      </c>
      <c r="V47" s="93">
        <f t="shared" si="4"/>
        <v>69.080000000074506</v>
      </c>
      <c r="W47" s="5">
        <v>5170148.41</v>
      </c>
      <c r="X47" s="93">
        <f t="shared" si="4"/>
        <v>72.46999999973923</v>
      </c>
      <c r="Y47" s="5">
        <v>5170206.71</v>
      </c>
      <c r="Z47" s="93">
        <f t="shared" si="4"/>
        <v>58.299999999813735</v>
      </c>
      <c r="AA47" s="5">
        <v>5170277.4800000004</v>
      </c>
      <c r="AB47" s="93">
        <f t="shared" si="4"/>
        <v>70.770000000484288</v>
      </c>
      <c r="AC47" s="5">
        <v>5170339.8600000003</v>
      </c>
      <c r="AD47" s="93">
        <f t="shared" si="4"/>
        <v>62.379999999888241</v>
      </c>
      <c r="AE47" s="5">
        <v>5170399.67</v>
      </c>
      <c r="AF47" s="93">
        <f t="shared" si="4"/>
        <v>59.809999999590218</v>
      </c>
      <c r="AG47" s="5">
        <v>5170468.09</v>
      </c>
      <c r="AH47" s="93">
        <f t="shared" si="4"/>
        <v>68.419999999925494</v>
      </c>
      <c r="AI47" s="5">
        <v>5170468.09</v>
      </c>
      <c r="AJ47" s="93">
        <f t="shared" si="6"/>
        <v>0</v>
      </c>
      <c r="AK47" s="5">
        <v>5170601.99</v>
      </c>
      <c r="AL47" s="93">
        <f t="shared" si="7"/>
        <v>133.90000000037253</v>
      </c>
      <c r="AM47" s="5">
        <v>5170670.3499999996</v>
      </c>
      <c r="AN47" s="93">
        <f t="shared" si="8"/>
        <v>68.359999999403954</v>
      </c>
      <c r="AO47" s="5">
        <v>5170738.91</v>
      </c>
      <c r="AP47" s="93">
        <f t="shared" si="9"/>
        <v>68.560000000521541</v>
      </c>
      <c r="AQ47" s="5">
        <v>5170802.37</v>
      </c>
      <c r="AR47" s="93">
        <f t="shared" si="14"/>
        <v>63.459999999962747</v>
      </c>
      <c r="AS47" s="5">
        <v>5170881.1500000004</v>
      </c>
      <c r="AT47" s="93">
        <f t="shared" si="10"/>
        <v>78.78000000026077</v>
      </c>
      <c r="AU47" s="5">
        <v>5170948.74</v>
      </c>
      <c r="AV47" s="93">
        <f t="shared" si="11"/>
        <v>67.589999999850988</v>
      </c>
      <c r="AW47" s="5">
        <v>5171017.3899999997</v>
      </c>
      <c r="AX47" s="93">
        <f t="shared" si="15"/>
        <v>68.649999999441206</v>
      </c>
      <c r="AY47" s="5">
        <v>5171085.58</v>
      </c>
      <c r="AZ47" s="93">
        <f t="shared" si="16"/>
        <v>68.190000000409782</v>
      </c>
      <c r="BA47" s="5">
        <v>5171150.51</v>
      </c>
      <c r="BB47" s="93">
        <f t="shared" si="17"/>
        <v>64.929999999701977</v>
      </c>
      <c r="BC47" s="5">
        <v>5171218.3600000003</v>
      </c>
      <c r="BD47" s="107">
        <f t="shared" si="17"/>
        <v>67.850000000558794</v>
      </c>
      <c r="BE47" s="5">
        <v>5171285.68</v>
      </c>
      <c r="BF47" s="93">
        <f t="shared" si="17"/>
        <v>67.319999999366701</v>
      </c>
      <c r="BG47" s="5">
        <v>5171349.45</v>
      </c>
      <c r="BH47" s="93">
        <f t="shared" si="17"/>
        <v>63.770000000484288</v>
      </c>
      <c r="BI47" s="5">
        <v>5171417.38</v>
      </c>
      <c r="BJ47" s="93">
        <f t="shared" si="17"/>
        <v>67.929999999701977</v>
      </c>
      <c r="BK47" s="5"/>
      <c r="BL47" s="93"/>
    </row>
    <row r="48" spans="1:64" x14ac:dyDescent="0.25">
      <c r="A48" s="5" t="s">
        <v>282</v>
      </c>
      <c r="B48" s="5">
        <v>2521027.0699999998</v>
      </c>
      <c r="C48" s="5">
        <v>2523419.96</v>
      </c>
      <c r="D48" s="93">
        <f t="shared" si="2"/>
        <v>2392.8900000001304</v>
      </c>
      <c r="E48" s="5">
        <v>2525679.91</v>
      </c>
      <c r="F48" s="93">
        <v>2614.14</v>
      </c>
      <c r="G48" s="5">
        <v>2528140.44</v>
      </c>
      <c r="H48" s="93">
        <f t="shared" si="4"/>
        <v>2460.5299999997951</v>
      </c>
      <c r="I48" s="5">
        <v>2530650.5299999998</v>
      </c>
      <c r="J48" s="93">
        <f t="shared" si="4"/>
        <v>2510.089999999851</v>
      </c>
      <c r="K48" s="5">
        <v>2533166.19</v>
      </c>
      <c r="L48" s="93">
        <f t="shared" si="4"/>
        <v>2515.660000000149</v>
      </c>
      <c r="M48" s="5">
        <v>2535737.87</v>
      </c>
      <c r="N48" s="93">
        <f t="shared" si="4"/>
        <v>2571.6800000001676</v>
      </c>
      <c r="O48" s="5">
        <v>2538254.4900000002</v>
      </c>
      <c r="P48" s="93">
        <f t="shared" si="4"/>
        <v>2516.6200000001118</v>
      </c>
      <c r="Q48" s="5">
        <v>2540895.0499999998</v>
      </c>
      <c r="R48" s="93">
        <f t="shared" si="5"/>
        <v>2640.5599999995902</v>
      </c>
      <c r="S48" s="5">
        <v>2543377.31</v>
      </c>
      <c r="T48" s="93">
        <f t="shared" si="4"/>
        <v>2482.2600000002421</v>
      </c>
      <c r="U48" s="5">
        <v>2545754.0699999998</v>
      </c>
      <c r="V48" s="93">
        <f t="shared" si="4"/>
        <v>2376.7599999997765</v>
      </c>
      <c r="W48" s="5">
        <v>2548163.29</v>
      </c>
      <c r="X48" s="93">
        <f t="shared" si="4"/>
        <v>2409.2200000002049</v>
      </c>
      <c r="Y48" s="5">
        <v>2550635.13</v>
      </c>
      <c r="Z48" s="93">
        <f t="shared" si="4"/>
        <v>2471.839999999851</v>
      </c>
      <c r="AA48" s="5">
        <v>2553080.1</v>
      </c>
      <c r="AB48" s="93">
        <f t="shared" si="4"/>
        <v>2444.9700000002049</v>
      </c>
      <c r="AC48" s="5">
        <v>2554831.08</v>
      </c>
      <c r="AD48" s="93">
        <f t="shared" si="4"/>
        <v>1750.9799999999814</v>
      </c>
      <c r="AE48" s="5">
        <v>2556426.08</v>
      </c>
      <c r="AF48" s="93">
        <f t="shared" si="4"/>
        <v>1595</v>
      </c>
      <c r="AG48" s="5">
        <v>2558131.17</v>
      </c>
      <c r="AH48" s="93">
        <f t="shared" si="4"/>
        <v>1705.089999999851</v>
      </c>
      <c r="AI48" s="5">
        <v>2559780.2200000002</v>
      </c>
      <c r="AJ48" s="93">
        <f t="shared" si="6"/>
        <v>1649.0500000002794</v>
      </c>
      <c r="AK48" s="5">
        <v>2560559.29</v>
      </c>
      <c r="AL48" s="93">
        <f t="shared" si="6"/>
        <v>779.06999999983236</v>
      </c>
      <c r="AM48" s="5">
        <v>2560562.7400000002</v>
      </c>
      <c r="AN48" s="93">
        <f t="shared" si="8"/>
        <v>3.4500000001862645</v>
      </c>
      <c r="AO48" s="5">
        <v>2560562.7400000002</v>
      </c>
      <c r="AP48" s="93">
        <f t="shared" si="9"/>
        <v>0</v>
      </c>
      <c r="AQ48" s="5">
        <v>2560562.7400000002</v>
      </c>
      <c r="AR48" s="93">
        <f t="shared" si="14"/>
        <v>0</v>
      </c>
      <c r="AS48" s="5">
        <v>2560565.61</v>
      </c>
      <c r="AT48" s="93">
        <f t="shared" si="10"/>
        <v>2.8699999996460974</v>
      </c>
      <c r="AU48" s="5">
        <v>2560565.62</v>
      </c>
      <c r="AV48" s="93">
        <f t="shared" si="11"/>
        <v>1.0000000242143869E-2</v>
      </c>
      <c r="AW48" s="5">
        <v>2560565.63</v>
      </c>
      <c r="AX48" s="93">
        <f t="shared" si="15"/>
        <v>9.9999997764825821E-3</v>
      </c>
      <c r="AY48" s="5">
        <v>2560565.64</v>
      </c>
      <c r="AZ48" s="93">
        <f t="shared" si="16"/>
        <v>1.0000000242143869E-2</v>
      </c>
      <c r="BA48" s="5">
        <v>2560565.65</v>
      </c>
      <c r="BB48" s="93">
        <f t="shared" si="17"/>
        <v>9.9999997764825821E-3</v>
      </c>
      <c r="BC48" s="5">
        <v>2560565.65</v>
      </c>
      <c r="BD48" s="107">
        <f t="shared" si="17"/>
        <v>0</v>
      </c>
      <c r="BE48" s="5">
        <v>2561618.33</v>
      </c>
      <c r="BF48" s="93">
        <f t="shared" si="17"/>
        <v>1052.6800000001676</v>
      </c>
      <c r="BG48" s="5">
        <v>2562365.14</v>
      </c>
      <c r="BH48" s="93">
        <f t="shared" si="17"/>
        <v>746.81000000005588</v>
      </c>
      <c r="BI48" s="5">
        <v>2562909.71</v>
      </c>
      <c r="BJ48" s="93">
        <f t="shared" si="17"/>
        <v>544.56999999983236</v>
      </c>
      <c r="BK48" s="5"/>
      <c r="BL48" s="93"/>
    </row>
    <row r="49" spans="1:64" x14ac:dyDescent="0.25">
      <c r="A49" s="5" t="s">
        <v>15</v>
      </c>
      <c r="B49" s="5">
        <v>175252.68</v>
      </c>
      <c r="C49" s="5">
        <v>175501.38</v>
      </c>
      <c r="D49" s="93">
        <f t="shared" si="2"/>
        <v>248.70000000001164</v>
      </c>
      <c r="E49" s="5">
        <v>175769.87</v>
      </c>
      <c r="F49" s="93">
        <f t="shared" si="3"/>
        <v>268.48999999999069</v>
      </c>
      <c r="G49" s="5">
        <v>176037.27</v>
      </c>
      <c r="H49" s="93">
        <f t="shared" si="4"/>
        <v>267.39999999999418</v>
      </c>
      <c r="I49" s="5">
        <v>176301.99</v>
      </c>
      <c r="J49" s="93">
        <f t="shared" si="4"/>
        <v>264.72000000000116</v>
      </c>
      <c r="K49" s="5">
        <v>176564.5</v>
      </c>
      <c r="L49" s="93">
        <f t="shared" si="4"/>
        <v>262.51000000000931</v>
      </c>
      <c r="M49" s="5">
        <v>176835.86</v>
      </c>
      <c r="N49" s="93">
        <f t="shared" si="4"/>
        <v>271.35999999998603</v>
      </c>
      <c r="O49" s="5">
        <v>177119.77</v>
      </c>
      <c r="P49" s="93">
        <f t="shared" si="4"/>
        <v>283.91000000000349</v>
      </c>
      <c r="Q49" s="5">
        <v>177402.28</v>
      </c>
      <c r="R49" s="93">
        <f t="shared" si="5"/>
        <v>282.51000000000931</v>
      </c>
      <c r="S49" s="5">
        <v>177658.38</v>
      </c>
      <c r="T49" s="93">
        <f t="shared" si="4"/>
        <v>256.10000000000582</v>
      </c>
      <c r="U49" s="5">
        <v>177928.71</v>
      </c>
      <c r="V49" s="93">
        <f t="shared" si="4"/>
        <v>270.32999999998719</v>
      </c>
      <c r="W49" s="5">
        <v>178200.35</v>
      </c>
      <c r="X49" s="93">
        <f t="shared" si="4"/>
        <v>271.64000000001397</v>
      </c>
      <c r="Y49" s="5">
        <v>178464.34</v>
      </c>
      <c r="Z49" s="93">
        <f t="shared" si="4"/>
        <v>263.98999999999069</v>
      </c>
      <c r="AA49" s="5">
        <v>178732.11</v>
      </c>
      <c r="AB49" s="93">
        <f t="shared" si="4"/>
        <v>267.76999999998952</v>
      </c>
      <c r="AC49" s="5">
        <v>178993.81</v>
      </c>
      <c r="AD49" s="93">
        <f t="shared" si="4"/>
        <v>261.70000000001164</v>
      </c>
      <c r="AE49" s="5">
        <v>179251.11</v>
      </c>
      <c r="AF49" s="93">
        <f t="shared" si="4"/>
        <v>257.29999999998836</v>
      </c>
      <c r="AG49" s="5">
        <v>179499.76</v>
      </c>
      <c r="AH49" s="93">
        <f t="shared" si="4"/>
        <v>248.65000000002328</v>
      </c>
      <c r="AI49" s="5">
        <v>179753.97</v>
      </c>
      <c r="AJ49" s="93">
        <f t="shared" si="6"/>
        <v>254.20999999999185</v>
      </c>
      <c r="AK49" s="5">
        <v>179999.22</v>
      </c>
      <c r="AL49" s="93">
        <f t="shared" si="7"/>
        <v>245.25</v>
      </c>
      <c r="AM49" s="5">
        <v>180255.29</v>
      </c>
      <c r="AN49" s="93">
        <f t="shared" si="8"/>
        <v>256.07000000000698</v>
      </c>
      <c r="AO49" s="5">
        <v>180496.17</v>
      </c>
      <c r="AP49" s="93">
        <f t="shared" si="9"/>
        <v>240.88000000000466</v>
      </c>
      <c r="AQ49" s="5">
        <v>180731.77</v>
      </c>
      <c r="AR49" s="93">
        <f t="shared" si="14"/>
        <v>235.59999999997672</v>
      </c>
      <c r="AS49" s="5">
        <v>180984.58</v>
      </c>
      <c r="AT49" s="93">
        <f t="shared" si="10"/>
        <v>252.80999999999767</v>
      </c>
      <c r="AU49" s="5">
        <v>181237.33</v>
      </c>
      <c r="AV49" s="93">
        <f t="shared" si="11"/>
        <v>252.75</v>
      </c>
      <c r="AW49" s="5">
        <v>181488.04</v>
      </c>
      <c r="AX49" s="93">
        <f t="shared" si="15"/>
        <v>250.71000000002095</v>
      </c>
      <c r="AY49" s="5">
        <v>181737.2</v>
      </c>
      <c r="AZ49" s="93">
        <f t="shared" si="16"/>
        <v>249.16000000000349</v>
      </c>
      <c r="BA49" s="5">
        <v>181985.2</v>
      </c>
      <c r="BB49" s="93">
        <f t="shared" si="17"/>
        <v>248</v>
      </c>
      <c r="BC49" s="5">
        <v>182240.08</v>
      </c>
      <c r="BD49" s="107">
        <f t="shared" si="17"/>
        <v>254.87999999997555</v>
      </c>
      <c r="BE49" s="5">
        <v>182484.3</v>
      </c>
      <c r="BF49" s="93">
        <f t="shared" si="17"/>
        <v>244.22000000000116</v>
      </c>
      <c r="BG49" s="5">
        <v>182722.59</v>
      </c>
      <c r="BH49" s="93">
        <f t="shared" si="17"/>
        <v>238.29000000000815</v>
      </c>
      <c r="BI49" s="5">
        <v>182959.47</v>
      </c>
      <c r="BJ49" s="93">
        <f t="shared" si="17"/>
        <v>236.88000000000466</v>
      </c>
      <c r="BK49" s="5"/>
      <c r="BL49" s="93"/>
    </row>
    <row r="50" spans="1:64" x14ac:dyDescent="0.25">
      <c r="A50" s="9" t="s">
        <v>121</v>
      </c>
      <c r="B50" s="5">
        <v>3283705.17</v>
      </c>
      <c r="C50" s="5">
        <v>3284621.91</v>
      </c>
      <c r="D50" s="93">
        <f>(C50-B50)</f>
        <v>916.74000000022352</v>
      </c>
      <c r="E50" s="5">
        <v>3286258.59</v>
      </c>
      <c r="F50" s="93">
        <f t="shared" si="3"/>
        <v>1636.679999999702</v>
      </c>
      <c r="G50" s="5">
        <v>3287289.27</v>
      </c>
      <c r="H50" s="93">
        <f t="shared" si="3"/>
        <v>1030.6800000001676</v>
      </c>
      <c r="I50" s="5">
        <v>3289147.82</v>
      </c>
      <c r="J50" s="93">
        <f>211</f>
        <v>211</v>
      </c>
      <c r="K50" s="5">
        <v>3290789.06</v>
      </c>
      <c r="L50" s="93">
        <v>1357.46</v>
      </c>
      <c r="M50" s="5">
        <v>3292241</v>
      </c>
      <c r="N50" s="93">
        <f t="shared" si="4"/>
        <v>1451.9399999999441</v>
      </c>
      <c r="O50" s="5">
        <v>3292994.87</v>
      </c>
      <c r="P50" s="93">
        <f t="shared" si="4"/>
        <v>753.87000000011176</v>
      </c>
      <c r="Q50" s="5">
        <v>3292995.07</v>
      </c>
      <c r="R50" s="93">
        <f t="shared" si="5"/>
        <v>0.19999999972060323</v>
      </c>
      <c r="S50" s="5">
        <v>3292995.25</v>
      </c>
      <c r="T50" s="93">
        <f t="shared" si="4"/>
        <v>0.18000000016763806</v>
      </c>
      <c r="U50" s="5">
        <v>3292995.25</v>
      </c>
      <c r="V50" s="93">
        <f t="shared" si="4"/>
        <v>0</v>
      </c>
      <c r="W50" s="5">
        <v>3292995.44</v>
      </c>
      <c r="X50" s="93">
        <f t="shared" si="4"/>
        <v>0.18999999994412065</v>
      </c>
      <c r="Y50" s="5">
        <v>3292995.44</v>
      </c>
      <c r="Z50" s="93">
        <f t="shared" si="4"/>
        <v>0</v>
      </c>
      <c r="AA50" s="5">
        <v>3292995.44</v>
      </c>
      <c r="AB50" s="93">
        <f t="shared" si="4"/>
        <v>0</v>
      </c>
      <c r="AC50" s="5">
        <v>3292996.28</v>
      </c>
      <c r="AD50" s="93">
        <f t="shared" si="4"/>
        <v>0.83999999985098839</v>
      </c>
      <c r="AE50" s="5">
        <v>3292996.47</v>
      </c>
      <c r="AF50" s="93">
        <f t="shared" si="4"/>
        <v>0.19000000040978193</v>
      </c>
      <c r="AG50" s="5">
        <v>3292996.67</v>
      </c>
      <c r="AH50" s="93">
        <f t="shared" si="4"/>
        <v>0.19999999972060323</v>
      </c>
      <c r="AI50" s="5">
        <v>3293476.43</v>
      </c>
      <c r="AJ50" s="93">
        <f t="shared" si="6"/>
        <v>479.76000000024214</v>
      </c>
      <c r="AK50" s="5">
        <v>3295060.26</v>
      </c>
      <c r="AL50" s="93">
        <f t="shared" si="7"/>
        <v>1583.8299999996088</v>
      </c>
      <c r="AM50" s="5">
        <v>3296789</v>
      </c>
      <c r="AN50" s="93">
        <f t="shared" si="8"/>
        <v>1728.7400000002235</v>
      </c>
      <c r="AO50" s="5">
        <v>3297576.53</v>
      </c>
      <c r="AP50" s="93">
        <f t="shared" si="9"/>
        <v>787.52999999979511</v>
      </c>
      <c r="AQ50" s="5">
        <v>3298092.71</v>
      </c>
      <c r="AR50" s="93">
        <f t="shared" si="14"/>
        <v>516.18000000016764</v>
      </c>
      <c r="AS50" s="5">
        <v>3299190.58</v>
      </c>
      <c r="AT50" s="93">
        <f t="shared" si="10"/>
        <v>1097.8700000001118</v>
      </c>
      <c r="AU50" s="5">
        <v>3300533.72</v>
      </c>
      <c r="AV50" s="93">
        <f t="shared" si="11"/>
        <v>1343.1400000001304</v>
      </c>
      <c r="AW50" s="5">
        <v>3301556.88</v>
      </c>
      <c r="AX50" s="93">
        <f t="shared" si="15"/>
        <v>1023.1599999996834</v>
      </c>
      <c r="AY50" s="5">
        <v>3302680.48</v>
      </c>
      <c r="AZ50" s="93">
        <f t="shared" si="16"/>
        <v>1123.6000000000931</v>
      </c>
      <c r="BA50" s="5">
        <v>3303636.76</v>
      </c>
      <c r="BB50" s="93">
        <f t="shared" si="17"/>
        <v>956.27999999979511</v>
      </c>
      <c r="BC50" s="5">
        <v>3304720.59</v>
      </c>
      <c r="BD50" s="107">
        <f t="shared" si="17"/>
        <v>1083.8300000000745</v>
      </c>
      <c r="BE50" s="5">
        <v>3305984.97</v>
      </c>
      <c r="BF50" s="93">
        <f t="shared" si="17"/>
        <v>1264.3800000003539</v>
      </c>
      <c r="BG50" s="5">
        <v>3306904.03</v>
      </c>
      <c r="BH50" s="93">
        <f t="shared" si="17"/>
        <v>919.05999999959022</v>
      </c>
      <c r="BI50" s="5">
        <v>3307771.09</v>
      </c>
      <c r="BJ50" s="93">
        <f t="shared" si="17"/>
        <v>867.06000000005588</v>
      </c>
      <c r="BK50" s="5"/>
      <c r="BL50" s="93"/>
    </row>
    <row r="51" spans="1:64" x14ac:dyDescent="0.25">
      <c r="A51" s="9" t="s">
        <v>109</v>
      </c>
      <c r="B51" s="5"/>
      <c r="C51" s="5">
        <v>0</v>
      </c>
      <c r="D51" s="93">
        <f t="shared" si="2"/>
        <v>0</v>
      </c>
      <c r="E51" s="5">
        <v>0</v>
      </c>
      <c r="F51" s="93">
        <f t="shared" si="3"/>
        <v>0</v>
      </c>
      <c r="G51" s="5">
        <v>0</v>
      </c>
      <c r="H51" s="93">
        <f t="shared" si="4"/>
        <v>0</v>
      </c>
      <c r="I51" s="5">
        <v>0</v>
      </c>
      <c r="J51" s="93">
        <f t="shared" si="4"/>
        <v>0</v>
      </c>
      <c r="K51" s="5">
        <v>0</v>
      </c>
      <c r="L51" s="93">
        <f t="shared" si="4"/>
        <v>0</v>
      </c>
      <c r="M51" s="5">
        <v>0</v>
      </c>
      <c r="N51" s="93">
        <f t="shared" si="4"/>
        <v>0</v>
      </c>
      <c r="O51" s="5">
        <v>0</v>
      </c>
      <c r="P51" s="93">
        <f t="shared" si="4"/>
        <v>0</v>
      </c>
      <c r="Q51" s="5">
        <v>0</v>
      </c>
      <c r="R51" s="93">
        <f t="shared" si="5"/>
        <v>0</v>
      </c>
      <c r="S51" s="5">
        <v>0</v>
      </c>
      <c r="T51" s="93">
        <f t="shared" si="4"/>
        <v>0</v>
      </c>
      <c r="U51" s="5">
        <v>0</v>
      </c>
      <c r="V51" s="93">
        <f t="shared" si="4"/>
        <v>0</v>
      </c>
      <c r="W51" s="5">
        <v>0</v>
      </c>
      <c r="X51" s="93">
        <f t="shared" si="4"/>
        <v>0</v>
      </c>
      <c r="Y51" s="5">
        <v>0</v>
      </c>
      <c r="Z51" s="93">
        <f t="shared" si="4"/>
        <v>0</v>
      </c>
      <c r="AA51" s="5">
        <v>0</v>
      </c>
      <c r="AB51" s="93">
        <f t="shared" si="4"/>
        <v>0</v>
      </c>
      <c r="AC51" s="5">
        <v>0</v>
      </c>
      <c r="AD51" s="93">
        <f t="shared" si="4"/>
        <v>0</v>
      </c>
      <c r="AE51" s="5">
        <v>0</v>
      </c>
      <c r="AF51" s="93">
        <f t="shared" si="4"/>
        <v>0</v>
      </c>
      <c r="AG51" s="5">
        <v>0</v>
      </c>
      <c r="AH51" s="93">
        <f>AG51-AE51</f>
        <v>0</v>
      </c>
      <c r="AI51" s="5">
        <v>0</v>
      </c>
      <c r="AJ51" s="93">
        <f t="shared" si="6"/>
        <v>0</v>
      </c>
      <c r="AK51" s="5">
        <v>0</v>
      </c>
      <c r="AL51" s="93">
        <f t="shared" si="7"/>
        <v>0</v>
      </c>
      <c r="AM51" s="5">
        <v>0</v>
      </c>
      <c r="AN51" s="93">
        <f t="shared" si="8"/>
        <v>0</v>
      </c>
      <c r="AO51" s="5">
        <v>0</v>
      </c>
      <c r="AP51" s="93">
        <f t="shared" si="9"/>
        <v>0</v>
      </c>
      <c r="AQ51" s="5">
        <v>0</v>
      </c>
      <c r="AR51" s="93">
        <f t="shared" si="14"/>
        <v>0</v>
      </c>
      <c r="AS51" s="5">
        <v>0</v>
      </c>
      <c r="AT51" s="93">
        <f t="shared" si="10"/>
        <v>0</v>
      </c>
      <c r="AU51" s="5">
        <v>0</v>
      </c>
      <c r="AV51" s="93">
        <f t="shared" si="11"/>
        <v>0</v>
      </c>
      <c r="AW51" s="5">
        <v>0</v>
      </c>
      <c r="AX51" s="93">
        <f t="shared" si="15"/>
        <v>0</v>
      </c>
      <c r="AY51" s="5">
        <v>0</v>
      </c>
      <c r="AZ51" s="93">
        <f t="shared" si="16"/>
        <v>0</v>
      </c>
      <c r="BA51" s="5">
        <v>0</v>
      </c>
      <c r="BB51" s="93">
        <f t="shared" si="17"/>
        <v>0</v>
      </c>
      <c r="BC51" s="5">
        <v>0</v>
      </c>
      <c r="BD51" s="107">
        <f t="shared" si="17"/>
        <v>0</v>
      </c>
      <c r="BE51" s="5">
        <v>0</v>
      </c>
      <c r="BF51" s="93">
        <f t="shared" si="17"/>
        <v>0</v>
      </c>
      <c r="BG51" s="5">
        <v>0</v>
      </c>
      <c r="BH51" s="93">
        <f t="shared" si="17"/>
        <v>0</v>
      </c>
      <c r="BI51" s="5">
        <v>0</v>
      </c>
      <c r="BJ51" s="93">
        <f t="shared" si="17"/>
        <v>0</v>
      </c>
      <c r="BK51" s="5"/>
      <c r="BL51" s="93"/>
    </row>
    <row r="52" spans="1:64" x14ac:dyDescent="0.25">
      <c r="A52" s="5" t="s">
        <v>3</v>
      </c>
      <c r="B52" s="5"/>
      <c r="C52" s="5">
        <v>0</v>
      </c>
      <c r="D52" s="93">
        <v>52</v>
      </c>
      <c r="E52" s="5">
        <v>0</v>
      </c>
      <c r="F52" s="93">
        <v>44</v>
      </c>
      <c r="G52" s="5">
        <v>0</v>
      </c>
      <c r="H52" s="93">
        <v>34</v>
      </c>
      <c r="I52" s="5">
        <v>0</v>
      </c>
      <c r="J52" s="93">
        <v>52</v>
      </c>
      <c r="K52" s="5">
        <v>0</v>
      </c>
      <c r="L52" s="93">
        <v>52</v>
      </c>
      <c r="M52" s="5">
        <v>0</v>
      </c>
      <c r="N52" s="93">
        <v>52</v>
      </c>
      <c r="O52" s="5">
        <v>0</v>
      </c>
      <c r="P52" s="93">
        <v>52</v>
      </c>
      <c r="Q52" s="5">
        <v>0</v>
      </c>
      <c r="R52" s="93">
        <v>52</v>
      </c>
      <c r="S52" s="5">
        <v>0</v>
      </c>
      <c r="T52" s="93">
        <v>52</v>
      </c>
      <c r="U52" s="5">
        <v>0</v>
      </c>
      <c r="V52" s="93">
        <v>52</v>
      </c>
      <c r="W52" s="5">
        <v>0</v>
      </c>
      <c r="X52" s="93">
        <v>52</v>
      </c>
      <c r="Y52" s="5">
        <v>0</v>
      </c>
      <c r="Z52" s="93">
        <v>52</v>
      </c>
      <c r="AA52" s="5">
        <v>0</v>
      </c>
      <c r="AB52" s="93">
        <v>52</v>
      </c>
      <c r="AC52" s="5">
        <v>0</v>
      </c>
      <c r="AD52" s="93">
        <v>52</v>
      </c>
      <c r="AE52" s="5">
        <v>0</v>
      </c>
      <c r="AF52" s="93">
        <v>52</v>
      </c>
      <c r="AG52" s="5">
        <v>0</v>
      </c>
      <c r="AH52" s="93">
        <v>52</v>
      </c>
      <c r="AI52" s="5">
        <v>0</v>
      </c>
      <c r="AJ52" s="93">
        <v>52</v>
      </c>
      <c r="AK52" s="5">
        <v>0</v>
      </c>
      <c r="AL52" s="93">
        <v>52</v>
      </c>
      <c r="AM52" s="5">
        <v>0</v>
      </c>
      <c r="AN52" s="93">
        <v>52</v>
      </c>
      <c r="AO52" s="5">
        <v>0</v>
      </c>
      <c r="AP52" s="93">
        <v>52</v>
      </c>
      <c r="AQ52" s="5">
        <v>0</v>
      </c>
      <c r="AR52" s="93">
        <v>52</v>
      </c>
      <c r="AS52" s="5">
        <v>0</v>
      </c>
      <c r="AT52" s="93">
        <v>52</v>
      </c>
      <c r="AU52" s="5">
        <v>0</v>
      </c>
      <c r="AV52" s="93">
        <v>52</v>
      </c>
      <c r="AW52" s="5">
        <v>0</v>
      </c>
      <c r="AX52" s="93">
        <v>52</v>
      </c>
      <c r="AY52" s="5">
        <v>0</v>
      </c>
      <c r="AZ52" s="93">
        <v>52</v>
      </c>
      <c r="BA52" s="5">
        <v>0</v>
      </c>
      <c r="BB52" s="93">
        <v>52</v>
      </c>
      <c r="BC52" s="5">
        <v>0</v>
      </c>
      <c r="BD52" s="107">
        <v>52</v>
      </c>
      <c r="BE52" s="5">
        <v>0</v>
      </c>
      <c r="BF52" s="93">
        <v>52</v>
      </c>
      <c r="BG52" s="5">
        <v>0</v>
      </c>
      <c r="BH52" s="93">
        <v>52</v>
      </c>
      <c r="BI52" s="5">
        <v>0</v>
      </c>
      <c r="BJ52" s="93">
        <v>52</v>
      </c>
      <c r="BK52" s="5"/>
      <c r="BL52" s="93"/>
    </row>
    <row r="53" spans="1:64" ht="18.75" x14ac:dyDescent="0.25">
      <c r="A53" s="86" t="s">
        <v>228</v>
      </c>
      <c r="B53" s="5"/>
      <c r="C53" s="5">
        <v>0</v>
      </c>
      <c r="D53" s="93"/>
      <c r="E53" s="5">
        <v>0</v>
      </c>
      <c r="F53" s="93"/>
      <c r="G53" s="5">
        <v>0</v>
      </c>
      <c r="H53" s="93"/>
      <c r="I53" s="5">
        <v>0</v>
      </c>
      <c r="J53" s="93"/>
      <c r="K53" s="5">
        <v>0</v>
      </c>
      <c r="L53" s="93"/>
      <c r="M53" s="5">
        <v>0</v>
      </c>
      <c r="N53" s="93"/>
      <c r="O53" s="5">
        <v>0</v>
      </c>
      <c r="P53" s="93"/>
      <c r="Q53" s="5">
        <v>0</v>
      </c>
      <c r="R53" s="93"/>
      <c r="S53" s="5">
        <v>0</v>
      </c>
      <c r="T53" s="93"/>
      <c r="U53" s="5">
        <v>0</v>
      </c>
      <c r="V53" s="93"/>
      <c r="W53" s="5">
        <v>0</v>
      </c>
      <c r="X53" s="93"/>
      <c r="Y53" s="5">
        <v>0</v>
      </c>
      <c r="Z53" s="93"/>
      <c r="AA53" s="5">
        <v>0</v>
      </c>
      <c r="AB53" s="93"/>
      <c r="AC53" s="5">
        <v>0</v>
      </c>
      <c r="AD53" s="93"/>
      <c r="AE53" s="5">
        <v>0</v>
      </c>
      <c r="AF53" s="93"/>
      <c r="AG53" s="5">
        <v>0</v>
      </c>
      <c r="AH53" s="93"/>
      <c r="AI53" s="5">
        <v>0</v>
      </c>
      <c r="AJ53" s="93"/>
      <c r="AK53" s="5">
        <v>0</v>
      </c>
      <c r="AL53" s="93"/>
      <c r="AM53" s="5">
        <v>0</v>
      </c>
      <c r="AN53" s="93"/>
      <c r="AO53" s="5" t="s">
        <v>284</v>
      </c>
      <c r="AP53" s="93"/>
      <c r="AQ53" s="5">
        <v>0</v>
      </c>
      <c r="AR53" s="93"/>
      <c r="AS53" s="5">
        <v>0</v>
      </c>
      <c r="AT53" s="93"/>
      <c r="AU53" s="5">
        <v>0</v>
      </c>
      <c r="AV53" s="93"/>
      <c r="AW53" s="5">
        <v>0</v>
      </c>
      <c r="AX53" s="93"/>
      <c r="AY53" s="5">
        <v>0</v>
      </c>
      <c r="AZ53" s="93"/>
      <c r="BA53" s="5">
        <v>0</v>
      </c>
      <c r="BB53" s="93"/>
      <c r="BC53" s="5">
        <v>0</v>
      </c>
      <c r="BD53" s="107"/>
      <c r="BE53" s="5">
        <v>0</v>
      </c>
      <c r="BF53" s="93"/>
      <c r="BG53" s="5">
        <v>0</v>
      </c>
      <c r="BH53" s="93"/>
      <c r="BI53" s="5">
        <v>0</v>
      </c>
      <c r="BJ53" s="93"/>
      <c r="BK53" s="5"/>
      <c r="BL53" s="93"/>
    </row>
    <row r="54" spans="1:64" x14ac:dyDescent="0.25">
      <c r="A54" s="5" t="s">
        <v>273</v>
      </c>
      <c r="B54" s="5">
        <v>20.702970000000001</v>
      </c>
      <c r="C54" s="5">
        <v>20.743289999999998</v>
      </c>
      <c r="D54" s="93">
        <f>(C54-B54)*1000000</f>
        <v>40319.999999997694</v>
      </c>
      <c r="E54" s="5">
        <v>20.776859999999999</v>
      </c>
      <c r="F54" s="93">
        <f>(E54-C54)*1000000</f>
        <v>33570.00000000099</v>
      </c>
      <c r="G54" s="5">
        <v>20.818680000000001</v>
      </c>
      <c r="H54" s="93">
        <f>(G54-E54)*1000000</f>
        <v>41820.000000001302</v>
      </c>
      <c r="I54" s="5">
        <v>20.853619999999999</v>
      </c>
      <c r="J54" s="93">
        <f>(I54-G54)*1000000</f>
        <v>34939.999999998858</v>
      </c>
      <c r="K54" s="5">
        <v>20.880510000000001</v>
      </c>
      <c r="L54" s="93">
        <f>(K54-I54)*1000000</f>
        <v>26890.000000001633</v>
      </c>
      <c r="M54" s="5">
        <v>20.901240000000001</v>
      </c>
      <c r="N54" s="93">
        <f>(M54-K54)*1000000</f>
        <v>20730.00000000036</v>
      </c>
      <c r="O54" s="5">
        <v>20.901240000000001</v>
      </c>
      <c r="P54" s="93">
        <f>(O54-M54)*1000000</f>
        <v>0</v>
      </c>
      <c r="Q54" s="5">
        <v>20.901240000000001</v>
      </c>
      <c r="R54" s="93">
        <f>(Q54-O54)*1000000</f>
        <v>0</v>
      </c>
      <c r="S54" s="5">
        <v>20.901240000000001</v>
      </c>
      <c r="T54" s="93">
        <f>(S54-Q54)*1000000</f>
        <v>0</v>
      </c>
      <c r="U54" s="5">
        <v>20.935410000000001</v>
      </c>
      <c r="V54" s="93">
        <f>(U54-S54)*1000000</f>
        <v>34169.999999999593</v>
      </c>
      <c r="W54" s="5">
        <v>20.975729999999999</v>
      </c>
      <c r="X54" s="93">
        <f>(W54-U54)*1000000</f>
        <v>40319.999999997694</v>
      </c>
      <c r="Y54" s="5">
        <v>21.014810000000001</v>
      </c>
      <c r="Z54" s="93">
        <f>(Y54-W54)*1000000</f>
        <v>39080.000000002001</v>
      </c>
      <c r="AA54" s="5">
        <v>21.053260000000002</v>
      </c>
      <c r="AB54" s="93">
        <f>(AA54-Y54)*1000000</f>
        <v>38450.000000000982</v>
      </c>
      <c r="AC54" s="5">
        <v>21.090050000000002</v>
      </c>
      <c r="AD54" s="93">
        <f>(AC54-AA54)*1000000</f>
        <v>36789.999999999876</v>
      </c>
      <c r="AE54" s="5">
        <v>21.12696</v>
      </c>
      <c r="AF54" s="93">
        <f>(AE54-AC54)*1000000</f>
        <v>36909.999999998887</v>
      </c>
      <c r="AG54" s="5">
        <v>21.167629999999999</v>
      </c>
      <c r="AH54" s="93">
        <f>(AG54-AE54)*1000000</f>
        <v>40669.999999998654</v>
      </c>
      <c r="AI54" s="5">
        <v>21.205490000000001</v>
      </c>
      <c r="AJ54" s="93">
        <f>(AI54-AG54)*1000000</f>
        <v>37860.000000002001</v>
      </c>
      <c r="AK54" s="5">
        <v>21.242809999999999</v>
      </c>
      <c r="AL54" s="93">
        <f>(AK54-AI54)*1000000</f>
        <v>37319.999999997577</v>
      </c>
      <c r="AM54" s="5">
        <v>21.284690000000001</v>
      </c>
      <c r="AN54" s="93">
        <f>(AM54-AK54)*1000000</f>
        <v>41880.000000002583</v>
      </c>
      <c r="AO54" s="5">
        <v>21.326409999999999</v>
      </c>
      <c r="AP54" s="93">
        <f>(AO54-AM54)*1000000</f>
        <v>41719.999999997977</v>
      </c>
      <c r="AQ54" s="5">
        <v>21.366980000000002</v>
      </c>
      <c r="AR54" s="93">
        <f>(AQ54-AO54)*1000000</f>
        <v>40570.000000002437</v>
      </c>
      <c r="AS54" s="5">
        <v>21.410019999999999</v>
      </c>
      <c r="AT54" s="93">
        <f>(AS54-AQ54)*1000000</f>
        <v>43039.999999997744</v>
      </c>
      <c r="AU54" s="5">
        <v>21.452110000000001</v>
      </c>
      <c r="AV54" s="93">
        <f>(AU54-AS54)*1000000</f>
        <v>42090.000000001739</v>
      </c>
      <c r="AW54" s="5">
        <v>21.494789999999998</v>
      </c>
      <c r="AX54" s="93">
        <f>(AW54-AU54)*1000000</f>
        <v>42679.999999997162</v>
      </c>
      <c r="AY54" s="5">
        <v>21.535520000000002</v>
      </c>
      <c r="AZ54" s="93">
        <f>(AY54-AW54)*1000000</f>
        <v>40730.000000003485</v>
      </c>
      <c r="BA54" s="5">
        <v>21.576699999999999</v>
      </c>
      <c r="BB54" s="93">
        <f>(BA54-AY54)*1000000</f>
        <v>41179.999999997104</v>
      </c>
      <c r="BC54" s="5">
        <v>21.6142</v>
      </c>
      <c r="BD54" s="107">
        <f>(BC54-BA54)*1000000</f>
        <v>37500.000000001419</v>
      </c>
      <c r="BE54" s="5">
        <v>21.654610000000002</v>
      </c>
      <c r="BF54" s="107">
        <f>(BE54-BC54)*1000000</f>
        <v>40410.00000000139</v>
      </c>
      <c r="BG54" s="5">
        <v>21.69135</v>
      </c>
      <c r="BH54" s="93">
        <f>(BG54-BE54)*1000000</f>
        <v>36739.999999998217</v>
      </c>
      <c r="BI54" s="5">
        <v>21.726240000000001</v>
      </c>
      <c r="BJ54" s="93">
        <f>(BI54-BG54)*1000000</f>
        <v>34890.000000000757</v>
      </c>
      <c r="BK54" s="5"/>
      <c r="BL54" s="93"/>
    </row>
    <row r="55" spans="1:64" x14ac:dyDescent="0.25">
      <c r="A55" s="5" t="s">
        <v>271</v>
      </c>
      <c r="B55" s="5">
        <v>1952396</v>
      </c>
      <c r="C55" s="5">
        <v>1956345</v>
      </c>
      <c r="D55" s="93">
        <f>C55-B55</f>
        <v>3949</v>
      </c>
      <c r="E55" s="5">
        <v>1960022</v>
      </c>
      <c r="F55" s="93">
        <f>E55-C55</f>
        <v>3677</v>
      </c>
      <c r="G55" s="5">
        <v>1963943</v>
      </c>
      <c r="H55" s="93">
        <f>G55-E55</f>
        <v>3921</v>
      </c>
      <c r="I55" s="5">
        <v>1967458</v>
      </c>
      <c r="J55" s="93">
        <f>I55-G55</f>
        <v>3515</v>
      </c>
      <c r="K55" s="5">
        <v>1970186</v>
      </c>
      <c r="L55" s="93">
        <f>K55-I55</f>
        <v>2728</v>
      </c>
      <c r="M55" s="5">
        <v>1972540</v>
      </c>
      <c r="N55" s="93">
        <f>M55-K55</f>
        <v>2354</v>
      </c>
      <c r="O55" s="5">
        <v>1972540</v>
      </c>
      <c r="P55" s="93">
        <f>O55-M55</f>
        <v>0</v>
      </c>
      <c r="Q55" s="5">
        <v>1972540</v>
      </c>
      <c r="R55" s="93">
        <f>Q55-O55</f>
        <v>0</v>
      </c>
      <c r="S55" s="5">
        <v>1972540</v>
      </c>
      <c r="T55" s="93">
        <f>S55-Q55</f>
        <v>0</v>
      </c>
      <c r="U55" s="5">
        <v>1975953</v>
      </c>
      <c r="V55" s="93">
        <f>U55-S55</f>
        <v>3413</v>
      </c>
      <c r="W55" s="5">
        <v>1979649</v>
      </c>
      <c r="X55" s="93">
        <f>W55-U55</f>
        <v>3696</v>
      </c>
      <c r="Y55" s="5">
        <v>1983118</v>
      </c>
      <c r="Z55" s="93">
        <f>Y55-W55</f>
        <v>3469</v>
      </c>
      <c r="AA55" s="5">
        <v>1986724</v>
      </c>
      <c r="AB55" s="93">
        <f>AA55-Y55</f>
        <v>3606</v>
      </c>
      <c r="AC55" s="5">
        <v>1989947</v>
      </c>
      <c r="AD55" s="93">
        <f>AC55-AA55</f>
        <v>3223</v>
      </c>
      <c r="AE55" s="5">
        <v>1993137</v>
      </c>
      <c r="AF55" s="93">
        <f>AE55-AC55</f>
        <v>3190</v>
      </c>
      <c r="AG55" s="5">
        <v>1996884</v>
      </c>
      <c r="AH55" s="93">
        <f>AG55-AE55</f>
        <v>3747</v>
      </c>
      <c r="AI55" s="5">
        <v>2000355</v>
      </c>
      <c r="AJ55" s="93">
        <f>AI55-AG55</f>
        <v>3471</v>
      </c>
      <c r="AK55" s="5">
        <v>2003726</v>
      </c>
      <c r="AL55" s="93">
        <f>AK55-AI55</f>
        <v>3371</v>
      </c>
      <c r="AM55" s="5">
        <v>2007542</v>
      </c>
      <c r="AN55" s="93">
        <f>AM55-AK55</f>
        <v>3816</v>
      </c>
      <c r="AO55" s="5">
        <v>2011340</v>
      </c>
      <c r="AP55" s="93">
        <f>AO55-AM55</f>
        <v>3798</v>
      </c>
      <c r="AQ55" s="5">
        <v>2015062</v>
      </c>
      <c r="AR55" s="93">
        <f>AQ55-AO55</f>
        <v>3722</v>
      </c>
      <c r="AS55" s="5">
        <v>2018962</v>
      </c>
      <c r="AT55" s="93">
        <f>AS55-AQ55</f>
        <v>3900</v>
      </c>
      <c r="AU55" s="5">
        <v>2022796</v>
      </c>
      <c r="AV55" s="93">
        <f>AU55-AS55</f>
        <v>3834</v>
      </c>
      <c r="AW55" s="5">
        <v>2026632</v>
      </c>
      <c r="AX55" s="93">
        <f>AW55-AU55</f>
        <v>3836</v>
      </c>
      <c r="AY55" s="5">
        <v>2030441</v>
      </c>
      <c r="AZ55" s="93">
        <f>AY55-AW55</f>
        <v>3809</v>
      </c>
      <c r="BA55" s="5">
        <v>2034296</v>
      </c>
      <c r="BB55" s="93">
        <f>BA55-AY55</f>
        <v>3855</v>
      </c>
      <c r="BC55" s="5">
        <v>2037704</v>
      </c>
      <c r="BD55" s="107">
        <f>BC55-BA55</f>
        <v>3408</v>
      </c>
      <c r="BE55" s="5">
        <v>2041544</v>
      </c>
      <c r="BF55" s="93">
        <f>BE55-BC55</f>
        <v>3840</v>
      </c>
      <c r="BG55" s="5">
        <v>2044971</v>
      </c>
      <c r="BH55" s="93">
        <f>BG55-BE55</f>
        <v>3427</v>
      </c>
      <c r="BI55" s="5">
        <v>2048255</v>
      </c>
      <c r="BJ55" s="93">
        <f>BI55-BG55</f>
        <v>3284</v>
      </c>
      <c r="BK55" s="5"/>
      <c r="BL55" s="93"/>
    </row>
    <row r="56" spans="1:64" x14ac:dyDescent="0.25">
      <c r="A56" s="9" t="s">
        <v>247</v>
      </c>
      <c r="B56" s="5">
        <v>4721.75</v>
      </c>
      <c r="C56" s="5">
        <v>4729.8</v>
      </c>
      <c r="D56" s="5">
        <f>(C56-B56)*1000</f>
        <v>8050.0000000001819</v>
      </c>
      <c r="E56" s="5">
        <v>4737.38</v>
      </c>
      <c r="F56" s="5">
        <f>(E56-C56)*1000</f>
        <v>7579.9999999999272</v>
      </c>
      <c r="G56" s="5">
        <v>4745.4399999999996</v>
      </c>
      <c r="H56" s="5">
        <f>(G56-E56)*1000</f>
        <v>8059.9999999994907</v>
      </c>
      <c r="I56" s="5">
        <v>4752.8900000000003</v>
      </c>
      <c r="J56" s="5">
        <f>(I56-G56)*1000</f>
        <v>7450.0000000007276</v>
      </c>
      <c r="K56" s="5">
        <v>4759.09</v>
      </c>
      <c r="L56" s="5">
        <f>(K56-I56)*1000</f>
        <v>6199.9999999998181</v>
      </c>
      <c r="M56" s="5">
        <v>4764.32</v>
      </c>
      <c r="N56" s="5">
        <f>(M56-K56)*1000</f>
        <v>5229.9999999995634</v>
      </c>
      <c r="O56" s="5">
        <v>4765.37</v>
      </c>
      <c r="P56" s="5">
        <f>(O56-M56)*1000</f>
        <v>1050.0000000001819</v>
      </c>
      <c r="Q56" s="5">
        <v>4766.21</v>
      </c>
      <c r="R56" s="5">
        <f>(Q56-O56)*1000</f>
        <v>840.00000000014552</v>
      </c>
      <c r="S56" s="5">
        <v>4767</v>
      </c>
      <c r="T56" s="5">
        <f>(S56-Q56)*1000</f>
        <v>789.99999999996362</v>
      </c>
      <c r="U56" s="5">
        <v>4774.3999999999996</v>
      </c>
      <c r="V56" s="5">
        <f>(U56-S56)*1000</f>
        <v>7399.9999999996362</v>
      </c>
      <c r="W56" s="5">
        <v>4782.1899999999996</v>
      </c>
      <c r="X56" s="5">
        <f>(W56-U56)*1000</f>
        <v>7789.9999999999636</v>
      </c>
      <c r="Y56" s="5">
        <v>4789.6499999999996</v>
      </c>
      <c r="Z56" s="5">
        <f>(Y56-W56)*1000</f>
        <v>7460.0000000000364</v>
      </c>
      <c r="AA56" s="5">
        <v>4797.13</v>
      </c>
      <c r="AB56" s="5">
        <f>(AA56-Y56)*1000</f>
        <v>7480.0000000004729</v>
      </c>
      <c r="AC56" s="5">
        <v>4804.05</v>
      </c>
      <c r="AD56" s="5">
        <f>(AC56-AA56)*1000</f>
        <v>6920.0000000000728</v>
      </c>
      <c r="AE56" s="5">
        <v>4810.6400000000003</v>
      </c>
      <c r="AF56" s="5">
        <f>(AE56-AC56)*1000</f>
        <v>6590.0000000001455</v>
      </c>
      <c r="AG56" s="5">
        <v>4818.42</v>
      </c>
      <c r="AH56" s="5">
        <f>(AG56-AE56)*1000</f>
        <v>7779.9999999997453</v>
      </c>
      <c r="AI56" s="5">
        <v>4825.78</v>
      </c>
      <c r="AJ56" s="5">
        <f>(AI56-AG56)*1000</f>
        <v>7359.9999999996726</v>
      </c>
      <c r="AK56" s="5">
        <v>4833.2299999999996</v>
      </c>
      <c r="AL56" s="5">
        <f>(AK56-AI56)*1000</f>
        <v>7449.9999999998181</v>
      </c>
      <c r="AM56" s="5">
        <v>4841.34</v>
      </c>
      <c r="AN56" s="107">
        <f>(AM56-AK56)*1000</f>
        <v>8110.0000000005821</v>
      </c>
      <c r="AO56" s="5">
        <v>4849.6400000000003</v>
      </c>
      <c r="AP56" s="107">
        <f>(AO56-AM56)*1000</f>
        <v>8300.0000000001819</v>
      </c>
      <c r="AQ56" s="5">
        <v>4857.82</v>
      </c>
      <c r="AR56" s="5">
        <f>(AQ56-AO56)*1000</f>
        <v>8179.9999999993815</v>
      </c>
      <c r="AS56" s="5">
        <v>4866.21</v>
      </c>
      <c r="AT56" s="107">
        <f>(AS56-AQ56)*1000</f>
        <v>8390.0000000003274</v>
      </c>
      <c r="AU56" s="5">
        <v>4874.09</v>
      </c>
      <c r="AV56" s="107">
        <f>(AU56-AS56)*1000</f>
        <v>7880.0000000001091</v>
      </c>
      <c r="AW56" s="5">
        <v>4882</v>
      </c>
      <c r="AX56" s="107">
        <f>(AW56-AU56)*1000</f>
        <v>7909.9999999998545</v>
      </c>
      <c r="AY56" s="5">
        <v>4889.97</v>
      </c>
      <c r="AZ56" s="107">
        <f>(AY56-AW56)*1000</f>
        <v>7970.0000000002547</v>
      </c>
      <c r="BA56" s="5">
        <v>4897.8100000000004</v>
      </c>
      <c r="BB56" s="107">
        <f>(BA56-AY56)*1000</f>
        <v>7840.0000000001455</v>
      </c>
      <c r="BC56" s="5">
        <v>4905.1899999999996</v>
      </c>
      <c r="BD56" s="107">
        <f>(BC56-BA56)*1000</f>
        <v>7379.9999999991996</v>
      </c>
      <c r="BE56" s="5">
        <v>4913.1400000000003</v>
      </c>
      <c r="BF56" s="107">
        <f>(BE56-BC56)*1000</f>
        <v>7950.0000000007276</v>
      </c>
      <c r="BG56" s="5">
        <v>4920.08</v>
      </c>
      <c r="BH56" s="107">
        <f>(BG56-BE56)*1000</f>
        <v>6939.9999999995998</v>
      </c>
      <c r="BI56" s="5">
        <v>4926.93</v>
      </c>
      <c r="BJ56" s="107">
        <f>(BI56-BG56)*1000</f>
        <v>6850.0000000003638</v>
      </c>
      <c r="BK56" s="5">
        <v>113084</v>
      </c>
      <c r="BL56" s="107"/>
    </row>
    <row r="57" spans="1:64" x14ac:dyDescent="0.25">
      <c r="A57" s="5" t="s">
        <v>270</v>
      </c>
      <c r="B57" s="5">
        <v>271375</v>
      </c>
      <c r="C57" s="5">
        <v>271971</v>
      </c>
      <c r="D57" s="93">
        <f t="shared" ref="D57:D62" si="18">C57-B57</f>
        <v>596</v>
      </c>
      <c r="E57" s="5">
        <v>272476</v>
      </c>
      <c r="F57" s="93">
        <f t="shared" ref="F57:F62" si="19">E57-C57</f>
        <v>505</v>
      </c>
      <c r="G57" s="5">
        <v>273018</v>
      </c>
      <c r="H57" s="93">
        <f t="shared" ref="H57:H62" si="20">G57-E57</f>
        <v>542</v>
      </c>
      <c r="I57" s="5">
        <v>273499</v>
      </c>
      <c r="J57" s="93">
        <f t="shared" ref="J57:J62" si="21">I57-G57</f>
        <v>481</v>
      </c>
      <c r="K57" s="5">
        <v>273899</v>
      </c>
      <c r="L57" s="93">
        <f t="shared" ref="L57:BJ62" si="22">K57-I57</f>
        <v>400</v>
      </c>
      <c r="M57" s="5">
        <v>274124</v>
      </c>
      <c r="N57" s="93">
        <f t="shared" si="22"/>
        <v>225</v>
      </c>
      <c r="O57" s="5">
        <v>274124</v>
      </c>
      <c r="P57" s="93">
        <f t="shared" si="22"/>
        <v>0</v>
      </c>
      <c r="Q57" s="5">
        <v>274124</v>
      </c>
      <c r="R57" s="93">
        <f t="shared" ref="R57:R62" si="23">Q57-O57</f>
        <v>0</v>
      </c>
      <c r="S57" s="5">
        <v>274124</v>
      </c>
      <c r="T57" s="93">
        <f t="shared" si="22"/>
        <v>0</v>
      </c>
      <c r="U57" s="5">
        <v>274679</v>
      </c>
      <c r="V57" s="93">
        <f t="shared" si="22"/>
        <v>555</v>
      </c>
      <c r="W57" s="5">
        <v>275206</v>
      </c>
      <c r="X57" s="93">
        <f t="shared" si="22"/>
        <v>527</v>
      </c>
      <c r="Y57" s="5">
        <v>275702</v>
      </c>
      <c r="Z57" s="93">
        <f t="shared" si="22"/>
        <v>496</v>
      </c>
      <c r="AA57" s="5">
        <v>276147</v>
      </c>
      <c r="AB57" s="93">
        <f t="shared" si="22"/>
        <v>445</v>
      </c>
      <c r="AC57" s="5">
        <v>276578</v>
      </c>
      <c r="AD57" s="93">
        <f t="shared" si="22"/>
        <v>431</v>
      </c>
      <c r="AE57" s="5">
        <v>276984</v>
      </c>
      <c r="AF57" s="93">
        <f t="shared" si="22"/>
        <v>406</v>
      </c>
      <c r="AG57" s="5">
        <v>277484</v>
      </c>
      <c r="AH57" s="93">
        <f t="shared" si="22"/>
        <v>500</v>
      </c>
      <c r="AI57" s="5">
        <v>277958</v>
      </c>
      <c r="AJ57" s="93">
        <f t="shared" si="22"/>
        <v>474</v>
      </c>
      <c r="AK57" s="5">
        <v>278442</v>
      </c>
      <c r="AL57" s="93">
        <f t="shared" si="22"/>
        <v>484</v>
      </c>
      <c r="AM57" s="5">
        <v>278970</v>
      </c>
      <c r="AN57" s="93">
        <f t="shared" si="22"/>
        <v>528</v>
      </c>
      <c r="AO57" s="5">
        <v>279584</v>
      </c>
      <c r="AP57" s="93">
        <f t="shared" si="22"/>
        <v>614</v>
      </c>
      <c r="AQ57" s="5">
        <v>280226</v>
      </c>
      <c r="AR57" s="93">
        <f t="shared" si="22"/>
        <v>642</v>
      </c>
      <c r="AS57" s="5">
        <v>280849</v>
      </c>
      <c r="AT57" s="93">
        <f t="shared" si="22"/>
        <v>623</v>
      </c>
      <c r="AU57" s="5">
        <v>281292</v>
      </c>
      <c r="AV57" s="93">
        <f t="shared" si="22"/>
        <v>443</v>
      </c>
      <c r="AW57" s="5">
        <v>281738</v>
      </c>
      <c r="AX57" s="93">
        <f t="shared" si="22"/>
        <v>446</v>
      </c>
      <c r="AY57" s="5">
        <v>282229</v>
      </c>
      <c r="AZ57" s="93">
        <f t="shared" si="22"/>
        <v>491</v>
      </c>
      <c r="BA57" s="5">
        <v>282648</v>
      </c>
      <c r="BB57" s="93">
        <f t="shared" si="22"/>
        <v>419</v>
      </c>
      <c r="BC57" s="5">
        <v>283149</v>
      </c>
      <c r="BD57" s="107">
        <f t="shared" si="22"/>
        <v>501</v>
      </c>
      <c r="BE57" s="5">
        <v>283713</v>
      </c>
      <c r="BF57" s="93">
        <f t="shared" si="22"/>
        <v>564</v>
      </c>
      <c r="BG57" s="5">
        <v>284101</v>
      </c>
      <c r="BH57" s="93">
        <f t="shared" si="22"/>
        <v>388</v>
      </c>
      <c r="BI57" s="5">
        <v>284451</v>
      </c>
      <c r="BJ57" s="93">
        <f t="shared" si="22"/>
        <v>350</v>
      </c>
      <c r="BK57" s="5"/>
      <c r="BL57" s="93"/>
    </row>
    <row r="58" spans="1:64" x14ac:dyDescent="0.25">
      <c r="A58" s="5" t="s">
        <v>263</v>
      </c>
      <c r="B58" s="5">
        <v>10287543.710000001</v>
      </c>
      <c r="C58" s="5">
        <v>10291899.27</v>
      </c>
      <c r="D58" s="93">
        <f t="shared" si="18"/>
        <v>4355.5599999986589</v>
      </c>
      <c r="E58" s="5">
        <v>10296632.35</v>
      </c>
      <c r="F58" s="93">
        <f t="shared" si="19"/>
        <v>4733.0800000000745</v>
      </c>
      <c r="G58" s="5">
        <v>10301169.33</v>
      </c>
      <c r="H58" s="93">
        <f t="shared" si="20"/>
        <v>4536.980000000447</v>
      </c>
      <c r="I58" s="5">
        <v>10305629.619999999</v>
      </c>
      <c r="J58" s="93">
        <f t="shared" si="21"/>
        <v>4460.2899999991059</v>
      </c>
      <c r="K58" s="5">
        <v>10310088.98</v>
      </c>
      <c r="L58" s="93">
        <f t="shared" si="22"/>
        <v>4459.3600000012666</v>
      </c>
      <c r="M58" s="5">
        <v>10314399.890000001</v>
      </c>
      <c r="N58" s="93">
        <f t="shared" si="22"/>
        <v>4310.910000000149</v>
      </c>
      <c r="O58" s="5">
        <v>10318675.93</v>
      </c>
      <c r="P58" s="93">
        <f t="shared" si="22"/>
        <v>4276.0399999991059</v>
      </c>
      <c r="Q58" s="5">
        <v>10323129.32</v>
      </c>
      <c r="R58" s="93">
        <f t="shared" si="23"/>
        <v>4453.390000000596</v>
      </c>
      <c r="S58" s="5">
        <v>10327381.939999999</v>
      </c>
      <c r="T58" s="93">
        <f t="shared" si="22"/>
        <v>4252.6199999991804</v>
      </c>
      <c r="U58" s="5">
        <v>10331785.65</v>
      </c>
      <c r="V58" s="93">
        <f t="shared" si="22"/>
        <v>4403.7100000008941</v>
      </c>
      <c r="W58" s="5">
        <v>10336312.83</v>
      </c>
      <c r="X58" s="93">
        <f t="shared" si="22"/>
        <v>4527.179999999702</v>
      </c>
      <c r="Y58" s="5">
        <v>10341097.09</v>
      </c>
      <c r="Z58" s="93">
        <f t="shared" si="22"/>
        <v>4784.2599999997765</v>
      </c>
      <c r="AA58" s="5">
        <v>10345838.58</v>
      </c>
      <c r="AB58" s="93">
        <f t="shared" si="22"/>
        <v>4741.4900000002235</v>
      </c>
      <c r="AC58" s="5">
        <v>10350584.33</v>
      </c>
      <c r="AD58" s="93">
        <f t="shared" si="22"/>
        <v>4745.75</v>
      </c>
      <c r="AE58" s="5">
        <v>10355266.380000001</v>
      </c>
      <c r="AF58" s="93">
        <f t="shared" si="22"/>
        <v>4682.0500000007451</v>
      </c>
      <c r="AG58" s="5">
        <v>10359927.66</v>
      </c>
      <c r="AH58" s="93">
        <f t="shared" si="22"/>
        <v>4661.2799999993294</v>
      </c>
      <c r="AI58" s="5">
        <v>10364515.76</v>
      </c>
      <c r="AJ58" s="93">
        <f t="shared" si="22"/>
        <v>4588.0999999996275</v>
      </c>
      <c r="AK58" s="5">
        <v>10369105.380000001</v>
      </c>
      <c r="AL58" s="93">
        <f t="shared" si="22"/>
        <v>4589.6200000010431</v>
      </c>
      <c r="AM58" s="5">
        <v>10373960.119999999</v>
      </c>
      <c r="AN58" s="93">
        <f t="shared" si="22"/>
        <v>4854.7399999983609</v>
      </c>
      <c r="AO58" s="5">
        <v>10378725.76</v>
      </c>
      <c r="AP58" s="93">
        <f t="shared" si="22"/>
        <v>4765.640000000596</v>
      </c>
      <c r="AQ58" s="5">
        <v>10383367.75</v>
      </c>
      <c r="AR58" s="93">
        <f t="shared" si="22"/>
        <v>4641.9900000002235</v>
      </c>
      <c r="AS58" s="5">
        <v>10388205.84</v>
      </c>
      <c r="AT58" s="93">
        <f t="shared" si="22"/>
        <v>4838.089999999851</v>
      </c>
      <c r="AU58" s="5">
        <v>10392646.52</v>
      </c>
      <c r="AV58" s="93">
        <f t="shared" si="22"/>
        <v>4440.679999999702</v>
      </c>
      <c r="AW58" s="5">
        <v>10397262.039999999</v>
      </c>
      <c r="AX58" s="93">
        <f t="shared" si="22"/>
        <v>4615.519999999553</v>
      </c>
      <c r="AY58" s="5">
        <v>10401892.140000001</v>
      </c>
      <c r="AZ58" s="93">
        <f t="shared" si="22"/>
        <v>4630.1000000014901</v>
      </c>
      <c r="BA58" s="5">
        <v>10406504.720000001</v>
      </c>
      <c r="BB58" s="93">
        <f t="shared" si="22"/>
        <v>4612.5800000000745</v>
      </c>
      <c r="BC58" s="5">
        <v>10411165.890000001</v>
      </c>
      <c r="BD58" s="107">
        <f t="shared" si="22"/>
        <v>4661.1699999999255</v>
      </c>
      <c r="BE58" s="5">
        <v>10415755.1</v>
      </c>
      <c r="BF58" s="93">
        <f t="shared" si="22"/>
        <v>4589.2099999990314</v>
      </c>
      <c r="BG58" s="5">
        <v>10420408.25</v>
      </c>
      <c r="BH58" s="93">
        <f t="shared" si="22"/>
        <v>4653.1500000003725</v>
      </c>
      <c r="BI58" s="5">
        <v>10425018.84</v>
      </c>
      <c r="BJ58" s="93">
        <f t="shared" si="22"/>
        <v>4610.589999999851</v>
      </c>
      <c r="BK58" s="5"/>
      <c r="BL58" s="93"/>
    </row>
    <row r="59" spans="1:64" x14ac:dyDescent="0.25">
      <c r="A59" s="5" t="s">
        <v>276</v>
      </c>
      <c r="B59" s="5">
        <v>49751</v>
      </c>
      <c r="C59" s="5">
        <v>49824</v>
      </c>
      <c r="D59" s="93">
        <f t="shared" si="18"/>
        <v>73</v>
      </c>
      <c r="E59" s="5">
        <v>49891</v>
      </c>
      <c r="F59" s="93">
        <f t="shared" si="19"/>
        <v>67</v>
      </c>
      <c r="G59" s="5">
        <v>49977</v>
      </c>
      <c r="H59" s="93">
        <f t="shared" si="20"/>
        <v>86</v>
      </c>
      <c r="I59" s="5">
        <v>50063</v>
      </c>
      <c r="J59" s="93">
        <f t="shared" si="21"/>
        <v>86</v>
      </c>
      <c r="K59" s="5">
        <v>50149</v>
      </c>
      <c r="L59" s="93">
        <f t="shared" si="22"/>
        <v>86</v>
      </c>
      <c r="M59" s="5">
        <v>50237</v>
      </c>
      <c r="N59" s="93">
        <f t="shared" si="22"/>
        <v>88</v>
      </c>
      <c r="O59" s="5">
        <v>50325</v>
      </c>
      <c r="P59" s="93">
        <f t="shared" si="22"/>
        <v>88</v>
      </c>
      <c r="Q59" s="5">
        <v>50414</v>
      </c>
      <c r="R59" s="93">
        <f t="shared" si="23"/>
        <v>89</v>
      </c>
      <c r="S59" s="5">
        <v>50502</v>
      </c>
      <c r="T59" s="93">
        <f t="shared" si="22"/>
        <v>88</v>
      </c>
      <c r="U59" s="5">
        <v>50586</v>
      </c>
      <c r="V59" s="93">
        <f t="shared" si="22"/>
        <v>84</v>
      </c>
      <c r="W59" s="5">
        <v>50670</v>
      </c>
      <c r="X59" s="93">
        <f t="shared" si="22"/>
        <v>84</v>
      </c>
      <c r="Y59" s="5">
        <v>50752</v>
      </c>
      <c r="Z59" s="93">
        <f t="shared" si="22"/>
        <v>82</v>
      </c>
      <c r="AA59" s="5">
        <v>50839</v>
      </c>
      <c r="AB59" s="93">
        <f t="shared" si="22"/>
        <v>87</v>
      </c>
      <c r="AC59" s="5">
        <v>50917</v>
      </c>
      <c r="AD59" s="93">
        <f t="shared" si="22"/>
        <v>78</v>
      </c>
      <c r="AE59" s="5">
        <v>50994</v>
      </c>
      <c r="AF59" s="93">
        <f t="shared" si="22"/>
        <v>77</v>
      </c>
      <c r="AG59" s="5">
        <v>51083</v>
      </c>
      <c r="AH59" s="93">
        <f t="shared" si="22"/>
        <v>89</v>
      </c>
      <c r="AI59" s="5">
        <v>51168</v>
      </c>
      <c r="AJ59" s="93">
        <f t="shared" si="22"/>
        <v>85</v>
      </c>
      <c r="AK59" s="5">
        <v>51254</v>
      </c>
      <c r="AL59" s="93">
        <f t="shared" si="22"/>
        <v>86</v>
      </c>
      <c r="AM59" s="5">
        <v>51347</v>
      </c>
      <c r="AN59" s="93">
        <f t="shared" si="22"/>
        <v>93</v>
      </c>
      <c r="AO59" s="5">
        <v>51445</v>
      </c>
      <c r="AP59" s="93">
        <f t="shared" si="22"/>
        <v>98</v>
      </c>
      <c r="AQ59" s="5">
        <v>51544</v>
      </c>
      <c r="AR59" s="93">
        <f t="shared" si="22"/>
        <v>99</v>
      </c>
      <c r="AS59" s="5">
        <v>51636</v>
      </c>
      <c r="AT59" s="93">
        <f t="shared" si="22"/>
        <v>92</v>
      </c>
      <c r="AU59" s="5">
        <v>51723</v>
      </c>
      <c r="AV59" s="93">
        <f t="shared" si="22"/>
        <v>87</v>
      </c>
      <c r="AW59" s="5">
        <v>51812</v>
      </c>
      <c r="AX59" s="93">
        <f t="shared" si="22"/>
        <v>89</v>
      </c>
      <c r="AY59" s="5">
        <v>51909</v>
      </c>
      <c r="AZ59" s="93">
        <f t="shared" si="22"/>
        <v>97</v>
      </c>
      <c r="BA59" s="5">
        <v>52005</v>
      </c>
      <c r="BB59" s="93">
        <f t="shared" si="22"/>
        <v>96</v>
      </c>
      <c r="BC59" s="5">
        <v>52103</v>
      </c>
      <c r="BD59" s="107">
        <f t="shared" si="22"/>
        <v>98</v>
      </c>
      <c r="BE59" s="5">
        <v>52191</v>
      </c>
      <c r="BF59" s="93">
        <f t="shared" si="22"/>
        <v>88</v>
      </c>
      <c r="BG59" s="5">
        <v>52273</v>
      </c>
      <c r="BH59" s="93">
        <f t="shared" si="22"/>
        <v>82</v>
      </c>
      <c r="BI59" s="5">
        <v>52367</v>
      </c>
      <c r="BJ59" s="93">
        <f t="shared" si="22"/>
        <v>94</v>
      </c>
      <c r="BK59" s="5"/>
      <c r="BL59" s="93"/>
    </row>
    <row r="60" spans="1:64" x14ac:dyDescent="0.25">
      <c r="A60" s="9" t="s">
        <v>121</v>
      </c>
      <c r="B60" s="5"/>
      <c r="C60" s="5">
        <v>0</v>
      </c>
      <c r="D60" s="93">
        <f t="shared" si="18"/>
        <v>0</v>
      </c>
      <c r="E60" s="5">
        <v>0</v>
      </c>
      <c r="F60" s="93">
        <f t="shared" si="19"/>
        <v>0</v>
      </c>
      <c r="G60" s="5">
        <v>0</v>
      </c>
      <c r="H60" s="93">
        <f t="shared" si="20"/>
        <v>0</v>
      </c>
      <c r="I60" s="5">
        <v>0</v>
      </c>
      <c r="J60" s="93">
        <f t="shared" si="21"/>
        <v>0</v>
      </c>
      <c r="K60" s="5">
        <v>0</v>
      </c>
      <c r="L60" s="93">
        <f t="shared" si="22"/>
        <v>0</v>
      </c>
      <c r="M60" s="5">
        <v>0</v>
      </c>
      <c r="N60" s="93">
        <f t="shared" si="22"/>
        <v>0</v>
      </c>
      <c r="O60" s="5">
        <v>0</v>
      </c>
      <c r="P60" s="93">
        <f t="shared" si="22"/>
        <v>0</v>
      </c>
      <c r="Q60" s="5">
        <v>0</v>
      </c>
      <c r="R60" s="93">
        <f t="shared" si="23"/>
        <v>0</v>
      </c>
      <c r="S60" s="5">
        <v>0</v>
      </c>
      <c r="T60" s="93">
        <f t="shared" si="22"/>
        <v>0</v>
      </c>
      <c r="U60" s="5">
        <v>0</v>
      </c>
      <c r="V60" s="93">
        <f t="shared" si="22"/>
        <v>0</v>
      </c>
      <c r="W60" s="5">
        <v>0</v>
      </c>
      <c r="X60" s="93">
        <f t="shared" si="22"/>
        <v>0</v>
      </c>
      <c r="Y60" s="5">
        <v>0</v>
      </c>
      <c r="Z60" s="93">
        <f t="shared" si="22"/>
        <v>0</v>
      </c>
      <c r="AA60" s="5">
        <v>0</v>
      </c>
      <c r="AB60" s="93">
        <f t="shared" si="22"/>
        <v>0</v>
      </c>
      <c r="AC60" s="5">
        <v>0</v>
      </c>
      <c r="AD60" s="93">
        <f t="shared" si="22"/>
        <v>0</v>
      </c>
      <c r="AE60" s="5">
        <v>0</v>
      </c>
      <c r="AF60" s="93">
        <f t="shared" si="22"/>
        <v>0</v>
      </c>
      <c r="AG60" s="5">
        <v>0</v>
      </c>
      <c r="AH60" s="93">
        <f t="shared" si="22"/>
        <v>0</v>
      </c>
      <c r="AI60" s="5">
        <v>0</v>
      </c>
      <c r="AJ60" s="93">
        <f t="shared" si="22"/>
        <v>0</v>
      </c>
      <c r="AK60" s="5">
        <v>0</v>
      </c>
      <c r="AL60" s="93">
        <f t="shared" si="22"/>
        <v>0</v>
      </c>
      <c r="AM60" s="5">
        <v>0</v>
      </c>
      <c r="AN60" s="93">
        <f t="shared" si="22"/>
        <v>0</v>
      </c>
      <c r="AO60" s="5">
        <v>0</v>
      </c>
      <c r="AP60" s="93">
        <f t="shared" si="22"/>
        <v>0</v>
      </c>
      <c r="AQ60" s="5">
        <v>0</v>
      </c>
      <c r="AR60" s="93">
        <f t="shared" si="22"/>
        <v>0</v>
      </c>
      <c r="AS60" s="5">
        <v>0</v>
      </c>
      <c r="AT60" s="93">
        <f t="shared" si="22"/>
        <v>0</v>
      </c>
      <c r="AU60" s="5">
        <v>0</v>
      </c>
      <c r="AV60" s="93">
        <f t="shared" si="22"/>
        <v>0</v>
      </c>
      <c r="AW60" s="5">
        <v>0</v>
      </c>
      <c r="AX60" s="93">
        <f t="shared" si="22"/>
        <v>0</v>
      </c>
      <c r="AY60" s="5">
        <v>0</v>
      </c>
      <c r="AZ60" s="93">
        <f t="shared" si="22"/>
        <v>0</v>
      </c>
      <c r="BA60" s="5">
        <v>0</v>
      </c>
      <c r="BB60" s="93">
        <f t="shared" si="22"/>
        <v>0</v>
      </c>
      <c r="BC60" s="5">
        <v>0</v>
      </c>
      <c r="BD60" s="107">
        <f t="shared" si="22"/>
        <v>0</v>
      </c>
      <c r="BE60" s="5">
        <v>0</v>
      </c>
      <c r="BF60" s="93">
        <f t="shared" si="22"/>
        <v>0</v>
      </c>
      <c r="BG60" s="5">
        <v>0</v>
      </c>
      <c r="BH60" s="93">
        <f t="shared" si="22"/>
        <v>0</v>
      </c>
      <c r="BI60" s="5">
        <v>0</v>
      </c>
      <c r="BJ60" s="93">
        <f t="shared" si="22"/>
        <v>0</v>
      </c>
      <c r="BK60" s="5"/>
      <c r="BL60" s="93"/>
    </row>
    <row r="61" spans="1:64" x14ac:dyDescent="0.25">
      <c r="A61" s="9" t="s">
        <v>109</v>
      </c>
      <c r="B61" s="5"/>
      <c r="C61" s="5">
        <v>0</v>
      </c>
      <c r="D61" s="93">
        <f t="shared" si="18"/>
        <v>0</v>
      </c>
      <c r="E61" s="5">
        <v>0</v>
      </c>
      <c r="F61" s="93">
        <f t="shared" si="19"/>
        <v>0</v>
      </c>
      <c r="G61" s="5">
        <v>0</v>
      </c>
      <c r="H61" s="93">
        <f t="shared" si="20"/>
        <v>0</v>
      </c>
      <c r="I61" s="5">
        <v>0</v>
      </c>
      <c r="J61" s="93">
        <f t="shared" si="21"/>
        <v>0</v>
      </c>
      <c r="K61" s="5">
        <v>0</v>
      </c>
      <c r="L61" s="93">
        <f t="shared" si="22"/>
        <v>0</v>
      </c>
      <c r="M61" s="5">
        <v>0</v>
      </c>
      <c r="N61" s="93">
        <f t="shared" si="22"/>
        <v>0</v>
      </c>
      <c r="O61" s="5">
        <v>0</v>
      </c>
      <c r="P61" s="93">
        <f t="shared" si="22"/>
        <v>0</v>
      </c>
      <c r="Q61" s="5">
        <v>0</v>
      </c>
      <c r="R61" s="93">
        <f t="shared" si="23"/>
        <v>0</v>
      </c>
      <c r="S61" s="5">
        <v>0</v>
      </c>
      <c r="T61" s="93">
        <f t="shared" si="22"/>
        <v>0</v>
      </c>
      <c r="U61" s="5">
        <v>0</v>
      </c>
      <c r="V61" s="93">
        <f t="shared" si="22"/>
        <v>0</v>
      </c>
      <c r="W61" s="5">
        <v>0</v>
      </c>
      <c r="X61" s="93">
        <f t="shared" si="22"/>
        <v>0</v>
      </c>
      <c r="Y61" s="5">
        <v>0</v>
      </c>
      <c r="Z61" s="93">
        <f t="shared" si="22"/>
        <v>0</v>
      </c>
      <c r="AA61" s="5">
        <v>0</v>
      </c>
      <c r="AB61" s="93">
        <f t="shared" si="22"/>
        <v>0</v>
      </c>
      <c r="AC61" s="5">
        <v>0</v>
      </c>
      <c r="AD61" s="93">
        <f t="shared" si="22"/>
        <v>0</v>
      </c>
      <c r="AE61" s="5">
        <v>0</v>
      </c>
      <c r="AF61" s="93">
        <f t="shared" si="22"/>
        <v>0</v>
      </c>
      <c r="AG61" s="5">
        <v>0</v>
      </c>
      <c r="AH61" s="93">
        <f t="shared" si="22"/>
        <v>0</v>
      </c>
      <c r="AI61" s="5">
        <v>0</v>
      </c>
      <c r="AJ61" s="93">
        <f t="shared" si="22"/>
        <v>0</v>
      </c>
      <c r="AK61" s="5">
        <v>0</v>
      </c>
      <c r="AL61" s="93">
        <f t="shared" si="22"/>
        <v>0</v>
      </c>
      <c r="AM61" s="5">
        <v>0</v>
      </c>
      <c r="AN61" s="93">
        <f t="shared" si="22"/>
        <v>0</v>
      </c>
      <c r="AO61" s="5">
        <v>0</v>
      </c>
      <c r="AP61" s="93">
        <f t="shared" si="22"/>
        <v>0</v>
      </c>
      <c r="AQ61" s="5">
        <v>0</v>
      </c>
      <c r="AR61" s="93">
        <f t="shared" si="22"/>
        <v>0</v>
      </c>
      <c r="AS61" s="5">
        <v>0</v>
      </c>
      <c r="AT61" s="93">
        <f t="shared" si="22"/>
        <v>0</v>
      </c>
      <c r="AU61" s="5">
        <v>0</v>
      </c>
      <c r="AV61" s="93">
        <f t="shared" si="22"/>
        <v>0</v>
      </c>
      <c r="AW61" s="5">
        <v>0</v>
      </c>
      <c r="AX61" s="93">
        <f t="shared" si="22"/>
        <v>0</v>
      </c>
      <c r="AY61" s="5">
        <v>0</v>
      </c>
      <c r="AZ61" s="93">
        <f t="shared" si="22"/>
        <v>0</v>
      </c>
      <c r="BA61" s="5">
        <v>0</v>
      </c>
      <c r="BB61" s="93">
        <f t="shared" si="22"/>
        <v>0</v>
      </c>
      <c r="BC61" s="5">
        <v>0</v>
      </c>
      <c r="BD61" s="107">
        <f t="shared" si="22"/>
        <v>0</v>
      </c>
      <c r="BE61" s="5">
        <v>0</v>
      </c>
      <c r="BF61" s="93">
        <f t="shared" si="22"/>
        <v>0</v>
      </c>
      <c r="BG61" s="5">
        <v>0</v>
      </c>
      <c r="BH61" s="93">
        <f t="shared" si="22"/>
        <v>0</v>
      </c>
      <c r="BI61" s="5">
        <v>0</v>
      </c>
      <c r="BJ61" s="93">
        <f t="shared" si="22"/>
        <v>0</v>
      </c>
      <c r="BK61" s="5"/>
      <c r="BL61" s="93"/>
    </row>
    <row r="62" spans="1:64" x14ac:dyDescent="0.25">
      <c r="A62" s="5" t="s">
        <v>3</v>
      </c>
      <c r="B62" s="5"/>
      <c r="C62" s="5">
        <v>0</v>
      </c>
      <c r="D62" s="93">
        <f t="shared" si="18"/>
        <v>0</v>
      </c>
      <c r="E62" s="5">
        <v>0</v>
      </c>
      <c r="F62" s="93">
        <f t="shared" si="19"/>
        <v>0</v>
      </c>
      <c r="G62" s="5">
        <v>0</v>
      </c>
      <c r="H62" s="93">
        <f t="shared" si="20"/>
        <v>0</v>
      </c>
      <c r="I62" s="5">
        <v>0</v>
      </c>
      <c r="J62" s="93">
        <f t="shared" si="21"/>
        <v>0</v>
      </c>
      <c r="K62" s="5">
        <v>0</v>
      </c>
      <c r="L62" s="93">
        <f t="shared" si="22"/>
        <v>0</v>
      </c>
      <c r="M62" s="5">
        <v>0</v>
      </c>
      <c r="N62" s="93">
        <f t="shared" si="22"/>
        <v>0</v>
      </c>
      <c r="O62" s="5">
        <v>0</v>
      </c>
      <c r="P62" s="93">
        <f t="shared" si="22"/>
        <v>0</v>
      </c>
      <c r="Q62" s="5">
        <v>0</v>
      </c>
      <c r="R62" s="93">
        <f t="shared" si="23"/>
        <v>0</v>
      </c>
      <c r="S62" s="5">
        <v>0</v>
      </c>
      <c r="T62" s="93">
        <f t="shared" si="22"/>
        <v>0</v>
      </c>
      <c r="U62" s="5">
        <v>0</v>
      </c>
      <c r="V62" s="93">
        <f t="shared" si="22"/>
        <v>0</v>
      </c>
      <c r="W62" s="5">
        <v>0</v>
      </c>
      <c r="X62" s="93">
        <f t="shared" si="22"/>
        <v>0</v>
      </c>
      <c r="Y62" s="5">
        <v>0</v>
      </c>
      <c r="Z62" s="93">
        <f t="shared" si="22"/>
        <v>0</v>
      </c>
      <c r="AA62" s="5">
        <v>0</v>
      </c>
      <c r="AB62" s="93">
        <f t="shared" si="22"/>
        <v>0</v>
      </c>
      <c r="AC62" s="5">
        <v>0</v>
      </c>
      <c r="AD62" s="93">
        <f t="shared" si="22"/>
        <v>0</v>
      </c>
      <c r="AE62" s="5">
        <v>0</v>
      </c>
      <c r="AF62" s="93">
        <f t="shared" si="22"/>
        <v>0</v>
      </c>
      <c r="AG62" s="5">
        <v>0</v>
      </c>
      <c r="AH62" s="93">
        <f t="shared" si="22"/>
        <v>0</v>
      </c>
      <c r="AI62" s="5">
        <v>0</v>
      </c>
      <c r="AJ62" s="93">
        <f t="shared" si="22"/>
        <v>0</v>
      </c>
      <c r="AK62" s="5">
        <v>0</v>
      </c>
      <c r="AL62" s="93">
        <f t="shared" si="22"/>
        <v>0</v>
      </c>
      <c r="AM62" s="5">
        <v>0</v>
      </c>
      <c r="AN62" s="93">
        <f t="shared" si="22"/>
        <v>0</v>
      </c>
      <c r="AO62" s="5">
        <v>0</v>
      </c>
      <c r="AP62" s="93">
        <f t="shared" si="22"/>
        <v>0</v>
      </c>
      <c r="AQ62" s="5">
        <v>0</v>
      </c>
      <c r="AR62" s="93">
        <f t="shared" si="22"/>
        <v>0</v>
      </c>
      <c r="AS62" s="5">
        <v>0</v>
      </c>
      <c r="AT62" s="93">
        <f t="shared" si="22"/>
        <v>0</v>
      </c>
      <c r="AU62" s="5">
        <v>0</v>
      </c>
      <c r="AV62" s="93">
        <f t="shared" si="22"/>
        <v>0</v>
      </c>
      <c r="AW62" s="5">
        <v>0</v>
      </c>
      <c r="AX62" s="93">
        <f t="shared" si="22"/>
        <v>0</v>
      </c>
      <c r="AY62" s="5">
        <v>0</v>
      </c>
      <c r="AZ62" s="93">
        <f t="shared" si="22"/>
        <v>0</v>
      </c>
      <c r="BA62" s="5">
        <v>0</v>
      </c>
      <c r="BB62" s="93">
        <f t="shared" si="22"/>
        <v>0</v>
      </c>
      <c r="BC62" s="5">
        <v>0</v>
      </c>
      <c r="BD62" s="107">
        <f t="shared" si="22"/>
        <v>0</v>
      </c>
      <c r="BE62" s="5">
        <v>0</v>
      </c>
      <c r="BF62" s="93">
        <f t="shared" si="22"/>
        <v>0</v>
      </c>
      <c r="BG62" s="5">
        <v>0</v>
      </c>
      <c r="BH62" s="93">
        <f t="shared" si="22"/>
        <v>0</v>
      </c>
      <c r="BI62" s="5">
        <v>0</v>
      </c>
      <c r="BJ62" s="93">
        <f t="shared" si="22"/>
        <v>0</v>
      </c>
      <c r="BK62" s="5"/>
      <c r="BL62" s="93"/>
    </row>
    <row r="63" spans="1:64" ht="18.75" x14ac:dyDescent="0.25">
      <c r="A63" s="86" t="s">
        <v>238</v>
      </c>
      <c r="B63" s="5"/>
      <c r="C63" s="5">
        <v>0</v>
      </c>
      <c r="D63" s="93"/>
      <c r="E63" s="5">
        <v>0</v>
      </c>
      <c r="F63" s="93"/>
      <c r="G63" s="5">
        <v>0</v>
      </c>
      <c r="H63" s="93"/>
      <c r="I63" s="5">
        <v>0</v>
      </c>
      <c r="J63" s="93"/>
      <c r="K63" s="5">
        <v>0</v>
      </c>
      <c r="L63" s="93"/>
      <c r="M63" s="5">
        <v>0</v>
      </c>
      <c r="N63" s="93"/>
      <c r="O63" s="5">
        <v>0</v>
      </c>
      <c r="P63" s="93"/>
      <c r="Q63" s="5">
        <v>0</v>
      </c>
      <c r="R63" s="93"/>
      <c r="S63" s="5">
        <v>0</v>
      </c>
      <c r="T63" s="93"/>
      <c r="U63" s="5">
        <v>0</v>
      </c>
      <c r="V63" s="93"/>
      <c r="W63" s="5">
        <v>0</v>
      </c>
      <c r="X63" s="93"/>
      <c r="Y63" s="5">
        <v>0</v>
      </c>
      <c r="Z63" s="93"/>
      <c r="AA63" s="5">
        <v>0</v>
      </c>
      <c r="AB63" s="93"/>
      <c r="AC63" s="5">
        <v>0</v>
      </c>
      <c r="AD63" s="93"/>
      <c r="AE63" s="5">
        <v>0</v>
      </c>
      <c r="AF63" s="93"/>
      <c r="AG63" s="5">
        <v>0</v>
      </c>
      <c r="AH63" s="93"/>
      <c r="AI63" s="5">
        <v>0</v>
      </c>
      <c r="AJ63" s="93"/>
      <c r="AK63" s="5">
        <v>0</v>
      </c>
      <c r="AL63" s="93"/>
      <c r="AM63" s="5">
        <v>0</v>
      </c>
      <c r="AN63" s="93"/>
      <c r="AO63" s="5">
        <v>0</v>
      </c>
      <c r="AP63" s="93"/>
      <c r="AQ63" s="5">
        <v>0</v>
      </c>
      <c r="AR63" s="93"/>
      <c r="AS63" s="5">
        <v>0</v>
      </c>
      <c r="AT63" s="93"/>
      <c r="AU63" s="5">
        <v>0</v>
      </c>
      <c r="AV63" s="93"/>
      <c r="AW63" s="5">
        <v>0</v>
      </c>
      <c r="AX63" s="93"/>
      <c r="AY63" s="5">
        <v>0</v>
      </c>
      <c r="AZ63" s="93"/>
      <c r="BA63" s="5">
        <v>0</v>
      </c>
      <c r="BB63" s="93"/>
      <c r="BC63" s="5">
        <v>0</v>
      </c>
      <c r="BD63" s="107"/>
      <c r="BE63" s="5">
        <v>0</v>
      </c>
      <c r="BF63" s="93"/>
      <c r="BG63" s="5">
        <v>0</v>
      </c>
      <c r="BH63" s="93"/>
      <c r="BI63" s="5">
        <v>0</v>
      </c>
      <c r="BJ63" s="93"/>
      <c r="BK63" s="5"/>
      <c r="BL63" s="93"/>
    </row>
    <row r="64" spans="1:64" x14ac:dyDescent="0.25">
      <c r="A64" s="5" t="s">
        <v>16</v>
      </c>
      <c r="B64" s="5">
        <v>9447786</v>
      </c>
      <c r="C64" s="5">
        <v>9450211.9100000001</v>
      </c>
      <c r="D64" s="93">
        <f>C64-B64</f>
        <v>2425.910000000149</v>
      </c>
      <c r="E64" s="5">
        <v>9453005.7899999991</v>
      </c>
      <c r="F64" s="93">
        <f>E64-C64</f>
        <v>2793.8799999989569</v>
      </c>
      <c r="G64" s="5">
        <v>9455569.4000000004</v>
      </c>
      <c r="H64" s="93">
        <f>G64-E64</f>
        <v>2563.6100000012666</v>
      </c>
      <c r="I64" s="5">
        <v>9458047.5199999996</v>
      </c>
      <c r="J64" s="93">
        <f>I64-G64</f>
        <v>2478.1199999991804</v>
      </c>
      <c r="K64" s="5">
        <v>9460382.4600000009</v>
      </c>
      <c r="L64" s="93">
        <f>K64-I64</f>
        <v>2334.9400000013411</v>
      </c>
      <c r="M64" s="5">
        <v>9462964.7899999991</v>
      </c>
      <c r="N64" s="93">
        <f>M64-K64</f>
        <v>2582.3299999982119</v>
      </c>
      <c r="O64" s="5">
        <v>9465536.6400000006</v>
      </c>
      <c r="P64" s="93">
        <f>O64-M64</f>
        <v>2571.8500000014901</v>
      </c>
      <c r="Q64" s="5">
        <v>9467793.1400000006</v>
      </c>
      <c r="R64" s="93">
        <f>Q64-O64</f>
        <v>2256.5</v>
      </c>
      <c r="S64" s="5">
        <v>9469554.9100000001</v>
      </c>
      <c r="T64" s="93">
        <f>S64-Q64</f>
        <v>1761.769999999553</v>
      </c>
      <c r="U64" s="5">
        <v>9471398.6999999993</v>
      </c>
      <c r="V64" s="93">
        <f>U64-S64</f>
        <v>1843.7899999991059</v>
      </c>
      <c r="W64" s="5">
        <v>9473938.2100000009</v>
      </c>
      <c r="X64" s="93">
        <f>W64-U64</f>
        <v>2539.5100000016391</v>
      </c>
      <c r="Y64" s="5">
        <v>9476411.7699999996</v>
      </c>
      <c r="Z64" s="93">
        <f>Y64-W64</f>
        <v>2473.5599999986589</v>
      </c>
      <c r="AA64" s="5">
        <v>9479092.7200000007</v>
      </c>
      <c r="AB64" s="93">
        <f>AA64-Y64</f>
        <v>2680.9500000011176</v>
      </c>
      <c r="AC64" s="5">
        <v>9481211.0299999993</v>
      </c>
      <c r="AD64" s="93">
        <f>AC64-AA64</f>
        <v>2118.3099999986589</v>
      </c>
      <c r="AE64" s="5">
        <v>9483541.2400000002</v>
      </c>
      <c r="AF64" s="93">
        <f>AE64-AC64</f>
        <v>2330.2100000008941</v>
      </c>
      <c r="AG64" s="5">
        <v>9485627.7400000002</v>
      </c>
      <c r="AH64" s="93">
        <f>AG64-AE64</f>
        <v>2086.5</v>
      </c>
      <c r="AI64" s="5">
        <v>9488121.9399999995</v>
      </c>
      <c r="AJ64" s="93">
        <f>AI64-AG64</f>
        <v>2494.1999999992549</v>
      </c>
      <c r="AK64" s="5">
        <v>9490555.8800000008</v>
      </c>
      <c r="AL64" s="93">
        <f>AK64-AI64</f>
        <v>2433.9400000013411</v>
      </c>
      <c r="AM64" s="5">
        <v>9493502.6500000004</v>
      </c>
      <c r="AN64" s="93">
        <f>AM64-AK64</f>
        <v>2946.769999999553</v>
      </c>
      <c r="AO64" s="5">
        <v>9496354.1300000008</v>
      </c>
      <c r="AP64" s="93">
        <f>AO64-AM64</f>
        <v>2851.480000000447</v>
      </c>
      <c r="AQ64" s="5">
        <v>9499268.9000000004</v>
      </c>
      <c r="AR64" s="93">
        <f>AQ64-AO64</f>
        <v>2914.769999999553</v>
      </c>
      <c r="AS64" s="5">
        <v>9502143.6099999994</v>
      </c>
      <c r="AT64" s="93">
        <f>AS64-AQ64</f>
        <v>2874.7099999990314</v>
      </c>
      <c r="AU64" s="5">
        <v>9504933.7699999996</v>
      </c>
      <c r="AV64" s="93">
        <f>AU64-AS64</f>
        <v>2790.160000000149</v>
      </c>
      <c r="AW64" s="5">
        <v>9507560.3200000003</v>
      </c>
      <c r="AX64" s="93">
        <f>AW64-AU64</f>
        <v>2626.5500000007451</v>
      </c>
      <c r="AY64" s="5">
        <v>9510587.5500000007</v>
      </c>
      <c r="AZ64" s="93">
        <f>AY64-AW64</f>
        <v>3027.230000000447</v>
      </c>
      <c r="BA64" s="5">
        <v>9513405.2300000004</v>
      </c>
      <c r="BB64" s="93">
        <f>BA64-AY64</f>
        <v>2817.679999999702</v>
      </c>
      <c r="BC64" s="5">
        <v>9516121.1400000006</v>
      </c>
      <c r="BD64" s="107">
        <f>BC64-BA64</f>
        <v>2715.910000000149</v>
      </c>
      <c r="BE64" s="5">
        <v>9518801.4199999999</v>
      </c>
      <c r="BF64" s="93">
        <f>BE64-BC64</f>
        <v>2680.2799999993294</v>
      </c>
      <c r="BG64" s="5">
        <v>9521523.6300000008</v>
      </c>
      <c r="BH64" s="93">
        <f>BG64-BE64</f>
        <v>2722.2100000008941</v>
      </c>
      <c r="BI64" s="5">
        <v>9524179.8399999999</v>
      </c>
      <c r="BJ64" s="93">
        <f>BI64-BG64</f>
        <v>2656.2099999990314</v>
      </c>
      <c r="BK64" s="5"/>
      <c r="BL64" s="93"/>
    </row>
    <row r="65" spans="1:64" x14ac:dyDescent="0.25">
      <c r="A65" s="5" t="s">
        <v>110</v>
      </c>
      <c r="B65" s="5">
        <v>484939.37</v>
      </c>
      <c r="C65" s="5">
        <v>485216.92</v>
      </c>
      <c r="D65" s="93">
        <f>C65-B65</f>
        <v>277.54999999998836</v>
      </c>
      <c r="E65" s="5">
        <v>485519.55</v>
      </c>
      <c r="F65" s="93">
        <f>E65-C65</f>
        <v>302.63000000000466</v>
      </c>
      <c r="G65" s="5">
        <v>485798.39</v>
      </c>
      <c r="H65" s="93">
        <f>G65-E65</f>
        <v>278.84000000002561</v>
      </c>
      <c r="I65" s="5">
        <v>486091.52000000002</v>
      </c>
      <c r="J65" s="93">
        <f>I65-G65</f>
        <v>293.13000000000466</v>
      </c>
      <c r="K65" s="5">
        <v>486386.79</v>
      </c>
      <c r="L65" s="93">
        <f>K65-I65</f>
        <v>295.26999999996042</v>
      </c>
      <c r="M65" s="5">
        <v>486665.83</v>
      </c>
      <c r="N65" s="93">
        <f>M65-K65</f>
        <v>279.04000000003725</v>
      </c>
      <c r="O65" s="5">
        <v>486912.56</v>
      </c>
      <c r="P65" s="93">
        <f>O65-M65</f>
        <v>246.72999999998137</v>
      </c>
      <c r="Q65" s="5">
        <v>487206.44</v>
      </c>
      <c r="R65" s="93">
        <f>Q65-O65</f>
        <v>293.88000000000466</v>
      </c>
      <c r="S65" s="5">
        <v>487480.02</v>
      </c>
      <c r="T65" s="93">
        <f>S65-Q65</f>
        <v>273.5800000000163</v>
      </c>
      <c r="U65" s="5">
        <v>487723.87</v>
      </c>
      <c r="V65" s="93">
        <f>U65-S65</f>
        <v>243.84999999997672</v>
      </c>
      <c r="W65" s="5">
        <v>488013.93</v>
      </c>
      <c r="X65" s="93">
        <f>W65-U65</f>
        <v>290.05999999999767</v>
      </c>
      <c r="Y65" s="5">
        <v>488332.4</v>
      </c>
      <c r="Z65" s="93">
        <f>Y65-W65</f>
        <v>318.47000000003027</v>
      </c>
      <c r="AA65" s="5">
        <v>488591</v>
      </c>
      <c r="AB65" s="93">
        <f>AA65-Y65</f>
        <v>258.59999999997672</v>
      </c>
      <c r="AC65" s="5">
        <v>488893.5</v>
      </c>
      <c r="AD65" s="93">
        <f>AC65-AA65</f>
        <v>302.5</v>
      </c>
      <c r="AE65" s="5">
        <v>489191.19</v>
      </c>
      <c r="AF65" s="93">
        <f>AE65-AC65</f>
        <v>297.69000000000233</v>
      </c>
      <c r="AG65" s="5">
        <v>489501.66</v>
      </c>
      <c r="AH65" s="93">
        <f>AG65-AE65</f>
        <v>310.46999999997206</v>
      </c>
      <c r="AI65" s="5">
        <v>489808.53</v>
      </c>
      <c r="AJ65" s="93">
        <f>AI65-AG65</f>
        <v>306.87000000005355</v>
      </c>
      <c r="AK65" s="5">
        <v>490021.58</v>
      </c>
      <c r="AL65" s="93">
        <f>AK65-AI65</f>
        <v>213.04999999998836</v>
      </c>
      <c r="AM65" s="5">
        <v>490308.33</v>
      </c>
      <c r="AN65" s="93">
        <f>AM65-AK65</f>
        <v>286.75</v>
      </c>
      <c r="AO65" s="5">
        <v>490577.17</v>
      </c>
      <c r="AP65" s="93">
        <f>AO65-AM65</f>
        <v>268.8399999999674</v>
      </c>
      <c r="AQ65" s="5">
        <v>490882.16</v>
      </c>
      <c r="AR65" s="93">
        <f>AQ65-AO65</f>
        <v>304.98999999999069</v>
      </c>
      <c r="AS65" s="5">
        <v>491215.96</v>
      </c>
      <c r="AT65" s="93">
        <f>AS65-AQ65</f>
        <v>333.80000000004657</v>
      </c>
      <c r="AU65" s="5">
        <v>491534.71</v>
      </c>
      <c r="AV65" s="93">
        <f>AU65-AS65</f>
        <v>318.75</v>
      </c>
      <c r="AW65" s="5">
        <v>491853.49</v>
      </c>
      <c r="AX65" s="93">
        <f>AW65-AU65</f>
        <v>318.77999999996973</v>
      </c>
      <c r="AY65" s="5">
        <v>492179.54</v>
      </c>
      <c r="AZ65" s="93">
        <f>AY65-AW65</f>
        <v>326.04999999998836</v>
      </c>
      <c r="BA65" s="5">
        <v>492505.72</v>
      </c>
      <c r="BB65" s="93">
        <f>BA65-AY65</f>
        <v>326.17999999999302</v>
      </c>
      <c r="BC65" s="5">
        <v>492828.26</v>
      </c>
      <c r="BD65" s="107">
        <f>BC65-BA65</f>
        <v>322.54000000003725</v>
      </c>
      <c r="BE65" s="5">
        <v>493109.57</v>
      </c>
      <c r="BF65" s="93">
        <f>BE65-BC65</f>
        <v>281.30999999999767</v>
      </c>
      <c r="BG65" s="5">
        <v>493426.01</v>
      </c>
      <c r="BH65" s="93">
        <f>BG65-BE65</f>
        <v>316.44000000000233</v>
      </c>
      <c r="BI65" s="5">
        <v>493744.46</v>
      </c>
      <c r="BJ65" s="93">
        <f>BI65-BG65</f>
        <v>318.45000000001164</v>
      </c>
      <c r="BK65" s="5"/>
      <c r="BL65" s="93"/>
    </row>
    <row r="66" spans="1:64" ht="18.75" x14ac:dyDescent="0.25">
      <c r="A66" s="86" t="s">
        <v>239</v>
      </c>
      <c r="B66" s="5"/>
      <c r="C66" s="5">
        <v>0</v>
      </c>
      <c r="D66" s="93"/>
      <c r="E66" s="5">
        <v>0</v>
      </c>
      <c r="F66" s="93"/>
      <c r="G66" s="5">
        <v>0</v>
      </c>
      <c r="H66" s="93"/>
      <c r="I66" s="5">
        <v>0</v>
      </c>
      <c r="J66" s="93"/>
      <c r="K66" s="5">
        <v>0</v>
      </c>
      <c r="L66" s="93"/>
      <c r="M66" s="5">
        <v>0</v>
      </c>
      <c r="N66" s="93"/>
      <c r="O66" s="5">
        <v>0</v>
      </c>
      <c r="P66" s="93"/>
      <c r="Q66" s="5">
        <v>0</v>
      </c>
      <c r="R66" s="93"/>
      <c r="S66" s="5">
        <v>0</v>
      </c>
      <c r="T66" s="93"/>
      <c r="U66" s="5">
        <v>0</v>
      </c>
      <c r="V66" s="93"/>
      <c r="W66" s="5">
        <v>0</v>
      </c>
      <c r="X66" s="93"/>
      <c r="Y66" s="5">
        <v>0</v>
      </c>
      <c r="Z66" s="93"/>
      <c r="AA66" s="5">
        <v>0</v>
      </c>
      <c r="AB66" s="93"/>
      <c r="AC66" s="5">
        <v>0</v>
      </c>
      <c r="AD66" s="93"/>
      <c r="AE66" s="5">
        <v>0</v>
      </c>
      <c r="AF66" s="93"/>
      <c r="AG66" s="5">
        <v>0</v>
      </c>
      <c r="AH66" s="93"/>
      <c r="AI66" s="5">
        <v>0</v>
      </c>
      <c r="AJ66" s="93"/>
      <c r="AK66" s="5">
        <v>0</v>
      </c>
      <c r="AL66" s="93"/>
      <c r="AM66" s="5">
        <v>0</v>
      </c>
      <c r="AN66" s="93"/>
      <c r="AO66" s="5">
        <v>0</v>
      </c>
      <c r="AP66" s="93"/>
      <c r="AQ66" s="5">
        <v>0</v>
      </c>
      <c r="AR66" s="93"/>
      <c r="AS66" s="5">
        <v>0</v>
      </c>
      <c r="AT66" s="93"/>
      <c r="AU66" s="5">
        <v>0</v>
      </c>
      <c r="AV66" s="93"/>
      <c r="AW66" s="5">
        <v>0</v>
      </c>
      <c r="AX66" s="93"/>
      <c r="AY66" s="5">
        <v>0</v>
      </c>
      <c r="AZ66" s="93"/>
      <c r="BA66" s="5">
        <v>0</v>
      </c>
      <c r="BB66" s="93"/>
      <c r="BC66" s="5">
        <v>0</v>
      </c>
      <c r="BD66" s="107"/>
      <c r="BE66" s="5">
        <v>0</v>
      </c>
      <c r="BF66" s="93"/>
      <c r="BG66" s="5">
        <v>0</v>
      </c>
      <c r="BH66" s="93"/>
      <c r="BI66" s="5">
        <v>0</v>
      </c>
      <c r="BJ66" s="93"/>
      <c r="BK66" s="5"/>
      <c r="BL66" s="93"/>
    </row>
    <row r="67" spans="1:64" x14ac:dyDescent="0.25">
      <c r="A67" s="5" t="s">
        <v>264</v>
      </c>
      <c r="B67" s="5">
        <v>1458080</v>
      </c>
      <c r="C67" s="5">
        <v>1459923</v>
      </c>
      <c r="D67" s="93">
        <f>C67-B67</f>
        <v>1843</v>
      </c>
      <c r="E67" s="5">
        <v>1462142</v>
      </c>
      <c r="F67" s="93">
        <f>E67-C67</f>
        <v>2219</v>
      </c>
      <c r="G67" s="5">
        <v>1464145</v>
      </c>
      <c r="H67" s="93">
        <f>G67-E67</f>
        <v>2003</v>
      </c>
      <c r="I67" s="5">
        <v>1466252</v>
      </c>
      <c r="J67" s="93">
        <f>I67-G67</f>
        <v>2107</v>
      </c>
      <c r="K67" s="5">
        <v>1468314</v>
      </c>
      <c r="L67" s="93">
        <f>K67-I67</f>
        <v>2062</v>
      </c>
      <c r="M67" s="5">
        <v>1470249</v>
      </c>
      <c r="N67" s="93">
        <f>M67-K67</f>
        <v>1935</v>
      </c>
      <c r="O67" s="5">
        <v>1472124</v>
      </c>
      <c r="P67" s="93">
        <f>O67-M67</f>
        <v>1875</v>
      </c>
      <c r="Q67" s="5">
        <v>1473757</v>
      </c>
      <c r="R67" s="93">
        <f>Q67-O67</f>
        <v>1633</v>
      </c>
      <c r="S67" s="5">
        <v>1475544</v>
      </c>
      <c r="T67" s="93">
        <f>S67-Q67</f>
        <v>1787</v>
      </c>
      <c r="U67" s="5">
        <v>1477589</v>
      </c>
      <c r="V67" s="93">
        <f>U67-S67</f>
        <v>2045</v>
      </c>
      <c r="W67" s="5">
        <v>1479870</v>
      </c>
      <c r="X67" s="93">
        <f>W67-U67</f>
        <v>2281</v>
      </c>
      <c r="Y67" s="5">
        <v>1481945</v>
      </c>
      <c r="Z67" s="93">
        <f>Y67-W67</f>
        <v>2075</v>
      </c>
      <c r="AA67" s="5">
        <v>1484074</v>
      </c>
      <c r="AB67" s="93">
        <f>AA67-Y67</f>
        <v>2129</v>
      </c>
      <c r="AC67" s="5">
        <v>1486135</v>
      </c>
      <c r="AD67" s="93">
        <f>AC67-AA67</f>
        <v>2061</v>
      </c>
      <c r="AE67" s="5">
        <v>1488146</v>
      </c>
      <c r="AF67" s="93">
        <f>AE67-AC67</f>
        <v>2011</v>
      </c>
      <c r="AG67" s="5">
        <v>1490216</v>
      </c>
      <c r="AH67" s="93">
        <f>AG67-AE67</f>
        <v>2070</v>
      </c>
      <c r="AI67" s="5">
        <v>1492184</v>
      </c>
      <c r="AJ67" s="93">
        <f>AI67-AG67</f>
        <v>1968</v>
      </c>
      <c r="AK67" s="5">
        <v>1495428</v>
      </c>
      <c r="AL67" s="93">
        <f>AK67-AI67</f>
        <v>3244</v>
      </c>
      <c r="AM67" s="5">
        <v>1499893</v>
      </c>
      <c r="AN67" s="93">
        <f>AM67-AK67</f>
        <v>4465</v>
      </c>
      <c r="AO67" s="5">
        <v>1504317</v>
      </c>
      <c r="AP67" s="93">
        <f>AO67-AM67</f>
        <v>4424</v>
      </c>
      <c r="AQ67" s="5">
        <v>1508733</v>
      </c>
      <c r="AR67" s="93">
        <f>AQ67-AO67</f>
        <v>4416</v>
      </c>
      <c r="AS67" s="5">
        <v>1513235</v>
      </c>
      <c r="AT67" s="93">
        <f>AS67-AQ67</f>
        <v>4502</v>
      </c>
      <c r="AU67" s="5">
        <v>1517669</v>
      </c>
      <c r="AV67" s="93">
        <f>AU67-AS67</f>
        <v>4434</v>
      </c>
      <c r="AW67" s="5">
        <v>1522072</v>
      </c>
      <c r="AX67" s="93">
        <f>AW67-AU67</f>
        <v>4403</v>
      </c>
      <c r="AY67" s="5">
        <v>1526429</v>
      </c>
      <c r="AZ67" s="93">
        <f>AY67-AW67</f>
        <v>4357</v>
      </c>
      <c r="BA67" s="5">
        <v>1530851</v>
      </c>
      <c r="BB67" s="93">
        <f>BA67-AY67</f>
        <v>4422</v>
      </c>
      <c r="BC67" s="5">
        <v>1535318</v>
      </c>
      <c r="BD67" s="107">
        <f>BC67-BA67</f>
        <v>4467</v>
      </c>
      <c r="BE67" s="5">
        <v>1539750</v>
      </c>
      <c r="BF67" s="93">
        <f>BE67-BC67</f>
        <v>4432</v>
      </c>
      <c r="BG67" s="5">
        <v>1544194</v>
      </c>
      <c r="BH67" s="93">
        <f>BG67-BE67</f>
        <v>4444</v>
      </c>
      <c r="BI67" s="5">
        <v>1548107</v>
      </c>
      <c r="BJ67" s="93">
        <f>BI67-BG67</f>
        <v>3913</v>
      </c>
      <c r="BK67" s="5"/>
      <c r="BL67" s="93"/>
    </row>
    <row r="68" spans="1:64" x14ac:dyDescent="0.25">
      <c r="A68" s="5" t="s">
        <v>110</v>
      </c>
      <c r="B68" s="5"/>
      <c r="C68" s="5">
        <v>0</v>
      </c>
      <c r="D68" s="93">
        <f>C68-B68</f>
        <v>0</v>
      </c>
      <c r="E68" s="5">
        <v>0</v>
      </c>
      <c r="F68" s="93">
        <f>E68-C68</f>
        <v>0</v>
      </c>
      <c r="G68" s="5">
        <v>0</v>
      </c>
      <c r="H68" s="93">
        <f>G68-E68</f>
        <v>0</v>
      </c>
      <c r="I68" s="5">
        <v>0</v>
      </c>
      <c r="J68" s="93">
        <f>I68-G68</f>
        <v>0</v>
      </c>
      <c r="K68" s="5">
        <v>0</v>
      </c>
      <c r="L68" s="93">
        <f>K68-I68</f>
        <v>0</v>
      </c>
      <c r="M68" s="5">
        <v>0</v>
      </c>
      <c r="N68" s="93">
        <f>M68-K68</f>
        <v>0</v>
      </c>
      <c r="O68" s="5">
        <v>0</v>
      </c>
      <c r="P68" s="93">
        <f>O68-M68</f>
        <v>0</v>
      </c>
      <c r="Q68" s="5">
        <v>0</v>
      </c>
      <c r="R68" s="93">
        <f>Q68-O68</f>
        <v>0</v>
      </c>
      <c r="S68" s="5">
        <v>0</v>
      </c>
      <c r="T68" s="93">
        <f>S68-Q68</f>
        <v>0</v>
      </c>
      <c r="U68" s="5">
        <v>0</v>
      </c>
      <c r="V68" s="93">
        <f>U68-S68</f>
        <v>0</v>
      </c>
      <c r="W68" s="5">
        <v>0</v>
      </c>
      <c r="X68" s="93">
        <f>W68-U68</f>
        <v>0</v>
      </c>
      <c r="Y68" s="5">
        <v>0</v>
      </c>
      <c r="Z68" s="93">
        <f>Y68-W68</f>
        <v>0</v>
      </c>
      <c r="AA68" s="5">
        <v>0</v>
      </c>
      <c r="AB68" s="93">
        <f>AA68-Y68</f>
        <v>0</v>
      </c>
      <c r="AC68" s="5">
        <v>0</v>
      </c>
      <c r="AD68" s="93">
        <f>AC68-AA68</f>
        <v>0</v>
      </c>
      <c r="AE68" s="5">
        <v>0</v>
      </c>
      <c r="AF68" s="93">
        <f>AE68-AC68</f>
        <v>0</v>
      </c>
      <c r="AG68" s="5">
        <v>0</v>
      </c>
      <c r="AH68" s="93">
        <f>AG68-AE68</f>
        <v>0</v>
      </c>
      <c r="AI68" s="5">
        <v>0</v>
      </c>
      <c r="AJ68" s="93">
        <f>AI68-AG68</f>
        <v>0</v>
      </c>
      <c r="AK68" s="5">
        <v>0</v>
      </c>
      <c r="AL68" s="93">
        <f>AK68-AI68</f>
        <v>0</v>
      </c>
      <c r="AM68" s="5">
        <v>0</v>
      </c>
      <c r="AN68" s="93">
        <f>AM68-AK68</f>
        <v>0</v>
      </c>
      <c r="AO68" s="5">
        <v>0</v>
      </c>
      <c r="AP68" s="93">
        <f>AO68-AM68</f>
        <v>0</v>
      </c>
      <c r="AQ68" s="5">
        <v>0</v>
      </c>
      <c r="AR68" s="93">
        <f>AQ68-AO68</f>
        <v>0</v>
      </c>
      <c r="AS68" s="5">
        <v>0</v>
      </c>
      <c r="AT68" s="93">
        <f>AS68-AQ68</f>
        <v>0</v>
      </c>
      <c r="AU68" s="5">
        <v>0</v>
      </c>
      <c r="AV68" s="93">
        <f>AU68-AS68</f>
        <v>0</v>
      </c>
      <c r="AW68" s="5">
        <v>0</v>
      </c>
      <c r="AX68" s="93">
        <f>AW68-AU68</f>
        <v>0</v>
      </c>
      <c r="AY68" s="5">
        <v>0</v>
      </c>
      <c r="AZ68" s="93">
        <f>AY68-AW68</f>
        <v>0</v>
      </c>
      <c r="BA68" s="5">
        <v>0</v>
      </c>
      <c r="BB68" s="93">
        <f>BA68-AY68</f>
        <v>0</v>
      </c>
      <c r="BC68" s="5">
        <v>0</v>
      </c>
      <c r="BD68" s="107">
        <f>BC68-BA68</f>
        <v>0</v>
      </c>
      <c r="BE68" s="5">
        <v>0</v>
      </c>
      <c r="BF68" s="93">
        <f>BE68-BC68</f>
        <v>0</v>
      </c>
      <c r="BG68" s="5">
        <v>0</v>
      </c>
      <c r="BH68" s="93">
        <f>BG68-BE68</f>
        <v>0</v>
      </c>
      <c r="BI68" s="5">
        <v>0</v>
      </c>
      <c r="BJ68" s="93">
        <f>BI68-BG68</f>
        <v>0</v>
      </c>
      <c r="BK68" s="5"/>
      <c r="BL68" s="93"/>
    </row>
    <row r="69" spans="1:64" x14ac:dyDescent="0.25">
      <c r="A69" s="48" t="s">
        <v>17</v>
      </c>
      <c r="B69" s="5">
        <v>33075546</v>
      </c>
      <c r="C69" s="5">
        <v>33239108</v>
      </c>
      <c r="D69" s="93">
        <f>C69-B69</f>
        <v>163562</v>
      </c>
      <c r="E69" s="5">
        <v>33361362</v>
      </c>
      <c r="F69" s="93">
        <f>E69-C69</f>
        <v>122254</v>
      </c>
      <c r="G69" s="5">
        <v>33496254</v>
      </c>
      <c r="H69" s="93">
        <f>G69-E69</f>
        <v>134892</v>
      </c>
      <c r="I69" s="5">
        <v>33656128</v>
      </c>
      <c r="J69" s="93">
        <f>I69-G69</f>
        <v>159874</v>
      </c>
      <c r="K69" s="5">
        <v>33799296</v>
      </c>
      <c r="L69" s="93">
        <f>K69-I69</f>
        <v>143168</v>
      </c>
      <c r="M69" s="5">
        <v>33938548</v>
      </c>
      <c r="N69" s="93">
        <f>M69-K69</f>
        <v>139252</v>
      </c>
      <c r="O69" s="5">
        <v>34078488</v>
      </c>
      <c r="P69" s="93">
        <f>O69-M69</f>
        <v>139940</v>
      </c>
      <c r="Q69" s="5">
        <v>34216160</v>
      </c>
      <c r="R69" s="93">
        <f>Q69-O69</f>
        <v>137672</v>
      </c>
      <c r="S69" s="5">
        <v>34358612</v>
      </c>
      <c r="T69" s="93">
        <f>S69-Q69</f>
        <v>142452</v>
      </c>
      <c r="U69" s="5">
        <v>34503772</v>
      </c>
      <c r="V69" s="93">
        <f>U69-S69</f>
        <v>145160</v>
      </c>
      <c r="W69" s="5">
        <v>34642492</v>
      </c>
      <c r="X69" s="93">
        <f>W69-U69</f>
        <v>138720</v>
      </c>
      <c r="Y69" s="5">
        <v>34783128</v>
      </c>
      <c r="Z69" s="93">
        <f>Y69-W69</f>
        <v>140636</v>
      </c>
      <c r="AA69" s="5">
        <v>34909432</v>
      </c>
      <c r="AB69" s="93">
        <f>AA69-Y69</f>
        <v>126304</v>
      </c>
      <c r="AC69" s="5">
        <v>35043148</v>
      </c>
      <c r="AD69" s="93">
        <f>AC69-AA69</f>
        <v>133716</v>
      </c>
      <c r="AE69" s="5">
        <v>35200840</v>
      </c>
      <c r="AF69" s="93">
        <f>AE69-AC69</f>
        <v>157692</v>
      </c>
      <c r="AG69" s="5">
        <v>35389568</v>
      </c>
      <c r="AH69" s="93">
        <f>AG69-AE69</f>
        <v>188728</v>
      </c>
      <c r="AI69" s="5">
        <v>35561220</v>
      </c>
      <c r="AJ69" s="93">
        <f>AI69-AG69</f>
        <v>171652</v>
      </c>
      <c r="AK69" s="5">
        <v>35742448</v>
      </c>
      <c r="AL69" s="93">
        <f>AK69-AI69</f>
        <v>181228</v>
      </c>
      <c r="AM69" s="5">
        <v>35930668</v>
      </c>
      <c r="AN69" s="93">
        <f>AM69-AK69</f>
        <v>188220</v>
      </c>
      <c r="AO69" s="5">
        <v>36107020</v>
      </c>
      <c r="AP69" s="93">
        <f>AO69-AM69</f>
        <v>176352</v>
      </c>
      <c r="AQ69" s="5">
        <v>36277240</v>
      </c>
      <c r="AR69" s="93">
        <f>AQ69-AO69</f>
        <v>170220</v>
      </c>
      <c r="AS69" s="5">
        <v>36444852</v>
      </c>
      <c r="AT69" s="93">
        <f>AS69-AQ69</f>
        <v>167612</v>
      </c>
      <c r="AU69" s="5">
        <v>36535712</v>
      </c>
      <c r="AV69" s="93">
        <f>AU69-AS69</f>
        <v>90860</v>
      </c>
      <c r="AW69" s="5">
        <v>36677896</v>
      </c>
      <c r="AX69" s="93">
        <f>AW69-AU69</f>
        <v>142184</v>
      </c>
      <c r="AY69" s="5">
        <v>36835816</v>
      </c>
      <c r="AZ69" s="93">
        <f>AY69-AW69</f>
        <v>157920</v>
      </c>
      <c r="BA69" s="5">
        <v>36987880</v>
      </c>
      <c r="BB69" s="93">
        <f>BA69-AY69</f>
        <v>152064</v>
      </c>
      <c r="BC69" s="5">
        <v>37138376</v>
      </c>
      <c r="BD69" s="107">
        <f>BC69-BA69</f>
        <v>150496</v>
      </c>
      <c r="BE69" s="5">
        <v>37290560</v>
      </c>
      <c r="BF69" s="93">
        <f>BE69-BC69</f>
        <v>152184</v>
      </c>
      <c r="BG69" s="5">
        <v>37447976</v>
      </c>
      <c r="BH69" s="93">
        <f>BG69-BE69</f>
        <v>157416</v>
      </c>
      <c r="BI69" s="5">
        <v>37562704</v>
      </c>
      <c r="BJ69" s="93">
        <f>BI69-BG69</f>
        <v>114728</v>
      </c>
      <c r="BK69" s="5"/>
      <c r="BL69" s="93"/>
    </row>
    <row r="70" spans="1:64" x14ac:dyDescent="0.25">
      <c r="A70" s="48" t="s">
        <v>165</v>
      </c>
      <c r="B70" s="5">
        <v>54324.038999999997</v>
      </c>
      <c r="C70" s="5">
        <v>54402.743999999999</v>
      </c>
      <c r="D70" s="93">
        <f>(C70-B70)*1000</f>
        <v>78705.000000001746</v>
      </c>
      <c r="E70" s="5">
        <v>54491.548999999999</v>
      </c>
      <c r="F70" s="93">
        <f>(E70-C70)*1000</f>
        <v>88805.000000000291</v>
      </c>
      <c r="G70" s="5">
        <v>54600.482000000004</v>
      </c>
      <c r="H70" s="93">
        <f>(G70-E70)*1000</f>
        <v>108933.00000000454</v>
      </c>
      <c r="I70" s="5">
        <v>54702.332999999999</v>
      </c>
      <c r="J70" s="93">
        <f>(I70-G70)*1000</f>
        <v>101850.99999999511</v>
      </c>
      <c r="K70" s="5">
        <v>54794.968999999997</v>
      </c>
      <c r="L70" s="93">
        <f>(K70-I70)*1000</f>
        <v>92635.999999998603</v>
      </c>
      <c r="M70" s="5">
        <v>54886.838000000003</v>
      </c>
      <c r="N70" s="93">
        <f>(M70-K70)*1000</f>
        <v>91869.000000006054</v>
      </c>
      <c r="O70" s="5">
        <v>54943.26</v>
      </c>
      <c r="P70" s="93">
        <f>(O70-M70)*1000</f>
        <v>56421.999999998661</v>
      </c>
      <c r="Q70" s="5">
        <v>55008.091999999997</v>
      </c>
      <c r="R70" s="93">
        <f>(Q70-O70)*1000</f>
        <v>64831.999999994878</v>
      </c>
      <c r="S70" s="5">
        <v>55073.078999999998</v>
      </c>
      <c r="T70" s="93">
        <f>(S70-Q70)*1000</f>
        <v>64987.00000000099</v>
      </c>
      <c r="U70" s="5">
        <v>55175.175999999999</v>
      </c>
      <c r="V70" s="93">
        <f>(U70-S70)*1000</f>
        <v>102097.00000000157</v>
      </c>
      <c r="W70" s="5">
        <v>55283.682999999997</v>
      </c>
      <c r="X70" s="93">
        <f>(W70-U70)*1000</f>
        <v>108506.99999999779</v>
      </c>
      <c r="Y70" s="5">
        <v>55387.373</v>
      </c>
      <c r="Z70" s="93">
        <f>(Y70-W70)*1000</f>
        <v>103690.00000000233</v>
      </c>
      <c r="AA70" s="5">
        <v>55496.608999999997</v>
      </c>
      <c r="AB70" s="93">
        <f>(AA70-Y70)*1000</f>
        <v>109235.99999999715</v>
      </c>
      <c r="AC70" s="5">
        <v>55597.211000000003</v>
      </c>
      <c r="AD70" s="93">
        <f>(AC70-AA70)*1000</f>
        <v>100602.00000000623</v>
      </c>
      <c r="AE70" s="5">
        <v>55676.521999999997</v>
      </c>
      <c r="AF70" s="93">
        <f>(AE70-AC70)*1000</f>
        <v>79310.999999994237</v>
      </c>
      <c r="AG70" s="5">
        <v>55742.41</v>
      </c>
      <c r="AH70" s="93">
        <f>(AG70-AE70)*1000</f>
        <v>65888.000000006286</v>
      </c>
      <c r="AI70" s="5">
        <v>55803.595999999998</v>
      </c>
      <c r="AJ70" s="93">
        <f>(AI70-AG70)*1000</f>
        <v>61185.999999994237</v>
      </c>
      <c r="AK70" s="5">
        <v>55867.428</v>
      </c>
      <c r="AL70" s="93">
        <f>(AK70-AI70)*1000</f>
        <v>63832.000000002154</v>
      </c>
      <c r="AM70" s="5">
        <v>55929.188000000002</v>
      </c>
      <c r="AN70" s="93">
        <f>(AM70-AK70)*1000</f>
        <v>61760.000000002037</v>
      </c>
      <c r="AO70" s="5">
        <v>55992.146999999997</v>
      </c>
      <c r="AP70" s="93">
        <f>(AO70-AM70)*1000</f>
        <v>62958.999999995285</v>
      </c>
      <c r="AQ70" s="5">
        <v>56054.972000000002</v>
      </c>
      <c r="AR70" s="93">
        <f>(AQ70-AO70)*1000</f>
        <v>62825.000000004366</v>
      </c>
      <c r="AS70" s="5">
        <v>56118.271999999997</v>
      </c>
      <c r="AT70" s="93">
        <f>(AS70-AQ70)*1000</f>
        <v>63299.999999995634</v>
      </c>
      <c r="AU70" s="5">
        <v>56180.292999999998</v>
      </c>
      <c r="AV70" s="93">
        <f>(AU70-AS70)*1000</f>
        <v>62021.00000000064</v>
      </c>
      <c r="AW70" s="5">
        <v>56243.896000000001</v>
      </c>
      <c r="AX70" s="93">
        <f>(AW70-AU70)*1000</f>
        <v>63603.000000002794</v>
      </c>
      <c r="AY70" s="5">
        <v>56350.15</v>
      </c>
      <c r="AZ70" s="93">
        <f>(AY70-AW70)*1000</f>
        <v>106254.00000000081</v>
      </c>
      <c r="BA70" s="5">
        <v>56460.84</v>
      </c>
      <c r="BB70" s="93">
        <f>(BA70-AY70)*1000</f>
        <v>110689.99999999505</v>
      </c>
      <c r="BC70" s="5">
        <v>56554.074000000001</v>
      </c>
      <c r="BD70" s="93">
        <f>(BC70-BA70)*1000</f>
        <v>93234.000000004016</v>
      </c>
      <c r="BE70" s="5">
        <v>56643.391000000003</v>
      </c>
      <c r="BF70" s="93">
        <f>(BE70-BC70)*1000</f>
        <v>89317.000000002736</v>
      </c>
      <c r="BG70" s="5">
        <v>56742.485999999997</v>
      </c>
      <c r="BH70" s="93">
        <f>(BG70-BE70)*1000</f>
        <v>99094.999999993888</v>
      </c>
      <c r="BI70" s="5">
        <v>56819.203999999998</v>
      </c>
      <c r="BJ70" s="93">
        <f>(BI70-BG70)*1000</f>
        <v>76718.000000000757</v>
      </c>
      <c r="BK70" s="5"/>
      <c r="BL70" s="93"/>
    </row>
    <row r="71" spans="1:64" x14ac:dyDescent="0.25">
      <c r="A71" s="48" t="s">
        <v>269</v>
      </c>
      <c r="B71" s="5">
        <v>86815</v>
      </c>
      <c r="C71" s="5">
        <v>86815</v>
      </c>
      <c r="D71" s="93">
        <f>C71-B71</f>
        <v>0</v>
      </c>
      <c r="E71" s="5">
        <v>86815</v>
      </c>
      <c r="F71" s="93">
        <f>E71-C71</f>
        <v>0</v>
      </c>
      <c r="G71" s="5">
        <v>86815</v>
      </c>
      <c r="H71" s="93">
        <f>G71-E71</f>
        <v>0</v>
      </c>
      <c r="I71" s="5">
        <v>86815</v>
      </c>
      <c r="J71" s="93">
        <f>I71-G71</f>
        <v>0</v>
      </c>
      <c r="K71" s="5">
        <v>86815</v>
      </c>
      <c r="L71" s="93">
        <f>K71-I71</f>
        <v>0</v>
      </c>
      <c r="M71" s="5">
        <v>86815</v>
      </c>
      <c r="N71" s="93">
        <f>M71-K71</f>
        <v>0</v>
      </c>
      <c r="O71" s="5">
        <v>86815</v>
      </c>
      <c r="P71" s="93">
        <f>O71-M71</f>
        <v>0</v>
      </c>
      <c r="Q71" s="5">
        <v>86815</v>
      </c>
      <c r="R71" s="93">
        <f>Q71-O71</f>
        <v>0</v>
      </c>
      <c r="S71" s="5">
        <v>86815</v>
      </c>
      <c r="T71" s="93">
        <f>S71-Q71</f>
        <v>0</v>
      </c>
      <c r="U71" s="5">
        <v>86815</v>
      </c>
      <c r="V71" s="93">
        <f>U71-S71</f>
        <v>0</v>
      </c>
      <c r="W71" s="5">
        <v>86815</v>
      </c>
      <c r="X71" s="93">
        <f>W71-U71</f>
        <v>0</v>
      </c>
      <c r="Y71" s="5">
        <v>86815</v>
      </c>
      <c r="Z71" s="93">
        <f>Y71-W71</f>
        <v>0</v>
      </c>
      <c r="AA71" s="5">
        <v>86815</v>
      </c>
      <c r="AB71" s="93">
        <f>AA71-Y71</f>
        <v>0</v>
      </c>
      <c r="AC71" s="5">
        <v>86815</v>
      </c>
      <c r="AD71" s="93">
        <f>AC71-AA71</f>
        <v>0</v>
      </c>
      <c r="AE71" s="5">
        <v>86815</v>
      </c>
      <c r="AF71" s="93">
        <f>AE71-AC71</f>
        <v>0</v>
      </c>
      <c r="AG71" s="5">
        <v>86815</v>
      </c>
      <c r="AH71" s="93">
        <f>AG71-AE71</f>
        <v>0</v>
      </c>
      <c r="AI71" s="5">
        <v>86815</v>
      </c>
      <c r="AJ71" s="93">
        <f>AI71-AG71</f>
        <v>0</v>
      </c>
      <c r="AK71" s="5">
        <v>86815</v>
      </c>
      <c r="AL71" s="93">
        <f>AK71-AI71</f>
        <v>0</v>
      </c>
      <c r="AM71" s="5">
        <v>86815</v>
      </c>
      <c r="AN71" s="93">
        <f>AM71-AK71</f>
        <v>0</v>
      </c>
      <c r="AO71" s="5">
        <v>86815</v>
      </c>
      <c r="AP71" s="93">
        <f>AO71-AM71</f>
        <v>0</v>
      </c>
      <c r="AQ71" s="5">
        <v>86815</v>
      </c>
      <c r="AR71" s="93">
        <f>AQ71-AO71</f>
        <v>0</v>
      </c>
      <c r="AS71" s="5">
        <v>86815</v>
      </c>
      <c r="AT71" s="93">
        <f>AS71-AQ71</f>
        <v>0</v>
      </c>
      <c r="AU71" s="5">
        <v>86815</v>
      </c>
      <c r="AV71" s="93">
        <f>AU71-AS71</f>
        <v>0</v>
      </c>
      <c r="AW71" s="5">
        <v>86815</v>
      </c>
      <c r="AX71" s="93">
        <f>AW71-AU71</f>
        <v>0</v>
      </c>
      <c r="AY71" s="5">
        <v>86815</v>
      </c>
      <c r="AZ71" s="93">
        <f>AY71-AW71</f>
        <v>0</v>
      </c>
      <c r="BA71" s="5">
        <v>86815</v>
      </c>
      <c r="BB71" s="93">
        <f>BA71-AY71</f>
        <v>0</v>
      </c>
      <c r="BC71" s="5">
        <v>86815</v>
      </c>
      <c r="BD71" s="107">
        <f>BC71-BA71</f>
        <v>0</v>
      </c>
      <c r="BE71" s="5">
        <v>86815</v>
      </c>
      <c r="BF71" s="93">
        <f>BE71-BC71</f>
        <v>0</v>
      </c>
      <c r="BG71" s="5">
        <v>86815</v>
      </c>
      <c r="BH71" s="93">
        <f>BG71-BE71</f>
        <v>0</v>
      </c>
      <c r="BI71" s="5">
        <v>86815</v>
      </c>
      <c r="BJ71" s="93">
        <f>BI71-BG71</f>
        <v>0</v>
      </c>
      <c r="BK71" s="5"/>
      <c r="BL71" s="93"/>
    </row>
    <row r="72" spans="1:64" ht="32.25" customHeight="1" x14ac:dyDescent="0.25">
      <c r="A72" s="88" t="s">
        <v>40</v>
      </c>
      <c r="B72" s="5"/>
      <c r="C72" s="5">
        <v>0</v>
      </c>
      <c r="D72" s="93"/>
      <c r="E72" s="5">
        <v>0</v>
      </c>
      <c r="F72" s="93"/>
      <c r="G72" s="5">
        <v>0</v>
      </c>
      <c r="H72" s="93"/>
      <c r="I72" s="5">
        <v>0</v>
      </c>
      <c r="J72" s="93"/>
      <c r="K72" s="5">
        <v>0</v>
      </c>
      <c r="L72" s="93">
        <f>K72-I72</f>
        <v>0</v>
      </c>
      <c r="M72" s="5">
        <v>0</v>
      </c>
      <c r="N72" s="93">
        <f>M72-K72</f>
        <v>0</v>
      </c>
      <c r="O72" s="5">
        <v>0</v>
      </c>
      <c r="P72" s="93">
        <f>O72-M72</f>
        <v>0</v>
      </c>
      <c r="Q72" s="5">
        <v>0</v>
      </c>
      <c r="R72" s="93">
        <f>Q72-O72</f>
        <v>0</v>
      </c>
      <c r="S72" s="5">
        <v>0</v>
      </c>
      <c r="T72" s="93">
        <f>S72-Q72</f>
        <v>0</v>
      </c>
      <c r="U72" s="5">
        <v>0</v>
      </c>
      <c r="V72" s="93">
        <f>U72-S72</f>
        <v>0</v>
      </c>
      <c r="W72" s="5">
        <v>0</v>
      </c>
      <c r="X72" s="93">
        <f>W72-U72</f>
        <v>0</v>
      </c>
      <c r="Y72" s="5">
        <v>0</v>
      </c>
      <c r="Z72" s="93">
        <f>Y72-W72</f>
        <v>0</v>
      </c>
      <c r="AA72" s="5">
        <v>0</v>
      </c>
      <c r="AB72" s="93">
        <f>AA72-Y72</f>
        <v>0</v>
      </c>
      <c r="AC72" s="5">
        <v>0</v>
      </c>
      <c r="AD72" s="93">
        <f>AC72-AA72</f>
        <v>0</v>
      </c>
      <c r="AE72" s="5">
        <v>0</v>
      </c>
      <c r="AF72" s="93">
        <f>AE72-AC72</f>
        <v>0</v>
      </c>
      <c r="AG72" s="5">
        <v>0</v>
      </c>
      <c r="AH72" s="93">
        <f>AG72-AE72</f>
        <v>0</v>
      </c>
      <c r="AI72" s="5">
        <v>0</v>
      </c>
      <c r="AJ72" s="93">
        <f>AI72-AG72</f>
        <v>0</v>
      </c>
      <c r="AK72" s="5">
        <v>0</v>
      </c>
      <c r="AL72" s="93">
        <f>AK72-AI72</f>
        <v>0</v>
      </c>
      <c r="AM72" s="5">
        <v>0</v>
      </c>
      <c r="AN72" s="93">
        <f>AM72-AK72</f>
        <v>0</v>
      </c>
      <c r="AO72" s="5">
        <v>0</v>
      </c>
      <c r="AP72" s="93">
        <f>AO72-AM72</f>
        <v>0</v>
      </c>
      <c r="AQ72" s="5">
        <v>0</v>
      </c>
      <c r="AR72" s="93">
        <f>AQ72-AO72</f>
        <v>0</v>
      </c>
      <c r="AS72" s="5">
        <v>0</v>
      </c>
      <c r="AT72" s="93">
        <f>AS72-AQ72</f>
        <v>0</v>
      </c>
      <c r="AU72" s="5">
        <v>0</v>
      </c>
      <c r="AV72" s="93">
        <f>AU72-AS72</f>
        <v>0</v>
      </c>
      <c r="AW72" s="5">
        <v>0</v>
      </c>
      <c r="AX72" s="93">
        <f>AW72-AU72</f>
        <v>0</v>
      </c>
      <c r="AY72" s="5">
        <v>0</v>
      </c>
      <c r="AZ72" s="93">
        <f>AY72-AW72</f>
        <v>0</v>
      </c>
      <c r="BA72" s="5">
        <v>0</v>
      </c>
      <c r="BB72" s="93">
        <f>BA72-AY72</f>
        <v>0</v>
      </c>
      <c r="BC72" s="5">
        <v>0</v>
      </c>
      <c r="BD72" s="107">
        <f>BC72-BA72</f>
        <v>0</v>
      </c>
      <c r="BE72" s="5">
        <v>0</v>
      </c>
      <c r="BF72" s="93">
        <f>BE72-BC72</f>
        <v>0</v>
      </c>
      <c r="BG72" s="5">
        <v>0</v>
      </c>
      <c r="BH72" s="93">
        <f>BG72-BE72</f>
        <v>0</v>
      </c>
      <c r="BI72" s="5">
        <v>0</v>
      </c>
      <c r="BJ72" s="93">
        <f>BI72-BG72</f>
        <v>0</v>
      </c>
      <c r="BK72" s="5"/>
      <c r="BL72" s="93"/>
    </row>
    <row r="73" spans="1:64" x14ac:dyDescent="0.25">
      <c r="A73" s="5" t="s">
        <v>18</v>
      </c>
      <c r="B73" s="5"/>
      <c r="C73" s="5">
        <v>0</v>
      </c>
      <c r="D73" s="93">
        <f t="shared" ref="D73:D78" si="24">C73-B73</f>
        <v>0</v>
      </c>
      <c r="E73" s="5">
        <v>0</v>
      </c>
      <c r="F73" s="93"/>
      <c r="G73" s="5">
        <v>0</v>
      </c>
      <c r="H73" s="93"/>
      <c r="I73" s="5">
        <v>0</v>
      </c>
      <c r="J73" s="93"/>
      <c r="K73" s="5">
        <v>0</v>
      </c>
      <c r="L73" s="93"/>
      <c r="M73" s="5">
        <v>0</v>
      </c>
      <c r="N73" s="93"/>
      <c r="O73" s="5">
        <v>0</v>
      </c>
      <c r="P73" s="93"/>
      <c r="Q73" s="5">
        <v>0</v>
      </c>
      <c r="R73" s="93"/>
      <c r="S73" s="5">
        <v>0</v>
      </c>
      <c r="T73" s="93">
        <f t="shared" ref="T73:V78" si="25">S73-Q73</f>
        <v>0</v>
      </c>
      <c r="U73" s="5">
        <v>0</v>
      </c>
      <c r="V73" s="93"/>
      <c r="W73" s="5">
        <v>0</v>
      </c>
      <c r="X73" s="93"/>
      <c r="Y73" s="5">
        <v>0</v>
      </c>
      <c r="Z73" s="93"/>
      <c r="AA73" s="5">
        <v>0</v>
      </c>
      <c r="AB73" s="93"/>
      <c r="AC73" s="5">
        <v>0</v>
      </c>
      <c r="AD73" s="93"/>
      <c r="AE73" s="5">
        <v>0</v>
      </c>
      <c r="AF73" s="93"/>
      <c r="AG73" s="5">
        <v>0</v>
      </c>
      <c r="AH73" s="93"/>
      <c r="AI73" s="5">
        <v>0</v>
      </c>
      <c r="AJ73" s="93"/>
      <c r="AK73" s="5">
        <v>0</v>
      </c>
      <c r="AL73" s="93"/>
      <c r="AM73" s="5">
        <v>0</v>
      </c>
      <c r="AN73" s="93"/>
      <c r="AO73" s="5">
        <v>0</v>
      </c>
      <c r="AP73" s="93"/>
      <c r="AQ73" s="5">
        <v>0</v>
      </c>
      <c r="AR73" s="93"/>
      <c r="AS73" s="5">
        <v>0</v>
      </c>
      <c r="AT73" s="93"/>
      <c r="AU73" s="5">
        <v>0</v>
      </c>
      <c r="AV73" s="93"/>
      <c r="AW73" s="5">
        <v>0</v>
      </c>
      <c r="AX73" s="93"/>
      <c r="AY73" s="5">
        <v>0</v>
      </c>
      <c r="AZ73" s="93"/>
      <c r="BA73" s="5">
        <v>0</v>
      </c>
      <c r="BB73" s="93"/>
      <c r="BC73" s="5">
        <v>0</v>
      </c>
      <c r="BD73" s="107"/>
      <c r="BE73" s="5">
        <v>0</v>
      </c>
      <c r="BF73" s="93"/>
      <c r="BG73" s="5">
        <v>0</v>
      </c>
      <c r="BH73" s="93"/>
      <c r="BI73" s="5">
        <v>0</v>
      </c>
      <c r="BJ73" s="93"/>
      <c r="BK73" s="5"/>
      <c r="BL73" s="93"/>
    </row>
    <row r="74" spans="1:64" x14ac:dyDescent="0.25">
      <c r="A74" s="88" t="s">
        <v>19</v>
      </c>
      <c r="B74" s="5"/>
      <c r="C74" s="5">
        <v>0</v>
      </c>
      <c r="D74" s="93">
        <f t="shared" si="24"/>
        <v>0</v>
      </c>
      <c r="E74" s="5">
        <v>0</v>
      </c>
      <c r="F74" s="93"/>
      <c r="G74" s="5">
        <v>0</v>
      </c>
      <c r="H74" s="93"/>
      <c r="I74" s="5">
        <v>0</v>
      </c>
      <c r="J74" s="93"/>
      <c r="K74" s="5">
        <v>0</v>
      </c>
      <c r="L74" s="93"/>
      <c r="M74" s="5">
        <v>0</v>
      </c>
      <c r="N74" s="93"/>
      <c r="O74" s="5">
        <v>0</v>
      </c>
      <c r="P74" s="93"/>
      <c r="Q74" s="5">
        <v>0</v>
      </c>
      <c r="R74" s="93"/>
      <c r="S74" s="5">
        <v>0</v>
      </c>
      <c r="T74" s="93">
        <f t="shared" si="25"/>
        <v>0</v>
      </c>
      <c r="U74" s="5">
        <v>0</v>
      </c>
      <c r="V74" s="93"/>
      <c r="W74" s="5">
        <v>0</v>
      </c>
      <c r="X74" s="93"/>
      <c r="Y74" s="5">
        <v>0</v>
      </c>
      <c r="Z74" s="93"/>
      <c r="AA74" s="5">
        <v>0</v>
      </c>
      <c r="AB74" s="93"/>
      <c r="AC74" s="5">
        <v>0</v>
      </c>
      <c r="AD74" s="93"/>
      <c r="AE74" s="5">
        <v>0</v>
      </c>
      <c r="AF74" s="93"/>
      <c r="AG74" s="5">
        <v>0</v>
      </c>
      <c r="AH74" s="93"/>
      <c r="AI74" s="5">
        <v>0</v>
      </c>
      <c r="AJ74" s="93"/>
      <c r="AK74" s="5">
        <v>0</v>
      </c>
      <c r="AL74" s="93"/>
      <c r="AM74" s="5">
        <v>0</v>
      </c>
      <c r="AN74" s="93"/>
      <c r="AO74" s="5">
        <v>0</v>
      </c>
      <c r="AP74" s="93"/>
      <c r="AQ74" s="5">
        <v>0</v>
      </c>
      <c r="AR74" s="93"/>
      <c r="AS74" s="5">
        <v>0</v>
      </c>
      <c r="AT74" s="93"/>
      <c r="AU74" s="5">
        <v>0</v>
      </c>
      <c r="AV74" s="93"/>
      <c r="AW74" s="5">
        <v>0</v>
      </c>
      <c r="AX74" s="93"/>
      <c r="AY74" s="5">
        <v>0</v>
      </c>
      <c r="AZ74" s="93"/>
      <c r="BA74" s="5">
        <v>0</v>
      </c>
      <c r="BB74" s="93"/>
      <c r="BC74" s="5">
        <v>0</v>
      </c>
      <c r="BD74" s="107"/>
      <c r="BE74" s="5">
        <v>0</v>
      </c>
      <c r="BF74" s="93"/>
      <c r="BG74" s="5">
        <v>0</v>
      </c>
      <c r="BH74" s="93"/>
      <c r="BI74" s="5">
        <v>0</v>
      </c>
      <c r="BJ74" s="93"/>
      <c r="BK74" s="5"/>
      <c r="BL74" s="93"/>
    </row>
    <row r="75" spans="1:64" x14ac:dyDescent="0.25">
      <c r="A75" s="88" t="s">
        <v>36</v>
      </c>
      <c r="B75" s="5"/>
      <c r="C75" s="5">
        <v>0</v>
      </c>
      <c r="D75" s="93">
        <f t="shared" si="24"/>
        <v>0</v>
      </c>
      <c r="E75" s="5">
        <v>0</v>
      </c>
      <c r="F75" s="93"/>
      <c r="G75" s="5">
        <v>0</v>
      </c>
      <c r="H75" s="93"/>
      <c r="I75" s="5">
        <v>0</v>
      </c>
      <c r="J75" s="93"/>
      <c r="K75" s="5">
        <v>0</v>
      </c>
      <c r="L75" s="93"/>
      <c r="M75" s="5">
        <v>0</v>
      </c>
      <c r="N75" s="93"/>
      <c r="O75" s="5">
        <v>0</v>
      </c>
      <c r="P75" s="93"/>
      <c r="Q75" s="5">
        <v>0</v>
      </c>
      <c r="R75" s="93"/>
      <c r="S75" s="5">
        <v>0</v>
      </c>
      <c r="T75" s="93">
        <f t="shared" si="25"/>
        <v>0</v>
      </c>
      <c r="U75" s="5">
        <v>0</v>
      </c>
      <c r="V75" s="93"/>
      <c r="W75" s="5">
        <v>0</v>
      </c>
      <c r="X75" s="93"/>
      <c r="Y75" s="5">
        <v>0</v>
      </c>
      <c r="Z75" s="93"/>
      <c r="AA75" s="5">
        <v>0</v>
      </c>
      <c r="AB75" s="93"/>
      <c r="AC75" s="5">
        <v>0</v>
      </c>
      <c r="AD75" s="93"/>
      <c r="AE75" s="5">
        <v>0</v>
      </c>
      <c r="AF75" s="93"/>
      <c r="AG75" s="5">
        <v>0</v>
      </c>
      <c r="AH75" s="93"/>
      <c r="AI75" s="5">
        <v>0</v>
      </c>
      <c r="AJ75" s="93"/>
      <c r="AK75" s="5">
        <v>0</v>
      </c>
      <c r="AL75" s="93"/>
      <c r="AM75" s="5">
        <v>0</v>
      </c>
      <c r="AN75" s="93"/>
      <c r="AO75" s="5">
        <v>0</v>
      </c>
      <c r="AP75" s="93"/>
      <c r="AQ75" s="5">
        <v>0</v>
      </c>
      <c r="AR75" s="93"/>
      <c r="AS75" s="5">
        <v>0</v>
      </c>
      <c r="AT75" s="93"/>
      <c r="AU75" s="5">
        <v>0</v>
      </c>
      <c r="AV75" s="93"/>
      <c r="AW75" s="5">
        <v>0</v>
      </c>
      <c r="AX75" s="93"/>
      <c r="AY75" s="5">
        <v>0</v>
      </c>
      <c r="AZ75" s="93"/>
      <c r="BA75" s="5">
        <v>0</v>
      </c>
      <c r="BB75" s="93"/>
      <c r="BC75" s="5">
        <v>0</v>
      </c>
      <c r="BD75" s="107"/>
      <c r="BE75" s="5">
        <v>0</v>
      </c>
      <c r="BF75" s="93"/>
      <c r="BG75" s="5">
        <v>0</v>
      </c>
      <c r="BH75" s="93"/>
      <c r="BI75" s="5">
        <v>0</v>
      </c>
      <c r="BJ75" s="93"/>
      <c r="BK75" s="5"/>
      <c r="BL75" s="93"/>
    </row>
    <row r="76" spans="1:64" ht="30" x14ac:dyDescent="0.25">
      <c r="A76" s="88" t="s">
        <v>37</v>
      </c>
      <c r="B76" s="5"/>
      <c r="C76" s="5">
        <v>0</v>
      </c>
      <c r="D76" s="93">
        <f t="shared" si="24"/>
        <v>0</v>
      </c>
      <c r="E76" s="5">
        <v>0</v>
      </c>
      <c r="F76" s="93"/>
      <c r="G76" s="5">
        <v>0</v>
      </c>
      <c r="H76" s="93"/>
      <c r="I76" s="5">
        <v>0</v>
      </c>
      <c r="J76" s="93"/>
      <c r="K76" s="5">
        <v>0</v>
      </c>
      <c r="L76" s="93"/>
      <c r="M76" s="5">
        <v>0</v>
      </c>
      <c r="N76" s="93"/>
      <c r="O76" s="5">
        <v>0</v>
      </c>
      <c r="P76" s="93"/>
      <c r="Q76" s="5">
        <v>0</v>
      </c>
      <c r="R76" s="93"/>
      <c r="T76" s="93">
        <f t="shared" si="25"/>
        <v>0</v>
      </c>
      <c r="U76" s="5">
        <v>0</v>
      </c>
      <c r="V76" s="93"/>
      <c r="W76" s="5">
        <v>0</v>
      </c>
      <c r="X76" s="93"/>
      <c r="Y76" s="5">
        <v>0</v>
      </c>
      <c r="Z76" s="93"/>
      <c r="AA76" s="5">
        <v>0</v>
      </c>
      <c r="AB76" s="93"/>
      <c r="AC76" s="5">
        <v>0</v>
      </c>
      <c r="AD76" s="93"/>
      <c r="AE76" s="5">
        <v>0</v>
      </c>
      <c r="AF76" s="93"/>
      <c r="AG76" s="5">
        <v>0</v>
      </c>
      <c r="AH76" s="93"/>
      <c r="AI76" s="5">
        <v>0</v>
      </c>
      <c r="AJ76" s="93"/>
      <c r="AK76" s="5">
        <v>0</v>
      </c>
      <c r="AL76" s="93"/>
      <c r="AM76" s="5">
        <v>0</v>
      </c>
      <c r="AN76" s="93"/>
      <c r="AO76" s="5">
        <v>0</v>
      </c>
      <c r="AP76" s="93"/>
      <c r="AQ76" s="5">
        <v>0</v>
      </c>
      <c r="AR76" s="93"/>
      <c r="AS76" s="5">
        <v>0</v>
      </c>
      <c r="AT76" s="93"/>
      <c r="AU76" s="5">
        <v>0</v>
      </c>
      <c r="AV76" s="93"/>
      <c r="AW76" s="5">
        <v>0</v>
      </c>
      <c r="AX76" s="93"/>
      <c r="AY76" s="5">
        <v>0</v>
      </c>
      <c r="AZ76" s="93"/>
      <c r="BA76" s="5">
        <v>0</v>
      </c>
      <c r="BB76" s="93"/>
      <c r="BC76" s="5">
        <v>0</v>
      </c>
      <c r="BD76" s="107"/>
      <c r="BE76" s="5">
        <v>0</v>
      </c>
      <c r="BF76" s="93"/>
      <c r="BG76" s="5">
        <v>0</v>
      </c>
      <c r="BH76" s="93"/>
      <c r="BI76" s="5">
        <v>0</v>
      </c>
      <c r="BJ76" s="93"/>
      <c r="BK76" s="5"/>
      <c r="BL76" s="93"/>
    </row>
    <row r="77" spans="1:64" x14ac:dyDescent="0.25">
      <c r="A77" s="5" t="s">
        <v>20</v>
      </c>
      <c r="B77" s="5"/>
      <c r="C77" s="5">
        <v>0</v>
      </c>
      <c r="D77" s="93">
        <f t="shared" si="24"/>
        <v>0</v>
      </c>
      <c r="E77" s="5">
        <v>0</v>
      </c>
      <c r="F77" s="93"/>
      <c r="G77" s="5">
        <v>0</v>
      </c>
      <c r="H77" s="93"/>
      <c r="I77" s="5">
        <v>0</v>
      </c>
      <c r="J77" s="93"/>
      <c r="K77" s="5">
        <v>0</v>
      </c>
      <c r="L77" s="93"/>
      <c r="M77" s="5">
        <v>0</v>
      </c>
      <c r="N77" s="93"/>
      <c r="O77" s="5">
        <v>0</v>
      </c>
      <c r="P77" s="93"/>
      <c r="Q77" s="5">
        <v>0</v>
      </c>
      <c r="R77" s="93"/>
      <c r="S77" s="5">
        <v>0</v>
      </c>
      <c r="T77" s="93">
        <f t="shared" si="25"/>
        <v>0</v>
      </c>
      <c r="U77" s="5">
        <v>0</v>
      </c>
      <c r="V77" s="93"/>
      <c r="W77" s="5">
        <v>0</v>
      </c>
      <c r="X77" s="93"/>
      <c r="Y77" s="5">
        <v>0</v>
      </c>
      <c r="Z77" s="93"/>
      <c r="AA77" s="5">
        <v>0</v>
      </c>
      <c r="AB77" s="93"/>
      <c r="AC77" s="5">
        <v>0</v>
      </c>
      <c r="AD77" s="93"/>
      <c r="AE77" s="5">
        <v>0</v>
      </c>
      <c r="AF77" s="93"/>
      <c r="AG77" s="5">
        <v>0</v>
      </c>
      <c r="AH77" s="93"/>
      <c r="AI77" s="5">
        <v>0</v>
      </c>
      <c r="AJ77" s="93"/>
      <c r="AK77" s="5">
        <v>0</v>
      </c>
      <c r="AL77" s="93"/>
      <c r="AM77" s="5">
        <v>0</v>
      </c>
      <c r="AN77" s="93"/>
      <c r="AO77" s="5">
        <v>0</v>
      </c>
      <c r="AP77" s="93"/>
      <c r="AQ77" s="5">
        <v>0</v>
      </c>
      <c r="AR77" s="93"/>
      <c r="AS77" s="5">
        <v>0</v>
      </c>
      <c r="AT77" s="93"/>
      <c r="AU77" s="5">
        <v>0</v>
      </c>
      <c r="AV77" s="93"/>
      <c r="AW77" s="5">
        <v>0</v>
      </c>
      <c r="AX77" s="93"/>
      <c r="AY77" s="5">
        <v>0</v>
      </c>
      <c r="AZ77" s="93"/>
      <c r="BA77" s="5">
        <v>0</v>
      </c>
      <c r="BB77" s="93"/>
      <c r="BC77" s="5">
        <v>0</v>
      </c>
      <c r="BD77" s="107"/>
      <c r="BE77" s="5">
        <v>0</v>
      </c>
      <c r="BF77" s="93"/>
      <c r="BG77" s="5">
        <v>0</v>
      </c>
      <c r="BH77" s="93"/>
      <c r="BI77" s="5">
        <v>0</v>
      </c>
      <c r="BJ77" s="93"/>
      <c r="BK77" s="5"/>
      <c r="BL77" s="93"/>
    </row>
    <row r="78" spans="1:64" x14ac:dyDescent="0.25">
      <c r="A78" s="88" t="s">
        <v>43</v>
      </c>
      <c r="B78" s="5">
        <v>1996367.41</v>
      </c>
      <c r="C78" s="5">
        <v>1996840.47</v>
      </c>
      <c r="D78" s="93">
        <f t="shared" si="24"/>
        <v>473.06000000005588</v>
      </c>
      <c r="E78" s="5">
        <v>1997292.01</v>
      </c>
      <c r="F78" s="93">
        <f>E78-C78</f>
        <v>451.54000000003725</v>
      </c>
      <c r="G78" s="5">
        <v>1997718.84</v>
      </c>
      <c r="H78" s="93">
        <f>G78-E78</f>
        <v>426.83000000007451</v>
      </c>
      <c r="I78" s="5">
        <v>1998183.2</v>
      </c>
      <c r="J78" s="93">
        <f>I78-G78</f>
        <v>464.35999999986961</v>
      </c>
      <c r="K78" s="5">
        <v>1998611.39</v>
      </c>
      <c r="L78" s="93">
        <f>K78-I78</f>
        <v>428.18999999994412</v>
      </c>
      <c r="M78" s="5">
        <v>1999046.56</v>
      </c>
      <c r="N78" s="93">
        <f>M78-K78</f>
        <v>435.17000000015832</v>
      </c>
      <c r="O78" s="5">
        <v>1999582.25</v>
      </c>
      <c r="P78" s="93">
        <f>O78-M78</f>
        <v>535.68999999994412</v>
      </c>
      <c r="Q78" s="5">
        <v>2000154.13</v>
      </c>
      <c r="R78" s="93">
        <f>Q78-O78</f>
        <v>571.87999999988824</v>
      </c>
      <c r="S78" s="5">
        <v>2000718.06</v>
      </c>
      <c r="T78" s="93">
        <f t="shared" si="25"/>
        <v>563.93000000016764</v>
      </c>
      <c r="U78" s="5">
        <v>2001286.38</v>
      </c>
      <c r="V78" s="93">
        <f t="shared" si="25"/>
        <v>568.31999999983236</v>
      </c>
      <c r="W78" s="5">
        <v>2001733.64</v>
      </c>
      <c r="X78" s="93">
        <f>W78-U78</f>
        <v>447.26000000000931</v>
      </c>
      <c r="Y78" s="5">
        <v>2002120.69</v>
      </c>
      <c r="Z78" s="93">
        <f>Y78-W78</f>
        <v>387.05000000004657</v>
      </c>
      <c r="AA78" s="5">
        <v>2002496.13</v>
      </c>
      <c r="AB78" s="93">
        <f>AA78-Y78</f>
        <v>375.43999999994412</v>
      </c>
      <c r="AC78" s="5">
        <v>2002879.02</v>
      </c>
      <c r="AD78" s="93">
        <f>AC78-AA78</f>
        <v>382.89000000013039</v>
      </c>
      <c r="AE78" s="5">
        <v>2003315.16</v>
      </c>
      <c r="AF78" s="93">
        <f>AE78-AC78</f>
        <v>436.13999999989755</v>
      </c>
      <c r="AG78" s="5">
        <v>2003718.99</v>
      </c>
      <c r="AH78" s="93">
        <f>AG78-AE78</f>
        <v>403.83000000007451</v>
      </c>
      <c r="AI78" s="5">
        <v>2004277.12</v>
      </c>
      <c r="AJ78" s="93">
        <f>AI78-AG78</f>
        <v>558.13000000012107</v>
      </c>
      <c r="AK78" s="5">
        <v>2004840.75</v>
      </c>
      <c r="AL78" s="93">
        <f>AK78-AI78</f>
        <v>563.62999999988824</v>
      </c>
      <c r="AM78" s="5">
        <v>2005342.54</v>
      </c>
      <c r="AN78" s="93">
        <f>AM78-AK78</f>
        <v>501.79000000003725</v>
      </c>
      <c r="AO78" s="5">
        <v>2005761.41</v>
      </c>
      <c r="AP78" s="93">
        <f>AO78-AM78</f>
        <v>418.86999999987893</v>
      </c>
      <c r="AQ78" s="5">
        <v>2006150.19</v>
      </c>
      <c r="AR78" s="93">
        <f>AQ78-AO78</f>
        <v>388.78000000002794</v>
      </c>
      <c r="AS78" s="5">
        <v>2006577.75</v>
      </c>
      <c r="AT78" s="93">
        <f>AS78-AQ78</f>
        <v>427.56000000005588</v>
      </c>
      <c r="AU78" s="5">
        <v>2006973.26</v>
      </c>
      <c r="AV78" s="93">
        <f>AU78-AS78</f>
        <v>395.51000000000931</v>
      </c>
      <c r="AW78" s="5">
        <v>2007394.45</v>
      </c>
      <c r="AX78" s="93">
        <f>AW78-AU78</f>
        <v>421.18999999994412</v>
      </c>
      <c r="AY78" s="5">
        <v>2007809.2</v>
      </c>
      <c r="AZ78" s="93">
        <f>AY78-AW78</f>
        <v>414.75</v>
      </c>
      <c r="BA78" s="5">
        <v>2008239.3</v>
      </c>
      <c r="BB78" s="93">
        <f>BA78-AY78</f>
        <v>430.10000000009313</v>
      </c>
      <c r="BC78" s="5">
        <v>2008574.37</v>
      </c>
      <c r="BD78" s="107">
        <f>BC78-BA78</f>
        <v>335.07000000006519</v>
      </c>
      <c r="BE78" s="5">
        <v>2008935.57</v>
      </c>
      <c r="BF78" s="93">
        <f>BE78-BC78</f>
        <v>361.19999999995343</v>
      </c>
      <c r="BG78" s="5">
        <v>2009454.82</v>
      </c>
      <c r="BH78" s="93">
        <f>BG78-BE78</f>
        <v>519.25</v>
      </c>
      <c r="BI78" s="5">
        <v>2009913.57</v>
      </c>
      <c r="BJ78" s="93">
        <f>BI78-BG78</f>
        <v>458.75</v>
      </c>
      <c r="BK78" s="5"/>
      <c r="BL78" s="93"/>
    </row>
    <row r="79" spans="1:64" x14ac:dyDescent="0.25">
      <c r="A79" s="88"/>
      <c r="B79" s="35"/>
      <c r="C79" s="88"/>
      <c r="D79" s="93"/>
      <c r="E79" s="5"/>
      <c r="F79" s="93"/>
      <c r="G79" s="5"/>
      <c r="H79" s="93"/>
      <c r="I79" s="5"/>
      <c r="J79" s="93"/>
      <c r="K79" s="35"/>
      <c r="L79" s="93"/>
      <c r="M79" s="94"/>
      <c r="N79" s="94"/>
      <c r="O79" s="5"/>
      <c r="P79" s="35"/>
      <c r="Q79" s="5"/>
      <c r="R79" s="35"/>
      <c r="S79" s="5"/>
      <c r="T79" s="35"/>
      <c r="U79" s="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93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</row>
    <row r="80" spans="1:64" x14ac:dyDescent="0.25">
      <c r="A80" s="88"/>
      <c r="B80" s="35"/>
      <c r="C80" s="88"/>
      <c r="D80" s="93"/>
      <c r="E80" s="5"/>
      <c r="F80" s="93"/>
      <c r="G80" s="5"/>
      <c r="H80" s="93"/>
      <c r="I80" s="5"/>
      <c r="J80" s="93"/>
      <c r="K80" s="35"/>
      <c r="L80" s="93"/>
      <c r="M80" s="94"/>
      <c r="N80" s="94"/>
      <c r="O80" s="5"/>
      <c r="P80" s="35"/>
      <c r="Q80" s="5"/>
      <c r="R80" s="35"/>
      <c r="S80" s="5"/>
      <c r="T80" s="35"/>
      <c r="U80" s="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93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</row>
    <row r="81" spans="1:63" x14ac:dyDescent="0.25">
      <c r="A81" s="88"/>
      <c r="B81" s="35"/>
      <c r="C81" s="88"/>
      <c r="D81" s="93"/>
      <c r="E81" s="5"/>
      <c r="F81" s="93"/>
      <c r="G81" s="5"/>
      <c r="H81" s="93"/>
      <c r="I81" s="5"/>
      <c r="J81" s="93"/>
      <c r="K81" s="35"/>
      <c r="L81" s="93"/>
      <c r="M81" s="94"/>
      <c r="N81" s="94"/>
      <c r="O81" s="5"/>
      <c r="P81" s="35"/>
      <c r="Q81" s="5"/>
      <c r="R81" s="35"/>
      <c r="S81" s="93"/>
      <c r="T81" s="35"/>
      <c r="U81" s="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</row>
    <row r="82" spans="1:63" x14ac:dyDescent="0.25">
      <c r="A82" s="88"/>
      <c r="B82" s="35"/>
      <c r="C82" s="88"/>
      <c r="D82" s="93"/>
      <c r="E82" s="5"/>
      <c r="F82" s="93"/>
      <c r="G82" s="5"/>
      <c r="H82" s="93"/>
      <c r="I82" s="5"/>
      <c r="J82" s="93"/>
      <c r="K82" s="35"/>
      <c r="L82" s="93"/>
      <c r="M82" s="94"/>
      <c r="N82" s="94"/>
      <c r="O82" s="5"/>
      <c r="P82" s="35"/>
      <c r="Q82" s="5"/>
      <c r="R82" s="35"/>
      <c r="S82" s="93"/>
      <c r="T82" s="35"/>
      <c r="U82" s="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</row>
    <row r="83" spans="1:63" x14ac:dyDescent="0.25">
      <c r="A83" s="5"/>
      <c r="B83" s="35"/>
      <c r="C83" s="5"/>
      <c r="D83" s="93"/>
      <c r="E83" s="5"/>
      <c r="F83" s="93"/>
      <c r="G83" s="5"/>
      <c r="H83" s="93"/>
      <c r="I83" s="5"/>
      <c r="J83" s="5"/>
      <c r="K83" s="35"/>
      <c r="L83" s="35"/>
      <c r="M83" s="94"/>
      <c r="N83" s="94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>
        <f>0.0086-1</f>
        <v>-0.99139999999999995</v>
      </c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</row>
    <row r="84" spans="1:63" x14ac:dyDescent="0.25">
      <c r="A84" s="17" t="s">
        <v>257</v>
      </c>
      <c r="B84" s="35"/>
      <c r="C84" s="35"/>
      <c r="D84" s="93">
        <f>(C84-B84)*1000</f>
        <v>0</v>
      </c>
      <c r="E84" s="5"/>
      <c r="F84" s="93">
        <f>(E84-C84)*1000</f>
        <v>0</v>
      </c>
      <c r="G84" s="6"/>
      <c r="H84" s="93">
        <f>(G84-E84)*1000</f>
        <v>0</v>
      </c>
      <c r="I84" s="5"/>
      <c r="J84" s="5"/>
      <c r="K84" s="35"/>
      <c r="L84" s="35"/>
      <c r="M84" s="94"/>
      <c r="N84" s="94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>
        <f>AZ83*AZ70</f>
        <v>-105340.2156000008</v>
      </c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</row>
    <row r="85" spans="1:63" x14ac:dyDescent="0.25">
      <c r="A85" s="17" t="s">
        <v>259</v>
      </c>
      <c r="B85" s="35"/>
      <c r="C85" s="35"/>
      <c r="D85" s="93">
        <f>(C85-B85)*1000000</f>
        <v>0</v>
      </c>
      <c r="E85" s="5"/>
      <c r="F85" s="93">
        <f>(E85-C85)*1000000</f>
        <v>0</v>
      </c>
      <c r="G85" s="5"/>
      <c r="H85" s="93">
        <f>(G85-E85)*1000000</f>
        <v>0</v>
      </c>
      <c r="I85" s="5"/>
      <c r="J85" s="5"/>
      <c r="K85" s="35"/>
      <c r="L85" s="35"/>
      <c r="M85" s="94"/>
      <c r="N85" s="94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</row>
    <row r="86" spans="1:63" x14ac:dyDescent="0.25">
      <c r="A86" s="17" t="s">
        <v>258</v>
      </c>
      <c r="B86" s="35"/>
      <c r="C86" s="35"/>
      <c r="D86" s="93">
        <f>(C86-B86)*1000000</f>
        <v>0</v>
      </c>
      <c r="E86" s="5"/>
      <c r="F86" s="93">
        <f>(E86-C86)*1000000</f>
        <v>0</v>
      </c>
      <c r="G86" s="5"/>
      <c r="H86" s="93">
        <f>(G86-E86)*1000000</f>
        <v>0</v>
      </c>
      <c r="I86" s="5"/>
      <c r="J86" s="5"/>
      <c r="K86" s="35"/>
      <c r="L86" s="35"/>
      <c r="M86" s="94"/>
      <c r="N86" s="94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</row>
    <row r="87" spans="1:63" x14ac:dyDescent="0.25">
      <c r="A87" s="17" t="s">
        <v>262</v>
      </c>
      <c r="B87" s="35"/>
      <c r="C87" s="35"/>
      <c r="D87" s="93">
        <f>(C87-B87)*1000</f>
        <v>0</v>
      </c>
      <c r="E87" s="5"/>
      <c r="F87" s="93">
        <f>(E87-C87)*1000</f>
        <v>0</v>
      </c>
      <c r="G87" s="5"/>
      <c r="H87" s="93">
        <f>(G87-E87)*1000</f>
        <v>0</v>
      </c>
      <c r="I87" s="5"/>
      <c r="J87" s="5"/>
      <c r="K87" s="35"/>
      <c r="L87" s="35"/>
      <c r="M87" s="94"/>
      <c r="N87" s="94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</row>
    <row r="88" spans="1:63" x14ac:dyDescent="0.25">
      <c r="A88" s="17" t="s">
        <v>260</v>
      </c>
      <c r="B88" s="35"/>
      <c r="C88" s="35"/>
      <c r="D88" s="93">
        <f>C88-B88</f>
        <v>0</v>
      </c>
      <c r="E88" s="5"/>
      <c r="F88" s="93">
        <f>E88-C88</f>
        <v>0</v>
      </c>
      <c r="G88" s="5"/>
      <c r="H88" s="93">
        <f>G88-E88</f>
        <v>0</v>
      </c>
      <c r="I88" s="5"/>
      <c r="J88" s="5"/>
      <c r="K88" s="35"/>
      <c r="L88" s="35"/>
      <c r="M88" s="94"/>
      <c r="N88" s="94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</row>
    <row r="89" spans="1:63" x14ac:dyDescent="0.25">
      <c r="A89" s="17" t="s">
        <v>261</v>
      </c>
      <c r="B89" s="35"/>
      <c r="C89" s="35"/>
      <c r="D89" s="93">
        <f>C89-B89</f>
        <v>0</v>
      </c>
      <c r="E89" s="5"/>
      <c r="F89" s="93">
        <f>E89-C89</f>
        <v>0</v>
      </c>
      <c r="G89" s="5"/>
      <c r="H89" s="93">
        <f>G89-E89</f>
        <v>0</v>
      </c>
      <c r="I89" s="5"/>
      <c r="J89" s="5"/>
      <c r="K89" s="35"/>
      <c r="L89" s="35"/>
      <c r="M89" s="94"/>
      <c r="N89" s="94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</row>
    <row r="90" spans="1:63" x14ac:dyDescent="0.25">
      <c r="A90" s="5"/>
      <c r="B90" s="35"/>
      <c r="C90" s="5"/>
      <c r="D90" s="93"/>
      <c r="E90" s="5"/>
      <c r="F90" s="93"/>
      <c r="G90" s="5"/>
      <c r="H90" s="93"/>
      <c r="I90" s="5"/>
      <c r="J90" s="5"/>
      <c r="K90" s="35"/>
      <c r="L90" s="35"/>
      <c r="M90" s="94"/>
      <c r="N90" s="94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</row>
    <row r="93" spans="1:63" x14ac:dyDescent="0.25">
      <c r="B93" s="6"/>
    </row>
    <row r="94" spans="1:63" x14ac:dyDescent="0.25">
      <c r="B94" s="6"/>
    </row>
    <row r="95" spans="1:63" x14ac:dyDescent="0.25">
      <c r="B95" s="30"/>
    </row>
    <row r="96" spans="1:63" x14ac:dyDescent="0.25">
      <c r="B96" s="6"/>
    </row>
    <row r="97" spans="2:56" x14ac:dyDescent="0.25">
      <c r="B97" s="6"/>
    </row>
    <row r="98" spans="2:56" x14ac:dyDescent="0.25">
      <c r="B98" s="6"/>
    </row>
    <row r="99" spans="2:56" x14ac:dyDescent="0.25">
      <c r="B99" s="6"/>
    </row>
    <row r="100" spans="2:56" x14ac:dyDescent="0.25">
      <c r="B100" s="6"/>
      <c r="BD100" s="34">
        <f>28.35</f>
        <v>28.35</v>
      </c>
    </row>
    <row r="101" spans="2:56" x14ac:dyDescent="0.25">
      <c r="B101" s="6"/>
      <c r="AR101" s="34">
        <f>316/50</f>
        <v>6.32</v>
      </c>
    </row>
    <row r="102" spans="2:56" x14ac:dyDescent="0.25">
      <c r="B102" s="6"/>
      <c r="AR102" s="34">
        <f>43*AR101</f>
        <v>271.76</v>
      </c>
    </row>
    <row r="103" spans="2:56" x14ac:dyDescent="0.25">
      <c r="B103" s="6"/>
      <c r="AR103" s="34">
        <f>415/50</f>
        <v>8.3000000000000007</v>
      </c>
    </row>
    <row r="104" spans="2:56" x14ac:dyDescent="0.25">
      <c r="B104" s="6"/>
    </row>
    <row r="105" spans="2:56" x14ac:dyDescent="0.25">
      <c r="B105" s="6"/>
    </row>
    <row r="106" spans="2:56" x14ac:dyDescent="0.25">
      <c r="B106" s="6"/>
    </row>
    <row r="107" spans="2:56" x14ac:dyDescent="0.25">
      <c r="B107" s="85"/>
    </row>
    <row r="108" spans="2:56" x14ac:dyDescent="0.25">
      <c r="B108" s="6"/>
    </row>
    <row r="109" spans="2:56" x14ac:dyDescent="0.25">
      <c r="B109" s="83"/>
    </row>
    <row r="110" spans="2:56" x14ac:dyDescent="0.25">
      <c r="B110" s="6"/>
    </row>
    <row r="111" spans="2:56" x14ac:dyDescent="0.25">
      <c r="B111" s="5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84"/>
  <sheetViews>
    <sheetView workbookViewId="0">
      <pane xSplit="1" topLeftCell="B1" activePane="topRight" state="frozen"/>
      <selection pane="topRight" activeCell="A5" sqref="A5"/>
    </sheetView>
  </sheetViews>
  <sheetFormatPr defaultRowHeight="15" x14ac:dyDescent="0.25"/>
  <cols>
    <col min="1" max="13" width="17.85546875" customWidth="1"/>
    <col min="14" max="14" width="14.7109375" customWidth="1"/>
    <col min="15" max="15" width="17.85546875" customWidth="1"/>
    <col min="16" max="16" width="13.140625" customWidth="1"/>
    <col min="17" max="17" width="15.5703125" customWidth="1"/>
    <col min="18" max="18" width="16.140625" customWidth="1"/>
    <col min="19" max="19" width="16.5703125" customWidth="1"/>
    <col min="20" max="20" width="14" customWidth="1"/>
    <col min="21" max="21" width="12.85546875" customWidth="1"/>
    <col min="22" max="22" width="11.7109375" customWidth="1"/>
    <col min="23" max="23" width="13.28515625" customWidth="1"/>
    <col min="24" max="24" width="13.5703125" customWidth="1"/>
    <col min="25" max="25" width="13.140625" customWidth="1"/>
    <col min="26" max="26" width="15.28515625" customWidth="1"/>
    <col min="27" max="27" width="13.28515625" customWidth="1"/>
    <col min="28" max="28" width="13.140625" customWidth="1"/>
    <col min="29" max="29" width="14.28515625" customWidth="1"/>
    <col min="30" max="30" width="14" customWidth="1"/>
    <col min="31" max="32" width="12.140625" customWidth="1"/>
    <col min="33" max="33" width="12.85546875" customWidth="1"/>
    <col min="34" max="46" width="15.85546875" customWidth="1"/>
    <col min="47" max="47" width="10.42578125" bestFit="1" customWidth="1"/>
    <col min="48" max="48" width="12" customWidth="1"/>
    <col min="49" max="49" width="11.42578125" customWidth="1"/>
    <col min="50" max="50" width="12.28515625" customWidth="1"/>
    <col min="51" max="51" width="14.28515625" customWidth="1"/>
    <col min="52" max="52" width="12.85546875" customWidth="1"/>
    <col min="53" max="53" width="12.5703125" customWidth="1"/>
    <col min="54" max="54" width="12.7109375" customWidth="1"/>
    <col min="55" max="55" width="11.85546875" customWidth="1"/>
    <col min="56" max="56" width="11.5703125" customWidth="1"/>
    <col min="57" max="57" width="11.42578125" customWidth="1"/>
    <col min="58" max="58" width="11.7109375" customWidth="1"/>
    <col min="59" max="59" width="12.42578125" customWidth="1"/>
    <col min="60" max="60" width="13.5703125" customWidth="1"/>
    <col min="61" max="61" width="11.28515625" customWidth="1"/>
    <col min="62" max="62" width="11.140625" customWidth="1"/>
    <col min="63" max="63" width="11.28515625" customWidth="1"/>
    <col min="64" max="64" width="11.7109375" customWidth="1"/>
    <col min="65" max="65" width="12" customWidth="1"/>
  </cols>
  <sheetData>
    <row r="1" spans="1:65" ht="19.5" thickBot="1" x14ac:dyDescent="0.35">
      <c r="A1" s="134" t="s">
        <v>156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I1" s="138" t="s">
        <v>157</v>
      </c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7"/>
    </row>
    <row r="2" spans="1:65" ht="15.75" thickBot="1" x14ac:dyDescent="0.3">
      <c r="A2" s="51"/>
      <c r="B2" s="55">
        <v>45138</v>
      </c>
      <c r="C2" s="55">
        <v>45139</v>
      </c>
      <c r="D2" s="55">
        <f>C2+1</f>
        <v>45140</v>
      </c>
      <c r="E2" s="55">
        <f t="shared" ref="E2:AG2" si="0">D2+1</f>
        <v>45141</v>
      </c>
      <c r="F2" s="55">
        <f t="shared" si="0"/>
        <v>45142</v>
      </c>
      <c r="G2" s="55">
        <f t="shared" si="0"/>
        <v>45143</v>
      </c>
      <c r="H2" s="55">
        <f t="shared" si="0"/>
        <v>45144</v>
      </c>
      <c r="I2" s="55">
        <f t="shared" si="0"/>
        <v>45145</v>
      </c>
      <c r="J2" s="55">
        <f t="shared" si="0"/>
        <v>45146</v>
      </c>
      <c r="K2" s="55">
        <f t="shared" si="0"/>
        <v>45147</v>
      </c>
      <c r="L2" s="55">
        <f t="shared" si="0"/>
        <v>45148</v>
      </c>
      <c r="M2" s="55">
        <f t="shared" si="0"/>
        <v>45149</v>
      </c>
      <c r="N2" s="55">
        <f t="shared" si="0"/>
        <v>45150</v>
      </c>
      <c r="O2" s="55">
        <f t="shared" si="0"/>
        <v>45151</v>
      </c>
      <c r="P2" s="55">
        <f t="shared" si="0"/>
        <v>45152</v>
      </c>
      <c r="Q2" s="55">
        <f t="shared" si="0"/>
        <v>45153</v>
      </c>
      <c r="R2" s="55">
        <f t="shared" si="0"/>
        <v>45154</v>
      </c>
      <c r="S2" s="55">
        <f t="shared" si="0"/>
        <v>45155</v>
      </c>
      <c r="T2" s="55">
        <f t="shared" si="0"/>
        <v>45156</v>
      </c>
      <c r="U2" s="55">
        <f t="shared" si="0"/>
        <v>45157</v>
      </c>
      <c r="V2" s="55">
        <f t="shared" si="0"/>
        <v>45158</v>
      </c>
      <c r="W2" s="55">
        <f t="shared" si="0"/>
        <v>45159</v>
      </c>
      <c r="X2" s="55">
        <f t="shared" si="0"/>
        <v>45160</v>
      </c>
      <c r="Y2" s="55">
        <f t="shared" si="0"/>
        <v>45161</v>
      </c>
      <c r="Z2" s="55">
        <f t="shared" si="0"/>
        <v>45162</v>
      </c>
      <c r="AA2" s="55">
        <f t="shared" si="0"/>
        <v>45163</v>
      </c>
      <c r="AB2" s="55">
        <f t="shared" si="0"/>
        <v>45164</v>
      </c>
      <c r="AC2" s="55">
        <f t="shared" si="0"/>
        <v>45165</v>
      </c>
      <c r="AD2" s="55">
        <f t="shared" si="0"/>
        <v>45166</v>
      </c>
      <c r="AE2" s="55">
        <f t="shared" si="0"/>
        <v>45167</v>
      </c>
      <c r="AF2" s="55">
        <f t="shared" si="0"/>
        <v>45168</v>
      </c>
      <c r="AG2" s="55">
        <f t="shared" si="0"/>
        <v>45169</v>
      </c>
      <c r="AI2" s="61">
        <v>45139</v>
      </c>
      <c r="AJ2" s="62">
        <f>AI2+1</f>
        <v>45140</v>
      </c>
      <c r="AK2" s="61">
        <f t="shared" ref="AK2:BM2" si="1">AJ2+1</f>
        <v>45141</v>
      </c>
      <c r="AL2" s="62">
        <f t="shared" si="1"/>
        <v>45142</v>
      </c>
      <c r="AM2" s="61">
        <f t="shared" si="1"/>
        <v>45143</v>
      </c>
      <c r="AN2" s="62">
        <f t="shared" si="1"/>
        <v>45144</v>
      </c>
      <c r="AO2" s="61">
        <f t="shared" si="1"/>
        <v>45145</v>
      </c>
      <c r="AP2" s="61">
        <f t="shared" si="1"/>
        <v>45146</v>
      </c>
      <c r="AQ2" s="62">
        <f t="shared" si="1"/>
        <v>45147</v>
      </c>
      <c r="AR2" s="61">
        <f t="shared" si="1"/>
        <v>45148</v>
      </c>
      <c r="AS2" s="62">
        <f t="shared" si="1"/>
        <v>45149</v>
      </c>
      <c r="AT2" s="61">
        <f t="shared" si="1"/>
        <v>45150</v>
      </c>
      <c r="AU2" s="62">
        <f t="shared" si="1"/>
        <v>45151</v>
      </c>
      <c r="AV2" s="61">
        <f t="shared" si="1"/>
        <v>45152</v>
      </c>
      <c r="AW2" s="62">
        <f t="shared" si="1"/>
        <v>45153</v>
      </c>
      <c r="AX2" s="61">
        <f t="shared" si="1"/>
        <v>45154</v>
      </c>
      <c r="AY2" s="62">
        <f t="shared" si="1"/>
        <v>45155</v>
      </c>
      <c r="AZ2" s="61">
        <f t="shared" si="1"/>
        <v>45156</v>
      </c>
      <c r="BA2" s="62">
        <f t="shared" si="1"/>
        <v>45157</v>
      </c>
      <c r="BB2" s="61">
        <f t="shared" si="1"/>
        <v>45158</v>
      </c>
      <c r="BC2" s="62">
        <f t="shared" si="1"/>
        <v>45159</v>
      </c>
      <c r="BD2" s="61">
        <f t="shared" si="1"/>
        <v>45160</v>
      </c>
      <c r="BE2" s="62">
        <f t="shared" si="1"/>
        <v>45161</v>
      </c>
      <c r="BF2" s="61">
        <f t="shared" si="1"/>
        <v>45162</v>
      </c>
      <c r="BG2" s="62">
        <f t="shared" si="1"/>
        <v>45163</v>
      </c>
      <c r="BH2" s="61">
        <f t="shared" si="1"/>
        <v>45164</v>
      </c>
      <c r="BI2" s="61">
        <f t="shared" si="1"/>
        <v>45165</v>
      </c>
      <c r="BJ2" s="62">
        <f t="shared" si="1"/>
        <v>45166</v>
      </c>
      <c r="BK2" s="61">
        <f t="shared" si="1"/>
        <v>45167</v>
      </c>
      <c r="BL2" s="63">
        <f t="shared" si="1"/>
        <v>45168</v>
      </c>
      <c r="BM2" s="61">
        <f t="shared" si="1"/>
        <v>45169</v>
      </c>
    </row>
    <row r="3" spans="1:65" x14ac:dyDescent="0.25">
      <c r="A3" s="52" t="s">
        <v>158</v>
      </c>
      <c r="B3">
        <v>1714.6063999999999</v>
      </c>
      <c r="C3">
        <v>1717.2393999999999</v>
      </c>
      <c r="D3">
        <v>1720.3905999999999</v>
      </c>
      <c r="E3">
        <v>1724.2334000000001</v>
      </c>
      <c r="Z3">
        <v>1796.9893999999999</v>
      </c>
      <c r="AA3">
        <v>1800.5886</v>
      </c>
      <c r="AH3" s="52" t="s">
        <v>158</v>
      </c>
      <c r="AI3" s="14">
        <f t="shared" ref="AI3:AR4" si="2">(C3-B3)*1000</f>
        <v>2633.0000000000382</v>
      </c>
      <c r="AJ3" s="14">
        <f t="shared" si="2"/>
        <v>3151.2000000000171</v>
      </c>
      <c r="AK3" s="14">
        <f t="shared" si="2"/>
        <v>3842.8000000001248</v>
      </c>
      <c r="AL3" s="14">
        <f t="shared" si="2"/>
        <v>-1724233.4000000001</v>
      </c>
      <c r="AM3" s="14">
        <f t="shared" si="2"/>
        <v>0</v>
      </c>
      <c r="AN3" s="14">
        <f t="shared" si="2"/>
        <v>0</v>
      </c>
      <c r="AO3" s="14">
        <f t="shared" si="2"/>
        <v>0</v>
      </c>
      <c r="AP3" s="14">
        <f t="shared" si="2"/>
        <v>0</v>
      </c>
      <c r="AQ3" s="14">
        <f t="shared" si="2"/>
        <v>0</v>
      </c>
      <c r="AR3" s="14">
        <f t="shared" si="2"/>
        <v>0</v>
      </c>
      <c r="AS3" s="14">
        <f t="shared" ref="AS3:BB4" si="3">(M3-L3)*1000</f>
        <v>0</v>
      </c>
      <c r="AT3" s="14">
        <f t="shared" si="3"/>
        <v>0</v>
      </c>
      <c r="AU3" s="14">
        <f t="shared" si="3"/>
        <v>0</v>
      </c>
      <c r="AV3" s="14">
        <f t="shared" si="3"/>
        <v>0</v>
      </c>
      <c r="AW3" s="14">
        <f t="shared" si="3"/>
        <v>0</v>
      </c>
      <c r="AX3" s="14">
        <f t="shared" si="3"/>
        <v>0</v>
      </c>
      <c r="AY3" s="14">
        <f t="shared" si="3"/>
        <v>0</v>
      </c>
      <c r="AZ3" s="14">
        <f t="shared" si="3"/>
        <v>0</v>
      </c>
      <c r="BA3" s="14">
        <f t="shared" si="3"/>
        <v>0</v>
      </c>
      <c r="BB3" s="14">
        <f t="shared" si="3"/>
        <v>0</v>
      </c>
      <c r="BC3" s="14">
        <f t="shared" ref="BC3:BK4" si="4">(W3-V3)*1000</f>
        <v>0</v>
      </c>
      <c r="BD3" s="14">
        <f t="shared" si="4"/>
        <v>0</v>
      </c>
      <c r="BE3" s="14">
        <f t="shared" si="4"/>
        <v>0</v>
      </c>
      <c r="BF3" s="14">
        <f t="shared" si="4"/>
        <v>1796989.4</v>
      </c>
      <c r="BG3" s="14">
        <f t="shared" si="4"/>
        <v>3599.2000000001099</v>
      </c>
      <c r="BH3" s="14">
        <f t="shared" si="4"/>
        <v>-1800588.6</v>
      </c>
      <c r="BI3" s="14">
        <f t="shared" si="4"/>
        <v>0</v>
      </c>
      <c r="BJ3" s="14">
        <f t="shared" si="4"/>
        <v>0</v>
      </c>
      <c r="BK3" s="14">
        <f t="shared" si="4"/>
        <v>0</v>
      </c>
      <c r="BL3" s="14">
        <f>(AG3-AE3)*1000</f>
        <v>0</v>
      </c>
      <c r="BM3" s="14">
        <f>(AG3-AF3)*1000</f>
        <v>0</v>
      </c>
    </row>
    <row r="4" spans="1:65" x14ac:dyDescent="0.25">
      <c r="A4" s="52" t="s">
        <v>159</v>
      </c>
      <c r="B4">
        <v>493.05511999999999</v>
      </c>
      <c r="C4">
        <v>27071.57</v>
      </c>
      <c r="D4">
        <v>27384.81</v>
      </c>
      <c r="E4">
        <v>27666.47</v>
      </c>
      <c r="Z4">
        <v>32961.65</v>
      </c>
      <c r="AA4">
        <v>33180.26</v>
      </c>
      <c r="AH4" s="52" t="s">
        <v>159</v>
      </c>
      <c r="AI4" s="14">
        <f t="shared" si="2"/>
        <v>26578514.879999999</v>
      </c>
      <c r="AJ4" s="14">
        <f>(D4-C4)</f>
        <v>313.2400000000016</v>
      </c>
      <c r="AK4" s="14">
        <f>(E4-D4)</f>
        <v>281.65999999999985</v>
      </c>
      <c r="AL4" s="14">
        <f t="shared" si="2"/>
        <v>-27666470</v>
      </c>
      <c r="AM4" s="14">
        <f t="shared" si="2"/>
        <v>0</v>
      </c>
      <c r="AN4" s="14">
        <f t="shared" si="2"/>
        <v>0</v>
      </c>
      <c r="AO4" s="14">
        <f t="shared" si="2"/>
        <v>0</v>
      </c>
      <c r="AP4" s="14">
        <f t="shared" si="2"/>
        <v>0</v>
      </c>
      <c r="AQ4" s="14">
        <f t="shared" si="2"/>
        <v>0</v>
      </c>
      <c r="AR4" s="14">
        <f t="shared" si="2"/>
        <v>0</v>
      </c>
      <c r="AS4" s="14">
        <f t="shared" si="3"/>
        <v>0</v>
      </c>
      <c r="AT4" s="14">
        <f t="shared" si="3"/>
        <v>0</v>
      </c>
      <c r="AU4" s="14">
        <f t="shared" si="3"/>
        <v>0</v>
      </c>
      <c r="AV4" s="14">
        <f>(P4-O4)</f>
        <v>0</v>
      </c>
      <c r="AW4" s="14">
        <f>(Q4-P4)</f>
        <v>0</v>
      </c>
      <c r="AX4" s="14">
        <f t="shared" si="3"/>
        <v>0</v>
      </c>
      <c r="AY4" s="14">
        <f t="shared" si="3"/>
        <v>0</v>
      </c>
      <c r="AZ4" s="14">
        <f t="shared" si="3"/>
        <v>0</v>
      </c>
      <c r="BA4" s="14">
        <f t="shared" si="3"/>
        <v>0</v>
      </c>
      <c r="BB4" s="14">
        <f t="shared" si="3"/>
        <v>0</v>
      </c>
      <c r="BC4" s="14">
        <f t="shared" si="4"/>
        <v>0</v>
      </c>
      <c r="BD4" s="14">
        <f t="shared" si="4"/>
        <v>0</v>
      </c>
      <c r="BE4" s="14">
        <f t="shared" si="4"/>
        <v>0</v>
      </c>
      <c r="BF4" s="14">
        <f t="shared" si="4"/>
        <v>32961650</v>
      </c>
      <c r="BG4" s="14">
        <f>(AA4-Z4)</f>
        <v>218.61000000000058</v>
      </c>
      <c r="BH4" s="14">
        <f t="shared" si="4"/>
        <v>-33180260.000000004</v>
      </c>
      <c r="BI4" s="14">
        <f t="shared" si="4"/>
        <v>0</v>
      </c>
      <c r="BJ4" s="14">
        <f t="shared" si="4"/>
        <v>0</v>
      </c>
      <c r="BK4" s="14">
        <f t="shared" si="4"/>
        <v>0</v>
      </c>
      <c r="BL4" s="14">
        <f>(AG4-AE4)*1000</f>
        <v>0</v>
      </c>
      <c r="BM4" s="14">
        <f>(AG4-AF4)*1000</f>
        <v>0</v>
      </c>
    </row>
    <row r="5" spans="1:65" x14ac:dyDescent="0.25">
      <c r="A5" s="52" t="s">
        <v>160</v>
      </c>
      <c r="B5">
        <v>272.48178000000001</v>
      </c>
      <c r="C5">
        <v>275.10608000000002</v>
      </c>
      <c r="D5">
        <v>278.25078000000002</v>
      </c>
      <c r="E5">
        <v>282.08553999999998</v>
      </c>
      <c r="Z5">
        <v>354.70116000000002</v>
      </c>
      <c r="AA5">
        <v>358.28944000000001</v>
      </c>
      <c r="AH5" s="52" t="s">
        <v>160</v>
      </c>
      <c r="AI5" s="14">
        <f>(C5-B5)*1000</f>
        <v>2624.3000000000052</v>
      </c>
      <c r="AJ5" s="14">
        <f>(D5-C5)*1000</f>
        <v>3144.7000000000003</v>
      </c>
      <c r="AK5" s="14">
        <f>(E5-D5)*1000</f>
        <v>3834.7599999999602</v>
      </c>
      <c r="AL5" s="14">
        <f>(F5-E5)*1000</f>
        <v>-282085.53999999998</v>
      </c>
      <c r="AM5" s="14">
        <f t="shared" ref="AM5:AS5" si="5">(G5-F5)</f>
        <v>0</v>
      </c>
      <c r="AN5" s="14">
        <f t="shared" si="5"/>
        <v>0</v>
      </c>
      <c r="AO5" s="14">
        <f t="shared" si="5"/>
        <v>0</v>
      </c>
      <c r="AP5" s="14">
        <f t="shared" si="5"/>
        <v>0</v>
      </c>
      <c r="AQ5" s="14">
        <f t="shared" si="5"/>
        <v>0</v>
      </c>
      <c r="AR5" s="14">
        <f t="shared" si="5"/>
        <v>0</v>
      </c>
      <c r="AS5" s="14">
        <f t="shared" si="5"/>
        <v>0</v>
      </c>
      <c r="AT5" s="14">
        <f t="shared" ref="AT5:AY5" si="6">(N5-M5)*1000</f>
        <v>0</v>
      </c>
      <c r="AU5" s="14">
        <f t="shared" si="6"/>
        <v>0</v>
      </c>
      <c r="AV5" s="14">
        <f t="shared" si="6"/>
        <v>0</v>
      </c>
      <c r="AW5" s="14">
        <f t="shared" si="6"/>
        <v>0</v>
      </c>
      <c r="AX5" s="14">
        <f t="shared" si="6"/>
        <v>0</v>
      </c>
      <c r="AY5" s="14">
        <f t="shared" si="6"/>
        <v>0</v>
      </c>
      <c r="AZ5" s="14">
        <f>(T5-S5)*1000</f>
        <v>0</v>
      </c>
      <c r="BA5" s="14">
        <f>(U5-T5)*1000</f>
        <v>0</v>
      </c>
      <c r="BB5" s="14">
        <f>(V5-U5)*1000</f>
        <v>0</v>
      </c>
      <c r="BC5" s="14">
        <f>(W5-V5)</f>
        <v>0</v>
      </c>
      <c r="BD5" s="14">
        <f>(X5-W5)</f>
        <v>0</v>
      </c>
      <c r="BE5" s="14">
        <f>(Y5-X5)</f>
        <v>0</v>
      </c>
      <c r="BF5" s="14">
        <f>(Z5-Y5)</f>
        <v>354.70116000000002</v>
      </c>
      <c r="BG5" s="14">
        <f>(AA5-Z5)*1000</f>
        <v>3588.2799999999975</v>
      </c>
      <c r="BH5" s="14">
        <f t="shared" ref="BH5:BK6" si="7">(AB5-AA5)*1000</f>
        <v>-358289.44</v>
      </c>
      <c r="BI5" s="14">
        <f t="shared" si="7"/>
        <v>0</v>
      </c>
      <c r="BJ5" s="14">
        <f t="shared" si="7"/>
        <v>0</v>
      </c>
      <c r="BK5" s="14">
        <f t="shared" si="7"/>
        <v>0</v>
      </c>
      <c r="BL5" s="14">
        <f>(AF5-AE5)*1000</f>
        <v>0</v>
      </c>
      <c r="BM5" s="14">
        <f>(AG5-AF5)*1000</f>
        <v>0</v>
      </c>
    </row>
    <row r="6" spans="1:65" x14ac:dyDescent="0.25">
      <c r="A6" s="52"/>
      <c r="AH6" s="52"/>
      <c r="AI6" s="14">
        <f t="shared" ref="AI6:BD6" si="8">(C6-B6)*1000</f>
        <v>0</v>
      </c>
      <c r="AJ6" s="14">
        <f t="shared" si="8"/>
        <v>0</v>
      </c>
      <c r="AK6" s="14">
        <f t="shared" si="8"/>
        <v>0</v>
      </c>
      <c r="AL6" s="14">
        <f t="shared" si="8"/>
        <v>0</v>
      </c>
      <c r="AM6" s="14">
        <f t="shared" si="8"/>
        <v>0</v>
      </c>
      <c r="AN6" s="14">
        <f t="shared" si="8"/>
        <v>0</v>
      </c>
      <c r="AO6" s="14">
        <f t="shared" si="8"/>
        <v>0</v>
      </c>
      <c r="AP6" s="14">
        <f t="shared" si="8"/>
        <v>0</v>
      </c>
      <c r="AQ6" s="14">
        <f t="shared" si="8"/>
        <v>0</v>
      </c>
      <c r="AR6" s="14">
        <f t="shared" si="8"/>
        <v>0</v>
      </c>
      <c r="AS6" s="14">
        <f t="shared" si="8"/>
        <v>0</v>
      </c>
      <c r="AT6" s="14">
        <f t="shared" si="8"/>
        <v>0</v>
      </c>
      <c r="AU6" s="14">
        <f t="shared" si="8"/>
        <v>0</v>
      </c>
      <c r="AV6" s="14">
        <f t="shared" si="8"/>
        <v>0</v>
      </c>
      <c r="AW6" s="14">
        <f t="shared" si="8"/>
        <v>0</v>
      </c>
      <c r="AX6" s="14">
        <f t="shared" si="8"/>
        <v>0</v>
      </c>
      <c r="AY6" s="14">
        <f t="shared" si="8"/>
        <v>0</v>
      </c>
      <c r="AZ6" s="14">
        <f>(T6-S6)*1000</f>
        <v>0</v>
      </c>
      <c r="BA6" s="14">
        <f>(U6-T6)*1000</f>
        <v>0</v>
      </c>
      <c r="BB6" s="14">
        <f t="shared" si="8"/>
        <v>0</v>
      </c>
      <c r="BC6" s="14">
        <f t="shared" si="8"/>
        <v>0</v>
      </c>
      <c r="BD6" s="14">
        <f t="shared" si="8"/>
        <v>0</v>
      </c>
      <c r="BE6" s="14">
        <f>(Y6-X6)*1000</f>
        <v>0</v>
      </c>
      <c r="BF6" s="14">
        <f>(Z6-Y6)*1000</f>
        <v>0</v>
      </c>
      <c r="BG6" s="14">
        <f>(AA6-Z6)*1000</f>
        <v>0</v>
      </c>
      <c r="BH6" s="14">
        <f t="shared" si="7"/>
        <v>0</v>
      </c>
      <c r="BI6" s="14">
        <f t="shared" si="7"/>
        <v>0</v>
      </c>
      <c r="BJ6" s="14">
        <f t="shared" si="7"/>
        <v>0</v>
      </c>
      <c r="BK6" s="14">
        <f t="shared" si="7"/>
        <v>0</v>
      </c>
      <c r="BL6" s="14">
        <f>(AG6-AE6)*1000</f>
        <v>0</v>
      </c>
      <c r="BM6" s="14">
        <f>(AG6-AF6)*1000</f>
        <v>0</v>
      </c>
    </row>
    <row r="7" spans="1:65" x14ac:dyDescent="0.25">
      <c r="A7" s="52" t="s">
        <v>161</v>
      </c>
      <c r="B7">
        <v>9094270.9299999997</v>
      </c>
      <c r="C7">
        <v>9096800.1400000006</v>
      </c>
      <c r="D7">
        <v>9099838.0899999999</v>
      </c>
      <c r="E7">
        <v>9103543.6999999993</v>
      </c>
      <c r="Z7">
        <v>9173643.9100000001</v>
      </c>
      <c r="AA7">
        <v>9177105.4600000009</v>
      </c>
      <c r="AH7" s="52" t="s">
        <v>161</v>
      </c>
      <c r="AI7" s="14">
        <f t="shared" ref="AI7:AI27" si="9">C7-B7</f>
        <v>2529.2100000008941</v>
      </c>
      <c r="AJ7" s="14">
        <f t="shared" ref="AJ7:AJ27" si="10">D7-C7</f>
        <v>3037.9499999992549</v>
      </c>
      <c r="AK7" s="14">
        <f t="shared" ref="AK7:AK27" si="11">E7-D7</f>
        <v>3705.609999999404</v>
      </c>
      <c r="AL7" s="14">
        <f t="shared" ref="AL7:AL27" si="12">F7-E7</f>
        <v>-9103543.6999999993</v>
      </c>
      <c r="AM7" s="14">
        <f t="shared" ref="AM7:AM27" si="13">G7-F7</f>
        <v>0</v>
      </c>
      <c r="AN7" s="14">
        <f t="shared" ref="AN7:AN27" si="14">H7-G7</f>
        <v>0</v>
      </c>
      <c r="AO7" s="14">
        <f t="shared" ref="AO7:AO27" si="15">I7-H7</f>
        <v>0</v>
      </c>
      <c r="AP7" s="14">
        <f t="shared" ref="AP7:AP27" si="16">J7-I7</f>
        <v>0</v>
      </c>
      <c r="AQ7" s="14">
        <f t="shared" ref="AQ7:AQ27" si="17">K7-J7</f>
        <v>0</v>
      </c>
      <c r="AR7" s="14">
        <f t="shared" ref="AR7:AR27" si="18">L7-K7</f>
        <v>0</v>
      </c>
      <c r="AS7" s="14">
        <f t="shared" ref="AS7:AS27" si="19">M7-L7</f>
        <v>0</v>
      </c>
      <c r="AT7" s="14">
        <f t="shared" ref="AT7:AT27" si="20">N7-M7</f>
        <v>0</v>
      </c>
      <c r="AU7" s="14">
        <f t="shared" ref="AU7:AU27" si="21">O7-N7</f>
        <v>0</v>
      </c>
      <c r="AV7" s="14">
        <f t="shared" ref="AV7:AV27" si="22">P7-O7</f>
        <v>0</v>
      </c>
      <c r="AW7" s="14">
        <f t="shared" ref="AW7:AW27" si="23">Q7-P7</f>
        <v>0</v>
      </c>
      <c r="AX7" s="14">
        <f t="shared" ref="AX7:AX27" si="24">R7-Q7</f>
        <v>0</v>
      </c>
      <c r="AY7" s="14">
        <f t="shared" ref="AY7:AY27" si="25">S7-R7</f>
        <v>0</v>
      </c>
      <c r="AZ7" s="14">
        <f t="shared" ref="AZ7:AZ12" si="26">T7-S7</f>
        <v>0</v>
      </c>
      <c r="BA7" s="14">
        <f t="shared" ref="BA7:BA12" si="27">U7-T7</f>
        <v>0</v>
      </c>
      <c r="BB7" s="14">
        <f t="shared" ref="BB7:BB27" si="28">V7-U7</f>
        <v>0</v>
      </c>
      <c r="BC7" s="14">
        <f t="shared" ref="BC7:BC27" si="29">W7-V7</f>
        <v>0</v>
      </c>
      <c r="BD7" s="14">
        <f t="shared" ref="BD7:BD27" si="30">X7-W7</f>
        <v>0</v>
      </c>
      <c r="BE7" s="14">
        <f>Y7-X7</f>
        <v>0</v>
      </c>
      <c r="BF7" s="14">
        <f>Z7-Y7</f>
        <v>9173643.9100000001</v>
      </c>
      <c r="BG7" s="14">
        <f>AA7-Z7</f>
        <v>3461.5500000007451</v>
      </c>
      <c r="BH7" s="14">
        <f t="shared" ref="BH7:BH27" si="31">AB7-AA7</f>
        <v>-9177105.4600000009</v>
      </c>
      <c r="BI7" s="14">
        <f t="shared" ref="BI7:BI27" si="32">AC7-AB7</f>
        <v>0</v>
      </c>
      <c r="BJ7" s="14">
        <f t="shared" ref="BJ7:BJ27" si="33">AD7-AC7</f>
        <v>0</v>
      </c>
      <c r="BK7" s="14">
        <f t="shared" ref="BK7:BK27" si="34">AE7-AD7</f>
        <v>0</v>
      </c>
      <c r="BL7" s="14">
        <f t="shared" ref="BL7:BL27" si="35">AF7-AE7</f>
        <v>0</v>
      </c>
      <c r="BM7" s="14">
        <f t="shared" ref="BM7:BM12" si="36">(AG7-AF7)</f>
        <v>0</v>
      </c>
    </row>
    <row r="8" spans="1:65" x14ac:dyDescent="0.25">
      <c r="A8" s="52" t="s">
        <v>162</v>
      </c>
      <c r="B8">
        <v>527488.55000000005</v>
      </c>
      <c r="C8">
        <v>527684.21</v>
      </c>
      <c r="D8">
        <v>527916.25</v>
      </c>
      <c r="E8">
        <v>528137.27</v>
      </c>
      <c r="Z8">
        <v>532370.25</v>
      </c>
      <c r="AA8">
        <v>532616.28</v>
      </c>
      <c r="AH8" s="52" t="s">
        <v>162</v>
      </c>
      <c r="AI8" s="14">
        <f t="shared" si="9"/>
        <v>195.65999999991618</v>
      </c>
      <c r="AJ8" s="14">
        <f t="shared" si="10"/>
        <v>232.04000000003725</v>
      </c>
      <c r="AK8" s="14">
        <f t="shared" si="11"/>
        <v>221.02000000001863</v>
      </c>
      <c r="AL8" s="14">
        <f t="shared" si="12"/>
        <v>-528137.27</v>
      </c>
      <c r="AM8" s="14">
        <f t="shared" si="13"/>
        <v>0</v>
      </c>
      <c r="AN8" s="14">
        <f t="shared" si="14"/>
        <v>0</v>
      </c>
      <c r="AO8" s="14">
        <f t="shared" si="15"/>
        <v>0</v>
      </c>
      <c r="AP8" s="14">
        <f t="shared" si="16"/>
        <v>0</v>
      </c>
      <c r="AQ8" s="14">
        <f t="shared" si="17"/>
        <v>0</v>
      </c>
      <c r="AR8" s="14">
        <f t="shared" si="18"/>
        <v>0</v>
      </c>
      <c r="AS8" s="14">
        <f t="shared" si="19"/>
        <v>0</v>
      </c>
      <c r="AT8" s="14">
        <f t="shared" si="20"/>
        <v>0</v>
      </c>
      <c r="AU8" s="14">
        <f t="shared" si="21"/>
        <v>0</v>
      </c>
      <c r="AV8" s="14">
        <f t="shared" si="22"/>
        <v>0</v>
      </c>
      <c r="AW8" s="14">
        <f t="shared" si="23"/>
        <v>0</v>
      </c>
      <c r="AX8" s="14">
        <f t="shared" si="24"/>
        <v>0</v>
      </c>
      <c r="AY8" s="14">
        <f t="shared" si="25"/>
        <v>0</v>
      </c>
      <c r="AZ8" s="14">
        <f t="shared" si="26"/>
        <v>0</v>
      </c>
      <c r="BA8" s="14">
        <f t="shared" si="27"/>
        <v>0</v>
      </c>
      <c r="BB8" s="14">
        <f t="shared" si="28"/>
        <v>0</v>
      </c>
      <c r="BC8" s="14">
        <f t="shared" si="29"/>
        <v>0</v>
      </c>
      <c r="BD8" s="14">
        <f t="shared" si="30"/>
        <v>0</v>
      </c>
      <c r="BE8" s="14">
        <f t="shared" ref="BE8:BE27" si="37">Y8-X8</f>
        <v>0</v>
      </c>
      <c r="BF8" s="14">
        <f t="shared" ref="BF8:BF27" si="38">Z8-Y8</f>
        <v>532370.25</v>
      </c>
      <c r="BG8" s="14">
        <f t="shared" ref="BG8:BG27" si="39">AA8-Z8</f>
        <v>246.03000000002794</v>
      </c>
      <c r="BH8" s="14">
        <f t="shared" si="31"/>
        <v>-532616.28</v>
      </c>
      <c r="BI8" s="14">
        <f t="shared" si="32"/>
        <v>0</v>
      </c>
      <c r="BJ8" s="14">
        <f t="shared" si="33"/>
        <v>0</v>
      </c>
      <c r="BK8" s="14">
        <f t="shared" si="34"/>
        <v>0</v>
      </c>
      <c r="BL8" s="14">
        <f t="shared" si="35"/>
        <v>0</v>
      </c>
      <c r="BM8" s="14">
        <f t="shared" si="36"/>
        <v>0</v>
      </c>
    </row>
    <row r="9" spans="1:65" x14ac:dyDescent="0.25">
      <c r="A9" s="52" t="s">
        <v>163</v>
      </c>
      <c r="B9">
        <v>712223.35</v>
      </c>
      <c r="C9">
        <v>712331.6</v>
      </c>
      <c r="D9">
        <v>712431.15</v>
      </c>
      <c r="E9">
        <v>712533.04</v>
      </c>
      <c r="Z9">
        <v>714515.58</v>
      </c>
      <c r="AA9">
        <v>714606.16</v>
      </c>
      <c r="AH9" s="52" t="s">
        <v>163</v>
      </c>
      <c r="AI9" s="14">
        <f t="shared" si="9"/>
        <v>108.25</v>
      </c>
      <c r="AJ9" s="14">
        <f t="shared" si="10"/>
        <v>99.550000000046566</v>
      </c>
      <c r="AK9" s="14">
        <f t="shared" si="11"/>
        <v>101.89000000001397</v>
      </c>
      <c r="AL9" s="14">
        <f t="shared" si="12"/>
        <v>-712533.04</v>
      </c>
      <c r="AM9" s="14">
        <f t="shared" si="13"/>
        <v>0</v>
      </c>
      <c r="AN9" s="14">
        <f t="shared" si="14"/>
        <v>0</v>
      </c>
      <c r="AO9" s="14">
        <f t="shared" si="15"/>
        <v>0</v>
      </c>
      <c r="AP9" s="14">
        <f t="shared" si="16"/>
        <v>0</v>
      </c>
      <c r="AQ9" s="14">
        <f t="shared" si="17"/>
        <v>0</v>
      </c>
      <c r="AR9" s="14">
        <f t="shared" si="18"/>
        <v>0</v>
      </c>
      <c r="AS9" s="14">
        <f t="shared" si="19"/>
        <v>0</v>
      </c>
      <c r="AT9" s="14">
        <f t="shared" si="20"/>
        <v>0</v>
      </c>
      <c r="AU9" s="14">
        <f t="shared" si="21"/>
        <v>0</v>
      </c>
      <c r="AV9" s="14">
        <f t="shared" si="22"/>
        <v>0</v>
      </c>
      <c r="AW9" s="14">
        <f t="shared" si="23"/>
        <v>0</v>
      </c>
      <c r="AX9" s="14">
        <f t="shared" si="24"/>
        <v>0</v>
      </c>
      <c r="AY9" s="14">
        <f t="shared" si="25"/>
        <v>0</v>
      </c>
      <c r="AZ9" s="14">
        <f t="shared" si="26"/>
        <v>0</v>
      </c>
      <c r="BA9" s="14">
        <f t="shared" si="27"/>
        <v>0</v>
      </c>
      <c r="BB9" s="14">
        <f t="shared" si="28"/>
        <v>0</v>
      </c>
      <c r="BC9" s="14">
        <f t="shared" si="29"/>
        <v>0</v>
      </c>
      <c r="BD9" s="14">
        <f t="shared" si="30"/>
        <v>0</v>
      </c>
      <c r="BE9" s="14">
        <f t="shared" si="37"/>
        <v>0</v>
      </c>
      <c r="BF9" s="14">
        <f t="shared" si="38"/>
        <v>714515.58</v>
      </c>
      <c r="BG9" s="14">
        <f t="shared" si="39"/>
        <v>90.580000000074506</v>
      </c>
      <c r="BH9" s="14">
        <f>AB9-AA9</f>
        <v>-714606.16</v>
      </c>
      <c r="BI9" s="14">
        <f t="shared" si="32"/>
        <v>0</v>
      </c>
      <c r="BJ9" s="14">
        <f t="shared" si="33"/>
        <v>0</v>
      </c>
      <c r="BK9" s="14">
        <f t="shared" si="34"/>
        <v>0</v>
      </c>
      <c r="BL9" s="14">
        <f t="shared" si="35"/>
        <v>0</v>
      </c>
      <c r="BM9" s="14">
        <f t="shared" si="36"/>
        <v>0</v>
      </c>
    </row>
    <row r="10" spans="1:65" x14ac:dyDescent="0.25">
      <c r="A10" s="52" t="s">
        <v>164</v>
      </c>
      <c r="B10">
        <v>311074.77</v>
      </c>
      <c r="C10">
        <v>311299.15999999997</v>
      </c>
      <c r="D10">
        <v>311523.33</v>
      </c>
      <c r="E10">
        <v>311767.75</v>
      </c>
      <c r="Z10">
        <v>316388.39</v>
      </c>
      <c r="AA10">
        <v>316628.38</v>
      </c>
      <c r="AH10" s="52" t="s">
        <v>164</v>
      </c>
      <c r="AI10" s="14">
        <f t="shared" si="9"/>
        <v>224.38999999995576</v>
      </c>
      <c r="AJ10" s="14">
        <f t="shared" si="10"/>
        <v>224.17000000004191</v>
      </c>
      <c r="AK10" s="14">
        <f t="shared" si="11"/>
        <v>244.4199999999837</v>
      </c>
      <c r="AL10" s="14">
        <f t="shared" si="12"/>
        <v>-311767.75</v>
      </c>
      <c r="AM10" s="14">
        <f t="shared" si="13"/>
        <v>0</v>
      </c>
      <c r="AN10" s="14">
        <f t="shared" si="14"/>
        <v>0</v>
      </c>
      <c r="AO10" s="14">
        <f t="shared" si="15"/>
        <v>0</v>
      </c>
      <c r="AP10" s="14">
        <f t="shared" si="16"/>
        <v>0</v>
      </c>
      <c r="AQ10" s="14">
        <f t="shared" si="17"/>
        <v>0</v>
      </c>
      <c r="AR10" s="14">
        <f t="shared" si="18"/>
        <v>0</v>
      </c>
      <c r="AS10" s="14">
        <f t="shared" si="19"/>
        <v>0</v>
      </c>
      <c r="AT10" s="14">
        <f t="shared" si="20"/>
        <v>0</v>
      </c>
      <c r="AU10" s="14">
        <f t="shared" si="21"/>
        <v>0</v>
      </c>
      <c r="AV10" s="14">
        <f t="shared" si="22"/>
        <v>0</v>
      </c>
      <c r="AW10" s="14">
        <f t="shared" si="23"/>
        <v>0</v>
      </c>
      <c r="AX10" s="14">
        <f t="shared" si="24"/>
        <v>0</v>
      </c>
      <c r="AY10" s="14">
        <f t="shared" si="25"/>
        <v>0</v>
      </c>
      <c r="AZ10" s="14">
        <f t="shared" si="26"/>
        <v>0</v>
      </c>
      <c r="BA10" s="14">
        <f t="shared" si="27"/>
        <v>0</v>
      </c>
      <c r="BB10" s="14">
        <f t="shared" si="28"/>
        <v>0</v>
      </c>
      <c r="BC10" s="14">
        <f>W10-V10</f>
        <v>0</v>
      </c>
      <c r="BD10" s="14">
        <f>X10-W10</f>
        <v>0</v>
      </c>
      <c r="BE10" s="14">
        <f>Y10-X10</f>
        <v>0</v>
      </c>
      <c r="BF10" s="14">
        <f>Z10-Y10</f>
        <v>316388.39</v>
      </c>
      <c r="BG10" s="14">
        <f>AA10-Z10</f>
        <v>239.98999999999069</v>
      </c>
      <c r="BH10" s="14">
        <f>AB10-AA10</f>
        <v>-316628.38</v>
      </c>
      <c r="BI10" s="14">
        <f>AC10-AB10</f>
        <v>0</v>
      </c>
      <c r="BJ10" s="14">
        <f t="shared" si="33"/>
        <v>0</v>
      </c>
      <c r="BK10" s="14">
        <f>AE10-AD10</f>
        <v>0</v>
      </c>
      <c r="BL10" s="14">
        <f t="shared" si="35"/>
        <v>0</v>
      </c>
      <c r="BM10" s="14">
        <f t="shared" si="36"/>
        <v>0</v>
      </c>
    </row>
    <row r="11" spans="1:65" x14ac:dyDescent="0.25">
      <c r="A11" s="52" t="s">
        <v>135</v>
      </c>
      <c r="B11">
        <v>1122449.94</v>
      </c>
      <c r="C11">
        <v>1123587.99</v>
      </c>
      <c r="D11">
        <v>1124775.05</v>
      </c>
      <c r="E11">
        <v>1126025.3</v>
      </c>
      <c r="Z11">
        <v>1157347.8</v>
      </c>
      <c r="AA11">
        <v>1158792.93</v>
      </c>
      <c r="AH11" s="52" t="s">
        <v>135</v>
      </c>
      <c r="AI11" s="14">
        <f t="shared" si="9"/>
        <v>1138.0500000000466</v>
      </c>
      <c r="AJ11" s="14">
        <f t="shared" si="10"/>
        <v>1187.0600000000559</v>
      </c>
      <c r="AK11" s="14">
        <f t="shared" si="11"/>
        <v>1250.25</v>
      </c>
      <c r="AL11" s="14">
        <f t="shared" si="12"/>
        <v>-1126025.3</v>
      </c>
      <c r="AM11" s="14">
        <f t="shared" si="13"/>
        <v>0</v>
      </c>
      <c r="AN11" s="14">
        <f t="shared" si="14"/>
        <v>0</v>
      </c>
      <c r="AO11" s="14">
        <f t="shared" si="15"/>
        <v>0</v>
      </c>
      <c r="AP11" s="14">
        <f t="shared" si="16"/>
        <v>0</v>
      </c>
      <c r="AQ11" s="14">
        <f t="shared" si="17"/>
        <v>0</v>
      </c>
      <c r="AR11" s="14">
        <f t="shared" si="18"/>
        <v>0</v>
      </c>
      <c r="AS11" s="14">
        <f t="shared" si="19"/>
        <v>0</v>
      </c>
      <c r="AT11" s="14">
        <f t="shared" si="20"/>
        <v>0</v>
      </c>
      <c r="AU11" s="14">
        <f t="shared" si="21"/>
        <v>0</v>
      </c>
      <c r="AV11" s="14">
        <f t="shared" si="22"/>
        <v>0</v>
      </c>
      <c r="AW11" s="14">
        <f t="shared" si="23"/>
        <v>0</v>
      </c>
      <c r="AX11" s="14">
        <f t="shared" si="24"/>
        <v>0</v>
      </c>
      <c r="AY11" s="14">
        <f t="shared" si="25"/>
        <v>0</v>
      </c>
      <c r="AZ11" s="14">
        <f t="shared" si="26"/>
        <v>0</v>
      </c>
      <c r="BA11" s="14">
        <f t="shared" si="27"/>
        <v>0</v>
      </c>
      <c r="BB11" s="14">
        <f t="shared" si="28"/>
        <v>0</v>
      </c>
      <c r="BC11" s="14">
        <f t="shared" si="29"/>
        <v>0</v>
      </c>
      <c r="BD11" s="14">
        <f t="shared" si="30"/>
        <v>0</v>
      </c>
      <c r="BE11" s="14">
        <f t="shared" si="37"/>
        <v>0</v>
      </c>
      <c r="BF11" s="14">
        <f t="shared" si="38"/>
        <v>1157347.8</v>
      </c>
      <c r="BG11" s="14">
        <f t="shared" si="39"/>
        <v>1445.1299999998882</v>
      </c>
      <c r="BH11" s="14">
        <f t="shared" si="31"/>
        <v>-1158792.93</v>
      </c>
      <c r="BI11" s="14">
        <f t="shared" si="32"/>
        <v>0</v>
      </c>
      <c r="BJ11" s="14">
        <f t="shared" si="33"/>
        <v>0</v>
      </c>
      <c r="BK11" s="14">
        <f t="shared" si="34"/>
        <v>0</v>
      </c>
      <c r="BL11" s="14">
        <f t="shared" si="35"/>
        <v>0</v>
      </c>
      <c r="BM11" s="14">
        <f t="shared" si="36"/>
        <v>0</v>
      </c>
    </row>
    <row r="12" spans="1:65" x14ac:dyDescent="0.25">
      <c r="A12" s="52" t="s">
        <v>165</v>
      </c>
      <c r="B12">
        <v>585827.72</v>
      </c>
      <c r="C12">
        <v>585851.1</v>
      </c>
      <c r="D12">
        <v>585863.73</v>
      </c>
      <c r="E12">
        <v>585884.13</v>
      </c>
      <c r="Z12">
        <v>586659.03</v>
      </c>
      <c r="AA12">
        <v>586696.85</v>
      </c>
      <c r="AH12" s="52" t="s">
        <v>165</v>
      </c>
      <c r="AI12" s="14">
        <f t="shared" si="9"/>
        <v>23.380000000004657</v>
      </c>
      <c r="AJ12" s="14">
        <f t="shared" si="10"/>
        <v>12.630000000004657</v>
      </c>
      <c r="AK12" s="14">
        <f t="shared" si="11"/>
        <v>20.400000000023283</v>
      </c>
      <c r="AL12" s="14">
        <f t="shared" si="12"/>
        <v>-585884.13</v>
      </c>
      <c r="AM12" s="14">
        <f t="shared" si="13"/>
        <v>0</v>
      </c>
      <c r="AN12" s="14">
        <f t="shared" si="14"/>
        <v>0</v>
      </c>
      <c r="AO12" s="14">
        <f t="shared" si="15"/>
        <v>0</v>
      </c>
      <c r="AP12" s="14">
        <f t="shared" si="16"/>
        <v>0</v>
      </c>
      <c r="AQ12" s="14">
        <f t="shared" si="17"/>
        <v>0</v>
      </c>
      <c r="AR12" s="14">
        <f t="shared" si="18"/>
        <v>0</v>
      </c>
      <c r="AS12" s="14">
        <f t="shared" si="19"/>
        <v>0</v>
      </c>
      <c r="AT12" s="14">
        <f t="shared" si="20"/>
        <v>0</v>
      </c>
      <c r="AU12" s="14">
        <f t="shared" si="21"/>
        <v>0</v>
      </c>
      <c r="AV12" s="14">
        <f t="shared" si="22"/>
        <v>0</v>
      </c>
      <c r="AW12" s="14">
        <f t="shared" si="23"/>
        <v>0</v>
      </c>
      <c r="AX12" s="14">
        <f t="shared" si="24"/>
        <v>0</v>
      </c>
      <c r="AY12" s="14">
        <f t="shared" si="25"/>
        <v>0</v>
      </c>
      <c r="AZ12" s="14">
        <f t="shared" si="26"/>
        <v>0</v>
      </c>
      <c r="BA12" s="14">
        <f t="shared" si="27"/>
        <v>0</v>
      </c>
      <c r="BB12" s="14">
        <f t="shared" si="28"/>
        <v>0</v>
      </c>
      <c r="BC12" s="14">
        <f t="shared" si="29"/>
        <v>0</v>
      </c>
      <c r="BD12" s="14">
        <f t="shared" si="30"/>
        <v>0</v>
      </c>
      <c r="BE12" s="14">
        <f t="shared" si="37"/>
        <v>0</v>
      </c>
      <c r="BF12" s="14">
        <f t="shared" si="38"/>
        <v>586659.03</v>
      </c>
      <c r="BG12" s="14">
        <f t="shared" si="39"/>
        <v>37.819999999948777</v>
      </c>
      <c r="BH12" s="14">
        <f t="shared" si="31"/>
        <v>-586696.85</v>
      </c>
      <c r="BI12" s="14">
        <f t="shared" si="32"/>
        <v>0</v>
      </c>
      <c r="BJ12" s="14">
        <f t="shared" si="33"/>
        <v>0</v>
      </c>
      <c r="BK12" s="14">
        <f t="shared" si="34"/>
        <v>0</v>
      </c>
      <c r="BL12" s="14">
        <f t="shared" si="35"/>
        <v>0</v>
      </c>
      <c r="BM12" s="14">
        <f t="shared" si="36"/>
        <v>0</v>
      </c>
    </row>
    <row r="13" spans="1:65" x14ac:dyDescent="0.25">
      <c r="A13" s="52"/>
      <c r="AH13" s="52"/>
      <c r="AI13" s="14">
        <f t="shared" si="9"/>
        <v>0</v>
      </c>
      <c r="AJ13" s="14">
        <f t="shared" si="10"/>
        <v>0</v>
      </c>
      <c r="AK13" s="14">
        <f t="shared" si="11"/>
        <v>0</v>
      </c>
      <c r="AL13" s="14">
        <f t="shared" si="12"/>
        <v>0</v>
      </c>
      <c r="AM13" s="14">
        <f t="shared" si="13"/>
        <v>0</v>
      </c>
      <c r="AN13" s="14">
        <f t="shared" si="14"/>
        <v>0</v>
      </c>
      <c r="AO13" s="14">
        <f t="shared" si="15"/>
        <v>0</v>
      </c>
      <c r="AP13" s="14">
        <f t="shared" si="16"/>
        <v>0</v>
      </c>
      <c r="AQ13" s="14">
        <f t="shared" si="17"/>
        <v>0</v>
      </c>
      <c r="AR13" s="14">
        <f t="shared" si="18"/>
        <v>0</v>
      </c>
      <c r="AS13" s="14">
        <f t="shared" si="19"/>
        <v>0</v>
      </c>
      <c r="AT13" s="14">
        <f t="shared" si="20"/>
        <v>0</v>
      </c>
      <c r="AU13" s="14">
        <f t="shared" si="21"/>
        <v>0</v>
      </c>
      <c r="AV13" s="14">
        <f t="shared" si="22"/>
        <v>0</v>
      </c>
      <c r="AW13" s="14">
        <f t="shared" si="23"/>
        <v>0</v>
      </c>
      <c r="AX13" s="14">
        <f t="shared" si="24"/>
        <v>0</v>
      </c>
      <c r="AY13" s="14">
        <f t="shared" si="25"/>
        <v>0</v>
      </c>
      <c r="AZ13" s="14">
        <f t="shared" ref="AZ13:AZ27" si="40">T13-S13</f>
        <v>0</v>
      </c>
      <c r="BA13" s="14">
        <f t="shared" ref="BA13:BA27" si="41">U13-T13</f>
        <v>0</v>
      </c>
      <c r="BB13" s="14">
        <f t="shared" si="28"/>
        <v>0</v>
      </c>
      <c r="BC13" s="14">
        <f t="shared" si="29"/>
        <v>0</v>
      </c>
      <c r="BD13" s="14">
        <f t="shared" si="30"/>
        <v>0</v>
      </c>
      <c r="BE13" s="14">
        <f t="shared" si="37"/>
        <v>0</v>
      </c>
      <c r="BF13" s="14">
        <f t="shared" si="38"/>
        <v>0</v>
      </c>
      <c r="BG13" s="14">
        <f t="shared" si="39"/>
        <v>0</v>
      </c>
      <c r="BH13" s="14">
        <f t="shared" si="31"/>
        <v>0</v>
      </c>
      <c r="BI13" s="14">
        <f t="shared" si="32"/>
        <v>0</v>
      </c>
      <c r="BJ13" s="14">
        <f t="shared" si="33"/>
        <v>0</v>
      </c>
      <c r="BK13" s="14">
        <f t="shared" si="34"/>
        <v>0</v>
      </c>
      <c r="BL13" s="14">
        <f t="shared" si="35"/>
        <v>0</v>
      </c>
      <c r="BM13" s="14">
        <f>(AG13-AF13)*1000</f>
        <v>0</v>
      </c>
    </row>
    <row r="14" spans="1:65" x14ac:dyDescent="0.25">
      <c r="A14" s="52" t="s">
        <v>166</v>
      </c>
      <c r="B14">
        <v>25704414.109999999</v>
      </c>
      <c r="C14">
        <v>25714544.239999998</v>
      </c>
      <c r="D14">
        <v>25724989.879999999</v>
      </c>
      <c r="E14">
        <v>25734643.149999999</v>
      </c>
      <c r="Z14">
        <v>25923387.18</v>
      </c>
      <c r="AA14">
        <v>25932509.43</v>
      </c>
      <c r="AH14" s="52" t="s">
        <v>166</v>
      </c>
      <c r="AI14" s="14">
        <f t="shared" si="9"/>
        <v>10130.129999998957</v>
      </c>
      <c r="AJ14" s="14">
        <f t="shared" si="10"/>
        <v>10445.640000000596</v>
      </c>
      <c r="AK14" s="14">
        <f t="shared" si="11"/>
        <v>9653.269999999553</v>
      </c>
      <c r="AL14" s="14">
        <f t="shared" si="12"/>
        <v>-25734643.149999999</v>
      </c>
      <c r="AM14" s="14">
        <f t="shared" si="13"/>
        <v>0</v>
      </c>
      <c r="AN14" s="14">
        <f t="shared" si="14"/>
        <v>0</v>
      </c>
      <c r="AO14" s="14">
        <f t="shared" si="15"/>
        <v>0</v>
      </c>
      <c r="AP14" s="14">
        <f t="shared" si="16"/>
        <v>0</v>
      </c>
      <c r="AQ14" s="14">
        <f t="shared" si="17"/>
        <v>0</v>
      </c>
      <c r="AR14" s="14">
        <f t="shared" si="18"/>
        <v>0</v>
      </c>
      <c r="AS14" s="14">
        <f t="shared" si="19"/>
        <v>0</v>
      </c>
      <c r="AT14" s="14">
        <f t="shared" si="20"/>
        <v>0</v>
      </c>
      <c r="AU14" s="14">
        <f t="shared" si="21"/>
        <v>0</v>
      </c>
      <c r="AV14" s="14">
        <f t="shared" si="22"/>
        <v>0</v>
      </c>
      <c r="AW14" s="14">
        <f t="shared" si="23"/>
        <v>0</v>
      </c>
      <c r="AX14" s="14">
        <f t="shared" si="24"/>
        <v>0</v>
      </c>
      <c r="AY14" s="14">
        <f t="shared" si="25"/>
        <v>0</v>
      </c>
      <c r="AZ14" s="14">
        <f t="shared" si="40"/>
        <v>0</v>
      </c>
      <c r="BA14" s="14">
        <f t="shared" si="41"/>
        <v>0</v>
      </c>
      <c r="BB14" s="14">
        <f t="shared" si="28"/>
        <v>0</v>
      </c>
      <c r="BC14" s="14">
        <f t="shared" si="29"/>
        <v>0</v>
      </c>
      <c r="BD14" s="14">
        <f t="shared" si="30"/>
        <v>0</v>
      </c>
      <c r="BE14" s="14">
        <f t="shared" si="37"/>
        <v>0</v>
      </c>
      <c r="BF14" s="14">
        <f t="shared" si="38"/>
        <v>25923387.18</v>
      </c>
      <c r="BG14" s="14">
        <f t="shared" si="39"/>
        <v>9122.25</v>
      </c>
      <c r="BH14" s="14">
        <f t="shared" si="31"/>
        <v>-25932509.43</v>
      </c>
      <c r="BI14" s="14">
        <f t="shared" si="32"/>
        <v>0</v>
      </c>
      <c r="BJ14" s="14">
        <f t="shared" si="33"/>
        <v>0</v>
      </c>
      <c r="BK14" s="14">
        <f t="shared" si="34"/>
        <v>0</v>
      </c>
      <c r="BL14" s="14">
        <f t="shared" si="35"/>
        <v>0</v>
      </c>
      <c r="BM14" s="14">
        <f>(AG14-AF14)</f>
        <v>0</v>
      </c>
    </row>
    <row r="15" spans="1:65" x14ac:dyDescent="0.25">
      <c r="A15" s="52" t="s">
        <v>6</v>
      </c>
      <c r="B15">
        <v>16507183.49</v>
      </c>
      <c r="C15">
        <v>16514110.109999999</v>
      </c>
      <c r="D15">
        <v>16521338.210000001</v>
      </c>
      <c r="E15">
        <v>16527747.02</v>
      </c>
      <c r="Z15">
        <v>16652495.060000001</v>
      </c>
      <c r="AA15">
        <v>16658541.699999999</v>
      </c>
      <c r="AH15" s="52" t="s">
        <v>6</v>
      </c>
      <c r="AI15" s="14">
        <f t="shared" si="9"/>
        <v>6926.6199999991804</v>
      </c>
      <c r="AJ15" s="14">
        <f t="shared" si="10"/>
        <v>7228.1000000014901</v>
      </c>
      <c r="AK15" s="14">
        <f t="shared" si="11"/>
        <v>6408.8099999986589</v>
      </c>
      <c r="AL15" s="14">
        <f t="shared" si="12"/>
        <v>-16527747.02</v>
      </c>
      <c r="AM15" s="14">
        <f t="shared" si="13"/>
        <v>0</v>
      </c>
      <c r="AN15" s="14">
        <f t="shared" si="14"/>
        <v>0</v>
      </c>
      <c r="AO15" s="14">
        <f t="shared" si="15"/>
        <v>0</v>
      </c>
      <c r="AP15" s="14">
        <f t="shared" si="16"/>
        <v>0</v>
      </c>
      <c r="AQ15" s="14">
        <f t="shared" si="17"/>
        <v>0</v>
      </c>
      <c r="AR15" s="14">
        <f t="shared" si="18"/>
        <v>0</v>
      </c>
      <c r="AS15" s="14">
        <f t="shared" si="19"/>
        <v>0</v>
      </c>
      <c r="AT15" s="14">
        <f t="shared" si="20"/>
        <v>0</v>
      </c>
      <c r="AU15" s="14">
        <f t="shared" si="21"/>
        <v>0</v>
      </c>
      <c r="AV15" s="14">
        <f t="shared" si="22"/>
        <v>0</v>
      </c>
      <c r="AW15" s="14">
        <f t="shared" si="23"/>
        <v>0</v>
      </c>
      <c r="AX15" s="14">
        <f t="shared" si="24"/>
        <v>0</v>
      </c>
      <c r="AY15" s="14">
        <f t="shared" si="25"/>
        <v>0</v>
      </c>
      <c r="AZ15" s="14">
        <f t="shared" si="40"/>
        <v>0</v>
      </c>
      <c r="BA15" s="14">
        <f t="shared" si="41"/>
        <v>0</v>
      </c>
      <c r="BB15" s="14">
        <f t="shared" si="28"/>
        <v>0</v>
      </c>
      <c r="BC15" s="14">
        <f t="shared" si="29"/>
        <v>0</v>
      </c>
      <c r="BD15" s="14">
        <f t="shared" si="30"/>
        <v>0</v>
      </c>
      <c r="BE15" s="14">
        <f t="shared" si="37"/>
        <v>0</v>
      </c>
      <c r="BF15" s="14">
        <f t="shared" si="38"/>
        <v>16652495.060000001</v>
      </c>
      <c r="BG15" s="14">
        <f t="shared" si="39"/>
        <v>6046.6399999987334</v>
      </c>
      <c r="BH15" s="14">
        <f t="shared" si="31"/>
        <v>-16658541.699999999</v>
      </c>
      <c r="BI15" s="14">
        <f t="shared" si="32"/>
        <v>0</v>
      </c>
      <c r="BJ15" s="14">
        <f t="shared" si="33"/>
        <v>0</v>
      </c>
      <c r="BK15" s="14">
        <f t="shared" si="34"/>
        <v>0</v>
      </c>
      <c r="BL15" s="14">
        <f t="shared" si="35"/>
        <v>0</v>
      </c>
      <c r="BM15" s="14">
        <f>(AG15-AF15)</f>
        <v>0</v>
      </c>
    </row>
    <row r="16" spans="1:65" x14ac:dyDescent="0.25">
      <c r="A16" s="52" t="s">
        <v>167</v>
      </c>
      <c r="B16">
        <v>5767668.9699999997</v>
      </c>
      <c r="C16">
        <v>5767668.9699999997</v>
      </c>
      <c r="D16">
        <v>5767668.9699999997</v>
      </c>
      <c r="E16">
        <v>5767668.9699999997</v>
      </c>
      <c r="Z16">
        <v>5767668.9699999997</v>
      </c>
      <c r="AA16">
        <v>5767668.9699999997</v>
      </c>
      <c r="AH16" s="52" t="s">
        <v>167</v>
      </c>
      <c r="AI16" s="14">
        <f t="shared" si="9"/>
        <v>0</v>
      </c>
      <c r="AJ16" s="14">
        <f t="shared" si="10"/>
        <v>0</v>
      </c>
      <c r="AK16" s="14">
        <f t="shared" si="11"/>
        <v>0</v>
      </c>
      <c r="AL16" s="14">
        <f t="shared" si="12"/>
        <v>-5767668.9699999997</v>
      </c>
      <c r="AM16" s="14">
        <f t="shared" si="13"/>
        <v>0</v>
      </c>
      <c r="AN16" s="14">
        <f t="shared" si="14"/>
        <v>0</v>
      </c>
      <c r="AO16" s="14">
        <f t="shared" si="15"/>
        <v>0</v>
      </c>
      <c r="AP16" s="14">
        <f t="shared" si="16"/>
        <v>0</v>
      </c>
      <c r="AQ16" s="14">
        <f t="shared" si="17"/>
        <v>0</v>
      </c>
      <c r="AR16" s="14">
        <f t="shared" si="18"/>
        <v>0</v>
      </c>
      <c r="AS16" s="14">
        <f t="shared" si="19"/>
        <v>0</v>
      </c>
      <c r="AT16" s="14">
        <f t="shared" si="20"/>
        <v>0</v>
      </c>
      <c r="AU16" s="14">
        <f t="shared" si="21"/>
        <v>0</v>
      </c>
      <c r="AV16" s="14">
        <f t="shared" si="22"/>
        <v>0</v>
      </c>
      <c r="AW16" s="14">
        <f t="shared" si="23"/>
        <v>0</v>
      </c>
      <c r="AX16" s="14">
        <f t="shared" si="24"/>
        <v>0</v>
      </c>
      <c r="AY16" s="14">
        <f t="shared" si="25"/>
        <v>0</v>
      </c>
      <c r="AZ16" s="14">
        <f t="shared" si="40"/>
        <v>0</v>
      </c>
      <c r="BA16" s="14">
        <f t="shared" si="41"/>
        <v>0</v>
      </c>
      <c r="BB16" s="14">
        <f t="shared" si="28"/>
        <v>0</v>
      </c>
      <c r="BC16" s="14">
        <f t="shared" si="29"/>
        <v>0</v>
      </c>
      <c r="BD16" s="14">
        <f t="shared" si="30"/>
        <v>0</v>
      </c>
      <c r="BE16" s="14">
        <f t="shared" si="37"/>
        <v>0</v>
      </c>
      <c r="BF16" s="14">
        <f t="shared" si="38"/>
        <v>5767668.9699999997</v>
      </c>
      <c r="BG16" s="14">
        <f t="shared" si="39"/>
        <v>0</v>
      </c>
      <c r="BH16" s="14">
        <f t="shared" si="31"/>
        <v>-5767668.9699999997</v>
      </c>
      <c r="BI16" s="14">
        <f t="shared" si="32"/>
        <v>0</v>
      </c>
      <c r="BJ16" s="14">
        <f t="shared" si="33"/>
        <v>0</v>
      </c>
      <c r="BK16" s="14">
        <f t="shared" si="34"/>
        <v>0</v>
      </c>
      <c r="BL16" s="14">
        <f t="shared" si="35"/>
        <v>0</v>
      </c>
      <c r="BM16" s="14">
        <f>(AG16-AF16)*1000</f>
        <v>0</v>
      </c>
    </row>
    <row r="17" spans="1:65" x14ac:dyDescent="0.25">
      <c r="A17" s="52" t="s">
        <v>168</v>
      </c>
      <c r="B17">
        <v>4471626.1900000004</v>
      </c>
      <c r="C17">
        <v>4474386.38</v>
      </c>
      <c r="D17">
        <v>4477132.21</v>
      </c>
      <c r="E17">
        <v>4479929.32</v>
      </c>
      <c r="Z17">
        <v>4535021.41</v>
      </c>
      <c r="AA17">
        <v>4537712.03</v>
      </c>
      <c r="AH17" s="52" t="s">
        <v>168</v>
      </c>
      <c r="AI17" s="14">
        <f t="shared" si="9"/>
        <v>2760.1899999994785</v>
      </c>
      <c r="AJ17" s="14">
        <f t="shared" si="10"/>
        <v>2745.8300000000745</v>
      </c>
      <c r="AK17" s="14">
        <f t="shared" si="11"/>
        <v>2797.1100000003353</v>
      </c>
      <c r="AL17" s="14">
        <f t="shared" si="12"/>
        <v>-4479929.32</v>
      </c>
      <c r="AM17" s="14">
        <f t="shared" si="13"/>
        <v>0</v>
      </c>
      <c r="AN17" s="14">
        <f t="shared" si="14"/>
        <v>0</v>
      </c>
      <c r="AO17" s="14">
        <f t="shared" si="15"/>
        <v>0</v>
      </c>
      <c r="AP17" s="14">
        <f t="shared" si="16"/>
        <v>0</v>
      </c>
      <c r="AQ17" s="14">
        <f t="shared" si="17"/>
        <v>0</v>
      </c>
      <c r="AR17" s="14">
        <f t="shared" si="18"/>
        <v>0</v>
      </c>
      <c r="AS17" s="14">
        <f t="shared" si="19"/>
        <v>0</v>
      </c>
      <c r="AT17" s="14">
        <f t="shared" si="20"/>
        <v>0</v>
      </c>
      <c r="AU17" s="14">
        <f t="shared" si="21"/>
        <v>0</v>
      </c>
      <c r="AV17" s="14">
        <f t="shared" si="22"/>
        <v>0</v>
      </c>
      <c r="AW17" s="14">
        <f t="shared" si="23"/>
        <v>0</v>
      </c>
      <c r="AX17" s="14">
        <f t="shared" si="24"/>
        <v>0</v>
      </c>
      <c r="AY17" s="14">
        <f t="shared" si="25"/>
        <v>0</v>
      </c>
      <c r="AZ17" s="14">
        <f t="shared" si="40"/>
        <v>0</v>
      </c>
      <c r="BA17" s="14">
        <f t="shared" si="41"/>
        <v>0</v>
      </c>
      <c r="BB17" s="14">
        <f t="shared" si="28"/>
        <v>0</v>
      </c>
      <c r="BC17" s="14">
        <f t="shared" si="29"/>
        <v>0</v>
      </c>
      <c r="BD17" s="14">
        <f t="shared" si="30"/>
        <v>0</v>
      </c>
      <c r="BE17" s="14">
        <f t="shared" si="37"/>
        <v>0</v>
      </c>
      <c r="BF17" s="14">
        <f t="shared" si="38"/>
        <v>4535021.41</v>
      </c>
      <c r="BG17" s="14">
        <f t="shared" si="39"/>
        <v>2690.6200000001118</v>
      </c>
      <c r="BH17" s="14">
        <f t="shared" si="31"/>
        <v>-4537712.03</v>
      </c>
      <c r="BI17" s="14">
        <f t="shared" si="32"/>
        <v>0</v>
      </c>
      <c r="BJ17" s="14">
        <f t="shared" si="33"/>
        <v>0</v>
      </c>
      <c r="BK17" s="14">
        <f t="shared" si="34"/>
        <v>0</v>
      </c>
      <c r="BL17" s="14">
        <f t="shared" si="35"/>
        <v>0</v>
      </c>
      <c r="BM17" s="14">
        <f>(AG17-AF17)</f>
        <v>0</v>
      </c>
    </row>
    <row r="18" spans="1:65" x14ac:dyDescent="0.25">
      <c r="A18" s="52" t="s">
        <v>6</v>
      </c>
      <c r="B18">
        <v>14137778.699999999</v>
      </c>
      <c r="C18">
        <v>14143916.779999999</v>
      </c>
      <c r="D18">
        <v>14149811.07</v>
      </c>
      <c r="E18">
        <v>14155105.279999999</v>
      </c>
      <c r="Z18">
        <v>14255906.82</v>
      </c>
      <c r="AA18">
        <v>14260854.77</v>
      </c>
      <c r="AH18" s="52" t="s">
        <v>6</v>
      </c>
      <c r="AI18" s="14">
        <f t="shared" si="9"/>
        <v>6138.0800000000745</v>
      </c>
      <c r="AJ18" s="14">
        <f t="shared" si="10"/>
        <v>5894.2900000009686</v>
      </c>
      <c r="AK18" s="14">
        <f t="shared" si="11"/>
        <v>5294.2099999990314</v>
      </c>
      <c r="AL18" s="14">
        <f t="shared" si="12"/>
        <v>-14155105.279999999</v>
      </c>
      <c r="AM18" s="14">
        <f t="shared" si="13"/>
        <v>0</v>
      </c>
      <c r="AN18" s="14">
        <f t="shared" si="14"/>
        <v>0</v>
      </c>
      <c r="AO18" s="14">
        <f t="shared" si="15"/>
        <v>0</v>
      </c>
      <c r="AP18" s="14">
        <f t="shared" si="16"/>
        <v>0</v>
      </c>
      <c r="AQ18" s="14">
        <f t="shared" si="17"/>
        <v>0</v>
      </c>
      <c r="AR18" s="14">
        <f t="shared" si="18"/>
        <v>0</v>
      </c>
      <c r="AS18" s="14">
        <f t="shared" si="19"/>
        <v>0</v>
      </c>
      <c r="AT18" s="14">
        <f t="shared" si="20"/>
        <v>0</v>
      </c>
      <c r="AU18" s="14">
        <f t="shared" si="21"/>
        <v>0</v>
      </c>
      <c r="AV18" s="14">
        <f t="shared" si="22"/>
        <v>0</v>
      </c>
      <c r="AW18" s="14">
        <f t="shared" si="23"/>
        <v>0</v>
      </c>
      <c r="AX18" s="14">
        <f t="shared" si="24"/>
        <v>0</v>
      </c>
      <c r="AY18" s="14">
        <f t="shared" si="25"/>
        <v>0</v>
      </c>
      <c r="AZ18" s="14">
        <f t="shared" si="40"/>
        <v>0</v>
      </c>
      <c r="BA18" s="14">
        <f t="shared" si="41"/>
        <v>0</v>
      </c>
      <c r="BB18" s="14">
        <f t="shared" si="28"/>
        <v>0</v>
      </c>
      <c r="BC18" s="14">
        <f t="shared" si="29"/>
        <v>0</v>
      </c>
      <c r="BD18" s="14">
        <f t="shared" si="30"/>
        <v>0</v>
      </c>
      <c r="BE18" s="14">
        <f t="shared" si="37"/>
        <v>0</v>
      </c>
      <c r="BF18" s="14">
        <f t="shared" si="38"/>
        <v>14255906.82</v>
      </c>
      <c r="BG18" s="14">
        <f>AA18-Z18</f>
        <v>4947.9499999992549</v>
      </c>
      <c r="BH18" s="14">
        <f>AB18-AA20</f>
        <v>-34635644.210000001</v>
      </c>
      <c r="BI18" s="14">
        <f t="shared" si="32"/>
        <v>0</v>
      </c>
      <c r="BJ18" s="14">
        <f t="shared" si="33"/>
        <v>0</v>
      </c>
      <c r="BK18" s="14">
        <f t="shared" si="34"/>
        <v>0</v>
      </c>
      <c r="BL18" s="14">
        <f t="shared" si="35"/>
        <v>0</v>
      </c>
      <c r="BM18" s="14">
        <f>(AG18-AF18)</f>
        <v>0</v>
      </c>
    </row>
    <row r="19" spans="1:65" x14ac:dyDescent="0.25">
      <c r="A19" s="52"/>
      <c r="AH19" s="52"/>
      <c r="AI19" s="14">
        <f t="shared" si="9"/>
        <v>0</v>
      </c>
      <c r="AJ19" s="14">
        <f t="shared" si="10"/>
        <v>0</v>
      </c>
      <c r="AK19" s="14">
        <f t="shared" si="11"/>
        <v>0</v>
      </c>
      <c r="AL19" s="14">
        <f t="shared" si="12"/>
        <v>0</v>
      </c>
      <c r="AM19" s="14">
        <f t="shared" si="13"/>
        <v>0</v>
      </c>
      <c r="AN19" s="14">
        <f t="shared" si="14"/>
        <v>0</v>
      </c>
      <c r="AO19" s="14">
        <f t="shared" si="15"/>
        <v>0</v>
      </c>
      <c r="AP19" s="14">
        <f t="shared" si="16"/>
        <v>0</v>
      </c>
      <c r="AQ19" s="14">
        <f t="shared" si="17"/>
        <v>0</v>
      </c>
      <c r="AR19" s="14">
        <f t="shared" si="18"/>
        <v>0</v>
      </c>
      <c r="AS19" s="14">
        <f t="shared" si="19"/>
        <v>0</v>
      </c>
      <c r="AT19" s="14">
        <f t="shared" si="20"/>
        <v>0</v>
      </c>
      <c r="AU19" s="14">
        <f t="shared" si="21"/>
        <v>0</v>
      </c>
      <c r="AV19" s="14">
        <f t="shared" si="22"/>
        <v>0</v>
      </c>
      <c r="AW19" s="14">
        <f t="shared" si="23"/>
        <v>0</v>
      </c>
      <c r="AX19" s="14">
        <f t="shared" si="24"/>
        <v>0</v>
      </c>
      <c r="AY19" s="14">
        <f t="shared" si="25"/>
        <v>0</v>
      </c>
      <c r="AZ19" s="14">
        <f t="shared" si="40"/>
        <v>0</v>
      </c>
      <c r="BA19" s="14">
        <f t="shared" si="41"/>
        <v>0</v>
      </c>
      <c r="BB19" s="14">
        <f t="shared" si="28"/>
        <v>0</v>
      </c>
      <c r="BC19" s="14">
        <f t="shared" si="29"/>
        <v>0</v>
      </c>
      <c r="BD19" s="14">
        <f t="shared" si="30"/>
        <v>0</v>
      </c>
      <c r="BE19" s="14">
        <f t="shared" si="37"/>
        <v>0</v>
      </c>
      <c r="BF19" s="14">
        <f t="shared" si="38"/>
        <v>0</v>
      </c>
      <c r="BG19" s="14">
        <f t="shared" si="39"/>
        <v>0</v>
      </c>
      <c r="BH19" s="14">
        <f t="shared" si="31"/>
        <v>0</v>
      </c>
      <c r="BI19" s="14">
        <f t="shared" si="32"/>
        <v>0</v>
      </c>
      <c r="BJ19" s="14">
        <f t="shared" si="33"/>
        <v>0</v>
      </c>
      <c r="BK19" s="14">
        <f t="shared" si="34"/>
        <v>0</v>
      </c>
      <c r="BL19" s="14">
        <f t="shared" si="35"/>
        <v>0</v>
      </c>
      <c r="BM19" s="14">
        <f>(AG19-AF19)*1000</f>
        <v>0</v>
      </c>
    </row>
    <row r="20" spans="1:65" x14ac:dyDescent="0.25">
      <c r="A20" s="52" t="s">
        <v>169</v>
      </c>
      <c r="B20">
        <v>34362125.25</v>
      </c>
      <c r="C20">
        <v>34371952.740000002</v>
      </c>
      <c r="D20">
        <v>34382223.329999998</v>
      </c>
      <c r="E20">
        <v>34392705.689999998</v>
      </c>
      <c r="Z20">
        <v>34623482.299999997</v>
      </c>
      <c r="AA20">
        <v>34635644.210000001</v>
      </c>
      <c r="AH20" s="52" t="s">
        <v>169</v>
      </c>
      <c r="AI20" s="14">
        <f t="shared" si="9"/>
        <v>9827.4900000020862</v>
      </c>
      <c r="AJ20" s="14">
        <f t="shared" si="10"/>
        <v>10270.589999996126</v>
      </c>
      <c r="AK20" s="14">
        <f t="shared" si="11"/>
        <v>10482.359999999404</v>
      </c>
      <c r="AL20" s="14">
        <f t="shared" si="12"/>
        <v>-34392705.689999998</v>
      </c>
      <c r="AM20" s="14">
        <f t="shared" si="13"/>
        <v>0</v>
      </c>
      <c r="AN20" s="14">
        <f t="shared" si="14"/>
        <v>0</v>
      </c>
      <c r="AO20" s="14">
        <f t="shared" si="15"/>
        <v>0</v>
      </c>
      <c r="AP20" s="14">
        <f t="shared" si="16"/>
        <v>0</v>
      </c>
      <c r="AQ20" s="14">
        <f t="shared" si="17"/>
        <v>0</v>
      </c>
      <c r="AR20" s="14">
        <f t="shared" si="18"/>
        <v>0</v>
      </c>
      <c r="AS20" s="14">
        <f t="shared" si="19"/>
        <v>0</v>
      </c>
      <c r="AT20" s="14">
        <f t="shared" si="20"/>
        <v>0</v>
      </c>
      <c r="AU20" s="14">
        <f t="shared" si="21"/>
        <v>0</v>
      </c>
      <c r="AV20" s="14">
        <f t="shared" si="22"/>
        <v>0</v>
      </c>
      <c r="AW20" s="14">
        <f t="shared" si="23"/>
        <v>0</v>
      </c>
      <c r="AX20" s="14">
        <f t="shared" si="24"/>
        <v>0</v>
      </c>
      <c r="AY20" s="14">
        <f t="shared" si="25"/>
        <v>0</v>
      </c>
      <c r="AZ20" s="14">
        <f t="shared" si="40"/>
        <v>0</v>
      </c>
      <c r="BA20" s="14">
        <f t="shared" si="41"/>
        <v>0</v>
      </c>
      <c r="BB20" s="14">
        <f t="shared" si="28"/>
        <v>0</v>
      </c>
      <c r="BC20" s="14">
        <f t="shared" si="29"/>
        <v>0</v>
      </c>
      <c r="BD20" s="14">
        <f t="shared" si="30"/>
        <v>0</v>
      </c>
      <c r="BE20" s="14">
        <f t="shared" si="37"/>
        <v>0</v>
      </c>
      <c r="BF20" s="14">
        <f t="shared" si="38"/>
        <v>34623482.299999997</v>
      </c>
      <c r="BG20" s="14">
        <f>AA20-Z20</f>
        <v>12161.910000003874</v>
      </c>
      <c r="BH20" s="14">
        <f>AB20-AA20</f>
        <v>-34635644.210000001</v>
      </c>
      <c r="BI20" s="14">
        <f t="shared" si="32"/>
        <v>0</v>
      </c>
      <c r="BJ20" s="14">
        <f t="shared" si="33"/>
        <v>0</v>
      </c>
      <c r="BK20" s="14">
        <f t="shared" si="34"/>
        <v>0</v>
      </c>
      <c r="BL20" s="14">
        <f t="shared" si="35"/>
        <v>0</v>
      </c>
      <c r="BM20" s="14">
        <f t="shared" ref="BM20:BM27" si="42">(AG20-AF20)</f>
        <v>0</v>
      </c>
    </row>
    <row r="21" spans="1:65" x14ac:dyDescent="0.25">
      <c r="A21" s="52" t="s">
        <v>10</v>
      </c>
      <c r="B21">
        <v>13831634.300000001</v>
      </c>
      <c r="C21">
        <v>13835577.310000001</v>
      </c>
      <c r="D21">
        <v>13839593.800000001</v>
      </c>
      <c r="E21">
        <v>13843820.939999999</v>
      </c>
      <c r="Z21">
        <v>13952475.300000001</v>
      </c>
      <c r="AA21">
        <v>13958201.119999999</v>
      </c>
      <c r="AH21" s="52" t="s">
        <v>10</v>
      </c>
      <c r="AI21" s="14">
        <f t="shared" si="9"/>
        <v>3943.0099999997765</v>
      </c>
      <c r="AJ21" s="14">
        <f t="shared" si="10"/>
        <v>4016.4900000002235</v>
      </c>
      <c r="AK21" s="14">
        <f t="shared" si="11"/>
        <v>4227.1399999987334</v>
      </c>
      <c r="AL21" s="14">
        <f t="shared" si="12"/>
        <v>-13843820.939999999</v>
      </c>
      <c r="AM21" s="14">
        <f t="shared" si="13"/>
        <v>0</v>
      </c>
      <c r="AN21" s="14">
        <f t="shared" si="14"/>
        <v>0</v>
      </c>
      <c r="AO21" s="14">
        <f t="shared" si="15"/>
        <v>0</v>
      </c>
      <c r="AP21" s="14">
        <f t="shared" si="16"/>
        <v>0</v>
      </c>
      <c r="AQ21" s="14">
        <f t="shared" si="17"/>
        <v>0</v>
      </c>
      <c r="AR21" s="14">
        <f t="shared" si="18"/>
        <v>0</v>
      </c>
      <c r="AS21" s="14">
        <f t="shared" si="19"/>
        <v>0</v>
      </c>
      <c r="AT21" s="14">
        <f t="shared" si="20"/>
        <v>0</v>
      </c>
      <c r="AU21" s="14">
        <f t="shared" si="21"/>
        <v>0</v>
      </c>
      <c r="AV21" s="14">
        <f t="shared" si="22"/>
        <v>0</v>
      </c>
      <c r="AW21" s="14">
        <f t="shared" si="23"/>
        <v>0</v>
      </c>
      <c r="AX21" s="14">
        <f t="shared" si="24"/>
        <v>0</v>
      </c>
      <c r="AY21" s="14">
        <f t="shared" si="25"/>
        <v>0</v>
      </c>
      <c r="AZ21" s="14">
        <f t="shared" si="40"/>
        <v>0</v>
      </c>
      <c r="BA21" s="14">
        <f t="shared" si="41"/>
        <v>0</v>
      </c>
      <c r="BB21" s="14">
        <f t="shared" si="28"/>
        <v>0</v>
      </c>
      <c r="BC21" s="14">
        <f t="shared" si="29"/>
        <v>0</v>
      </c>
      <c r="BD21" s="14">
        <f t="shared" si="30"/>
        <v>0</v>
      </c>
      <c r="BE21" s="14">
        <f t="shared" si="37"/>
        <v>0</v>
      </c>
      <c r="BF21" s="14">
        <f t="shared" si="38"/>
        <v>13952475.300000001</v>
      </c>
      <c r="BG21" s="14">
        <f t="shared" si="39"/>
        <v>5725.8199999984354</v>
      </c>
      <c r="BH21" s="14">
        <f t="shared" si="31"/>
        <v>-13958201.119999999</v>
      </c>
      <c r="BI21" s="14">
        <f t="shared" si="32"/>
        <v>0</v>
      </c>
      <c r="BJ21" s="14">
        <f t="shared" si="33"/>
        <v>0</v>
      </c>
      <c r="BK21" s="14">
        <f t="shared" si="34"/>
        <v>0</v>
      </c>
      <c r="BL21" s="14">
        <f t="shared" si="35"/>
        <v>0</v>
      </c>
      <c r="BM21" s="14">
        <f t="shared" si="42"/>
        <v>0</v>
      </c>
    </row>
    <row r="22" spans="1:65" x14ac:dyDescent="0.25">
      <c r="A22" s="52" t="s">
        <v>170</v>
      </c>
      <c r="B22">
        <v>5211396.29</v>
      </c>
      <c r="C22">
        <v>5213268.59</v>
      </c>
      <c r="D22">
        <v>5215542.42</v>
      </c>
      <c r="E22">
        <v>5217722.5599999996</v>
      </c>
      <c r="Z22">
        <v>5256614.5999999996</v>
      </c>
      <c r="AA22">
        <v>5258973.3899999997</v>
      </c>
      <c r="AH22" s="52" t="s">
        <v>170</v>
      </c>
      <c r="AI22" s="14">
        <f t="shared" si="9"/>
        <v>1872.2999999998137</v>
      </c>
      <c r="AJ22" s="14">
        <f t="shared" si="10"/>
        <v>2273.8300000000745</v>
      </c>
      <c r="AK22" s="14">
        <f t="shared" si="11"/>
        <v>2180.1399999996647</v>
      </c>
      <c r="AL22" s="14">
        <f t="shared" si="12"/>
        <v>-5217722.5599999996</v>
      </c>
      <c r="AM22" s="14">
        <f t="shared" si="13"/>
        <v>0</v>
      </c>
      <c r="AN22" s="14">
        <f t="shared" si="14"/>
        <v>0</v>
      </c>
      <c r="AO22" s="14">
        <f t="shared" si="15"/>
        <v>0</v>
      </c>
      <c r="AP22" s="14">
        <f t="shared" si="16"/>
        <v>0</v>
      </c>
      <c r="AQ22" s="14">
        <f t="shared" si="17"/>
        <v>0</v>
      </c>
      <c r="AR22" s="14">
        <f t="shared" si="18"/>
        <v>0</v>
      </c>
      <c r="AS22" s="14">
        <f t="shared" si="19"/>
        <v>0</v>
      </c>
      <c r="AT22" s="14">
        <f t="shared" si="20"/>
        <v>0</v>
      </c>
      <c r="AU22" s="14">
        <f t="shared" si="21"/>
        <v>0</v>
      </c>
      <c r="AV22" s="14">
        <f t="shared" si="22"/>
        <v>0</v>
      </c>
      <c r="AW22" s="14">
        <f t="shared" si="23"/>
        <v>0</v>
      </c>
      <c r="AX22" s="14">
        <f t="shared" si="24"/>
        <v>0</v>
      </c>
      <c r="AY22" s="14">
        <f t="shared" si="25"/>
        <v>0</v>
      </c>
      <c r="AZ22" s="14">
        <f t="shared" si="40"/>
        <v>0</v>
      </c>
      <c r="BA22" s="14">
        <f t="shared" si="41"/>
        <v>0</v>
      </c>
      <c r="BB22" s="14">
        <f t="shared" si="28"/>
        <v>0</v>
      </c>
      <c r="BC22" s="14">
        <f t="shared" si="29"/>
        <v>0</v>
      </c>
      <c r="BD22" s="14">
        <f t="shared" si="30"/>
        <v>0</v>
      </c>
      <c r="BE22" s="14">
        <f t="shared" si="37"/>
        <v>0</v>
      </c>
      <c r="BF22" s="14">
        <f t="shared" si="38"/>
        <v>5256614.5999999996</v>
      </c>
      <c r="BG22" s="14">
        <f t="shared" si="39"/>
        <v>2358.7900000000373</v>
      </c>
      <c r="BH22" s="14">
        <f t="shared" si="31"/>
        <v>-5258973.3899999997</v>
      </c>
      <c r="BI22" s="14">
        <f t="shared" si="32"/>
        <v>0</v>
      </c>
      <c r="BJ22" s="14">
        <f t="shared" si="33"/>
        <v>0</v>
      </c>
      <c r="BK22" s="14">
        <f t="shared" si="34"/>
        <v>0</v>
      </c>
      <c r="BL22" s="14">
        <f t="shared" si="35"/>
        <v>0</v>
      </c>
      <c r="BM22" s="14">
        <f t="shared" si="42"/>
        <v>0</v>
      </c>
    </row>
    <row r="23" spans="1:65" x14ac:dyDescent="0.25">
      <c r="A23" s="52" t="s">
        <v>171</v>
      </c>
      <c r="B23">
        <v>2537746.06</v>
      </c>
      <c r="C23">
        <v>2538570.2599999998</v>
      </c>
      <c r="D23">
        <v>2539376.2599999998</v>
      </c>
      <c r="E23">
        <v>2540238.46</v>
      </c>
      <c r="Z23">
        <v>2558697.15</v>
      </c>
      <c r="AA23">
        <v>2559628.5299999998</v>
      </c>
      <c r="AH23" s="52" t="s">
        <v>171</v>
      </c>
      <c r="AI23" s="14">
        <f t="shared" si="9"/>
        <v>824.1999999997206</v>
      </c>
      <c r="AJ23" s="14">
        <f t="shared" si="10"/>
        <v>806</v>
      </c>
      <c r="AK23" s="14">
        <f t="shared" si="11"/>
        <v>862.20000000018626</v>
      </c>
      <c r="AL23" s="14">
        <f t="shared" si="12"/>
        <v>-2540238.46</v>
      </c>
      <c r="AM23" s="14">
        <f t="shared" si="13"/>
        <v>0</v>
      </c>
      <c r="AN23" s="14">
        <f t="shared" si="14"/>
        <v>0</v>
      </c>
      <c r="AO23" s="14">
        <f t="shared" si="15"/>
        <v>0</v>
      </c>
      <c r="AP23" s="14">
        <f t="shared" si="16"/>
        <v>0</v>
      </c>
      <c r="AQ23" s="14">
        <f t="shared" si="17"/>
        <v>0</v>
      </c>
      <c r="AR23" s="14">
        <f t="shared" si="18"/>
        <v>0</v>
      </c>
      <c r="AS23" s="14">
        <f t="shared" si="19"/>
        <v>0</v>
      </c>
      <c r="AT23" s="14">
        <f t="shared" si="20"/>
        <v>0</v>
      </c>
      <c r="AU23" s="14">
        <f t="shared" si="21"/>
        <v>0</v>
      </c>
      <c r="AV23" s="14">
        <f t="shared" si="22"/>
        <v>0</v>
      </c>
      <c r="AW23" s="14">
        <f t="shared" si="23"/>
        <v>0</v>
      </c>
      <c r="AX23" s="14">
        <f t="shared" si="24"/>
        <v>0</v>
      </c>
      <c r="AY23" s="14">
        <f t="shared" si="25"/>
        <v>0</v>
      </c>
      <c r="AZ23" s="14">
        <f t="shared" si="40"/>
        <v>0</v>
      </c>
      <c r="BA23" s="14">
        <f t="shared" si="41"/>
        <v>0</v>
      </c>
      <c r="BB23" s="14">
        <f t="shared" si="28"/>
        <v>0</v>
      </c>
      <c r="BC23" s="14">
        <f t="shared" si="29"/>
        <v>0</v>
      </c>
      <c r="BD23" s="14">
        <f t="shared" si="30"/>
        <v>0</v>
      </c>
      <c r="BE23" s="14">
        <f t="shared" si="37"/>
        <v>0</v>
      </c>
      <c r="BF23" s="14">
        <f t="shared" si="38"/>
        <v>2558697.15</v>
      </c>
      <c r="BG23" s="14">
        <f t="shared" si="39"/>
        <v>931.37999999988824</v>
      </c>
      <c r="BH23" s="14">
        <f t="shared" si="31"/>
        <v>-2559628.5299999998</v>
      </c>
      <c r="BI23" s="14">
        <f t="shared" si="32"/>
        <v>0</v>
      </c>
      <c r="BJ23" s="14">
        <f t="shared" si="33"/>
        <v>0</v>
      </c>
      <c r="BK23" s="14">
        <f t="shared" si="34"/>
        <v>0</v>
      </c>
      <c r="BL23" s="14">
        <f t="shared" si="35"/>
        <v>0</v>
      </c>
      <c r="BM23" s="14">
        <f t="shared" si="42"/>
        <v>0</v>
      </c>
    </row>
    <row r="24" spans="1:65" x14ac:dyDescent="0.25">
      <c r="A24" s="52" t="s">
        <v>164</v>
      </c>
      <c r="B24">
        <v>1561075.88</v>
      </c>
      <c r="C24">
        <v>1561567.71</v>
      </c>
      <c r="D24">
        <v>1562055.75</v>
      </c>
      <c r="E24">
        <v>1562553.15</v>
      </c>
      <c r="Z24">
        <v>1572450.63</v>
      </c>
      <c r="AA24">
        <v>1572906.59</v>
      </c>
      <c r="AH24" s="52" t="s">
        <v>164</v>
      </c>
      <c r="AI24" s="14">
        <f>C24-B24</f>
        <v>491.83000000007451</v>
      </c>
      <c r="AJ24" s="14">
        <f t="shared" si="10"/>
        <v>488.04000000003725</v>
      </c>
      <c r="AK24" s="14">
        <f t="shared" si="11"/>
        <v>497.39999999990687</v>
      </c>
      <c r="AL24" s="14">
        <f t="shared" si="12"/>
        <v>-1562553.15</v>
      </c>
      <c r="AM24" s="14">
        <f t="shared" si="13"/>
        <v>0</v>
      </c>
      <c r="AN24" s="14">
        <f t="shared" si="14"/>
        <v>0</v>
      </c>
      <c r="AO24" s="14">
        <f t="shared" si="15"/>
        <v>0</v>
      </c>
      <c r="AP24" s="14">
        <f t="shared" si="16"/>
        <v>0</v>
      </c>
      <c r="AQ24" s="14">
        <f t="shared" si="17"/>
        <v>0</v>
      </c>
      <c r="AR24" s="14">
        <f t="shared" si="18"/>
        <v>0</v>
      </c>
      <c r="AS24" s="14">
        <f t="shared" si="19"/>
        <v>0</v>
      </c>
      <c r="AT24" s="14">
        <f t="shared" si="20"/>
        <v>0</v>
      </c>
      <c r="AU24" s="14">
        <f t="shared" si="21"/>
        <v>0</v>
      </c>
      <c r="AV24" s="14">
        <f t="shared" si="22"/>
        <v>0</v>
      </c>
      <c r="AW24" s="14">
        <f t="shared" si="23"/>
        <v>0</v>
      </c>
      <c r="AX24" s="14">
        <f t="shared" si="24"/>
        <v>0</v>
      </c>
      <c r="AY24" s="14">
        <f t="shared" si="25"/>
        <v>0</v>
      </c>
      <c r="AZ24" s="14">
        <f t="shared" si="40"/>
        <v>0</v>
      </c>
      <c r="BA24" s="14">
        <f t="shared" si="41"/>
        <v>0</v>
      </c>
      <c r="BB24" s="14">
        <f t="shared" si="28"/>
        <v>0</v>
      </c>
      <c r="BC24" s="14">
        <f t="shared" si="29"/>
        <v>0</v>
      </c>
      <c r="BD24" s="14">
        <f t="shared" si="30"/>
        <v>0</v>
      </c>
      <c r="BE24" s="14">
        <f t="shared" si="37"/>
        <v>0</v>
      </c>
      <c r="BF24" s="14">
        <f t="shared" si="38"/>
        <v>1572450.63</v>
      </c>
      <c r="BG24" s="14">
        <f t="shared" si="39"/>
        <v>455.96000000019558</v>
      </c>
      <c r="BH24" s="14">
        <f t="shared" si="31"/>
        <v>-1572906.59</v>
      </c>
      <c r="BI24" s="14">
        <f t="shared" si="32"/>
        <v>0</v>
      </c>
      <c r="BJ24" s="14">
        <f t="shared" si="33"/>
        <v>0</v>
      </c>
      <c r="BK24" s="14">
        <f t="shared" si="34"/>
        <v>0</v>
      </c>
      <c r="BL24" s="14">
        <f t="shared" si="35"/>
        <v>0</v>
      </c>
      <c r="BM24" s="14">
        <f t="shared" si="42"/>
        <v>0</v>
      </c>
    </row>
    <row r="25" spans="1:65" x14ac:dyDescent="0.25">
      <c r="A25" s="52" t="s">
        <v>172</v>
      </c>
      <c r="B25">
        <v>4190698.21</v>
      </c>
      <c r="C25">
        <v>4193357.95</v>
      </c>
      <c r="D25">
        <v>4195994.3600000003</v>
      </c>
      <c r="E25">
        <v>4198682.08</v>
      </c>
      <c r="Z25">
        <v>4252724.6399999997</v>
      </c>
      <c r="AA25">
        <v>4255307.6100000003</v>
      </c>
      <c r="AH25" s="52" t="s">
        <v>172</v>
      </c>
      <c r="AI25" s="14">
        <f>C25-B25</f>
        <v>2659.7400000002235</v>
      </c>
      <c r="AJ25" s="14">
        <f t="shared" si="10"/>
        <v>2636.410000000149</v>
      </c>
      <c r="AK25" s="14">
        <f t="shared" si="11"/>
        <v>2687.7199999997392</v>
      </c>
      <c r="AL25" s="14">
        <f t="shared" si="12"/>
        <v>-4198682.08</v>
      </c>
      <c r="AM25" s="14">
        <f t="shared" si="13"/>
        <v>0</v>
      </c>
      <c r="AN25" s="14">
        <f t="shared" si="14"/>
        <v>0</v>
      </c>
      <c r="AO25" s="14">
        <f t="shared" si="15"/>
        <v>0</v>
      </c>
      <c r="AP25" s="14">
        <f t="shared" si="16"/>
        <v>0</v>
      </c>
      <c r="AQ25" s="14">
        <f t="shared" si="17"/>
        <v>0</v>
      </c>
      <c r="AR25" s="14">
        <f t="shared" si="18"/>
        <v>0</v>
      </c>
      <c r="AS25" s="14">
        <f t="shared" si="19"/>
        <v>0</v>
      </c>
      <c r="AT25" s="14">
        <f t="shared" si="20"/>
        <v>0</v>
      </c>
      <c r="AU25" s="14">
        <f t="shared" si="21"/>
        <v>0</v>
      </c>
      <c r="AV25" s="14">
        <f t="shared" si="22"/>
        <v>0</v>
      </c>
      <c r="AW25" s="14">
        <f t="shared" si="23"/>
        <v>0</v>
      </c>
      <c r="AX25" s="14">
        <f t="shared" si="24"/>
        <v>0</v>
      </c>
      <c r="AY25" s="14">
        <f t="shared" si="25"/>
        <v>0</v>
      </c>
      <c r="AZ25" s="14">
        <f t="shared" si="40"/>
        <v>0</v>
      </c>
      <c r="BA25" s="14">
        <f t="shared" si="41"/>
        <v>0</v>
      </c>
      <c r="BB25" s="14">
        <f t="shared" si="28"/>
        <v>0</v>
      </c>
      <c r="BC25" s="14">
        <f t="shared" si="29"/>
        <v>0</v>
      </c>
      <c r="BD25" s="14">
        <f t="shared" si="30"/>
        <v>0</v>
      </c>
      <c r="BE25" s="14">
        <f t="shared" si="37"/>
        <v>0</v>
      </c>
      <c r="BF25" s="14">
        <f t="shared" si="38"/>
        <v>4252724.6399999997</v>
      </c>
      <c r="BG25" s="14">
        <f t="shared" si="39"/>
        <v>2582.9700000006706</v>
      </c>
      <c r="BH25" s="14">
        <f t="shared" si="31"/>
        <v>-4255307.6100000003</v>
      </c>
      <c r="BI25" s="14">
        <f t="shared" si="32"/>
        <v>0</v>
      </c>
      <c r="BJ25" s="14">
        <f t="shared" si="33"/>
        <v>0</v>
      </c>
      <c r="BK25" s="14">
        <f>AE25-AD25</f>
        <v>0</v>
      </c>
      <c r="BL25" s="14">
        <f t="shared" si="35"/>
        <v>0</v>
      </c>
      <c r="BM25" s="14">
        <f t="shared" si="42"/>
        <v>0</v>
      </c>
    </row>
    <row r="26" spans="1:65" x14ac:dyDescent="0.25">
      <c r="A26" s="52" t="s">
        <v>173</v>
      </c>
      <c r="B26">
        <v>1171140.94</v>
      </c>
      <c r="C26">
        <v>1171560.81</v>
      </c>
      <c r="D26">
        <v>1171986.69</v>
      </c>
      <c r="E26">
        <v>1172427.27</v>
      </c>
      <c r="Z26">
        <v>1170062.06</v>
      </c>
      <c r="AA26">
        <v>1170410.04</v>
      </c>
      <c r="AH26" s="52" t="s">
        <v>173</v>
      </c>
      <c r="AI26" s="14">
        <f t="shared" si="9"/>
        <v>419.87000000011176</v>
      </c>
      <c r="AJ26" s="14">
        <f t="shared" si="10"/>
        <v>425.87999999988824</v>
      </c>
      <c r="AK26" s="14">
        <f t="shared" si="11"/>
        <v>440.58000000007451</v>
      </c>
      <c r="AL26" s="14">
        <f t="shared" si="12"/>
        <v>-1172427.27</v>
      </c>
      <c r="AM26" s="14">
        <f t="shared" si="13"/>
        <v>0</v>
      </c>
      <c r="AN26" s="14">
        <f t="shared" si="14"/>
        <v>0</v>
      </c>
      <c r="AO26" s="14">
        <f t="shared" si="15"/>
        <v>0</v>
      </c>
      <c r="AP26" s="14">
        <f t="shared" si="16"/>
        <v>0</v>
      </c>
      <c r="AQ26" s="14">
        <f t="shared" si="17"/>
        <v>0</v>
      </c>
      <c r="AR26" s="14">
        <f t="shared" si="18"/>
        <v>0</v>
      </c>
      <c r="AS26" s="14">
        <f t="shared" si="19"/>
        <v>0</v>
      </c>
      <c r="AT26" s="14">
        <f t="shared" si="20"/>
        <v>0</v>
      </c>
      <c r="AU26" s="14">
        <f t="shared" si="21"/>
        <v>0</v>
      </c>
      <c r="AV26" s="14">
        <f t="shared" si="22"/>
        <v>0</v>
      </c>
      <c r="AW26" s="14">
        <f t="shared" si="23"/>
        <v>0</v>
      </c>
      <c r="AX26" s="14">
        <f t="shared" si="24"/>
        <v>0</v>
      </c>
      <c r="AY26" s="14">
        <f t="shared" si="25"/>
        <v>0</v>
      </c>
      <c r="AZ26" s="14">
        <f t="shared" si="40"/>
        <v>0</v>
      </c>
      <c r="BA26" s="14">
        <f t="shared" si="41"/>
        <v>0</v>
      </c>
      <c r="BB26" s="14">
        <f t="shared" si="28"/>
        <v>0</v>
      </c>
      <c r="BC26" s="14">
        <f t="shared" si="29"/>
        <v>0</v>
      </c>
      <c r="BD26" s="14">
        <f t="shared" si="30"/>
        <v>0</v>
      </c>
      <c r="BE26" s="14">
        <f t="shared" si="37"/>
        <v>0</v>
      </c>
      <c r="BF26" s="14">
        <f t="shared" si="38"/>
        <v>1170062.06</v>
      </c>
      <c r="BG26" s="14">
        <f>AA26-Z26</f>
        <v>347.97999999998137</v>
      </c>
      <c r="BH26" s="14">
        <f>AB26-AA26</f>
        <v>-1170410.04</v>
      </c>
      <c r="BI26" s="14">
        <f t="shared" si="32"/>
        <v>0</v>
      </c>
      <c r="BJ26" s="14">
        <f t="shared" si="33"/>
        <v>0</v>
      </c>
      <c r="BK26" s="14">
        <f t="shared" si="34"/>
        <v>0</v>
      </c>
      <c r="BL26" s="14">
        <f t="shared" si="35"/>
        <v>0</v>
      </c>
      <c r="BM26" s="14">
        <f t="shared" si="42"/>
        <v>0</v>
      </c>
    </row>
    <row r="27" spans="1:65" ht="15.75" thickBot="1" x14ac:dyDescent="0.3">
      <c r="A27" s="53" t="s">
        <v>10</v>
      </c>
      <c r="B27" s="54">
        <v>7394683.7999999998</v>
      </c>
      <c r="C27" s="54">
        <v>7398603.5899999999</v>
      </c>
      <c r="D27" s="54">
        <v>7402950.3600000003</v>
      </c>
      <c r="E27" s="54">
        <v>7406796.2800000003</v>
      </c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>
        <v>7514761.6799999997</v>
      </c>
      <c r="AA27" s="54">
        <v>7520440.0899999999</v>
      </c>
      <c r="AB27" s="54"/>
      <c r="AC27" s="54"/>
      <c r="AD27" s="54"/>
      <c r="AE27" s="54"/>
      <c r="AF27" s="54"/>
      <c r="AG27" s="54"/>
      <c r="AH27" s="53" t="s">
        <v>10</v>
      </c>
      <c r="AI27" s="14">
        <f t="shared" si="9"/>
        <v>3919.7900000000373</v>
      </c>
      <c r="AJ27" s="14">
        <f t="shared" si="10"/>
        <v>4346.7700000004843</v>
      </c>
      <c r="AK27" s="14">
        <f t="shared" si="11"/>
        <v>3845.9199999999255</v>
      </c>
      <c r="AL27" s="14">
        <f t="shared" si="12"/>
        <v>-7406796.2800000003</v>
      </c>
      <c r="AM27" s="14">
        <f t="shared" si="13"/>
        <v>0</v>
      </c>
      <c r="AN27" s="14">
        <f t="shared" si="14"/>
        <v>0</v>
      </c>
      <c r="AO27" s="14">
        <f t="shared" si="15"/>
        <v>0</v>
      </c>
      <c r="AP27" s="14">
        <f t="shared" si="16"/>
        <v>0</v>
      </c>
      <c r="AQ27" s="14">
        <f t="shared" si="17"/>
        <v>0</v>
      </c>
      <c r="AR27" s="14">
        <f t="shared" si="18"/>
        <v>0</v>
      </c>
      <c r="AS27" s="14">
        <f t="shared" si="19"/>
        <v>0</v>
      </c>
      <c r="AT27" s="14">
        <f t="shared" si="20"/>
        <v>0</v>
      </c>
      <c r="AU27" s="14">
        <f t="shared" si="21"/>
        <v>0</v>
      </c>
      <c r="AV27" s="14">
        <f t="shared" si="22"/>
        <v>0</v>
      </c>
      <c r="AW27" s="14">
        <f t="shared" si="23"/>
        <v>0</v>
      </c>
      <c r="AX27" s="14">
        <f t="shared" si="24"/>
        <v>0</v>
      </c>
      <c r="AY27" s="14">
        <f t="shared" si="25"/>
        <v>0</v>
      </c>
      <c r="AZ27" s="14">
        <f t="shared" si="40"/>
        <v>0</v>
      </c>
      <c r="BA27" s="14">
        <f t="shared" si="41"/>
        <v>0</v>
      </c>
      <c r="BB27" s="14">
        <f t="shared" si="28"/>
        <v>0</v>
      </c>
      <c r="BC27" s="14">
        <f t="shared" si="29"/>
        <v>0</v>
      </c>
      <c r="BD27" s="14">
        <f t="shared" si="30"/>
        <v>0</v>
      </c>
      <c r="BE27" s="14">
        <f t="shared" si="37"/>
        <v>0</v>
      </c>
      <c r="BF27" s="14">
        <f t="shared" si="38"/>
        <v>7514761.6799999997</v>
      </c>
      <c r="BG27" s="14">
        <f t="shared" si="39"/>
        <v>5678.410000000149</v>
      </c>
      <c r="BH27" s="14">
        <f t="shared" si="31"/>
        <v>-7520440.0899999999</v>
      </c>
      <c r="BI27" s="14">
        <f t="shared" si="32"/>
        <v>0</v>
      </c>
      <c r="BJ27" s="14">
        <f t="shared" si="33"/>
        <v>0</v>
      </c>
      <c r="BK27" s="14">
        <f t="shared" si="34"/>
        <v>0</v>
      </c>
      <c r="BL27" s="14">
        <f t="shared" si="35"/>
        <v>0</v>
      </c>
      <c r="BM27" s="14">
        <f t="shared" si="42"/>
        <v>0</v>
      </c>
    </row>
    <row r="30" spans="1:65" ht="15.75" thickBot="1" x14ac:dyDescent="0.3"/>
    <row r="31" spans="1:65" ht="19.5" thickBot="1" x14ac:dyDescent="0.35">
      <c r="A31" s="134" t="s">
        <v>174</v>
      </c>
      <c r="B31" s="135"/>
      <c r="C31" s="135"/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I31" s="138" t="s">
        <v>157</v>
      </c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7"/>
    </row>
    <row r="32" spans="1:65" ht="15.75" thickBot="1" x14ac:dyDescent="0.3">
      <c r="A32" s="51"/>
      <c r="B32" s="55">
        <v>45138</v>
      </c>
      <c r="C32" s="55">
        <v>45139</v>
      </c>
      <c r="D32" s="55">
        <f>C32+1</f>
        <v>45140</v>
      </c>
      <c r="E32" s="55">
        <f t="shared" ref="E32:AE32" si="43">D32+1</f>
        <v>45141</v>
      </c>
      <c r="F32" s="55">
        <f t="shared" si="43"/>
        <v>45142</v>
      </c>
      <c r="G32" s="55">
        <f t="shared" si="43"/>
        <v>45143</v>
      </c>
      <c r="H32" s="55">
        <f t="shared" si="43"/>
        <v>45144</v>
      </c>
      <c r="I32" s="55">
        <f t="shared" si="43"/>
        <v>45145</v>
      </c>
      <c r="J32" s="55">
        <f t="shared" si="43"/>
        <v>45146</v>
      </c>
      <c r="K32" s="55">
        <f t="shared" si="43"/>
        <v>45147</v>
      </c>
      <c r="L32" s="55">
        <f t="shared" si="43"/>
        <v>45148</v>
      </c>
      <c r="M32" s="55">
        <f t="shared" si="43"/>
        <v>45149</v>
      </c>
      <c r="N32" s="55">
        <f t="shared" si="43"/>
        <v>45150</v>
      </c>
      <c r="O32" s="55">
        <f t="shared" si="43"/>
        <v>45151</v>
      </c>
      <c r="P32" s="55">
        <f t="shared" si="43"/>
        <v>45152</v>
      </c>
      <c r="Q32" s="55">
        <f t="shared" si="43"/>
        <v>45153</v>
      </c>
      <c r="R32" s="55">
        <f t="shared" si="43"/>
        <v>45154</v>
      </c>
      <c r="S32" s="55">
        <f t="shared" si="43"/>
        <v>45155</v>
      </c>
      <c r="T32" s="55">
        <f t="shared" si="43"/>
        <v>45156</v>
      </c>
      <c r="U32" s="55">
        <f t="shared" si="43"/>
        <v>45157</v>
      </c>
      <c r="V32" s="55">
        <f t="shared" si="43"/>
        <v>45158</v>
      </c>
      <c r="W32" s="55">
        <f t="shared" si="43"/>
        <v>45159</v>
      </c>
      <c r="X32" s="55">
        <f t="shared" si="43"/>
        <v>45160</v>
      </c>
      <c r="Y32" s="55">
        <f t="shared" si="43"/>
        <v>45161</v>
      </c>
      <c r="Z32" s="55">
        <f t="shared" si="43"/>
        <v>45162</v>
      </c>
      <c r="AA32" s="55">
        <f t="shared" si="43"/>
        <v>45163</v>
      </c>
      <c r="AB32" s="55">
        <f t="shared" si="43"/>
        <v>45164</v>
      </c>
      <c r="AC32" s="55">
        <f t="shared" si="43"/>
        <v>45165</v>
      </c>
      <c r="AD32" s="55">
        <f t="shared" si="43"/>
        <v>45166</v>
      </c>
      <c r="AE32" s="55">
        <f t="shared" si="43"/>
        <v>45167</v>
      </c>
      <c r="AF32" s="55">
        <f>AE32+1</f>
        <v>45168</v>
      </c>
      <c r="AG32" s="55">
        <f>AF32+1</f>
        <v>45169</v>
      </c>
      <c r="AI32" s="64">
        <v>45139</v>
      </c>
      <c r="AJ32" s="65">
        <f>AI32+1</f>
        <v>45140</v>
      </c>
      <c r="AK32" s="65">
        <f t="shared" ref="AK32:BM32" si="44">AJ32+1</f>
        <v>45141</v>
      </c>
      <c r="AL32" s="65">
        <f t="shared" si="44"/>
        <v>45142</v>
      </c>
      <c r="AM32" s="65">
        <f t="shared" si="44"/>
        <v>45143</v>
      </c>
      <c r="AN32" s="65">
        <f t="shared" si="44"/>
        <v>45144</v>
      </c>
      <c r="AO32" s="65">
        <f t="shared" si="44"/>
        <v>45145</v>
      </c>
      <c r="AP32" s="65">
        <f t="shared" si="44"/>
        <v>45146</v>
      </c>
      <c r="AQ32" s="65">
        <f t="shared" si="44"/>
        <v>45147</v>
      </c>
      <c r="AR32" s="65">
        <f t="shared" si="44"/>
        <v>45148</v>
      </c>
      <c r="AS32" s="65">
        <f t="shared" si="44"/>
        <v>45149</v>
      </c>
      <c r="AT32" s="65">
        <f t="shared" si="44"/>
        <v>45150</v>
      </c>
      <c r="AU32" s="65">
        <f t="shared" si="44"/>
        <v>45151</v>
      </c>
      <c r="AV32" s="65">
        <f t="shared" si="44"/>
        <v>45152</v>
      </c>
      <c r="AW32" s="65">
        <f t="shared" si="44"/>
        <v>45153</v>
      </c>
      <c r="AX32" s="65">
        <f t="shared" si="44"/>
        <v>45154</v>
      </c>
      <c r="AY32" s="65">
        <f t="shared" si="44"/>
        <v>45155</v>
      </c>
      <c r="AZ32" s="65">
        <f t="shared" si="44"/>
        <v>45156</v>
      </c>
      <c r="BA32" s="65">
        <f t="shared" si="44"/>
        <v>45157</v>
      </c>
      <c r="BB32" s="65">
        <f t="shared" si="44"/>
        <v>45158</v>
      </c>
      <c r="BC32" s="65">
        <f t="shared" si="44"/>
        <v>45159</v>
      </c>
      <c r="BD32" s="65">
        <f t="shared" si="44"/>
        <v>45160</v>
      </c>
      <c r="BE32" s="65">
        <f t="shared" si="44"/>
        <v>45161</v>
      </c>
      <c r="BF32" s="65">
        <f t="shared" si="44"/>
        <v>45162</v>
      </c>
      <c r="BG32" s="65">
        <f t="shared" si="44"/>
        <v>45163</v>
      </c>
      <c r="BH32" s="65">
        <f t="shared" si="44"/>
        <v>45164</v>
      </c>
      <c r="BI32" s="65">
        <f t="shared" si="44"/>
        <v>45165</v>
      </c>
      <c r="BJ32" s="65">
        <f t="shared" si="44"/>
        <v>45166</v>
      </c>
      <c r="BK32" s="65">
        <f t="shared" si="44"/>
        <v>45167</v>
      </c>
      <c r="BL32" s="65">
        <f t="shared" si="44"/>
        <v>45168</v>
      </c>
      <c r="BM32" s="61">
        <f t="shared" si="44"/>
        <v>45169</v>
      </c>
    </row>
    <row r="33" spans="1:65" x14ac:dyDescent="0.25">
      <c r="A33" s="52" t="s">
        <v>175</v>
      </c>
      <c r="B33">
        <v>31366036.16</v>
      </c>
      <c r="C33">
        <v>31375965.73</v>
      </c>
      <c r="D33">
        <v>31386046.800000001</v>
      </c>
      <c r="E33">
        <v>31396008.93</v>
      </c>
      <c r="AH33" s="52" t="s">
        <v>175</v>
      </c>
      <c r="AI33" s="14">
        <f t="shared" ref="AI33:AR35" si="45">(C33-B33)</f>
        <v>9929.570000000298</v>
      </c>
      <c r="AJ33" s="14">
        <f t="shared" si="45"/>
        <v>10081.070000000298</v>
      </c>
      <c r="AK33" s="14">
        <f t="shared" si="45"/>
        <v>9962.1299999989569</v>
      </c>
      <c r="AL33" s="14">
        <f t="shared" si="45"/>
        <v>-31396008.93</v>
      </c>
      <c r="AM33" s="14">
        <f t="shared" si="45"/>
        <v>0</v>
      </c>
      <c r="AN33" s="14">
        <f t="shared" si="45"/>
        <v>0</v>
      </c>
      <c r="AO33" s="14">
        <f t="shared" si="45"/>
        <v>0</v>
      </c>
      <c r="AP33" s="14">
        <f t="shared" si="45"/>
        <v>0</v>
      </c>
      <c r="AQ33" s="14">
        <f t="shared" si="45"/>
        <v>0</v>
      </c>
      <c r="AR33" s="14">
        <f t="shared" si="45"/>
        <v>0</v>
      </c>
      <c r="AS33" s="14">
        <f t="shared" ref="AS33:BB35" si="46">(M33-L33)</f>
        <v>0</v>
      </c>
      <c r="AT33" s="14">
        <f t="shared" si="46"/>
        <v>0</v>
      </c>
      <c r="AU33" s="14">
        <f t="shared" si="46"/>
        <v>0</v>
      </c>
      <c r="AV33" s="14">
        <f t="shared" si="46"/>
        <v>0</v>
      </c>
      <c r="AW33" s="14">
        <f t="shared" si="46"/>
        <v>0</v>
      </c>
      <c r="AX33" s="14">
        <f t="shared" si="46"/>
        <v>0</v>
      </c>
      <c r="AY33" s="14">
        <f t="shared" si="46"/>
        <v>0</v>
      </c>
      <c r="AZ33" s="14">
        <f t="shared" si="46"/>
        <v>0</v>
      </c>
      <c r="BA33" s="14">
        <f t="shared" si="46"/>
        <v>0</v>
      </c>
      <c r="BB33" s="14">
        <f t="shared" si="46"/>
        <v>0</v>
      </c>
      <c r="BC33" s="14">
        <f t="shared" ref="BC33:BK35" si="47">(W33-V33)</f>
        <v>0</v>
      </c>
      <c r="BD33" s="14">
        <f t="shared" si="47"/>
        <v>0</v>
      </c>
      <c r="BE33" s="14">
        <f t="shared" si="47"/>
        <v>0</v>
      </c>
      <c r="BF33" s="14">
        <f t="shared" si="47"/>
        <v>0</v>
      </c>
      <c r="BG33" s="14">
        <f t="shared" si="47"/>
        <v>0</v>
      </c>
      <c r="BH33" s="14">
        <f t="shared" si="47"/>
        <v>0</v>
      </c>
      <c r="BI33" s="14">
        <f t="shared" si="47"/>
        <v>0</v>
      </c>
      <c r="BJ33" s="14">
        <f t="shared" si="47"/>
        <v>0</v>
      </c>
      <c r="BK33" s="14">
        <f t="shared" si="47"/>
        <v>0</v>
      </c>
      <c r="BL33" s="14">
        <f>(AF33-AE33)</f>
        <v>0</v>
      </c>
      <c r="BM33" s="14">
        <f>(AG33-AF33)</f>
        <v>0</v>
      </c>
    </row>
    <row r="34" spans="1:65" x14ac:dyDescent="0.25">
      <c r="A34" s="52" t="s">
        <v>176</v>
      </c>
      <c r="B34">
        <v>20402899.460000001</v>
      </c>
      <c r="C34">
        <v>20410747.41</v>
      </c>
      <c r="D34">
        <v>20418748.359999999</v>
      </c>
      <c r="E34">
        <v>20426703.390000001</v>
      </c>
      <c r="AH34" s="52" t="s">
        <v>176</v>
      </c>
      <c r="AI34" s="14">
        <f t="shared" si="45"/>
        <v>7847.9499999992549</v>
      </c>
      <c r="AJ34" s="14">
        <f t="shared" si="45"/>
        <v>8000.9499999992549</v>
      </c>
      <c r="AK34" s="14">
        <f t="shared" si="45"/>
        <v>7955.0300000011921</v>
      </c>
      <c r="AL34" s="14">
        <f t="shared" si="45"/>
        <v>-20426703.390000001</v>
      </c>
      <c r="AM34" s="14">
        <f t="shared" si="45"/>
        <v>0</v>
      </c>
      <c r="AN34" s="14">
        <f t="shared" si="45"/>
        <v>0</v>
      </c>
      <c r="AO34" s="14">
        <f t="shared" si="45"/>
        <v>0</v>
      </c>
      <c r="AP34" s="14">
        <f t="shared" si="45"/>
        <v>0</v>
      </c>
      <c r="AQ34" s="14">
        <f t="shared" si="45"/>
        <v>0</v>
      </c>
      <c r="AR34" s="14">
        <f t="shared" si="45"/>
        <v>0</v>
      </c>
      <c r="AS34" s="14">
        <f t="shared" si="46"/>
        <v>0</v>
      </c>
      <c r="AT34" s="14">
        <f t="shared" si="46"/>
        <v>0</v>
      </c>
      <c r="AU34" s="14">
        <f t="shared" si="46"/>
        <v>0</v>
      </c>
      <c r="AV34" s="14">
        <f t="shared" si="46"/>
        <v>0</v>
      </c>
      <c r="AW34" s="14">
        <f t="shared" si="46"/>
        <v>0</v>
      </c>
      <c r="AX34" s="14">
        <f t="shared" si="46"/>
        <v>0</v>
      </c>
      <c r="AY34" s="14">
        <f t="shared" si="46"/>
        <v>0</v>
      </c>
      <c r="AZ34" s="14">
        <f t="shared" si="46"/>
        <v>0</v>
      </c>
      <c r="BA34" s="14">
        <f t="shared" si="46"/>
        <v>0</v>
      </c>
      <c r="BB34" s="14">
        <f t="shared" si="46"/>
        <v>0</v>
      </c>
      <c r="BC34" s="14">
        <f t="shared" si="47"/>
        <v>0</v>
      </c>
      <c r="BD34" s="14">
        <f t="shared" si="47"/>
        <v>0</v>
      </c>
      <c r="BE34" s="14">
        <f t="shared" si="47"/>
        <v>0</v>
      </c>
      <c r="BF34" s="14">
        <f t="shared" si="47"/>
        <v>0</v>
      </c>
      <c r="BG34" s="14">
        <f t="shared" si="47"/>
        <v>0</v>
      </c>
      <c r="BH34" s="14">
        <f t="shared" si="47"/>
        <v>0</v>
      </c>
      <c r="BI34" s="14">
        <f t="shared" si="47"/>
        <v>0</v>
      </c>
      <c r="BJ34" s="14">
        <f t="shared" si="47"/>
        <v>0</v>
      </c>
      <c r="BK34" s="14">
        <f t="shared" si="47"/>
        <v>0</v>
      </c>
      <c r="BL34" s="14">
        <f>(AF34-AE34)</f>
        <v>0</v>
      </c>
      <c r="BM34" s="14">
        <f t="shared" ref="BM34:BM51" si="48">(AG34-AF34)</f>
        <v>0</v>
      </c>
    </row>
    <row r="35" spans="1:65" x14ac:dyDescent="0.25">
      <c r="A35" s="52" t="s">
        <v>177</v>
      </c>
      <c r="B35">
        <v>1513745.38</v>
      </c>
      <c r="C35">
        <v>1514410.08</v>
      </c>
      <c r="D35">
        <v>1515068.25</v>
      </c>
      <c r="E35">
        <v>1515608.75</v>
      </c>
      <c r="AH35" s="52" t="s">
        <v>177</v>
      </c>
      <c r="AI35" s="14">
        <f t="shared" si="45"/>
        <v>664.70000000018626</v>
      </c>
      <c r="AJ35" s="14">
        <f t="shared" si="45"/>
        <v>658.16999999992549</v>
      </c>
      <c r="AK35" s="14">
        <f t="shared" si="45"/>
        <v>540.5</v>
      </c>
      <c r="AL35" s="14">
        <f t="shared" si="45"/>
        <v>-1515608.75</v>
      </c>
      <c r="AM35" s="14">
        <f t="shared" si="45"/>
        <v>0</v>
      </c>
      <c r="AN35" s="14">
        <f t="shared" si="45"/>
        <v>0</v>
      </c>
      <c r="AO35" s="14">
        <f t="shared" si="45"/>
        <v>0</v>
      </c>
      <c r="AP35" s="14">
        <f t="shared" si="45"/>
        <v>0</v>
      </c>
      <c r="AQ35" s="14">
        <f t="shared" si="45"/>
        <v>0</v>
      </c>
      <c r="AR35" s="14">
        <f t="shared" si="45"/>
        <v>0</v>
      </c>
      <c r="AS35" s="14">
        <f t="shared" si="46"/>
        <v>0</v>
      </c>
      <c r="AT35" s="14">
        <f t="shared" si="46"/>
        <v>0</v>
      </c>
      <c r="AU35" s="14">
        <f t="shared" si="46"/>
        <v>0</v>
      </c>
      <c r="AV35" s="14">
        <f t="shared" si="46"/>
        <v>0</v>
      </c>
      <c r="AW35" s="14">
        <f t="shared" si="46"/>
        <v>0</v>
      </c>
      <c r="AX35" s="14">
        <f t="shared" si="46"/>
        <v>0</v>
      </c>
      <c r="AY35" s="14">
        <f t="shared" si="46"/>
        <v>0</v>
      </c>
      <c r="AZ35" s="14">
        <f t="shared" si="46"/>
        <v>0</v>
      </c>
      <c r="BA35" s="14">
        <f t="shared" si="46"/>
        <v>0</v>
      </c>
      <c r="BB35" s="14">
        <f t="shared" si="46"/>
        <v>0</v>
      </c>
      <c r="BC35" s="14">
        <f t="shared" si="47"/>
        <v>0</v>
      </c>
      <c r="BD35" s="14">
        <f t="shared" si="47"/>
        <v>0</v>
      </c>
      <c r="BE35" s="14">
        <f t="shared" si="47"/>
        <v>0</v>
      </c>
      <c r="BF35" s="14">
        <f t="shared" si="47"/>
        <v>0</v>
      </c>
      <c r="BG35" s="14">
        <f t="shared" si="47"/>
        <v>0</v>
      </c>
      <c r="BH35" s="14">
        <f t="shared" si="47"/>
        <v>0</v>
      </c>
      <c r="BI35" s="14">
        <f t="shared" si="47"/>
        <v>0</v>
      </c>
      <c r="BJ35" s="14">
        <f t="shared" si="47"/>
        <v>0</v>
      </c>
      <c r="BK35" s="14">
        <f t="shared" si="47"/>
        <v>0</v>
      </c>
      <c r="BL35" s="14">
        <f>(AF35-AE35)</f>
        <v>0</v>
      </c>
      <c r="BM35" s="14">
        <f t="shared" si="48"/>
        <v>0</v>
      </c>
    </row>
    <row r="36" spans="1:65" x14ac:dyDescent="0.25">
      <c r="A36" s="52"/>
      <c r="AH36" s="52"/>
      <c r="AI36" s="14">
        <f t="shared" ref="AI36:BK36" si="49">(C36-B36)*1000</f>
        <v>0</v>
      </c>
      <c r="AJ36" s="14">
        <f t="shared" si="49"/>
        <v>0</v>
      </c>
      <c r="AK36" s="14">
        <f t="shared" si="49"/>
        <v>0</v>
      </c>
      <c r="AL36" s="14">
        <f t="shared" si="49"/>
        <v>0</v>
      </c>
      <c r="AM36" s="14">
        <f t="shared" si="49"/>
        <v>0</v>
      </c>
      <c r="AN36" s="14">
        <f t="shared" si="49"/>
        <v>0</v>
      </c>
      <c r="AO36" s="14">
        <f t="shared" si="49"/>
        <v>0</v>
      </c>
      <c r="AP36" s="14">
        <f t="shared" si="49"/>
        <v>0</v>
      </c>
      <c r="AQ36" s="14">
        <f t="shared" si="49"/>
        <v>0</v>
      </c>
      <c r="AR36" s="14">
        <f t="shared" si="49"/>
        <v>0</v>
      </c>
      <c r="AS36" s="14">
        <f t="shared" si="49"/>
        <v>0</v>
      </c>
      <c r="AT36" s="14">
        <f t="shared" si="49"/>
        <v>0</v>
      </c>
      <c r="AU36" s="14">
        <f t="shared" si="49"/>
        <v>0</v>
      </c>
      <c r="AV36" s="14">
        <f t="shared" si="49"/>
        <v>0</v>
      </c>
      <c r="AW36" s="14">
        <f t="shared" si="49"/>
        <v>0</v>
      </c>
      <c r="AX36" s="14">
        <f t="shared" si="49"/>
        <v>0</v>
      </c>
      <c r="AY36" s="14">
        <f t="shared" si="49"/>
        <v>0</v>
      </c>
      <c r="AZ36" s="14">
        <f t="shared" si="49"/>
        <v>0</v>
      </c>
      <c r="BA36" s="14">
        <f t="shared" si="49"/>
        <v>0</v>
      </c>
      <c r="BB36" s="14">
        <f t="shared" si="49"/>
        <v>0</v>
      </c>
      <c r="BC36" s="14">
        <f t="shared" si="49"/>
        <v>0</v>
      </c>
      <c r="BD36" s="14">
        <f t="shared" si="49"/>
        <v>0</v>
      </c>
      <c r="BE36" s="14">
        <f t="shared" si="49"/>
        <v>0</v>
      </c>
      <c r="BF36" s="14">
        <f t="shared" si="49"/>
        <v>0</v>
      </c>
      <c r="BG36" s="14">
        <f t="shared" si="49"/>
        <v>0</v>
      </c>
      <c r="BH36" s="14">
        <f t="shared" si="49"/>
        <v>0</v>
      </c>
      <c r="BI36" s="14">
        <f t="shared" si="49"/>
        <v>0</v>
      </c>
      <c r="BJ36" s="14">
        <f t="shared" si="49"/>
        <v>0</v>
      </c>
      <c r="BK36" s="14">
        <f t="shared" si="49"/>
        <v>0</v>
      </c>
      <c r="BL36" s="14">
        <f>(AF36-AE36)*1000</f>
        <v>0</v>
      </c>
      <c r="BM36" s="14">
        <f t="shared" si="48"/>
        <v>0</v>
      </c>
    </row>
    <row r="37" spans="1:65" x14ac:dyDescent="0.25">
      <c r="A37" s="52" t="s">
        <v>158</v>
      </c>
      <c r="B37">
        <v>18.555152</v>
      </c>
      <c r="C37">
        <v>75.823248000000007</v>
      </c>
      <c r="D37">
        <v>124.97623</v>
      </c>
      <c r="E37">
        <v>170.5795</v>
      </c>
      <c r="AH37" s="52" t="s">
        <v>158</v>
      </c>
      <c r="AI37" s="14">
        <f t="shared" ref="AI37:AS37" si="50">(C37-B37)*1000000</f>
        <v>57268096.000000007</v>
      </c>
      <c r="AJ37" s="14">
        <f t="shared" si="50"/>
        <v>49152981.999999993</v>
      </c>
      <c r="AK37" s="14">
        <f t="shared" si="50"/>
        <v>45603269.999999993</v>
      </c>
      <c r="AL37" s="14">
        <f t="shared" si="50"/>
        <v>-170579500</v>
      </c>
      <c r="AM37" s="14">
        <f t="shared" si="50"/>
        <v>0</v>
      </c>
      <c r="AN37" s="14">
        <f t="shared" si="50"/>
        <v>0</v>
      </c>
      <c r="AO37" s="14">
        <f t="shared" si="50"/>
        <v>0</v>
      </c>
      <c r="AP37" s="14">
        <f t="shared" si="50"/>
        <v>0</v>
      </c>
      <c r="AQ37" s="14">
        <f t="shared" si="50"/>
        <v>0</v>
      </c>
      <c r="AR37" s="14">
        <f t="shared" si="50"/>
        <v>0</v>
      </c>
      <c r="AS37" s="14">
        <f t="shared" si="50"/>
        <v>0</v>
      </c>
      <c r="AT37" s="14">
        <f t="shared" ref="AT37:BB37" si="51">(N37-M37)*1000</f>
        <v>0</v>
      </c>
      <c r="AU37" s="14">
        <f t="shared" si="51"/>
        <v>0</v>
      </c>
      <c r="AV37" s="14">
        <f t="shared" si="51"/>
        <v>0</v>
      </c>
      <c r="AW37" s="14">
        <f t="shared" si="51"/>
        <v>0</v>
      </c>
      <c r="AX37" s="14">
        <f t="shared" si="51"/>
        <v>0</v>
      </c>
      <c r="AY37" s="14">
        <f t="shared" si="51"/>
        <v>0</v>
      </c>
      <c r="AZ37" s="14">
        <f t="shared" si="51"/>
        <v>0</v>
      </c>
      <c r="BA37" s="14">
        <f t="shared" si="51"/>
        <v>0</v>
      </c>
      <c r="BB37" s="14">
        <f t="shared" si="51"/>
        <v>0</v>
      </c>
      <c r="BC37" s="14">
        <f t="shared" ref="BC37:BK37" si="52">(W37-V37)*1000000</f>
        <v>0</v>
      </c>
      <c r="BD37" s="14">
        <f t="shared" si="52"/>
        <v>0</v>
      </c>
      <c r="BE37" s="14">
        <f t="shared" si="52"/>
        <v>0</v>
      </c>
      <c r="BF37" s="14">
        <f t="shared" si="52"/>
        <v>0</v>
      </c>
      <c r="BG37" s="14">
        <f t="shared" si="52"/>
        <v>0</v>
      </c>
      <c r="BH37" s="14">
        <f t="shared" si="52"/>
        <v>0</v>
      </c>
      <c r="BI37" s="14">
        <f t="shared" si="52"/>
        <v>0</v>
      </c>
      <c r="BJ37" s="14">
        <f t="shared" si="52"/>
        <v>0</v>
      </c>
      <c r="BK37" s="14">
        <f t="shared" si="52"/>
        <v>0</v>
      </c>
      <c r="BL37" s="14">
        <f>(AF37-AE37)*1000000</f>
        <v>0</v>
      </c>
      <c r="BM37" s="14">
        <f t="shared" si="48"/>
        <v>0</v>
      </c>
    </row>
    <row r="38" spans="1:65" x14ac:dyDescent="0.25">
      <c r="A38" s="52" t="s">
        <v>178</v>
      </c>
      <c r="B38">
        <v>854.25304000000006</v>
      </c>
      <c r="C38">
        <v>864.65976000000001</v>
      </c>
      <c r="D38">
        <v>878.98199999999997</v>
      </c>
      <c r="E38">
        <v>892.10271999999998</v>
      </c>
      <c r="F38">
        <v>909.51224000000002</v>
      </c>
      <c r="G38">
        <v>918.67912000000001</v>
      </c>
      <c r="H38">
        <v>936.87472000000002</v>
      </c>
      <c r="AH38" s="52" t="s">
        <v>178</v>
      </c>
      <c r="AI38" s="14">
        <f>(C38-B38)*1000</f>
        <v>10406.71999999995</v>
      </c>
      <c r="AJ38" s="14">
        <f>(D38-C38)*1000</f>
        <v>14322.239999999965</v>
      </c>
      <c r="AK38" s="14">
        <f t="shared" ref="AJ38:AR40" si="53">(E38-D38)</f>
        <v>13.120720000000006</v>
      </c>
      <c r="AL38" s="14">
        <f t="shared" si="53"/>
        <v>17.409520000000043</v>
      </c>
      <c r="AM38" s="14">
        <f>(G38-F38)*1000</f>
        <v>9166.8799999999919</v>
      </c>
      <c r="AN38" s="14">
        <f>(H38-G38)*1000</f>
        <v>18195.600000000013</v>
      </c>
      <c r="AO38" s="14">
        <f t="shared" si="53"/>
        <v>-936.87472000000002</v>
      </c>
      <c r="AP38" s="14">
        <f t="shared" si="53"/>
        <v>0</v>
      </c>
      <c r="AQ38" s="14">
        <f t="shared" si="53"/>
        <v>0</v>
      </c>
      <c r="AR38" s="14">
        <f t="shared" si="53"/>
        <v>0</v>
      </c>
      <c r="AS38" s="14">
        <f>(M38-L38)*1000</f>
        <v>0</v>
      </c>
      <c r="AT38" s="14">
        <f>(N38-M38)</f>
        <v>0</v>
      </c>
      <c r="AU38" s="14">
        <f t="shared" ref="AU38:BK38" si="54">(O38-N38)*1000</f>
        <v>0</v>
      </c>
      <c r="AV38" s="14">
        <f t="shared" si="54"/>
        <v>0</v>
      </c>
      <c r="AW38" s="14">
        <f t="shared" si="54"/>
        <v>0</v>
      </c>
      <c r="AX38" s="14">
        <f t="shared" si="54"/>
        <v>0</v>
      </c>
      <c r="AY38" s="14">
        <f t="shared" si="54"/>
        <v>0</v>
      </c>
      <c r="AZ38" s="14">
        <f t="shared" si="54"/>
        <v>0</v>
      </c>
      <c r="BA38" s="14">
        <f t="shared" si="54"/>
        <v>0</v>
      </c>
      <c r="BB38" s="14">
        <f t="shared" si="54"/>
        <v>0</v>
      </c>
      <c r="BC38" s="14">
        <f t="shared" si="54"/>
        <v>0</v>
      </c>
      <c r="BD38" s="14">
        <f t="shared" si="54"/>
        <v>0</v>
      </c>
      <c r="BE38" s="14">
        <f t="shared" si="54"/>
        <v>0</v>
      </c>
      <c r="BF38" s="14">
        <f t="shared" si="54"/>
        <v>0</v>
      </c>
      <c r="BG38" s="14">
        <f t="shared" si="54"/>
        <v>0</v>
      </c>
      <c r="BH38" s="14">
        <f t="shared" si="54"/>
        <v>0</v>
      </c>
      <c r="BI38" s="14">
        <f t="shared" si="54"/>
        <v>0</v>
      </c>
      <c r="BJ38" s="14">
        <f t="shared" si="54"/>
        <v>0</v>
      </c>
      <c r="BK38" s="14">
        <f t="shared" si="54"/>
        <v>0</v>
      </c>
      <c r="BL38" s="14">
        <f t="shared" ref="BL38:BM41" si="55">(AF38-AE38)*1000</f>
        <v>0</v>
      </c>
      <c r="BM38" s="14">
        <f t="shared" si="55"/>
        <v>0</v>
      </c>
    </row>
    <row r="39" spans="1:65" x14ac:dyDescent="0.25">
      <c r="A39" s="52" t="s">
        <v>179</v>
      </c>
      <c r="B39">
        <v>585.50800000000004</v>
      </c>
      <c r="C39">
        <v>595.49663999999996</v>
      </c>
      <c r="D39">
        <v>606.28031999999996</v>
      </c>
      <c r="E39">
        <v>616.20780000000002</v>
      </c>
      <c r="F39">
        <v>626.72159999999997</v>
      </c>
      <c r="G39">
        <v>635.00656000000004</v>
      </c>
      <c r="H39">
        <v>644.81856000000005</v>
      </c>
      <c r="AH39" s="52" t="s">
        <v>179</v>
      </c>
      <c r="AI39" s="14">
        <f>(C39-B39)*1000</f>
        <v>9988.6399999999194</v>
      </c>
      <c r="AJ39" s="14">
        <f t="shared" si="53"/>
        <v>10.783680000000004</v>
      </c>
      <c r="AK39" s="14">
        <f t="shared" si="53"/>
        <v>9.9274800000000596</v>
      </c>
      <c r="AL39" s="14">
        <f t="shared" si="53"/>
        <v>10.513799999999947</v>
      </c>
      <c r="AM39" s="14">
        <f t="shared" si="53"/>
        <v>8.2849600000000692</v>
      </c>
      <c r="AN39" s="14">
        <f t="shared" si="53"/>
        <v>9.8120000000000118</v>
      </c>
      <c r="AO39" s="14">
        <f t="shared" si="53"/>
        <v>-644.81856000000005</v>
      </c>
      <c r="AP39" s="14">
        <f t="shared" si="53"/>
        <v>0</v>
      </c>
      <c r="AQ39" s="14">
        <f t="shared" si="53"/>
        <v>0</v>
      </c>
      <c r="AR39" s="14">
        <f t="shared" si="53"/>
        <v>0</v>
      </c>
      <c r="AS39" s="14">
        <f>(M39-L39)</f>
        <v>0</v>
      </c>
      <c r="AT39" s="14">
        <f>(N39-M39)</f>
        <v>0</v>
      </c>
      <c r="AU39" s="14">
        <f>(O39-N39)*1000</f>
        <v>0</v>
      </c>
      <c r="AV39" s="14">
        <f>(P39-O39)</f>
        <v>0</v>
      </c>
      <c r="AW39" s="14">
        <f t="shared" ref="AW39:BK42" si="56">(Q39-P39)*1000</f>
        <v>0</v>
      </c>
      <c r="AX39" s="14">
        <f t="shared" si="56"/>
        <v>0</v>
      </c>
      <c r="AY39" s="14">
        <f t="shared" si="56"/>
        <v>0</v>
      </c>
      <c r="AZ39" s="14">
        <f t="shared" si="56"/>
        <v>0</v>
      </c>
      <c r="BA39" s="14">
        <f t="shared" si="56"/>
        <v>0</v>
      </c>
      <c r="BB39" s="14">
        <f t="shared" si="56"/>
        <v>0</v>
      </c>
      <c r="BC39" s="14">
        <f t="shared" si="56"/>
        <v>0</v>
      </c>
      <c r="BD39" s="14">
        <f t="shared" si="56"/>
        <v>0</v>
      </c>
      <c r="BE39" s="14">
        <f t="shared" si="56"/>
        <v>0</v>
      </c>
      <c r="BF39" s="14">
        <f t="shared" si="56"/>
        <v>0</v>
      </c>
      <c r="BG39" s="14">
        <f t="shared" si="56"/>
        <v>0</v>
      </c>
      <c r="BH39" s="14">
        <f t="shared" si="56"/>
        <v>0</v>
      </c>
      <c r="BI39" s="14">
        <f t="shared" si="56"/>
        <v>0</v>
      </c>
      <c r="BJ39" s="14">
        <f t="shared" si="56"/>
        <v>0</v>
      </c>
      <c r="BK39" s="14">
        <f t="shared" si="56"/>
        <v>0</v>
      </c>
      <c r="BL39" s="14">
        <f t="shared" si="55"/>
        <v>0</v>
      </c>
      <c r="BM39" s="14">
        <f t="shared" si="55"/>
        <v>0</v>
      </c>
    </row>
    <row r="40" spans="1:65" x14ac:dyDescent="0.25">
      <c r="A40" s="52" t="s">
        <v>180</v>
      </c>
      <c r="B40">
        <v>807.60631999999998</v>
      </c>
      <c r="C40">
        <v>817.22744</v>
      </c>
      <c r="D40">
        <v>831.01095999999995</v>
      </c>
      <c r="E40">
        <v>843.40527999999995</v>
      </c>
      <c r="F40">
        <v>859.16056000000003</v>
      </c>
      <c r="G40">
        <v>867.81988000000001</v>
      </c>
      <c r="H40">
        <v>882.80344000000002</v>
      </c>
      <c r="AH40" s="52" t="s">
        <v>180</v>
      </c>
      <c r="AI40" s="14">
        <f>(C40-B40)*1000</f>
        <v>9621.120000000019</v>
      </c>
      <c r="AJ40" s="14">
        <f>(D40-C40)*1000</f>
        <v>13783.519999999953</v>
      </c>
      <c r="AK40" s="14">
        <f t="shared" si="53"/>
        <v>12.394319999999993</v>
      </c>
      <c r="AL40" s="14">
        <f t="shared" si="53"/>
        <v>15.755280000000084</v>
      </c>
      <c r="AM40" s="14">
        <f t="shared" si="53"/>
        <v>8.6593199999999797</v>
      </c>
      <c r="AN40" s="14">
        <f t="shared" si="53"/>
        <v>14.983560000000011</v>
      </c>
      <c r="AO40" s="14">
        <f t="shared" si="53"/>
        <v>-882.80344000000002</v>
      </c>
      <c r="AP40" s="14">
        <f t="shared" si="53"/>
        <v>0</v>
      </c>
      <c r="AQ40" s="14">
        <f t="shared" si="53"/>
        <v>0</v>
      </c>
      <c r="AR40" s="14">
        <f t="shared" si="53"/>
        <v>0</v>
      </c>
      <c r="AS40" s="14">
        <f>(M40-L40)</f>
        <v>0</v>
      </c>
      <c r="AT40" s="14">
        <f>(N40-M40)</f>
        <v>0</v>
      </c>
      <c r="AU40" s="14">
        <f>(O40-N40)*1000</f>
        <v>0</v>
      </c>
      <c r="AV40" s="14">
        <f>(P40-O40)</f>
        <v>0</v>
      </c>
      <c r="AW40" s="14">
        <f t="shared" si="56"/>
        <v>0</v>
      </c>
      <c r="AX40" s="14">
        <f t="shared" si="56"/>
        <v>0</v>
      </c>
      <c r="AY40" s="14">
        <f t="shared" si="56"/>
        <v>0</v>
      </c>
      <c r="AZ40" s="14">
        <f t="shared" si="56"/>
        <v>0</v>
      </c>
      <c r="BA40" s="14">
        <f t="shared" si="56"/>
        <v>0</v>
      </c>
      <c r="BB40" s="14">
        <f t="shared" si="56"/>
        <v>0</v>
      </c>
      <c r="BC40" s="14">
        <f t="shared" si="56"/>
        <v>0</v>
      </c>
      <c r="BD40" s="14">
        <f t="shared" si="56"/>
        <v>0</v>
      </c>
      <c r="BE40" s="14">
        <f t="shared" si="56"/>
        <v>0</v>
      </c>
      <c r="BF40" s="14">
        <f t="shared" si="56"/>
        <v>0</v>
      </c>
      <c r="BG40" s="14">
        <f t="shared" si="56"/>
        <v>0</v>
      </c>
      <c r="BH40" s="14">
        <f t="shared" si="56"/>
        <v>0</v>
      </c>
      <c r="BI40" s="14">
        <f t="shared" si="56"/>
        <v>0</v>
      </c>
      <c r="BJ40" s="14">
        <f t="shared" si="56"/>
        <v>0</v>
      </c>
      <c r="BK40" s="14">
        <f t="shared" si="56"/>
        <v>0</v>
      </c>
      <c r="BL40" s="14">
        <f t="shared" si="55"/>
        <v>0</v>
      </c>
      <c r="BM40" s="14">
        <f t="shared" si="55"/>
        <v>0</v>
      </c>
    </row>
    <row r="41" spans="1:65" x14ac:dyDescent="0.25">
      <c r="A41" s="52" t="s">
        <v>181</v>
      </c>
      <c r="B41">
        <v>298.54521999999997</v>
      </c>
      <c r="C41">
        <v>308.827</v>
      </c>
      <c r="D41">
        <v>319.25839999999999</v>
      </c>
      <c r="E41">
        <v>329.56652000000003</v>
      </c>
      <c r="F41">
        <v>340.32083999999998</v>
      </c>
      <c r="G41">
        <v>354.92896000000002</v>
      </c>
      <c r="H41">
        <v>357.54788000000002</v>
      </c>
      <c r="AH41" s="52" t="s">
        <v>181</v>
      </c>
      <c r="AI41" s="14">
        <f t="shared" ref="AI41:AV42" si="57">(C41-B41)*1000</f>
        <v>10281.780000000026</v>
      </c>
      <c r="AJ41" s="14">
        <f t="shared" si="57"/>
        <v>10431.399999999996</v>
      </c>
      <c r="AK41" s="14">
        <f t="shared" si="57"/>
        <v>10308.120000000032</v>
      </c>
      <c r="AL41" s="14">
        <f t="shared" si="57"/>
        <v>10754.319999999951</v>
      </c>
      <c r="AM41" s="14">
        <f t="shared" si="57"/>
        <v>14608.120000000043</v>
      </c>
      <c r="AN41" s="14">
        <f t="shared" si="57"/>
        <v>2618.9200000000028</v>
      </c>
      <c r="AO41" s="14">
        <f t="shared" si="57"/>
        <v>-357547.88</v>
      </c>
      <c r="AP41" s="14">
        <f t="shared" si="57"/>
        <v>0</v>
      </c>
      <c r="AQ41" s="14">
        <f t="shared" si="57"/>
        <v>0</v>
      </c>
      <c r="AR41" s="14">
        <f t="shared" si="57"/>
        <v>0</v>
      </c>
      <c r="AS41" s="14">
        <f t="shared" si="57"/>
        <v>0</v>
      </c>
      <c r="AT41" s="14">
        <f t="shared" si="57"/>
        <v>0</v>
      </c>
      <c r="AU41" s="14">
        <f t="shared" si="57"/>
        <v>0</v>
      </c>
      <c r="AV41" s="14">
        <f t="shared" si="57"/>
        <v>0</v>
      </c>
      <c r="AW41" s="14">
        <f t="shared" si="56"/>
        <v>0</v>
      </c>
      <c r="AX41" s="14">
        <f t="shared" si="56"/>
        <v>0</v>
      </c>
      <c r="AY41" s="14">
        <f t="shared" si="56"/>
        <v>0</v>
      </c>
      <c r="AZ41" s="14">
        <f t="shared" si="56"/>
        <v>0</v>
      </c>
      <c r="BA41" s="14">
        <f t="shared" si="56"/>
        <v>0</v>
      </c>
      <c r="BB41" s="14">
        <f t="shared" si="56"/>
        <v>0</v>
      </c>
      <c r="BC41" s="14">
        <f t="shared" si="56"/>
        <v>0</v>
      </c>
      <c r="BD41" s="14">
        <f t="shared" si="56"/>
        <v>0</v>
      </c>
      <c r="BE41" s="14">
        <f t="shared" si="56"/>
        <v>0</v>
      </c>
      <c r="BF41" s="14">
        <f t="shared" si="56"/>
        <v>0</v>
      </c>
      <c r="BG41" s="14">
        <f t="shared" si="56"/>
        <v>0</v>
      </c>
      <c r="BH41" s="14">
        <f t="shared" si="56"/>
        <v>0</v>
      </c>
      <c r="BI41" s="14">
        <f t="shared" si="56"/>
        <v>0</v>
      </c>
      <c r="BJ41" s="14">
        <f t="shared" si="56"/>
        <v>0</v>
      </c>
      <c r="BK41" s="14">
        <f t="shared" si="56"/>
        <v>0</v>
      </c>
      <c r="BL41" s="14">
        <f t="shared" si="55"/>
        <v>0</v>
      </c>
      <c r="BM41" s="14">
        <f t="shared" si="55"/>
        <v>0</v>
      </c>
    </row>
    <row r="42" spans="1:65" x14ac:dyDescent="0.25">
      <c r="A42" s="52"/>
      <c r="AH42" s="52"/>
      <c r="AI42" s="14">
        <f t="shared" si="57"/>
        <v>0</v>
      </c>
      <c r="AJ42" s="14">
        <f t="shared" si="57"/>
        <v>0</v>
      </c>
      <c r="AK42" s="14">
        <f t="shared" si="57"/>
        <v>0</v>
      </c>
      <c r="AL42" s="14">
        <f t="shared" si="57"/>
        <v>0</v>
      </c>
      <c r="AM42" s="14">
        <f t="shared" si="57"/>
        <v>0</v>
      </c>
      <c r="AN42" s="14">
        <f t="shared" si="57"/>
        <v>0</v>
      </c>
      <c r="AO42" s="14">
        <f t="shared" si="57"/>
        <v>0</v>
      </c>
      <c r="AP42" s="14">
        <f t="shared" si="57"/>
        <v>0</v>
      </c>
      <c r="AQ42" s="14">
        <f t="shared" si="57"/>
        <v>0</v>
      </c>
      <c r="AR42" s="14">
        <f t="shared" si="57"/>
        <v>0</v>
      </c>
      <c r="AS42" s="14">
        <f t="shared" si="57"/>
        <v>0</v>
      </c>
      <c r="AT42" s="14">
        <f t="shared" si="57"/>
        <v>0</v>
      </c>
      <c r="AU42" s="14">
        <f t="shared" si="57"/>
        <v>0</v>
      </c>
      <c r="AV42" s="14">
        <f t="shared" si="57"/>
        <v>0</v>
      </c>
      <c r="AW42" s="14">
        <f t="shared" si="56"/>
        <v>0</v>
      </c>
      <c r="AX42" s="14">
        <f t="shared" si="56"/>
        <v>0</v>
      </c>
      <c r="AY42" s="14">
        <f t="shared" si="56"/>
        <v>0</v>
      </c>
      <c r="AZ42" s="14">
        <f t="shared" si="56"/>
        <v>0</v>
      </c>
      <c r="BA42" s="14">
        <f t="shared" si="56"/>
        <v>0</v>
      </c>
      <c r="BB42" s="14">
        <f t="shared" si="56"/>
        <v>0</v>
      </c>
      <c r="BC42" s="14">
        <f t="shared" si="56"/>
        <v>0</v>
      </c>
      <c r="BD42" s="14">
        <f t="shared" si="56"/>
        <v>0</v>
      </c>
      <c r="BE42" s="14">
        <f t="shared" si="56"/>
        <v>0</v>
      </c>
      <c r="BF42" s="14">
        <f t="shared" si="56"/>
        <v>0</v>
      </c>
      <c r="BG42" s="14">
        <f t="shared" si="56"/>
        <v>0</v>
      </c>
      <c r="BH42" s="14">
        <f t="shared" si="56"/>
        <v>0</v>
      </c>
      <c r="BI42" s="14">
        <f t="shared" si="56"/>
        <v>0</v>
      </c>
      <c r="BJ42" s="14">
        <f t="shared" si="56"/>
        <v>0</v>
      </c>
      <c r="BK42" s="14">
        <f t="shared" si="56"/>
        <v>0</v>
      </c>
      <c r="BL42" s="14">
        <f>(AF42-AE42)*1000</f>
        <v>0</v>
      </c>
      <c r="BM42" s="14">
        <f t="shared" si="48"/>
        <v>0</v>
      </c>
    </row>
    <row r="43" spans="1:65" x14ac:dyDescent="0.25">
      <c r="A43" s="52" t="s">
        <v>158</v>
      </c>
      <c r="B43">
        <v>7635.4664000000002</v>
      </c>
      <c r="C43">
        <v>7787.4943999999996</v>
      </c>
      <c r="D43">
        <v>7956.7120000000004</v>
      </c>
      <c r="E43">
        <v>8127.1607999999997</v>
      </c>
      <c r="AH43" s="52" t="s">
        <v>158</v>
      </c>
      <c r="AI43" s="14">
        <f>(C43-B43)*1000000</f>
        <v>152027999.99999934</v>
      </c>
      <c r="AJ43" s="14">
        <f>(D43-C43)*1000000</f>
        <v>169217600.00000086</v>
      </c>
      <c r="AK43" s="14">
        <f>(E43-D43)*1000000</f>
        <v>170448799.9999992</v>
      </c>
      <c r="AL43" s="14">
        <f>(F43-E43)*1000000</f>
        <v>-8127160800</v>
      </c>
      <c r="AM43" s="14">
        <f>(G43-F43)*1000000</f>
        <v>0</v>
      </c>
      <c r="AN43" s="14">
        <f>(H43-G43)*1000</f>
        <v>0</v>
      </c>
      <c r="AO43" s="14">
        <f>(I43-H43)*1000000</f>
        <v>0</v>
      </c>
      <c r="AP43" s="14">
        <f>(J43-I43)*1000000</f>
        <v>0</v>
      </c>
      <c r="AQ43" s="14">
        <f>(K43-J43)*1000000</f>
        <v>0</v>
      </c>
      <c r="AR43" s="14">
        <f>(L43-K43)*1000000</f>
        <v>0</v>
      </c>
      <c r="AS43" s="14">
        <f t="shared" ref="AS43:BD43" si="58">(M43-L43)*1000000</f>
        <v>0</v>
      </c>
      <c r="AT43" s="14">
        <f t="shared" si="58"/>
        <v>0</v>
      </c>
      <c r="AU43" s="14">
        <f t="shared" si="58"/>
        <v>0</v>
      </c>
      <c r="AV43" s="14">
        <f t="shared" si="58"/>
        <v>0</v>
      </c>
      <c r="AW43" s="14">
        <f t="shared" si="58"/>
        <v>0</v>
      </c>
      <c r="AX43" s="14">
        <f t="shared" si="58"/>
        <v>0</v>
      </c>
      <c r="AY43" s="14">
        <f t="shared" si="58"/>
        <v>0</v>
      </c>
      <c r="AZ43" s="14">
        <f t="shared" si="58"/>
        <v>0</v>
      </c>
      <c r="BA43" s="14">
        <f t="shared" si="58"/>
        <v>0</v>
      </c>
      <c r="BB43" s="14">
        <f t="shared" si="58"/>
        <v>0</v>
      </c>
      <c r="BC43" s="14">
        <f t="shared" si="58"/>
        <v>0</v>
      </c>
      <c r="BD43" s="14">
        <f t="shared" si="58"/>
        <v>0</v>
      </c>
      <c r="BE43" s="14">
        <f t="shared" ref="BE43:BE54" si="59">(Y43-X43)*1000</f>
        <v>0</v>
      </c>
      <c r="BF43" s="14">
        <f t="shared" ref="BF43:BF54" si="60">(Z43-Y43)*1000</f>
        <v>0</v>
      </c>
      <c r="BG43" s="14">
        <f t="shared" ref="BG43:BG54" si="61">(AA43-Z43)*1000</f>
        <v>0</v>
      </c>
      <c r="BH43" s="14">
        <f t="shared" ref="BH43:BH54" si="62">(AB43-AA43)*1000</f>
        <v>0</v>
      </c>
      <c r="BI43" s="14">
        <f t="shared" ref="BI43:BI54" si="63">(AC43-AB43)*1000</f>
        <v>0</v>
      </c>
      <c r="BJ43" s="14">
        <f t="shared" ref="BJ43:BJ54" si="64">(AD43-AC43)*1000</f>
        <v>0</v>
      </c>
      <c r="BK43" s="14">
        <f t="shared" ref="BK43:BK54" si="65">(AE43-AD43)*1000</f>
        <v>0</v>
      </c>
      <c r="BL43" s="14">
        <f>(AF43-AE43)*1000</f>
        <v>0</v>
      </c>
      <c r="BM43" s="14">
        <f t="shared" si="48"/>
        <v>0</v>
      </c>
    </row>
    <row r="44" spans="1:65" x14ac:dyDescent="0.25">
      <c r="A44" s="52" t="s">
        <v>182</v>
      </c>
      <c r="B44">
        <v>1613.5103999999999</v>
      </c>
      <c r="C44">
        <v>1616.0907999999999</v>
      </c>
      <c r="D44">
        <v>1619.1885</v>
      </c>
      <c r="E44">
        <v>1622.9821999999999</v>
      </c>
      <c r="AH44" s="52" t="s">
        <v>182</v>
      </c>
      <c r="AI44" s="14">
        <f t="shared" ref="AI44:AM50" si="66">(C44-B44)*1000</f>
        <v>2580.4000000000542</v>
      </c>
      <c r="AJ44" s="14">
        <f t="shared" si="66"/>
        <v>3097.7000000000317</v>
      </c>
      <c r="AK44" s="14">
        <f t="shared" si="66"/>
        <v>3793.6999999999443</v>
      </c>
      <c r="AL44" s="14">
        <f t="shared" si="66"/>
        <v>-1622982.2</v>
      </c>
      <c r="AM44" s="14">
        <f t="shared" si="66"/>
        <v>0</v>
      </c>
      <c r="AN44" s="14">
        <f>(H44-G44)*1000</f>
        <v>0</v>
      </c>
      <c r="AO44" s="14">
        <f t="shared" ref="AO44:BD46" si="67">(I44-H44)*1000</f>
        <v>0</v>
      </c>
      <c r="AP44" s="14">
        <f t="shared" si="67"/>
        <v>0</v>
      </c>
      <c r="AQ44" s="14">
        <f t="shared" si="67"/>
        <v>0</v>
      </c>
      <c r="AR44" s="14">
        <f t="shared" si="67"/>
        <v>0</v>
      </c>
      <c r="AS44" s="14">
        <f t="shared" si="67"/>
        <v>0</v>
      </c>
      <c r="AT44" s="14">
        <f t="shared" si="67"/>
        <v>0</v>
      </c>
      <c r="AU44" s="14">
        <f t="shared" si="67"/>
        <v>0</v>
      </c>
      <c r="AV44" s="14">
        <f t="shared" si="67"/>
        <v>0</v>
      </c>
      <c r="AW44" s="14">
        <f t="shared" si="67"/>
        <v>0</v>
      </c>
      <c r="AX44" s="14">
        <f t="shared" si="67"/>
        <v>0</v>
      </c>
      <c r="AY44" s="14">
        <f t="shared" si="67"/>
        <v>0</v>
      </c>
      <c r="AZ44" s="14">
        <f t="shared" si="67"/>
        <v>0</v>
      </c>
      <c r="BA44" s="14">
        <f t="shared" si="67"/>
        <v>0</v>
      </c>
      <c r="BB44" s="14">
        <f t="shared" si="67"/>
        <v>0</v>
      </c>
      <c r="BC44" s="14">
        <f t="shared" si="67"/>
        <v>0</v>
      </c>
      <c r="BD44" s="14">
        <f t="shared" si="67"/>
        <v>0</v>
      </c>
      <c r="BE44" s="14">
        <f t="shared" si="59"/>
        <v>0</v>
      </c>
      <c r="BF44" s="14">
        <f t="shared" si="60"/>
        <v>0</v>
      </c>
      <c r="BG44" s="14">
        <f t="shared" si="61"/>
        <v>0</v>
      </c>
      <c r="BH44" s="14">
        <f t="shared" si="62"/>
        <v>0</v>
      </c>
      <c r="BI44" s="14">
        <f t="shared" si="63"/>
        <v>0</v>
      </c>
      <c r="BJ44" s="14">
        <f t="shared" si="64"/>
        <v>0</v>
      </c>
      <c r="BK44" s="14">
        <f t="shared" si="65"/>
        <v>0</v>
      </c>
      <c r="BL44" s="14">
        <f>(AF44-AE44)*1000</f>
        <v>0</v>
      </c>
      <c r="BM44" s="14">
        <f t="shared" si="48"/>
        <v>0</v>
      </c>
    </row>
    <row r="45" spans="1:65" x14ac:dyDescent="0.25">
      <c r="A45" s="52" t="s">
        <v>183</v>
      </c>
      <c r="B45">
        <v>96.609504000000001</v>
      </c>
      <c r="C45">
        <v>137.20192</v>
      </c>
      <c r="D45">
        <v>186.3492</v>
      </c>
      <c r="E45">
        <v>231.94332</v>
      </c>
      <c r="AH45" s="52" t="s">
        <v>183</v>
      </c>
      <c r="AI45" s="14">
        <f t="shared" si="66"/>
        <v>40592.415999999997</v>
      </c>
      <c r="AJ45" s="14">
        <f t="shared" si="66"/>
        <v>49147.279999999992</v>
      </c>
      <c r="AK45" s="14">
        <f t="shared" si="66"/>
        <v>45594.12</v>
      </c>
      <c r="AL45" s="14">
        <f t="shared" si="66"/>
        <v>-231943.32</v>
      </c>
      <c r="AM45" s="14">
        <f t="shared" si="66"/>
        <v>0</v>
      </c>
      <c r="AN45" s="14">
        <f>(H45-G45)*1000</f>
        <v>0</v>
      </c>
      <c r="AO45" s="14">
        <f t="shared" si="67"/>
        <v>0</v>
      </c>
      <c r="AP45" s="14">
        <f t="shared" si="67"/>
        <v>0</v>
      </c>
      <c r="AQ45" s="14">
        <f t="shared" si="67"/>
        <v>0</v>
      </c>
      <c r="AR45" s="14">
        <f t="shared" si="67"/>
        <v>0</v>
      </c>
      <c r="AS45" s="14">
        <f t="shared" si="67"/>
        <v>0</v>
      </c>
      <c r="AT45" s="14">
        <f t="shared" si="67"/>
        <v>0</v>
      </c>
      <c r="AU45" s="14">
        <f t="shared" si="67"/>
        <v>0</v>
      </c>
      <c r="AV45" s="14">
        <f t="shared" si="67"/>
        <v>0</v>
      </c>
      <c r="AW45" s="14">
        <f t="shared" si="67"/>
        <v>0</v>
      </c>
      <c r="AX45" s="14">
        <f t="shared" si="67"/>
        <v>0</v>
      </c>
      <c r="AY45" s="14">
        <f t="shared" si="67"/>
        <v>0</v>
      </c>
      <c r="AZ45" s="14">
        <f t="shared" si="67"/>
        <v>0</v>
      </c>
      <c r="BA45" s="14">
        <f t="shared" si="67"/>
        <v>0</v>
      </c>
      <c r="BB45" s="14">
        <f t="shared" si="67"/>
        <v>0</v>
      </c>
      <c r="BC45" s="14">
        <f t="shared" si="67"/>
        <v>0</v>
      </c>
      <c r="BD45" s="14">
        <f t="shared" si="67"/>
        <v>0</v>
      </c>
      <c r="BE45" s="14">
        <f t="shared" si="59"/>
        <v>0</v>
      </c>
      <c r="BF45" s="14">
        <f t="shared" si="60"/>
        <v>0</v>
      </c>
      <c r="BG45" s="14">
        <f t="shared" si="61"/>
        <v>0</v>
      </c>
      <c r="BH45" s="14">
        <f t="shared" si="62"/>
        <v>0</v>
      </c>
      <c r="BI45" s="14">
        <f t="shared" si="63"/>
        <v>0</v>
      </c>
      <c r="BJ45" s="14">
        <f t="shared" si="64"/>
        <v>0</v>
      </c>
      <c r="BK45" s="14">
        <f t="shared" si="65"/>
        <v>0</v>
      </c>
      <c r="BL45" s="14">
        <f>(AF45-AE45)*1000</f>
        <v>0</v>
      </c>
      <c r="BM45" s="14">
        <f t="shared" si="48"/>
        <v>0</v>
      </c>
    </row>
    <row r="46" spans="1:65" x14ac:dyDescent="0.25">
      <c r="A46" s="52" t="s">
        <v>184</v>
      </c>
      <c r="B46">
        <v>1231.7245</v>
      </c>
      <c r="C46">
        <v>1273.7211</v>
      </c>
      <c r="D46">
        <v>1317.6587</v>
      </c>
      <c r="E46">
        <v>1363.2651000000001</v>
      </c>
      <c r="AH46" s="52" t="s">
        <v>184</v>
      </c>
      <c r="AI46" s="14">
        <f t="shared" si="66"/>
        <v>41996.599999999948</v>
      </c>
      <c r="AJ46" s="14">
        <f t="shared" si="66"/>
        <v>43937.599999999977</v>
      </c>
      <c r="AK46" s="14">
        <f t="shared" si="66"/>
        <v>45606.400000000125</v>
      </c>
      <c r="AL46" s="14">
        <f t="shared" si="66"/>
        <v>-1363265.1</v>
      </c>
      <c r="AM46" s="14">
        <f t="shared" si="66"/>
        <v>0</v>
      </c>
      <c r="AN46" s="14">
        <f>(H46-G46)*1000</f>
        <v>0</v>
      </c>
      <c r="AO46" s="14">
        <f t="shared" si="67"/>
        <v>0</v>
      </c>
      <c r="AP46" s="14">
        <f t="shared" si="67"/>
        <v>0</v>
      </c>
      <c r="AQ46" s="14">
        <f t="shared" si="67"/>
        <v>0</v>
      </c>
      <c r="AR46" s="14">
        <f t="shared" si="67"/>
        <v>0</v>
      </c>
      <c r="AS46" s="14">
        <f t="shared" si="67"/>
        <v>0</v>
      </c>
      <c r="AT46" s="14">
        <f t="shared" si="67"/>
        <v>0</v>
      </c>
      <c r="AU46" s="14">
        <f t="shared" si="67"/>
        <v>0</v>
      </c>
      <c r="AV46" s="14">
        <f t="shared" si="67"/>
        <v>0</v>
      </c>
      <c r="AW46" s="14">
        <f t="shared" si="67"/>
        <v>0</v>
      </c>
      <c r="AX46" s="14">
        <f t="shared" si="67"/>
        <v>0</v>
      </c>
      <c r="AY46" s="14">
        <f t="shared" si="67"/>
        <v>0</v>
      </c>
      <c r="AZ46" s="14">
        <f t="shared" si="67"/>
        <v>0</v>
      </c>
      <c r="BA46" s="14">
        <f t="shared" si="67"/>
        <v>0</v>
      </c>
      <c r="BB46" s="14">
        <f t="shared" si="67"/>
        <v>0</v>
      </c>
      <c r="BC46" s="14">
        <f t="shared" si="67"/>
        <v>0</v>
      </c>
      <c r="BD46" s="14">
        <f t="shared" si="67"/>
        <v>0</v>
      </c>
      <c r="BE46" s="14">
        <f t="shared" si="59"/>
        <v>0</v>
      </c>
      <c r="BF46" s="14">
        <f t="shared" si="60"/>
        <v>0</v>
      </c>
      <c r="BG46" s="14">
        <f t="shared" si="61"/>
        <v>0</v>
      </c>
      <c r="BH46" s="14">
        <f t="shared" si="62"/>
        <v>0</v>
      </c>
      <c r="BI46" s="14">
        <f t="shared" si="63"/>
        <v>0</v>
      </c>
      <c r="BJ46" s="14">
        <f t="shared" si="64"/>
        <v>0</v>
      </c>
      <c r="BK46" s="14">
        <f t="shared" si="65"/>
        <v>0</v>
      </c>
      <c r="BL46" s="14">
        <f>(AF46-AE46)*1000</f>
        <v>0</v>
      </c>
      <c r="BM46" s="14">
        <f t="shared" si="48"/>
        <v>0</v>
      </c>
    </row>
    <row r="47" spans="1:65" x14ac:dyDescent="0.25">
      <c r="A47" s="52" t="s">
        <v>185</v>
      </c>
      <c r="B47">
        <v>10.231315</v>
      </c>
      <c r="C47">
        <v>10.297948</v>
      </c>
      <c r="D47">
        <v>10.370767000000001</v>
      </c>
      <c r="E47">
        <v>10.446016999999999</v>
      </c>
      <c r="AH47" s="52" t="s">
        <v>185</v>
      </c>
      <c r="AI47" s="14">
        <f t="shared" si="66"/>
        <v>66.632999999999498</v>
      </c>
      <c r="AJ47" s="14">
        <f t="shared" si="66"/>
        <v>72.819000000000855</v>
      </c>
      <c r="AK47" s="14">
        <f t="shared" si="66"/>
        <v>75.249999999998707</v>
      </c>
      <c r="AL47" s="14">
        <f t="shared" si="66"/>
        <v>-10446.017</v>
      </c>
      <c r="AM47" s="14">
        <f t="shared" si="66"/>
        <v>0</v>
      </c>
      <c r="AN47" s="14">
        <f>(H47-G47)*1000000</f>
        <v>0</v>
      </c>
      <c r="AO47" s="14">
        <f>(I47-H47)*1000000</f>
        <v>0</v>
      </c>
      <c r="AP47" s="14">
        <f>(J47-I47)*1000000</f>
        <v>0</v>
      </c>
      <c r="AQ47" s="14">
        <f>(K47-J47)*1000000</f>
        <v>0</v>
      </c>
      <c r="AR47" s="14">
        <f t="shared" ref="AR47:BD51" si="68">(L47-K47)*1000</f>
        <v>0</v>
      </c>
      <c r="AS47" s="14">
        <f t="shared" si="68"/>
        <v>0</v>
      </c>
      <c r="AT47" s="14">
        <f t="shared" si="68"/>
        <v>0</v>
      </c>
      <c r="AU47" s="14">
        <f t="shared" si="68"/>
        <v>0</v>
      </c>
      <c r="AV47" s="14">
        <f t="shared" si="68"/>
        <v>0</v>
      </c>
      <c r="AW47" s="14">
        <f t="shared" si="68"/>
        <v>0</v>
      </c>
      <c r="AX47" s="14">
        <f t="shared" si="68"/>
        <v>0</v>
      </c>
      <c r="AY47" s="14">
        <f t="shared" si="68"/>
        <v>0</v>
      </c>
      <c r="AZ47" s="14">
        <f t="shared" si="68"/>
        <v>0</v>
      </c>
      <c r="BA47" s="14">
        <f t="shared" si="68"/>
        <v>0</v>
      </c>
      <c r="BB47" s="14">
        <f t="shared" si="68"/>
        <v>0</v>
      </c>
      <c r="BC47" s="14">
        <f t="shared" si="68"/>
        <v>0</v>
      </c>
      <c r="BD47" s="14">
        <f t="shared" si="68"/>
        <v>0</v>
      </c>
      <c r="BE47" s="14">
        <f t="shared" si="59"/>
        <v>0</v>
      </c>
      <c r="BF47" s="14">
        <f t="shared" si="60"/>
        <v>0</v>
      </c>
      <c r="BG47" s="14">
        <f t="shared" si="61"/>
        <v>0</v>
      </c>
      <c r="BH47" s="14">
        <f t="shared" si="62"/>
        <v>0</v>
      </c>
      <c r="BI47" s="14">
        <f t="shared" si="63"/>
        <v>0</v>
      </c>
      <c r="BJ47" s="14">
        <f t="shared" si="64"/>
        <v>0</v>
      </c>
      <c r="BK47" s="14">
        <f t="shared" si="65"/>
        <v>0</v>
      </c>
      <c r="BL47" s="14">
        <f>(AF47-AE47)*1000000</f>
        <v>0</v>
      </c>
      <c r="BM47" s="14">
        <f t="shared" si="48"/>
        <v>0</v>
      </c>
    </row>
    <row r="48" spans="1:65" x14ac:dyDescent="0.25">
      <c r="A48" s="52"/>
      <c r="AH48" s="52"/>
      <c r="AI48" s="14">
        <f t="shared" si="66"/>
        <v>0</v>
      </c>
      <c r="AJ48" s="14">
        <f t="shared" si="66"/>
        <v>0</v>
      </c>
      <c r="AK48" s="14">
        <f t="shared" si="66"/>
        <v>0</v>
      </c>
      <c r="AL48" s="14">
        <f t="shared" si="66"/>
        <v>0</v>
      </c>
      <c r="AM48" s="14">
        <f t="shared" si="66"/>
        <v>0</v>
      </c>
      <c r="AN48" s="14">
        <f t="shared" ref="AN48:AQ50" si="69">(H48-G48)*1000</f>
        <v>0</v>
      </c>
      <c r="AO48" s="14">
        <f t="shared" si="69"/>
        <v>0</v>
      </c>
      <c r="AP48" s="14">
        <f t="shared" si="69"/>
        <v>0</v>
      </c>
      <c r="AQ48" s="14">
        <f t="shared" si="69"/>
        <v>0</v>
      </c>
      <c r="AR48" s="14">
        <f t="shared" si="68"/>
        <v>0</v>
      </c>
      <c r="AS48" s="14">
        <f t="shared" si="68"/>
        <v>0</v>
      </c>
      <c r="AT48" s="14">
        <f t="shared" si="68"/>
        <v>0</v>
      </c>
      <c r="AU48" s="14">
        <f t="shared" si="68"/>
        <v>0</v>
      </c>
      <c r="AV48" s="14">
        <f t="shared" si="68"/>
        <v>0</v>
      </c>
      <c r="AW48" s="14">
        <f t="shared" si="68"/>
        <v>0</v>
      </c>
      <c r="AX48" s="14">
        <f t="shared" si="68"/>
        <v>0</v>
      </c>
      <c r="AY48" s="14">
        <f t="shared" si="68"/>
        <v>0</v>
      </c>
      <c r="AZ48" s="14">
        <f t="shared" si="68"/>
        <v>0</v>
      </c>
      <c r="BA48" s="14">
        <f t="shared" si="68"/>
        <v>0</v>
      </c>
      <c r="BB48" s="14">
        <f t="shared" si="68"/>
        <v>0</v>
      </c>
      <c r="BC48" s="14">
        <f t="shared" si="68"/>
        <v>0</v>
      </c>
      <c r="BD48" s="14">
        <f t="shared" si="68"/>
        <v>0</v>
      </c>
      <c r="BE48" s="14">
        <f t="shared" si="59"/>
        <v>0</v>
      </c>
      <c r="BF48" s="14">
        <f t="shared" si="60"/>
        <v>0</v>
      </c>
      <c r="BG48" s="14">
        <f t="shared" si="61"/>
        <v>0</v>
      </c>
      <c r="BH48" s="14">
        <f t="shared" si="62"/>
        <v>0</v>
      </c>
      <c r="BI48" s="14">
        <f t="shared" si="63"/>
        <v>0</v>
      </c>
      <c r="BJ48" s="14">
        <f t="shared" si="64"/>
        <v>0</v>
      </c>
      <c r="BK48" s="14">
        <f t="shared" si="65"/>
        <v>0</v>
      </c>
      <c r="BL48" s="14">
        <f t="shared" ref="BL48:BL54" si="70">(AF48-AE48)*1000</f>
        <v>0</v>
      </c>
      <c r="BM48" s="14">
        <f t="shared" si="48"/>
        <v>0</v>
      </c>
    </row>
    <row r="49" spans="1:65" x14ac:dyDescent="0.25">
      <c r="A49" s="52" t="s">
        <v>158</v>
      </c>
      <c r="B49">
        <v>1243.7837999999999</v>
      </c>
      <c r="C49">
        <v>1285.5952</v>
      </c>
      <c r="D49">
        <v>1329.3394000000001</v>
      </c>
      <c r="E49">
        <v>1374.7565999999999</v>
      </c>
      <c r="AH49" s="52" t="s">
        <v>158</v>
      </c>
      <c r="AI49" s="14">
        <f t="shared" si="66"/>
        <v>41811.400000000052</v>
      </c>
      <c r="AJ49" s="14">
        <f t="shared" si="66"/>
        <v>43744.200000000092</v>
      </c>
      <c r="AK49" s="14">
        <f t="shared" si="66"/>
        <v>45417.199999999866</v>
      </c>
      <c r="AL49" s="14">
        <f t="shared" si="66"/>
        <v>-1374756.5999999999</v>
      </c>
      <c r="AM49" s="14">
        <f t="shared" si="66"/>
        <v>0</v>
      </c>
      <c r="AN49" s="14">
        <f t="shared" si="69"/>
        <v>0</v>
      </c>
      <c r="AO49" s="14">
        <f t="shared" si="69"/>
        <v>0</v>
      </c>
      <c r="AP49" s="14">
        <f t="shared" si="69"/>
        <v>0</v>
      </c>
      <c r="AQ49" s="14">
        <f t="shared" si="69"/>
        <v>0</v>
      </c>
      <c r="AR49" s="14">
        <f t="shared" si="68"/>
        <v>0</v>
      </c>
      <c r="AS49" s="14">
        <f t="shared" si="68"/>
        <v>0</v>
      </c>
      <c r="AT49" s="14">
        <f t="shared" si="68"/>
        <v>0</v>
      </c>
      <c r="AU49" s="14">
        <f t="shared" si="68"/>
        <v>0</v>
      </c>
      <c r="AV49" s="14">
        <f t="shared" si="68"/>
        <v>0</v>
      </c>
      <c r="AW49" s="14">
        <f t="shared" si="68"/>
        <v>0</v>
      </c>
      <c r="AX49" s="14">
        <f t="shared" si="68"/>
        <v>0</v>
      </c>
      <c r="AY49" s="14">
        <f t="shared" si="68"/>
        <v>0</v>
      </c>
      <c r="AZ49" s="14">
        <f t="shared" si="68"/>
        <v>0</v>
      </c>
      <c r="BA49" s="14">
        <f t="shared" si="68"/>
        <v>0</v>
      </c>
      <c r="BB49" s="14">
        <f t="shared" si="68"/>
        <v>0</v>
      </c>
      <c r="BC49" s="14">
        <f t="shared" si="68"/>
        <v>0</v>
      </c>
      <c r="BD49" s="14">
        <f t="shared" si="68"/>
        <v>0</v>
      </c>
      <c r="BE49" s="14">
        <f t="shared" si="59"/>
        <v>0</v>
      </c>
      <c r="BF49" s="14">
        <f t="shared" si="60"/>
        <v>0</v>
      </c>
      <c r="BG49" s="14">
        <f t="shared" si="61"/>
        <v>0</v>
      </c>
      <c r="BH49" s="14">
        <f t="shared" si="62"/>
        <v>0</v>
      </c>
      <c r="BI49" s="14">
        <f t="shared" si="63"/>
        <v>0</v>
      </c>
      <c r="BJ49" s="14">
        <f t="shared" si="64"/>
        <v>0</v>
      </c>
      <c r="BK49" s="14">
        <f t="shared" si="65"/>
        <v>0</v>
      </c>
      <c r="BL49" s="14">
        <f t="shared" si="70"/>
        <v>0</v>
      </c>
      <c r="BM49" s="14">
        <f t="shared" si="48"/>
        <v>0</v>
      </c>
    </row>
    <row r="50" spans="1:65" x14ac:dyDescent="0.25">
      <c r="A50" s="52" t="s">
        <v>186</v>
      </c>
      <c r="B50">
        <v>906.91012000000001</v>
      </c>
      <c r="C50">
        <v>919.28301999999996</v>
      </c>
      <c r="D50">
        <v>932.27319999999997</v>
      </c>
      <c r="E50">
        <v>946.34104000000002</v>
      </c>
      <c r="AH50" s="52" t="s">
        <v>186</v>
      </c>
      <c r="AI50" s="14">
        <f t="shared" si="66"/>
        <v>12372.899999999958</v>
      </c>
      <c r="AJ50" s="14">
        <f t="shared" si="66"/>
        <v>12990.180000000009</v>
      </c>
      <c r="AK50" s="14">
        <f t="shared" si="66"/>
        <v>14067.840000000047</v>
      </c>
      <c r="AL50" s="14">
        <f t="shared" si="66"/>
        <v>-946341.04</v>
      </c>
      <c r="AM50" s="14">
        <f t="shared" si="66"/>
        <v>0</v>
      </c>
      <c r="AN50" s="14">
        <f t="shared" si="69"/>
        <v>0</v>
      </c>
      <c r="AO50" s="14">
        <f t="shared" si="69"/>
        <v>0</v>
      </c>
      <c r="AP50" s="14">
        <f t="shared" si="69"/>
        <v>0</v>
      </c>
      <c r="AQ50" s="14">
        <f t="shared" si="69"/>
        <v>0</v>
      </c>
      <c r="AR50" s="14">
        <f t="shared" si="68"/>
        <v>0</v>
      </c>
      <c r="AS50" s="14">
        <f t="shared" si="68"/>
        <v>0</v>
      </c>
      <c r="AT50" s="14">
        <f t="shared" si="68"/>
        <v>0</v>
      </c>
      <c r="AU50" s="14">
        <f t="shared" si="68"/>
        <v>0</v>
      </c>
      <c r="AV50" s="14">
        <f t="shared" si="68"/>
        <v>0</v>
      </c>
      <c r="AW50" s="14">
        <f t="shared" si="68"/>
        <v>0</v>
      </c>
      <c r="AX50" s="14">
        <f t="shared" si="68"/>
        <v>0</v>
      </c>
      <c r="AY50" s="14">
        <f t="shared" si="68"/>
        <v>0</v>
      </c>
      <c r="AZ50" s="14">
        <f t="shared" si="68"/>
        <v>0</v>
      </c>
      <c r="BA50" s="14">
        <f t="shared" si="68"/>
        <v>0</v>
      </c>
      <c r="BB50" s="14">
        <f t="shared" si="68"/>
        <v>0</v>
      </c>
      <c r="BC50" s="14">
        <f t="shared" si="68"/>
        <v>0</v>
      </c>
      <c r="BD50" s="14">
        <f t="shared" si="68"/>
        <v>0</v>
      </c>
      <c r="BE50" s="14">
        <f t="shared" si="59"/>
        <v>0</v>
      </c>
      <c r="BF50" s="14">
        <f t="shared" si="60"/>
        <v>0</v>
      </c>
      <c r="BG50" s="14">
        <f t="shared" si="61"/>
        <v>0</v>
      </c>
      <c r="BH50" s="14">
        <f t="shared" si="62"/>
        <v>0</v>
      </c>
      <c r="BI50" s="14">
        <f t="shared" si="63"/>
        <v>0</v>
      </c>
      <c r="BJ50" s="14">
        <f t="shared" si="64"/>
        <v>0</v>
      </c>
      <c r="BK50" s="14">
        <f t="shared" si="65"/>
        <v>0</v>
      </c>
      <c r="BL50" s="14">
        <f t="shared" si="70"/>
        <v>0</v>
      </c>
      <c r="BM50" s="14">
        <f>(AG50-AF50)*1000</f>
        <v>0</v>
      </c>
    </row>
    <row r="51" spans="1:65" x14ac:dyDescent="0.25">
      <c r="A51" s="52" t="s">
        <v>187</v>
      </c>
      <c r="B51">
        <v>585.39107999999999</v>
      </c>
      <c r="C51">
        <v>595.44975999999997</v>
      </c>
      <c r="D51">
        <v>605.9624</v>
      </c>
      <c r="E51">
        <v>6016.6840000000002</v>
      </c>
      <c r="AH51" s="52" t="s">
        <v>187</v>
      </c>
      <c r="AI51" s="14">
        <f t="shared" ref="AI51:AQ52" si="71">(C51-B51)</f>
        <v>10.058679999999981</v>
      </c>
      <c r="AJ51" s="14">
        <f t="shared" si="71"/>
        <v>10.512640000000033</v>
      </c>
      <c r="AK51" s="14">
        <f t="shared" si="71"/>
        <v>5410.7215999999999</v>
      </c>
      <c r="AL51" s="14">
        <f t="shared" si="71"/>
        <v>-6016.6840000000002</v>
      </c>
      <c r="AM51" s="14">
        <f t="shared" si="71"/>
        <v>0</v>
      </c>
      <c r="AN51" s="14">
        <f t="shared" si="71"/>
        <v>0</v>
      </c>
      <c r="AO51" s="14">
        <f t="shared" si="71"/>
        <v>0</v>
      </c>
      <c r="AP51" s="14">
        <f t="shared" si="71"/>
        <v>0</v>
      </c>
      <c r="AQ51" s="14">
        <f t="shared" si="71"/>
        <v>0</v>
      </c>
      <c r="AR51" s="14">
        <f t="shared" si="68"/>
        <v>0</v>
      </c>
      <c r="AS51" s="14">
        <f t="shared" si="68"/>
        <v>0</v>
      </c>
      <c r="AT51" s="14">
        <f t="shared" si="68"/>
        <v>0</v>
      </c>
      <c r="AU51" s="14">
        <f t="shared" si="68"/>
        <v>0</v>
      </c>
      <c r="AV51" s="14">
        <f t="shared" si="68"/>
        <v>0</v>
      </c>
      <c r="AW51" s="14">
        <f t="shared" si="68"/>
        <v>0</v>
      </c>
      <c r="AX51" s="14">
        <f t="shared" si="68"/>
        <v>0</v>
      </c>
      <c r="AY51" s="14">
        <f t="shared" si="68"/>
        <v>0</v>
      </c>
      <c r="AZ51" s="14">
        <f t="shared" si="68"/>
        <v>0</v>
      </c>
      <c r="BA51" s="14">
        <f t="shared" si="68"/>
        <v>0</v>
      </c>
      <c r="BB51" s="14">
        <f t="shared" si="68"/>
        <v>0</v>
      </c>
      <c r="BC51" s="14">
        <f t="shared" si="68"/>
        <v>0</v>
      </c>
      <c r="BD51" s="14">
        <f t="shared" si="68"/>
        <v>0</v>
      </c>
      <c r="BE51" s="14">
        <f t="shared" si="59"/>
        <v>0</v>
      </c>
      <c r="BF51" s="14">
        <f t="shared" si="60"/>
        <v>0</v>
      </c>
      <c r="BG51" s="14">
        <f t="shared" si="61"/>
        <v>0</v>
      </c>
      <c r="BH51" s="14">
        <f t="shared" si="62"/>
        <v>0</v>
      </c>
      <c r="BI51" s="14">
        <f t="shared" si="63"/>
        <v>0</v>
      </c>
      <c r="BJ51" s="14">
        <f t="shared" si="64"/>
        <v>0</v>
      </c>
      <c r="BK51" s="14">
        <f t="shared" si="65"/>
        <v>0</v>
      </c>
      <c r="BL51" s="14">
        <f t="shared" si="70"/>
        <v>0</v>
      </c>
      <c r="BM51" s="14">
        <f t="shared" si="48"/>
        <v>0</v>
      </c>
    </row>
    <row r="52" spans="1:65" x14ac:dyDescent="0.25">
      <c r="A52" s="52" t="s">
        <v>188</v>
      </c>
      <c r="B52">
        <v>370.43635999999998</v>
      </c>
      <c r="C52">
        <v>376.24468000000002</v>
      </c>
      <c r="D52">
        <v>382.69312000000002</v>
      </c>
      <c r="E52">
        <v>389.15168</v>
      </c>
      <c r="AH52" s="52" t="s">
        <v>188</v>
      </c>
      <c r="AI52" s="14">
        <f t="shared" ref="AI52:AJ54" si="72">(C52-B52)*1000</f>
        <v>5808.3200000000379</v>
      </c>
      <c r="AJ52" s="14">
        <f t="shared" si="72"/>
        <v>6448.4400000000051</v>
      </c>
      <c r="AK52" s="14">
        <f t="shared" si="71"/>
        <v>6.4585599999999772</v>
      </c>
      <c r="AL52" s="14">
        <f t="shared" si="71"/>
        <v>-389.15168</v>
      </c>
      <c r="AM52" s="14">
        <f t="shared" si="71"/>
        <v>0</v>
      </c>
      <c r="AN52" s="14">
        <f t="shared" si="71"/>
        <v>0</v>
      </c>
      <c r="AO52" s="14">
        <f t="shared" si="71"/>
        <v>0</v>
      </c>
      <c r="AP52" s="14">
        <f t="shared" si="71"/>
        <v>0</v>
      </c>
      <c r="AQ52" s="14">
        <f t="shared" si="71"/>
        <v>0</v>
      </c>
      <c r="AR52" s="14">
        <f t="shared" ref="AR52:AS54" si="73">(L52-K52)*1000</f>
        <v>0</v>
      </c>
      <c r="AS52" s="14">
        <f t="shared" si="73"/>
        <v>0</v>
      </c>
      <c r="AT52" s="14">
        <f>(N52-M52)*1000</f>
        <v>0</v>
      </c>
      <c r="AU52" s="14">
        <f t="shared" ref="AU52:BD52" si="74">(O52-N52)*1000</f>
        <v>0</v>
      </c>
      <c r="AV52" s="14">
        <f t="shared" si="74"/>
        <v>0</v>
      </c>
      <c r="AW52" s="14">
        <f t="shared" si="74"/>
        <v>0</v>
      </c>
      <c r="AX52" s="14">
        <f t="shared" si="74"/>
        <v>0</v>
      </c>
      <c r="AY52" s="14">
        <f t="shared" si="74"/>
        <v>0</v>
      </c>
      <c r="AZ52" s="14">
        <f t="shared" si="74"/>
        <v>0</v>
      </c>
      <c r="BA52" s="14">
        <f t="shared" si="74"/>
        <v>0</v>
      </c>
      <c r="BB52" s="14">
        <f t="shared" si="74"/>
        <v>0</v>
      </c>
      <c r="BC52" s="14">
        <f t="shared" si="74"/>
        <v>0</v>
      </c>
      <c r="BD52" s="14">
        <f t="shared" si="74"/>
        <v>0</v>
      </c>
      <c r="BE52" s="14">
        <f t="shared" si="59"/>
        <v>0</v>
      </c>
      <c r="BF52" s="14">
        <f t="shared" si="60"/>
        <v>0</v>
      </c>
      <c r="BG52" s="14">
        <f t="shared" si="61"/>
        <v>0</v>
      </c>
      <c r="BH52" s="14">
        <f t="shared" si="62"/>
        <v>0</v>
      </c>
      <c r="BI52" s="14">
        <f t="shared" si="63"/>
        <v>0</v>
      </c>
      <c r="BJ52" s="14">
        <f t="shared" si="64"/>
        <v>0</v>
      </c>
      <c r="BK52" s="14">
        <f t="shared" si="65"/>
        <v>0</v>
      </c>
      <c r="BL52" s="14">
        <f t="shared" si="70"/>
        <v>0</v>
      </c>
      <c r="BM52" s="14">
        <f>(AG52-AF52)*1000</f>
        <v>0</v>
      </c>
    </row>
    <row r="53" spans="1:65" x14ac:dyDescent="0.25">
      <c r="A53" s="52" t="s">
        <v>189</v>
      </c>
      <c r="B53">
        <v>231.71714</v>
      </c>
      <c r="C53">
        <v>237.90773999999999</v>
      </c>
      <c r="D53">
        <v>244.04102</v>
      </c>
      <c r="E53">
        <v>250.31876</v>
      </c>
      <c r="AH53" s="52" t="s">
        <v>189</v>
      </c>
      <c r="AI53" s="14">
        <f t="shared" si="72"/>
        <v>6190.5999999999894</v>
      </c>
      <c r="AJ53" s="14">
        <f t="shared" si="72"/>
        <v>6133.2800000000134</v>
      </c>
      <c r="AK53" s="14">
        <f>(E53-D53)*1000</f>
        <v>6277.7399999999943</v>
      </c>
      <c r="AL53" s="14">
        <f>(F53-E53)*1000</f>
        <v>-250318.76</v>
      </c>
      <c r="AM53" s="14">
        <f>(G53-F53)*1000</f>
        <v>0</v>
      </c>
      <c r="AN53" s="14">
        <f>(H53-G53)</f>
        <v>0</v>
      </c>
      <c r="AO53" s="14">
        <f>(I53-H53)</f>
        <v>0</v>
      </c>
      <c r="AP53" s="14">
        <f>(J53-I53)*1000</f>
        <v>0</v>
      </c>
      <c r="AQ53" s="14">
        <f>(K53-J53)*1000</f>
        <v>0</v>
      </c>
      <c r="AR53" s="14">
        <f t="shared" si="73"/>
        <v>0</v>
      </c>
      <c r="AS53" s="14">
        <f t="shared" si="73"/>
        <v>0</v>
      </c>
      <c r="AT53" s="14">
        <f>(N53-M53)*1000</f>
        <v>0</v>
      </c>
      <c r="AU53" s="14">
        <f t="shared" ref="AU53:AZ53" si="75">(O53-N53)*1000</f>
        <v>0</v>
      </c>
      <c r="AV53" s="14">
        <f t="shared" si="75"/>
        <v>0</v>
      </c>
      <c r="AW53" s="14">
        <f t="shared" si="75"/>
        <v>0</v>
      </c>
      <c r="AX53" s="14">
        <f t="shared" si="75"/>
        <v>0</v>
      </c>
      <c r="AY53" s="14">
        <f t="shared" si="75"/>
        <v>0</v>
      </c>
      <c r="AZ53" s="14">
        <f t="shared" si="75"/>
        <v>0</v>
      </c>
      <c r="BA53" s="14">
        <f>(U53-T53)*1000</f>
        <v>0</v>
      </c>
      <c r="BB53" s="14">
        <f>(V53-U53)*1000</f>
        <v>0</v>
      </c>
      <c r="BC53" s="14">
        <f>(W53-V53)</f>
        <v>0</v>
      </c>
      <c r="BD53" s="14">
        <f>(X53-W53)</f>
        <v>0</v>
      </c>
      <c r="BE53" s="14">
        <f t="shared" si="59"/>
        <v>0</v>
      </c>
      <c r="BF53" s="14">
        <f t="shared" si="60"/>
        <v>0</v>
      </c>
      <c r="BG53" s="14">
        <f t="shared" si="61"/>
        <v>0</v>
      </c>
      <c r="BH53" s="14">
        <f t="shared" si="62"/>
        <v>0</v>
      </c>
      <c r="BI53" s="14">
        <f t="shared" si="63"/>
        <v>0</v>
      </c>
      <c r="BJ53" s="14">
        <f t="shared" si="64"/>
        <v>0</v>
      </c>
      <c r="BK53" s="14">
        <f t="shared" si="65"/>
        <v>0</v>
      </c>
      <c r="BL53" s="14">
        <f t="shared" si="70"/>
        <v>0</v>
      </c>
      <c r="BM53" s="14">
        <f>(AG53-AF53)*1000</f>
        <v>0</v>
      </c>
    </row>
    <row r="54" spans="1:65" ht="15.75" thickBot="1" x14ac:dyDescent="0.3">
      <c r="A54" s="53" t="s">
        <v>190</v>
      </c>
      <c r="B54" s="54">
        <v>428.05304000000001</v>
      </c>
      <c r="C54" s="54">
        <v>435.54824000000002</v>
      </c>
      <c r="D54" s="54">
        <v>443.32943999999998</v>
      </c>
      <c r="E54" s="54">
        <v>451.34859999999998</v>
      </c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3" t="s">
        <v>190</v>
      </c>
      <c r="AI54" s="14">
        <f t="shared" si="72"/>
        <v>7495.2000000000116</v>
      </c>
      <c r="AJ54" s="14">
        <f t="shared" si="72"/>
        <v>7781.1999999999553</v>
      </c>
      <c r="AK54" s="14">
        <f>(E54-D54)*1000</f>
        <v>8019.16</v>
      </c>
      <c r="AL54" s="14">
        <f>(F54-E54)</f>
        <v>-451.34859999999998</v>
      </c>
      <c r="AM54" s="14">
        <f>(G54-F54)</f>
        <v>0</v>
      </c>
      <c r="AN54" s="14">
        <f>(H54-G54)</f>
        <v>0</v>
      </c>
      <c r="AO54" s="14">
        <f>(I54-H54)</f>
        <v>0</v>
      </c>
      <c r="AP54" s="14">
        <f>(J54-I54)</f>
        <v>0</v>
      </c>
      <c r="AQ54" s="14">
        <f>(K54-J54)*1000</f>
        <v>0</v>
      </c>
      <c r="AR54" s="14">
        <f t="shared" si="73"/>
        <v>0</v>
      </c>
      <c r="AS54" s="14">
        <f t="shared" si="73"/>
        <v>0</v>
      </c>
      <c r="AT54" s="14">
        <f>(N54-M54)*1000</f>
        <v>0</v>
      </c>
      <c r="AU54" s="14">
        <f t="shared" ref="AU54:BD54" si="76">(O54-N54)*1000</f>
        <v>0</v>
      </c>
      <c r="AV54" s="14">
        <f t="shared" si="76"/>
        <v>0</v>
      </c>
      <c r="AW54" s="14">
        <f t="shared" si="76"/>
        <v>0</v>
      </c>
      <c r="AX54" s="14">
        <f t="shared" si="76"/>
        <v>0</v>
      </c>
      <c r="AY54" s="14">
        <f t="shared" si="76"/>
        <v>0</v>
      </c>
      <c r="AZ54" s="14">
        <f t="shared" si="76"/>
        <v>0</v>
      </c>
      <c r="BA54" s="14">
        <f t="shared" si="76"/>
        <v>0</v>
      </c>
      <c r="BB54" s="14">
        <f t="shared" si="76"/>
        <v>0</v>
      </c>
      <c r="BC54" s="14">
        <f t="shared" si="76"/>
        <v>0</v>
      </c>
      <c r="BD54" s="14">
        <f t="shared" si="76"/>
        <v>0</v>
      </c>
      <c r="BE54" s="14">
        <f t="shared" si="59"/>
        <v>0</v>
      </c>
      <c r="BF54" s="14">
        <f t="shared" si="60"/>
        <v>0</v>
      </c>
      <c r="BG54" s="14">
        <f t="shared" si="61"/>
        <v>0</v>
      </c>
      <c r="BH54" s="14">
        <f t="shared" si="62"/>
        <v>0</v>
      </c>
      <c r="BI54" s="14">
        <f t="shared" si="63"/>
        <v>0</v>
      </c>
      <c r="BJ54" s="14">
        <f t="shared" si="64"/>
        <v>0</v>
      </c>
      <c r="BK54" s="14">
        <f t="shared" si="65"/>
        <v>0</v>
      </c>
      <c r="BL54" s="14">
        <f t="shared" si="70"/>
        <v>0</v>
      </c>
      <c r="BM54" s="14">
        <f>(AG54-AF54)*1000</f>
        <v>0</v>
      </c>
    </row>
    <row r="55" spans="1:65" x14ac:dyDescent="0.25">
      <c r="A55" s="52" t="s">
        <v>218</v>
      </c>
      <c r="B55">
        <v>13008.27</v>
      </c>
      <c r="C55">
        <v>13670.25</v>
      </c>
      <c r="D55">
        <v>14882.48</v>
      </c>
      <c r="AH55" s="52" t="s">
        <v>218</v>
      </c>
      <c r="AI55" s="14">
        <f>C55-B55</f>
        <v>661.97999999999956</v>
      </c>
      <c r="AJ55" s="14">
        <f t="shared" ref="AJ55:BM55" si="77">D55-C55</f>
        <v>1212.2299999999996</v>
      </c>
      <c r="AK55" s="14">
        <f t="shared" si="77"/>
        <v>-14882.48</v>
      </c>
      <c r="AL55" s="14">
        <f t="shared" si="77"/>
        <v>0</v>
      </c>
      <c r="AM55" s="14">
        <f t="shared" si="77"/>
        <v>0</v>
      </c>
      <c r="AN55" s="14">
        <f t="shared" si="77"/>
        <v>0</v>
      </c>
      <c r="AO55" s="14">
        <f t="shared" si="77"/>
        <v>0</v>
      </c>
      <c r="AP55" s="14">
        <f t="shared" si="77"/>
        <v>0</v>
      </c>
      <c r="AQ55" s="14">
        <f t="shared" si="77"/>
        <v>0</v>
      </c>
      <c r="AR55" s="14">
        <f t="shared" si="77"/>
        <v>0</v>
      </c>
      <c r="AS55" s="14">
        <f t="shared" si="77"/>
        <v>0</v>
      </c>
      <c r="AT55" s="14">
        <f t="shared" si="77"/>
        <v>0</v>
      </c>
      <c r="AU55" s="14">
        <f t="shared" si="77"/>
        <v>0</v>
      </c>
      <c r="AV55" s="14">
        <f t="shared" si="77"/>
        <v>0</v>
      </c>
      <c r="AW55" s="14">
        <f t="shared" si="77"/>
        <v>0</v>
      </c>
      <c r="AX55" s="14">
        <f t="shared" si="77"/>
        <v>0</v>
      </c>
      <c r="AY55" s="14">
        <f t="shared" si="77"/>
        <v>0</v>
      </c>
      <c r="AZ55" s="14">
        <f t="shared" si="77"/>
        <v>0</v>
      </c>
      <c r="BA55" s="14">
        <f t="shared" si="77"/>
        <v>0</v>
      </c>
      <c r="BB55" s="14">
        <f t="shared" si="77"/>
        <v>0</v>
      </c>
      <c r="BC55" s="14">
        <f t="shared" si="77"/>
        <v>0</v>
      </c>
      <c r="BD55" s="14">
        <f t="shared" si="77"/>
        <v>0</v>
      </c>
      <c r="BE55" s="14">
        <f t="shared" si="77"/>
        <v>0</v>
      </c>
      <c r="BF55" s="14">
        <f t="shared" si="77"/>
        <v>0</v>
      </c>
      <c r="BG55" s="14">
        <f t="shared" si="77"/>
        <v>0</v>
      </c>
      <c r="BH55" s="14">
        <f t="shared" si="77"/>
        <v>0</v>
      </c>
      <c r="BI55" s="14">
        <f t="shared" si="77"/>
        <v>0</v>
      </c>
      <c r="BJ55" s="14">
        <f t="shared" si="77"/>
        <v>0</v>
      </c>
      <c r="BK55" s="14">
        <f t="shared" si="77"/>
        <v>0</v>
      </c>
      <c r="BL55" s="14">
        <f t="shared" si="77"/>
        <v>0</v>
      </c>
      <c r="BM55" s="14">
        <f t="shared" si="77"/>
        <v>0</v>
      </c>
    </row>
    <row r="57" spans="1:65" ht="15.75" thickBot="1" x14ac:dyDescent="0.3"/>
    <row r="58" spans="1:65" ht="19.5" thickBot="1" x14ac:dyDescent="0.35">
      <c r="A58" s="134" t="s">
        <v>191</v>
      </c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7"/>
      <c r="AI58" s="138" t="s">
        <v>157</v>
      </c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7"/>
    </row>
    <row r="59" spans="1:65" ht="15.75" thickBot="1" x14ac:dyDescent="0.3">
      <c r="A59" s="51"/>
      <c r="B59" s="55">
        <v>45138</v>
      </c>
      <c r="C59" s="55">
        <v>45139</v>
      </c>
      <c r="D59" s="55">
        <f>C59+1</f>
        <v>45140</v>
      </c>
      <c r="E59" s="55">
        <f t="shared" ref="E59:AE59" si="78">D59+1</f>
        <v>45141</v>
      </c>
      <c r="F59" s="55">
        <f t="shared" si="78"/>
        <v>45142</v>
      </c>
      <c r="G59" s="55">
        <f t="shared" si="78"/>
        <v>45143</v>
      </c>
      <c r="H59" s="55">
        <f t="shared" si="78"/>
        <v>45144</v>
      </c>
      <c r="I59" s="55">
        <f t="shared" si="78"/>
        <v>45145</v>
      </c>
      <c r="J59" s="55">
        <f t="shared" si="78"/>
        <v>45146</v>
      </c>
      <c r="K59" s="55">
        <f t="shared" si="78"/>
        <v>45147</v>
      </c>
      <c r="L59" s="55">
        <f t="shared" si="78"/>
        <v>45148</v>
      </c>
      <c r="M59" s="55">
        <f t="shared" si="78"/>
        <v>45149</v>
      </c>
      <c r="N59" s="55">
        <f t="shared" si="78"/>
        <v>45150</v>
      </c>
      <c r="O59" s="55">
        <f t="shared" si="78"/>
        <v>45151</v>
      </c>
      <c r="P59" s="55">
        <f t="shared" si="78"/>
        <v>45152</v>
      </c>
      <c r="Q59" s="55">
        <f t="shared" si="78"/>
        <v>45153</v>
      </c>
      <c r="R59" s="55">
        <f t="shared" si="78"/>
        <v>45154</v>
      </c>
      <c r="S59" s="55">
        <f t="shared" si="78"/>
        <v>45155</v>
      </c>
      <c r="T59" s="55">
        <f t="shared" si="78"/>
        <v>45156</v>
      </c>
      <c r="U59" s="55">
        <f t="shared" si="78"/>
        <v>45157</v>
      </c>
      <c r="V59" s="55">
        <f t="shared" si="78"/>
        <v>45158</v>
      </c>
      <c r="W59" s="55">
        <f t="shared" si="78"/>
        <v>45159</v>
      </c>
      <c r="X59" s="55">
        <f t="shared" si="78"/>
        <v>45160</v>
      </c>
      <c r="Y59" s="55">
        <f t="shared" si="78"/>
        <v>45161</v>
      </c>
      <c r="Z59" s="55">
        <f t="shared" si="78"/>
        <v>45162</v>
      </c>
      <c r="AA59" s="55">
        <f t="shared" si="78"/>
        <v>45163</v>
      </c>
      <c r="AB59" s="55">
        <f t="shared" si="78"/>
        <v>45164</v>
      </c>
      <c r="AC59" s="55">
        <f t="shared" si="78"/>
        <v>45165</v>
      </c>
      <c r="AD59" s="55">
        <f t="shared" si="78"/>
        <v>45166</v>
      </c>
      <c r="AE59" s="55">
        <f t="shared" si="78"/>
        <v>45167</v>
      </c>
      <c r="AF59" s="55">
        <f>AE59+1</f>
        <v>45168</v>
      </c>
      <c r="AG59" s="56">
        <f>AF59+1</f>
        <v>45169</v>
      </c>
      <c r="AI59" s="61">
        <v>45139</v>
      </c>
      <c r="AJ59" s="61">
        <f>AI59+1</f>
        <v>45140</v>
      </c>
      <c r="AK59" s="61">
        <f t="shared" ref="AK59:BM59" si="79">AJ59+1</f>
        <v>45141</v>
      </c>
      <c r="AL59" s="61">
        <f t="shared" si="79"/>
        <v>45142</v>
      </c>
      <c r="AM59" s="61">
        <f t="shared" si="79"/>
        <v>45143</v>
      </c>
      <c r="AN59" s="61">
        <f t="shared" si="79"/>
        <v>45144</v>
      </c>
      <c r="AO59" s="61">
        <f t="shared" si="79"/>
        <v>45145</v>
      </c>
      <c r="AP59" s="61">
        <f t="shared" si="79"/>
        <v>45146</v>
      </c>
      <c r="AQ59" s="61">
        <f t="shared" si="79"/>
        <v>45147</v>
      </c>
      <c r="AR59" s="61">
        <f t="shared" si="79"/>
        <v>45148</v>
      </c>
      <c r="AS59" s="61">
        <f t="shared" si="79"/>
        <v>45149</v>
      </c>
      <c r="AT59" s="61">
        <f t="shared" si="79"/>
        <v>45150</v>
      </c>
      <c r="AU59" s="61">
        <f t="shared" si="79"/>
        <v>45151</v>
      </c>
      <c r="AV59" s="61">
        <f t="shared" si="79"/>
        <v>45152</v>
      </c>
      <c r="AW59" s="61">
        <f t="shared" si="79"/>
        <v>45153</v>
      </c>
      <c r="AX59" s="61">
        <f t="shared" si="79"/>
        <v>45154</v>
      </c>
      <c r="AY59" s="61">
        <f t="shared" si="79"/>
        <v>45155</v>
      </c>
      <c r="AZ59" s="61">
        <f t="shared" si="79"/>
        <v>45156</v>
      </c>
      <c r="BA59" s="61">
        <f t="shared" si="79"/>
        <v>45157</v>
      </c>
      <c r="BB59" s="61">
        <f t="shared" si="79"/>
        <v>45158</v>
      </c>
      <c r="BC59" s="61">
        <f t="shared" si="79"/>
        <v>45159</v>
      </c>
      <c r="BD59" s="61">
        <f t="shared" si="79"/>
        <v>45160</v>
      </c>
      <c r="BE59" s="61">
        <f t="shared" si="79"/>
        <v>45161</v>
      </c>
      <c r="BF59" s="61">
        <f t="shared" si="79"/>
        <v>45162</v>
      </c>
      <c r="BG59" s="61">
        <f t="shared" si="79"/>
        <v>45163</v>
      </c>
      <c r="BH59" s="61">
        <f t="shared" si="79"/>
        <v>45164</v>
      </c>
      <c r="BI59" s="61">
        <f t="shared" si="79"/>
        <v>45165</v>
      </c>
      <c r="BJ59" s="61">
        <f t="shared" si="79"/>
        <v>45166</v>
      </c>
      <c r="BK59" s="61">
        <f t="shared" si="79"/>
        <v>45167</v>
      </c>
      <c r="BL59" s="61">
        <f t="shared" si="79"/>
        <v>45168</v>
      </c>
      <c r="BM59" s="61">
        <f t="shared" si="79"/>
        <v>45169</v>
      </c>
    </row>
    <row r="60" spans="1:65" x14ac:dyDescent="0.25">
      <c r="A60" s="52" t="s">
        <v>158</v>
      </c>
      <c r="B60" s="59">
        <v>10.344695</v>
      </c>
      <c r="C60">
        <v>10.409901</v>
      </c>
      <c r="D60">
        <v>10.482625000000001</v>
      </c>
      <c r="E60">
        <v>10.557014000000001</v>
      </c>
      <c r="AH60" t="s">
        <v>158</v>
      </c>
      <c r="AI60" s="14">
        <f>(C60-B60)*1000</f>
        <v>65.205999999999875</v>
      </c>
      <c r="AJ60" s="14">
        <f>(D60-C60)*1000</f>
        <v>72.724000000000899</v>
      </c>
      <c r="AK60" s="14">
        <f>(E60-D60)*1000</f>
        <v>74.389000000000038</v>
      </c>
      <c r="AL60" s="14">
        <f>(F60-E60)*1000000</f>
        <v>-10557014</v>
      </c>
      <c r="AM60" s="14">
        <f>(G60-F60)*1000000</f>
        <v>0</v>
      </c>
      <c r="AN60" s="14">
        <f>(H60-G60)*1000000</f>
        <v>0</v>
      </c>
      <c r="AO60" s="14">
        <f>(I60-H60)*1000000</f>
        <v>0</v>
      </c>
      <c r="AP60" s="14">
        <f t="shared" ref="AP60:BB62" si="80">(J60-I60)*1000</f>
        <v>0</v>
      </c>
      <c r="AQ60" s="14">
        <f t="shared" si="80"/>
        <v>0</v>
      </c>
      <c r="AR60" s="14">
        <f t="shared" si="80"/>
        <v>0</v>
      </c>
      <c r="AS60" s="14">
        <f t="shared" si="80"/>
        <v>0</v>
      </c>
      <c r="AT60" s="14">
        <f t="shared" si="80"/>
        <v>0</v>
      </c>
      <c r="AU60" s="14">
        <f t="shared" si="80"/>
        <v>0</v>
      </c>
      <c r="AV60" s="14">
        <f t="shared" si="80"/>
        <v>0</v>
      </c>
      <c r="AW60" s="14">
        <f t="shared" si="80"/>
        <v>0</v>
      </c>
      <c r="AX60" s="14">
        <f t="shared" si="80"/>
        <v>0</v>
      </c>
      <c r="AY60" s="14">
        <f t="shared" si="80"/>
        <v>0</v>
      </c>
      <c r="AZ60" s="14">
        <f t="shared" si="80"/>
        <v>0</v>
      </c>
      <c r="BA60" s="14">
        <f t="shared" si="80"/>
        <v>0</v>
      </c>
      <c r="BB60" s="14">
        <f t="shared" si="80"/>
        <v>0</v>
      </c>
      <c r="BC60" s="14">
        <f t="shared" ref="BC60:BK60" si="81">(W60-V60)*1000</f>
        <v>0</v>
      </c>
      <c r="BD60" s="14">
        <f t="shared" si="81"/>
        <v>0</v>
      </c>
      <c r="BE60" s="14">
        <f t="shared" si="81"/>
        <v>0</v>
      </c>
      <c r="BF60" s="14">
        <f t="shared" si="81"/>
        <v>0</v>
      </c>
      <c r="BG60" s="14">
        <f t="shared" si="81"/>
        <v>0</v>
      </c>
      <c r="BH60" s="14">
        <f t="shared" si="81"/>
        <v>0</v>
      </c>
      <c r="BI60" s="14">
        <f t="shared" si="81"/>
        <v>0</v>
      </c>
      <c r="BJ60" s="14">
        <f t="shared" si="81"/>
        <v>0</v>
      </c>
      <c r="BK60" s="14">
        <f t="shared" si="81"/>
        <v>0</v>
      </c>
      <c r="BL60" s="14">
        <f>(AF60-AE60)*1000</f>
        <v>0</v>
      </c>
      <c r="BM60" s="14">
        <f>(AG60-AF60)*1000</f>
        <v>0</v>
      </c>
    </row>
    <row r="61" spans="1:65" x14ac:dyDescent="0.25">
      <c r="A61" s="52" t="s">
        <v>192</v>
      </c>
      <c r="B61" s="59">
        <v>17.688976</v>
      </c>
      <c r="C61">
        <v>17.733391999999998</v>
      </c>
      <c r="D61">
        <v>17.784497999999999</v>
      </c>
      <c r="E61">
        <v>17.836724</v>
      </c>
      <c r="AH61" t="s">
        <v>192</v>
      </c>
      <c r="AI61" s="14">
        <f t="shared" ref="AI61:AN61" si="82">(C61-B61)*1000000</f>
        <v>44415.999999998232</v>
      </c>
      <c r="AJ61" s="14">
        <f t="shared" si="82"/>
        <v>51106.000000000764</v>
      </c>
      <c r="AK61" s="14">
        <f t="shared" si="82"/>
        <v>52226.000000000997</v>
      </c>
      <c r="AL61" s="14">
        <f t="shared" si="82"/>
        <v>-17836724</v>
      </c>
      <c r="AM61" s="14">
        <f t="shared" si="82"/>
        <v>0</v>
      </c>
      <c r="AN61" s="14">
        <f t="shared" si="82"/>
        <v>0</v>
      </c>
      <c r="AO61" s="14">
        <f t="shared" ref="AK61:AO64" si="83">(I61-H61)*1000</f>
        <v>0</v>
      </c>
      <c r="AP61" s="14">
        <f t="shared" si="80"/>
        <v>0</v>
      </c>
      <c r="AQ61" s="14">
        <f t="shared" si="80"/>
        <v>0</v>
      </c>
      <c r="AR61" s="14">
        <f t="shared" si="80"/>
        <v>0</v>
      </c>
      <c r="AS61" s="14">
        <f t="shared" si="80"/>
        <v>0</v>
      </c>
      <c r="AT61" s="14">
        <f t="shared" ref="AT61:AY61" si="84">(N61-M61)*1000000</f>
        <v>0</v>
      </c>
      <c r="AU61" s="14">
        <f t="shared" si="84"/>
        <v>0</v>
      </c>
      <c r="AV61" s="14">
        <f t="shared" si="84"/>
        <v>0</v>
      </c>
      <c r="AW61" s="14">
        <f t="shared" si="84"/>
        <v>0</v>
      </c>
      <c r="AX61" s="14">
        <f t="shared" si="84"/>
        <v>0</v>
      </c>
      <c r="AY61" s="14">
        <f t="shared" si="84"/>
        <v>0</v>
      </c>
      <c r="AZ61" s="14">
        <f>(T61-S61)*1000000</f>
        <v>0</v>
      </c>
      <c r="BA61" s="14">
        <f>(U61-T61)*1000000</f>
        <v>0</v>
      </c>
      <c r="BB61" s="14">
        <f>(V61-U61)*1000000</f>
        <v>0</v>
      </c>
      <c r="BC61" s="14">
        <f t="shared" ref="BC61:BE62" si="85">(W61-V61)*1000</f>
        <v>0</v>
      </c>
      <c r="BD61" s="14">
        <f t="shared" si="85"/>
        <v>0</v>
      </c>
      <c r="BE61" s="14">
        <f t="shared" si="85"/>
        <v>0</v>
      </c>
      <c r="BF61" s="14">
        <f t="shared" ref="BF61:BK61" si="86">(Z61-Y61)*1000000</f>
        <v>0</v>
      </c>
      <c r="BG61" s="14">
        <f t="shared" si="86"/>
        <v>0</v>
      </c>
      <c r="BH61" s="14">
        <f t="shared" si="86"/>
        <v>0</v>
      </c>
      <c r="BI61" s="14">
        <f t="shared" si="86"/>
        <v>0</v>
      </c>
      <c r="BJ61" s="14">
        <f t="shared" si="86"/>
        <v>0</v>
      </c>
      <c r="BK61" s="14">
        <f t="shared" si="86"/>
        <v>0</v>
      </c>
      <c r="BL61" s="14">
        <f>(AF61-AE61)*1000000</f>
        <v>0</v>
      </c>
      <c r="BM61" s="14">
        <f>(AG61-AF61)*1000000</f>
        <v>0</v>
      </c>
    </row>
    <row r="62" spans="1:65" x14ac:dyDescent="0.25">
      <c r="A62" s="52" t="s">
        <v>193</v>
      </c>
      <c r="B62" s="59">
        <v>4803.4452000000001</v>
      </c>
      <c r="C62">
        <v>4814.5756000000001</v>
      </c>
      <c r="D62">
        <v>10493341</v>
      </c>
      <c r="E62">
        <v>22.194852000000001</v>
      </c>
      <c r="AH62" t="s">
        <v>193</v>
      </c>
      <c r="AI62" s="14">
        <f>(C62-B63)</f>
        <v>4430.9462400000002</v>
      </c>
      <c r="AJ62" s="14">
        <f>(D62-C62)*1000</f>
        <v>10488526424.4</v>
      </c>
      <c r="AK62" s="14">
        <f t="shared" si="83"/>
        <v>-10493318805.148001</v>
      </c>
      <c r="AL62" s="14">
        <f t="shared" si="83"/>
        <v>-22194.852000000003</v>
      </c>
      <c r="AM62" s="14">
        <f t="shared" si="83"/>
        <v>0</v>
      </c>
      <c r="AN62" s="14">
        <f t="shared" si="83"/>
        <v>0</v>
      </c>
      <c r="AO62" s="14">
        <f t="shared" si="83"/>
        <v>0</v>
      </c>
      <c r="AP62" s="14">
        <f t="shared" si="80"/>
        <v>0</v>
      </c>
      <c r="AQ62" s="14">
        <f t="shared" si="80"/>
        <v>0</v>
      </c>
      <c r="AR62" s="14">
        <f t="shared" si="80"/>
        <v>0</v>
      </c>
      <c r="AS62" s="14">
        <f t="shared" si="80"/>
        <v>0</v>
      </c>
      <c r="AT62" s="14">
        <f t="shared" si="80"/>
        <v>0</v>
      </c>
      <c r="AU62" s="14">
        <f t="shared" si="80"/>
        <v>0</v>
      </c>
      <c r="AV62" s="14">
        <f t="shared" si="80"/>
        <v>0</v>
      </c>
      <c r="AW62" s="14">
        <f t="shared" si="80"/>
        <v>0</v>
      </c>
      <c r="AX62" s="14">
        <f t="shared" si="80"/>
        <v>0</v>
      </c>
      <c r="AY62" s="14">
        <f t="shared" si="80"/>
        <v>0</v>
      </c>
      <c r="AZ62" s="14">
        <f t="shared" si="80"/>
        <v>0</v>
      </c>
      <c r="BA62" s="14">
        <f t="shared" si="80"/>
        <v>0</v>
      </c>
      <c r="BB62" s="14">
        <f t="shared" si="80"/>
        <v>0</v>
      </c>
      <c r="BC62" s="14">
        <f t="shared" si="85"/>
        <v>0</v>
      </c>
      <c r="BD62" s="14">
        <f t="shared" si="85"/>
        <v>0</v>
      </c>
      <c r="BE62" s="14">
        <f t="shared" si="85"/>
        <v>0</v>
      </c>
      <c r="BF62" s="14">
        <f t="shared" ref="BF62:BK64" si="87">(Z62-Y62)*1000</f>
        <v>0</v>
      </c>
      <c r="BG62" s="14">
        <f t="shared" si="87"/>
        <v>0</v>
      </c>
      <c r="BH62" s="14">
        <f t="shared" si="87"/>
        <v>0</v>
      </c>
      <c r="BI62" s="14">
        <f t="shared" si="87"/>
        <v>0</v>
      </c>
      <c r="BJ62" s="14">
        <f t="shared" si="87"/>
        <v>0</v>
      </c>
      <c r="BK62" s="14">
        <f t="shared" si="87"/>
        <v>0</v>
      </c>
      <c r="BL62" s="14">
        <f t="shared" ref="BL62:BM64" si="88">(AF62-AE62)*1000</f>
        <v>0</v>
      </c>
      <c r="BM62" s="14">
        <f t="shared" si="88"/>
        <v>0</v>
      </c>
    </row>
    <row r="63" spans="1:65" x14ac:dyDescent="0.25">
      <c r="A63" s="52" t="s">
        <v>194</v>
      </c>
      <c r="B63" s="59">
        <v>383.62936000000002</v>
      </c>
      <c r="C63">
        <v>391.08404000000002</v>
      </c>
      <c r="D63">
        <v>398.54399999999998</v>
      </c>
      <c r="E63">
        <v>406.11896000000002</v>
      </c>
      <c r="AH63" t="s">
        <v>194</v>
      </c>
      <c r="AI63" s="14">
        <f>(C63-B63)*1000</f>
        <v>7454.6799999999967</v>
      </c>
      <c r="AJ63" s="14">
        <f>(D63-C63)*1000</f>
        <v>7459.9599999999664</v>
      </c>
      <c r="AK63" s="14">
        <f t="shared" si="83"/>
        <v>7574.9600000000328</v>
      </c>
      <c r="AL63" s="14">
        <f t="shared" si="83"/>
        <v>-406118.96</v>
      </c>
      <c r="AM63" s="14">
        <f t="shared" si="83"/>
        <v>0</v>
      </c>
      <c r="AN63" s="14">
        <f t="shared" si="83"/>
        <v>0</v>
      </c>
      <c r="AO63" s="14">
        <f t="shared" si="83"/>
        <v>0</v>
      </c>
      <c r="AP63" s="14">
        <f t="shared" ref="AP63:AU64" si="89">(J63-I63)*1000</f>
        <v>0</v>
      </c>
      <c r="AQ63" s="14">
        <f t="shared" si="89"/>
        <v>0</v>
      </c>
      <c r="AR63" s="14">
        <f t="shared" si="89"/>
        <v>0</v>
      </c>
      <c r="AS63" s="14">
        <f t="shared" si="89"/>
        <v>0</v>
      </c>
      <c r="AT63" s="14">
        <f t="shared" si="89"/>
        <v>0</v>
      </c>
      <c r="AU63" s="14">
        <f t="shared" si="89"/>
        <v>0</v>
      </c>
      <c r="AV63" s="14">
        <f t="shared" ref="AV63:BA63" si="90">(P63-O63)*1000</f>
        <v>0</v>
      </c>
      <c r="AW63" s="14">
        <f t="shared" si="90"/>
        <v>0</v>
      </c>
      <c r="AX63" s="14">
        <f t="shared" si="90"/>
        <v>0</v>
      </c>
      <c r="AY63" s="14">
        <f t="shared" si="90"/>
        <v>0</v>
      </c>
      <c r="AZ63" s="14">
        <f t="shared" si="90"/>
        <v>0</v>
      </c>
      <c r="BA63" s="14">
        <f t="shared" si="90"/>
        <v>0</v>
      </c>
      <c r="BB63" s="14">
        <f>(V63-U63)*1000</f>
        <v>0</v>
      </c>
      <c r="BC63" s="14">
        <f>(W63-V63)</f>
        <v>0</v>
      </c>
      <c r="BD63" s="14">
        <f>(X63-W63)</f>
        <v>0</v>
      </c>
      <c r="BE63" s="14">
        <f>(Y63-X63)*1000</f>
        <v>0</v>
      </c>
      <c r="BF63" s="14">
        <f t="shared" si="87"/>
        <v>0</v>
      </c>
      <c r="BG63" s="14">
        <f t="shared" si="87"/>
        <v>0</v>
      </c>
      <c r="BH63" s="14">
        <f t="shared" si="87"/>
        <v>0</v>
      </c>
      <c r="BI63" s="14">
        <f t="shared" si="87"/>
        <v>0</v>
      </c>
      <c r="BJ63" s="14">
        <f t="shared" si="87"/>
        <v>0</v>
      </c>
      <c r="BK63" s="14">
        <f t="shared" si="87"/>
        <v>0</v>
      </c>
      <c r="BL63" s="14">
        <f t="shared" si="88"/>
        <v>0</v>
      </c>
      <c r="BM63" s="14">
        <f t="shared" si="88"/>
        <v>0</v>
      </c>
    </row>
    <row r="64" spans="1:65" x14ac:dyDescent="0.25">
      <c r="A64" s="52" t="s">
        <v>195</v>
      </c>
      <c r="B64" s="59">
        <v>48.52422</v>
      </c>
      <c r="C64">
        <v>50.725155999999998</v>
      </c>
      <c r="D64">
        <v>53.532496000000002</v>
      </c>
      <c r="E64">
        <v>56.443472</v>
      </c>
      <c r="AH64" t="s">
        <v>195</v>
      </c>
      <c r="AI64" s="14">
        <f>(C64-B64)*1000</f>
        <v>2200.9359999999988</v>
      </c>
      <c r="AJ64" s="14">
        <f>(D64-C64)*1000</f>
        <v>2807.3400000000033</v>
      </c>
      <c r="AK64" s="14">
        <f t="shared" si="83"/>
        <v>2910.9759999999978</v>
      </c>
      <c r="AL64" s="14">
        <f t="shared" si="83"/>
        <v>-56443.472000000002</v>
      </c>
      <c r="AM64" s="14">
        <f t="shared" si="83"/>
        <v>0</v>
      </c>
      <c r="AN64" s="14">
        <f t="shared" si="83"/>
        <v>0</v>
      </c>
      <c r="AO64" s="14">
        <f t="shared" si="83"/>
        <v>0</v>
      </c>
      <c r="AP64" s="14">
        <f t="shared" si="89"/>
        <v>0</v>
      </c>
      <c r="AQ64" s="14">
        <f t="shared" si="89"/>
        <v>0</v>
      </c>
      <c r="AR64" s="14">
        <f t="shared" si="89"/>
        <v>0</v>
      </c>
      <c r="AS64" s="14">
        <f t="shared" si="89"/>
        <v>0</v>
      </c>
      <c r="AT64" s="14">
        <f t="shared" si="89"/>
        <v>0</v>
      </c>
      <c r="AU64" s="14">
        <f t="shared" si="89"/>
        <v>0</v>
      </c>
      <c r="AV64" s="14">
        <f t="shared" ref="AV64:BD64" si="91">(P64-O64)*1000</f>
        <v>0</v>
      </c>
      <c r="AW64" s="14">
        <f t="shared" si="91"/>
        <v>0</v>
      </c>
      <c r="AX64" s="14">
        <f t="shared" si="91"/>
        <v>0</v>
      </c>
      <c r="AY64" s="14">
        <f t="shared" si="91"/>
        <v>0</v>
      </c>
      <c r="AZ64" s="14">
        <f t="shared" si="91"/>
        <v>0</v>
      </c>
      <c r="BA64" s="14">
        <f t="shared" si="91"/>
        <v>0</v>
      </c>
      <c r="BB64" s="14">
        <f t="shared" si="91"/>
        <v>0</v>
      </c>
      <c r="BC64" s="14">
        <f t="shared" si="91"/>
        <v>0</v>
      </c>
      <c r="BD64" s="14">
        <f t="shared" si="91"/>
        <v>0</v>
      </c>
      <c r="BE64" s="14">
        <f>(Y64-X64)*1000</f>
        <v>0</v>
      </c>
      <c r="BF64" s="14">
        <f t="shared" si="87"/>
        <v>0</v>
      </c>
      <c r="BG64" s="14">
        <f t="shared" si="87"/>
        <v>0</v>
      </c>
      <c r="BH64" s="14">
        <f t="shared" si="87"/>
        <v>0</v>
      </c>
      <c r="BI64" s="14">
        <f t="shared" si="87"/>
        <v>0</v>
      </c>
      <c r="BJ64" s="14">
        <f t="shared" si="87"/>
        <v>0</v>
      </c>
      <c r="BK64" s="14">
        <f t="shared" si="87"/>
        <v>0</v>
      </c>
      <c r="BL64" s="14">
        <f t="shared" si="88"/>
        <v>0</v>
      </c>
      <c r="BM64" s="14">
        <f t="shared" si="88"/>
        <v>0</v>
      </c>
    </row>
    <row r="65" spans="1:65" x14ac:dyDescent="0.25">
      <c r="A65" s="52"/>
      <c r="B65" s="59">
        <v>0</v>
      </c>
      <c r="AI65" s="14">
        <f t="shared" ref="AI65:AI83" si="92">C65-B65</f>
        <v>0</v>
      </c>
      <c r="AJ65" s="14">
        <f t="shared" ref="AJ65:AJ83" si="93">D65-C65</f>
        <v>0</v>
      </c>
      <c r="AK65" s="14">
        <f t="shared" ref="AK65:AK83" si="94">E65-D65</f>
        <v>0</v>
      </c>
      <c r="AL65" s="14">
        <f t="shared" ref="AL65:AL83" si="95">F65-E65</f>
        <v>0</v>
      </c>
      <c r="AM65" s="14">
        <f t="shared" ref="AM65:AM83" si="96">G65-F65</f>
        <v>0</v>
      </c>
      <c r="AN65" s="14">
        <f t="shared" ref="AN65:AN83" si="97">H65-G65</f>
        <v>0</v>
      </c>
      <c r="AO65" s="14">
        <f t="shared" ref="AO65:AO83" si="98">I65-H65</f>
        <v>0</v>
      </c>
      <c r="AP65" s="14">
        <f t="shared" ref="AP65:AP83" si="99">J65-I65</f>
        <v>0</v>
      </c>
      <c r="AQ65" s="14">
        <f t="shared" ref="AQ65:AQ83" si="100">K65-J65</f>
        <v>0</v>
      </c>
      <c r="AR65" s="14">
        <f t="shared" ref="AR65:AR83" si="101">L65-K65</f>
        <v>0</v>
      </c>
      <c r="AS65" s="14">
        <f t="shared" ref="AS65:AS83" si="102">M65-L65</f>
        <v>0</v>
      </c>
      <c r="AT65" s="14">
        <f t="shared" ref="AT65:AT83" si="103">N65-M65</f>
        <v>0</v>
      </c>
      <c r="AU65" s="14">
        <f t="shared" ref="AU65:AU83" si="104">O65-N65</f>
        <v>0</v>
      </c>
      <c r="AV65" s="14">
        <f t="shared" ref="AV65:AV83" si="105">P65-O65</f>
        <v>0</v>
      </c>
      <c r="AW65" s="14">
        <f t="shared" ref="AW65:AW83" si="106">Q65-P65</f>
        <v>0</v>
      </c>
      <c r="AX65" s="14">
        <f t="shared" ref="AX65:AX83" si="107">R65-Q65</f>
        <v>0</v>
      </c>
      <c r="AY65" s="14">
        <f t="shared" ref="AY65:AY83" si="108">S65-R65</f>
        <v>0</v>
      </c>
      <c r="AZ65" s="14">
        <f t="shared" ref="AZ65:AZ83" si="109">T65-S65</f>
        <v>0</v>
      </c>
      <c r="BA65" s="14">
        <f t="shared" ref="BA65:BA83" si="110">U65-T65</f>
        <v>0</v>
      </c>
      <c r="BB65" s="14">
        <f t="shared" ref="BB65:BB83" si="111">V65-U65</f>
        <v>0</v>
      </c>
      <c r="BC65" s="14">
        <f t="shared" ref="BC65:BC83" si="112">W65-V65</f>
        <v>0</v>
      </c>
      <c r="BD65" s="14">
        <f t="shared" ref="BD65:BD83" si="113">X65-W65</f>
        <v>0</v>
      </c>
      <c r="BE65" s="14">
        <f t="shared" ref="BE65:BE83" si="114">Y65-X65</f>
        <v>0</v>
      </c>
      <c r="BF65" s="14">
        <f t="shared" ref="BF65:BF83" si="115">Z65-Y65</f>
        <v>0</v>
      </c>
      <c r="BG65" s="14">
        <f t="shared" ref="BG65:BG83" si="116">AA65-Z65</f>
        <v>0</v>
      </c>
      <c r="BH65" s="14">
        <f t="shared" ref="BH65:BH83" si="117">AB65-AA65</f>
        <v>0</v>
      </c>
      <c r="BI65" s="14">
        <f t="shared" ref="BI65:BI83" si="118">AC65-AB65</f>
        <v>0</v>
      </c>
      <c r="BJ65" s="14">
        <f t="shared" ref="BJ65:BJ83" si="119">AD65-AC65</f>
        <v>0</v>
      </c>
      <c r="BK65" s="14">
        <f t="shared" ref="BK65:BK83" si="120">AE65-AD65</f>
        <v>0</v>
      </c>
      <c r="BL65" s="14">
        <f t="shared" ref="BL65:BL75" si="121">AF65-AE65</f>
        <v>0</v>
      </c>
      <c r="BM65" s="14">
        <f>(AG65-AF65)*1000</f>
        <v>0</v>
      </c>
    </row>
    <row r="66" spans="1:65" x14ac:dyDescent="0.25">
      <c r="A66" s="52" t="s">
        <v>196</v>
      </c>
      <c r="B66" s="59">
        <v>34009564.539999999</v>
      </c>
      <c r="C66">
        <v>34020426.859999999</v>
      </c>
      <c r="D66">
        <v>34031519</v>
      </c>
      <c r="E66">
        <v>34042943.18</v>
      </c>
      <c r="AH66" t="s">
        <v>196</v>
      </c>
      <c r="AI66" s="14">
        <f t="shared" si="92"/>
        <v>10862.320000000298</v>
      </c>
      <c r="AJ66" s="14">
        <f t="shared" si="93"/>
        <v>11092.140000000596</v>
      </c>
      <c r="AK66" s="14">
        <f t="shared" si="94"/>
        <v>11424.179999999702</v>
      </c>
      <c r="AL66" s="14">
        <f t="shared" si="95"/>
        <v>-34042943.18</v>
      </c>
      <c r="AM66" s="14">
        <f t="shared" si="96"/>
        <v>0</v>
      </c>
      <c r="AN66" s="14">
        <f t="shared" si="97"/>
        <v>0</v>
      </c>
      <c r="AO66" s="14">
        <f t="shared" si="98"/>
        <v>0</v>
      </c>
      <c r="AP66" s="14">
        <f t="shared" si="99"/>
        <v>0</v>
      </c>
      <c r="AQ66" s="14">
        <f t="shared" si="100"/>
        <v>0</v>
      </c>
      <c r="AR66" s="14">
        <f t="shared" si="101"/>
        <v>0</v>
      </c>
      <c r="AS66" s="14">
        <f t="shared" si="102"/>
        <v>0</v>
      </c>
      <c r="AT66" s="14">
        <f t="shared" si="103"/>
        <v>0</v>
      </c>
      <c r="AU66" s="14">
        <f t="shared" si="104"/>
        <v>0</v>
      </c>
      <c r="AV66" s="14">
        <f t="shared" si="105"/>
        <v>0</v>
      </c>
      <c r="AW66" s="14">
        <f t="shared" si="106"/>
        <v>0</v>
      </c>
      <c r="AX66" s="14">
        <f t="shared" si="107"/>
        <v>0</v>
      </c>
      <c r="AY66" s="14">
        <f t="shared" si="108"/>
        <v>0</v>
      </c>
      <c r="AZ66" s="14">
        <f t="shared" si="109"/>
        <v>0</v>
      </c>
      <c r="BA66" s="14">
        <f t="shared" si="110"/>
        <v>0</v>
      </c>
      <c r="BB66" s="14">
        <f t="shared" si="111"/>
        <v>0</v>
      </c>
      <c r="BC66" s="14">
        <f t="shared" si="112"/>
        <v>0</v>
      </c>
      <c r="BD66" s="14">
        <f t="shared" si="113"/>
        <v>0</v>
      </c>
      <c r="BE66" s="14">
        <f t="shared" si="114"/>
        <v>0</v>
      </c>
      <c r="BF66" s="14">
        <f t="shared" si="115"/>
        <v>0</v>
      </c>
      <c r="BG66" s="14">
        <f t="shared" si="116"/>
        <v>0</v>
      </c>
      <c r="BH66" s="14">
        <f t="shared" si="117"/>
        <v>0</v>
      </c>
      <c r="BI66" s="14">
        <f t="shared" si="118"/>
        <v>0</v>
      </c>
      <c r="BJ66" s="14">
        <f t="shared" si="119"/>
        <v>0</v>
      </c>
      <c r="BK66" s="14">
        <f t="shared" si="120"/>
        <v>0</v>
      </c>
      <c r="BL66" s="14">
        <f t="shared" si="121"/>
        <v>0</v>
      </c>
      <c r="BM66" s="14">
        <f t="shared" ref="BM66:BM73" si="122">(AG66-AF66)</f>
        <v>0</v>
      </c>
    </row>
    <row r="67" spans="1:65" x14ac:dyDescent="0.25">
      <c r="A67" s="52" t="s">
        <v>197</v>
      </c>
      <c r="B67" s="59">
        <v>15777754.050000001</v>
      </c>
      <c r="C67">
        <v>15782418.960000001</v>
      </c>
      <c r="D67">
        <v>15787235</v>
      </c>
      <c r="E67">
        <v>15792316.67</v>
      </c>
      <c r="AH67" t="s">
        <v>197</v>
      </c>
      <c r="AI67" s="14">
        <f t="shared" si="92"/>
        <v>4664.910000000149</v>
      </c>
      <c r="AJ67" s="14">
        <f t="shared" si="93"/>
        <v>4816.0399999991059</v>
      </c>
      <c r="AK67" s="14">
        <f t="shared" si="94"/>
        <v>5081.6699999999255</v>
      </c>
      <c r="AL67" s="14">
        <f t="shared" si="95"/>
        <v>-15792316.67</v>
      </c>
      <c r="AM67" s="14">
        <f t="shared" si="96"/>
        <v>0</v>
      </c>
      <c r="AN67" s="14">
        <f t="shared" si="97"/>
        <v>0</v>
      </c>
      <c r="AO67" s="14">
        <f t="shared" si="98"/>
        <v>0</v>
      </c>
      <c r="AP67" s="14">
        <f t="shared" si="99"/>
        <v>0</v>
      </c>
      <c r="AQ67" s="14">
        <f t="shared" si="100"/>
        <v>0</v>
      </c>
      <c r="AR67" s="14">
        <f t="shared" si="101"/>
        <v>0</v>
      </c>
      <c r="AS67" s="14">
        <f t="shared" si="102"/>
        <v>0</v>
      </c>
      <c r="AT67" s="14">
        <f t="shared" si="103"/>
        <v>0</v>
      </c>
      <c r="AU67" s="14">
        <f t="shared" si="104"/>
        <v>0</v>
      </c>
      <c r="AV67" s="14">
        <f t="shared" si="105"/>
        <v>0</v>
      </c>
      <c r="AW67" s="14">
        <f t="shared" si="106"/>
        <v>0</v>
      </c>
      <c r="AX67" s="14">
        <f t="shared" si="107"/>
        <v>0</v>
      </c>
      <c r="AY67" s="14">
        <f t="shared" si="108"/>
        <v>0</v>
      </c>
      <c r="AZ67" s="14">
        <f t="shared" si="109"/>
        <v>0</v>
      </c>
      <c r="BA67" s="14">
        <f t="shared" si="110"/>
        <v>0</v>
      </c>
      <c r="BB67" s="14">
        <f t="shared" si="111"/>
        <v>0</v>
      </c>
      <c r="BC67" s="14">
        <f t="shared" si="112"/>
        <v>0</v>
      </c>
      <c r="BD67" s="14">
        <f t="shared" si="113"/>
        <v>0</v>
      </c>
      <c r="BE67" s="14">
        <f t="shared" si="114"/>
        <v>0</v>
      </c>
      <c r="BF67" s="14">
        <f t="shared" si="115"/>
        <v>0</v>
      </c>
      <c r="BG67" s="14">
        <f t="shared" si="116"/>
        <v>0</v>
      </c>
      <c r="BH67" s="14">
        <f t="shared" si="117"/>
        <v>0</v>
      </c>
      <c r="BI67" s="14">
        <f t="shared" si="118"/>
        <v>0</v>
      </c>
      <c r="BJ67" s="14">
        <f t="shared" si="119"/>
        <v>0</v>
      </c>
      <c r="BK67" s="14">
        <f t="shared" si="120"/>
        <v>0</v>
      </c>
      <c r="BL67" s="14">
        <f t="shared" si="121"/>
        <v>0</v>
      </c>
      <c r="BM67" s="14">
        <f t="shared" si="122"/>
        <v>0</v>
      </c>
    </row>
    <row r="68" spans="1:65" x14ac:dyDescent="0.25">
      <c r="A68" s="52" t="s">
        <v>198</v>
      </c>
      <c r="B68" s="59">
        <v>3056758.27</v>
      </c>
      <c r="C68">
        <v>3059610.95</v>
      </c>
      <c r="D68">
        <v>3062495</v>
      </c>
      <c r="E68">
        <v>3065380.64</v>
      </c>
      <c r="AH68" t="s">
        <v>198</v>
      </c>
      <c r="AI68" s="14">
        <f t="shared" si="92"/>
        <v>2852.6800000001676</v>
      </c>
      <c r="AJ68" s="14">
        <f t="shared" si="93"/>
        <v>2884.0499999998137</v>
      </c>
      <c r="AK68" s="14">
        <f t="shared" si="94"/>
        <v>2885.6400000001304</v>
      </c>
      <c r="AL68" s="14">
        <f t="shared" si="95"/>
        <v>-3065380.64</v>
      </c>
      <c r="AM68" s="14">
        <f t="shared" si="96"/>
        <v>0</v>
      </c>
      <c r="AN68" s="14">
        <f t="shared" si="97"/>
        <v>0</v>
      </c>
      <c r="AO68" s="14">
        <f t="shared" si="98"/>
        <v>0</v>
      </c>
      <c r="AP68" s="14">
        <f t="shared" si="99"/>
        <v>0</v>
      </c>
      <c r="AQ68" s="14">
        <f t="shared" si="100"/>
        <v>0</v>
      </c>
      <c r="AR68" s="14">
        <f t="shared" si="101"/>
        <v>0</v>
      </c>
      <c r="AS68" s="14">
        <f t="shared" si="102"/>
        <v>0</v>
      </c>
      <c r="AT68" s="14">
        <f t="shared" si="103"/>
        <v>0</v>
      </c>
      <c r="AU68" s="14">
        <f t="shared" si="104"/>
        <v>0</v>
      </c>
      <c r="AV68" s="14">
        <f t="shared" si="105"/>
        <v>0</v>
      </c>
      <c r="AW68" s="14">
        <f t="shared" si="106"/>
        <v>0</v>
      </c>
      <c r="AX68" s="14">
        <f t="shared" si="107"/>
        <v>0</v>
      </c>
      <c r="AY68" s="14">
        <f t="shared" si="108"/>
        <v>0</v>
      </c>
      <c r="AZ68" s="14">
        <f t="shared" si="109"/>
        <v>0</v>
      </c>
      <c r="BA68" s="14">
        <f t="shared" si="110"/>
        <v>0</v>
      </c>
      <c r="BB68" s="14">
        <f t="shared" si="111"/>
        <v>0</v>
      </c>
      <c r="BC68" s="14">
        <f t="shared" si="112"/>
        <v>0</v>
      </c>
      <c r="BD68" s="14">
        <f t="shared" si="113"/>
        <v>0</v>
      </c>
      <c r="BE68" s="14">
        <f t="shared" si="114"/>
        <v>0</v>
      </c>
      <c r="BF68" s="14">
        <f t="shared" si="115"/>
        <v>0</v>
      </c>
      <c r="BG68" s="14">
        <f t="shared" si="116"/>
        <v>0</v>
      </c>
      <c r="BH68" s="14">
        <f t="shared" si="117"/>
        <v>0</v>
      </c>
      <c r="BI68" s="14">
        <f t="shared" si="118"/>
        <v>0</v>
      </c>
      <c r="BJ68" s="14">
        <f t="shared" si="119"/>
        <v>0</v>
      </c>
      <c r="BK68" s="14">
        <f t="shared" si="120"/>
        <v>0</v>
      </c>
      <c r="BL68" s="14">
        <f t="shared" si="121"/>
        <v>0</v>
      </c>
      <c r="BM68" s="14">
        <f t="shared" si="122"/>
        <v>0</v>
      </c>
    </row>
    <row r="69" spans="1:65" x14ac:dyDescent="0.25">
      <c r="A69" s="52" t="s">
        <v>199</v>
      </c>
      <c r="B69" s="59">
        <v>1426088.23</v>
      </c>
      <c r="C69">
        <v>1426266.16</v>
      </c>
      <c r="D69">
        <v>1426437</v>
      </c>
      <c r="E69">
        <v>1426659.29</v>
      </c>
      <c r="AH69" t="s">
        <v>199</v>
      </c>
      <c r="AI69" s="14">
        <f t="shared" si="92"/>
        <v>177.92999999993481</v>
      </c>
      <c r="AJ69" s="14">
        <f t="shared" si="93"/>
        <v>170.84000000008382</v>
      </c>
      <c r="AK69" s="14">
        <f t="shared" si="94"/>
        <v>222.29000000003725</v>
      </c>
      <c r="AL69" s="14">
        <f t="shared" si="95"/>
        <v>-1426659.29</v>
      </c>
      <c r="AM69" s="14">
        <f t="shared" si="96"/>
        <v>0</v>
      </c>
      <c r="AN69" s="14">
        <f t="shared" si="97"/>
        <v>0</v>
      </c>
      <c r="AO69" s="14">
        <f t="shared" si="98"/>
        <v>0</v>
      </c>
      <c r="AP69" s="14">
        <f t="shared" si="99"/>
        <v>0</v>
      </c>
      <c r="AQ69" s="14">
        <f t="shared" si="100"/>
        <v>0</v>
      </c>
      <c r="AR69" s="14">
        <f t="shared" si="101"/>
        <v>0</v>
      </c>
      <c r="AS69" s="14">
        <f t="shared" si="102"/>
        <v>0</v>
      </c>
      <c r="AT69" s="14">
        <f t="shared" si="103"/>
        <v>0</v>
      </c>
      <c r="AU69" s="14">
        <f t="shared" si="104"/>
        <v>0</v>
      </c>
      <c r="AV69" s="14">
        <f t="shared" si="105"/>
        <v>0</v>
      </c>
      <c r="AW69" s="14">
        <f t="shared" si="106"/>
        <v>0</v>
      </c>
      <c r="AX69" s="14">
        <f t="shared" si="107"/>
        <v>0</v>
      </c>
      <c r="AY69" s="14">
        <f t="shared" si="108"/>
        <v>0</v>
      </c>
      <c r="AZ69" s="14">
        <f t="shared" si="109"/>
        <v>0</v>
      </c>
      <c r="BA69" s="14">
        <f t="shared" si="110"/>
        <v>0</v>
      </c>
      <c r="BB69" s="14">
        <f t="shared" si="111"/>
        <v>0</v>
      </c>
      <c r="BC69" s="14">
        <f t="shared" si="112"/>
        <v>0</v>
      </c>
      <c r="BD69" s="14">
        <f t="shared" si="113"/>
        <v>0</v>
      </c>
      <c r="BE69" s="14">
        <f t="shared" si="114"/>
        <v>0</v>
      </c>
      <c r="BF69" s="14">
        <f t="shared" si="115"/>
        <v>0</v>
      </c>
      <c r="BG69" s="14">
        <f t="shared" si="116"/>
        <v>0</v>
      </c>
      <c r="BH69" s="14">
        <f t="shared" si="117"/>
        <v>0</v>
      </c>
      <c r="BI69" s="14">
        <f t="shared" si="118"/>
        <v>0</v>
      </c>
      <c r="BJ69" s="14">
        <f t="shared" si="119"/>
        <v>0</v>
      </c>
      <c r="BK69" s="14">
        <f t="shared" si="120"/>
        <v>0</v>
      </c>
      <c r="BL69" s="14">
        <f t="shared" si="121"/>
        <v>0</v>
      </c>
      <c r="BM69" s="14">
        <f t="shared" si="122"/>
        <v>0</v>
      </c>
    </row>
    <row r="70" spans="1:65" x14ac:dyDescent="0.25">
      <c r="A70" s="52" t="s">
        <v>200</v>
      </c>
      <c r="B70" s="59">
        <v>4753538.0199999996</v>
      </c>
      <c r="C70">
        <v>4753533.13</v>
      </c>
      <c r="D70">
        <v>4753538</v>
      </c>
      <c r="E70">
        <v>475353358.35000002</v>
      </c>
      <c r="AH70" t="s">
        <v>200</v>
      </c>
      <c r="AI70" s="14">
        <f t="shared" si="92"/>
        <v>-4.8899999996647239</v>
      </c>
      <c r="AJ70" s="14">
        <f t="shared" si="93"/>
        <v>4.8700000001117587</v>
      </c>
      <c r="AK70" s="14">
        <f t="shared" si="94"/>
        <v>470599820.35000002</v>
      </c>
      <c r="AL70" s="14">
        <f t="shared" si="95"/>
        <v>-475353358.35000002</v>
      </c>
      <c r="AM70" s="14">
        <f t="shared" si="96"/>
        <v>0</v>
      </c>
      <c r="AN70" s="66">
        <f t="shared" si="97"/>
        <v>0</v>
      </c>
      <c r="AO70" s="14">
        <f t="shared" si="98"/>
        <v>0</v>
      </c>
      <c r="AP70" s="14">
        <f t="shared" si="99"/>
        <v>0</v>
      </c>
      <c r="AQ70" s="14">
        <f t="shared" si="100"/>
        <v>0</v>
      </c>
      <c r="AR70" s="14">
        <f t="shared" si="101"/>
        <v>0</v>
      </c>
      <c r="AS70" s="14">
        <f t="shared" si="102"/>
        <v>0</v>
      </c>
      <c r="AT70" s="14">
        <f t="shared" si="103"/>
        <v>0</v>
      </c>
      <c r="AU70" s="14">
        <f t="shared" si="104"/>
        <v>0</v>
      </c>
      <c r="AV70" s="14">
        <f t="shared" si="105"/>
        <v>0</v>
      </c>
      <c r="AW70" s="14">
        <f t="shared" si="106"/>
        <v>0</v>
      </c>
      <c r="AX70" s="14">
        <f t="shared" si="107"/>
        <v>0</v>
      </c>
      <c r="AY70" s="14">
        <f t="shared" si="108"/>
        <v>0</v>
      </c>
      <c r="AZ70" s="14">
        <f t="shared" si="109"/>
        <v>0</v>
      </c>
      <c r="BA70" s="14">
        <f t="shared" si="110"/>
        <v>0</v>
      </c>
      <c r="BB70" s="14">
        <f t="shared" si="111"/>
        <v>0</v>
      </c>
      <c r="BC70" s="14">
        <f t="shared" si="112"/>
        <v>0</v>
      </c>
      <c r="BD70" s="14">
        <f t="shared" si="113"/>
        <v>0</v>
      </c>
      <c r="BE70" s="14">
        <f t="shared" si="114"/>
        <v>0</v>
      </c>
      <c r="BF70" s="14">
        <f t="shared" si="115"/>
        <v>0</v>
      </c>
      <c r="BG70" s="14">
        <f t="shared" si="116"/>
        <v>0</v>
      </c>
      <c r="BH70" s="14">
        <f t="shared" si="117"/>
        <v>0</v>
      </c>
      <c r="BI70" s="14">
        <f t="shared" si="118"/>
        <v>0</v>
      </c>
      <c r="BJ70" s="14">
        <f t="shared" si="119"/>
        <v>0</v>
      </c>
      <c r="BK70" s="14">
        <f t="shared" si="120"/>
        <v>0</v>
      </c>
      <c r="BL70" s="14">
        <f t="shared" si="121"/>
        <v>0</v>
      </c>
      <c r="BM70" s="14">
        <f t="shared" si="122"/>
        <v>0</v>
      </c>
    </row>
    <row r="71" spans="1:65" x14ac:dyDescent="0.25">
      <c r="A71" s="52" t="s">
        <v>201</v>
      </c>
      <c r="B71" s="59">
        <v>504213.02</v>
      </c>
      <c r="C71">
        <v>506957.69</v>
      </c>
      <c r="D71">
        <v>509740</v>
      </c>
      <c r="E71">
        <v>512542.92</v>
      </c>
      <c r="AH71" t="s">
        <v>201</v>
      </c>
      <c r="AI71" s="14">
        <f t="shared" si="92"/>
        <v>2744.6699999999837</v>
      </c>
      <c r="AJ71" s="14">
        <f t="shared" si="93"/>
        <v>2782.3099999999977</v>
      </c>
      <c r="AK71" s="14">
        <f t="shared" si="94"/>
        <v>2802.9199999999837</v>
      </c>
      <c r="AL71" s="14">
        <f t="shared" si="95"/>
        <v>-512542.92</v>
      </c>
      <c r="AM71" s="14">
        <f t="shared" si="96"/>
        <v>0</v>
      </c>
      <c r="AN71" s="14">
        <f t="shared" si="97"/>
        <v>0</v>
      </c>
      <c r="AO71" s="14">
        <f t="shared" si="98"/>
        <v>0</v>
      </c>
      <c r="AP71" s="14">
        <f t="shared" si="99"/>
        <v>0</v>
      </c>
      <c r="AQ71" s="14">
        <f t="shared" si="100"/>
        <v>0</v>
      </c>
      <c r="AR71" s="14">
        <f t="shared" si="101"/>
        <v>0</v>
      </c>
      <c r="AS71" s="14">
        <f t="shared" si="102"/>
        <v>0</v>
      </c>
      <c r="AT71" s="14">
        <f t="shared" si="103"/>
        <v>0</v>
      </c>
      <c r="AU71" s="14">
        <f t="shared" si="104"/>
        <v>0</v>
      </c>
      <c r="AV71" s="14">
        <f t="shared" si="105"/>
        <v>0</v>
      </c>
      <c r="AW71" s="14">
        <f t="shared" si="106"/>
        <v>0</v>
      </c>
      <c r="AX71" s="14">
        <f t="shared" si="107"/>
        <v>0</v>
      </c>
      <c r="AY71" s="14">
        <f t="shared" si="108"/>
        <v>0</v>
      </c>
      <c r="AZ71" s="14">
        <f t="shared" si="109"/>
        <v>0</v>
      </c>
      <c r="BA71" s="14">
        <f t="shared" si="110"/>
        <v>0</v>
      </c>
      <c r="BB71" s="14">
        <f t="shared" si="111"/>
        <v>0</v>
      </c>
      <c r="BC71" s="14">
        <f t="shared" si="112"/>
        <v>0</v>
      </c>
      <c r="BD71" s="14">
        <f t="shared" si="113"/>
        <v>0</v>
      </c>
      <c r="BE71" s="14">
        <f t="shared" si="114"/>
        <v>0</v>
      </c>
      <c r="BF71" s="14">
        <f t="shared" si="115"/>
        <v>0</v>
      </c>
      <c r="BG71" s="14">
        <f t="shared" si="116"/>
        <v>0</v>
      </c>
      <c r="BH71" s="14">
        <f t="shared" si="117"/>
        <v>0</v>
      </c>
      <c r="BI71" s="14">
        <f t="shared" si="118"/>
        <v>0</v>
      </c>
      <c r="BJ71" s="14">
        <f t="shared" si="119"/>
        <v>0</v>
      </c>
      <c r="BK71" s="14">
        <f t="shared" si="120"/>
        <v>0</v>
      </c>
      <c r="BL71" s="14">
        <f t="shared" si="121"/>
        <v>0</v>
      </c>
      <c r="BM71" s="14">
        <f t="shared" si="122"/>
        <v>0</v>
      </c>
    </row>
    <row r="72" spans="1:65" x14ac:dyDescent="0.25">
      <c r="A72" s="52" t="s">
        <v>173</v>
      </c>
      <c r="B72" s="59">
        <v>47941.93</v>
      </c>
      <c r="C72">
        <v>47947.4</v>
      </c>
      <c r="D72">
        <v>47953</v>
      </c>
      <c r="E72">
        <v>47958.93</v>
      </c>
      <c r="AH72" t="s">
        <v>173</v>
      </c>
      <c r="AI72" s="14">
        <f t="shared" si="92"/>
        <v>5.4700000000011642</v>
      </c>
      <c r="AJ72" s="14">
        <f t="shared" si="93"/>
        <v>5.5999999999985448</v>
      </c>
      <c r="AK72" s="14">
        <f t="shared" si="94"/>
        <v>5.930000000000291</v>
      </c>
      <c r="AL72" s="14">
        <f t="shared" si="95"/>
        <v>-47958.93</v>
      </c>
      <c r="AM72" s="14">
        <f t="shared" si="96"/>
        <v>0</v>
      </c>
      <c r="AN72" s="14">
        <f t="shared" si="97"/>
        <v>0</v>
      </c>
      <c r="AO72" s="14">
        <f t="shared" si="98"/>
        <v>0</v>
      </c>
      <c r="AP72" s="14">
        <f t="shared" si="99"/>
        <v>0</v>
      </c>
      <c r="AQ72" s="14">
        <f t="shared" si="100"/>
        <v>0</v>
      </c>
      <c r="AR72" s="14">
        <f t="shared" si="101"/>
        <v>0</v>
      </c>
      <c r="AS72" s="14">
        <f t="shared" si="102"/>
        <v>0</v>
      </c>
      <c r="AT72" s="14">
        <f t="shared" si="103"/>
        <v>0</v>
      </c>
      <c r="AU72" s="14">
        <f t="shared" si="104"/>
        <v>0</v>
      </c>
      <c r="AV72" s="14">
        <f t="shared" si="105"/>
        <v>0</v>
      </c>
      <c r="AW72" s="14">
        <f t="shared" si="106"/>
        <v>0</v>
      </c>
      <c r="AX72" s="14">
        <f t="shared" si="107"/>
        <v>0</v>
      </c>
      <c r="AY72" s="14">
        <f t="shared" si="108"/>
        <v>0</v>
      </c>
      <c r="AZ72" s="14">
        <f t="shared" si="109"/>
        <v>0</v>
      </c>
      <c r="BA72" s="14">
        <f t="shared" si="110"/>
        <v>0</v>
      </c>
      <c r="BB72" s="14">
        <f t="shared" si="111"/>
        <v>0</v>
      </c>
      <c r="BC72" s="14">
        <f t="shared" si="112"/>
        <v>0</v>
      </c>
      <c r="BD72" s="14">
        <f t="shared" si="113"/>
        <v>0</v>
      </c>
      <c r="BE72" s="14">
        <f t="shared" si="114"/>
        <v>0</v>
      </c>
      <c r="BF72" s="14">
        <f t="shared" si="115"/>
        <v>0</v>
      </c>
      <c r="BG72" s="14">
        <f t="shared" si="116"/>
        <v>0</v>
      </c>
      <c r="BH72" s="14">
        <f t="shared" si="117"/>
        <v>0</v>
      </c>
      <c r="BI72" s="14">
        <f t="shared" si="118"/>
        <v>0</v>
      </c>
      <c r="BJ72" s="14">
        <f t="shared" si="119"/>
        <v>0</v>
      </c>
      <c r="BK72" s="14">
        <f t="shared" si="120"/>
        <v>0</v>
      </c>
      <c r="BL72" s="14">
        <f t="shared" si="121"/>
        <v>0</v>
      </c>
      <c r="BM72" s="14">
        <f t="shared" si="122"/>
        <v>0</v>
      </c>
    </row>
    <row r="73" spans="1:65" x14ac:dyDescent="0.25">
      <c r="A73" s="52" t="s">
        <v>164</v>
      </c>
      <c r="B73" s="59">
        <v>1204353.47</v>
      </c>
      <c r="C73">
        <v>1204543.75</v>
      </c>
      <c r="D73">
        <v>1204733</v>
      </c>
      <c r="E73">
        <v>1204934.74</v>
      </c>
      <c r="AH73" t="s">
        <v>164</v>
      </c>
      <c r="AI73" s="14">
        <f t="shared" si="92"/>
        <v>190.28000000002794</v>
      </c>
      <c r="AJ73" s="14">
        <f t="shared" si="93"/>
        <v>189.25</v>
      </c>
      <c r="AK73" s="14">
        <f t="shared" si="94"/>
        <v>201.73999999999069</v>
      </c>
      <c r="AL73" s="14">
        <f t="shared" si="95"/>
        <v>-1204934.74</v>
      </c>
      <c r="AM73" s="14">
        <f t="shared" si="96"/>
        <v>0</v>
      </c>
      <c r="AN73" s="14">
        <f t="shared" si="97"/>
        <v>0</v>
      </c>
      <c r="AO73" s="14">
        <f t="shared" si="98"/>
        <v>0</v>
      </c>
      <c r="AP73" s="14">
        <f t="shared" si="99"/>
        <v>0</v>
      </c>
      <c r="AQ73" s="14">
        <f t="shared" si="100"/>
        <v>0</v>
      </c>
      <c r="AR73" s="14">
        <f t="shared" si="101"/>
        <v>0</v>
      </c>
      <c r="AS73" s="14">
        <f t="shared" si="102"/>
        <v>0</v>
      </c>
      <c r="AT73" s="14">
        <f t="shared" si="103"/>
        <v>0</v>
      </c>
      <c r="AU73" s="14">
        <f t="shared" si="104"/>
        <v>0</v>
      </c>
      <c r="AV73" s="14">
        <f t="shared" si="105"/>
        <v>0</v>
      </c>
      <c r="AW73" s="14">
        <f t="shared" si="106"/>
        <v>0</v>
      </c>
      <c r="AX73" s="14">
        <f t="shared" si="107"/>
        <v>0</v>
      </c>
      <c r="AY73" s="14">
        <f t="shared" si="108"/>
        <v>0</v>
      </c>
      <c r="AZ73" s="14">
        <f t="shared" si="109"/>
        <v>0</v>
      </c>
      <c r="BA73" s="14">
        <f t="shared" si="110"/>
        <v>0</v>
      </c>
      <c r="BB73" s="14">
        <f t="shared" si="111"/>
        <v>0</v>
      </c>
      <c r="BC73" s="14">
        <f t="shared" si="112"/>
        <v>0</v>
      </c>
      <c r="BD73" s="14">
        <f t="shared" si="113"/>
        <v>0</v>
      </c>
      <c r="BE73" s="14">
        <f t="shared" si="114"/>
        <v>0</v>
      </c>
      <c r="BF73" s="14">
        <f t="shared" si="115"/>
        <v>0</v>
      </c>
      <c r="BG73" s="14">
        <f t="shared" si="116"/>
        <v>0</v>
      </c>
      <c r="BH73" s="14">
        <f t="shared" si="117"/>
        <v>0</v>
      </c>
      <c r="BI73" s="14">
        <f t="shared" si="118"/>
        <v>0</v>
      </c>
      <c r="BJ73" s="14">
        <f t="shared" si="119"/>
        <v>0</v>
      </c>
      <c r="BK73" s="14">
        <f t="shared" si="120"/>
        <v>0</v>
      </c>
      <c r="BL73" s="14">
        <f t="shared" si="121"/>
        <v>0</v>
      </c>
      <c r="BM73" s="14">
        <f t="shared" si="122"/>
        <v>0</v>
      </c>
    </row>
    <row r="74" spans="1:65" x14ac:dyDescent="0.25">
      <c r="A74" s="52"/>
      <c r="B74" s="59">
        <v>0</v>
      </c>
      <c r="AI74" s="14">
        <f t="shared" si="92"/>
        <v>0</v>
      </c>
      <c r="AJ74" s="14">
        <f t="shared" si="93"/>
        <v>0</v>
      </c>
      <c r="AK74" s="14">
        <f t="shared" si="94"/>
        <v>0</v>
      </c>
      <c r="AL74" s="14">
        <f t="shared" si="95"/>
        <v>0</v>
      </c>
      <c r="AM74" s="14">
        <f t="shared" si="96"/>
        <v>0</v>
      </c>
      <c r="AN74" s="14">
        <f t="shared" si="97"/>
        <v>0</v>
      </c>
      <c r="AO74" s="14">
        <f t="shared" si="98"/>
        <v>0</v>
      </c>
      <c r="AP74" s="14">
        <f t="shared" si="99"/>
        <v>0</v>
      </c>
      <c r="AQ74" s="14">
        <f t="shared" si="100"/>
        <v>0</v>
      </c>
      <c r="AR74" s="14">
        <f t="shared" si="101"/>
        <v>0</v>
      </c>
      <c r="AS74" s="14">
        <f t="shared" si="102"/>
        <v>0</v>
      </c>
      <c r="AT74" s="14">
        <f t="shared" si="103"/>
        <v>0</v>
      </c>
      <c r="AU74" s="14">
        <f t="shared" si="104"/>
        <v>0</v>
      </c>
      <c r="AV74" s="14">
        <f t="shared" si="105"/>
        <v>0</v>
      </c>
      <c r="AW74" s="14">
        <f t="shared" si="106"/>
        <v>0</v>
      </c>
      <c r="AX74" s="14">
        <f t="shared" si="107"/>
        <v>0</v>
      </c>
      <c r="AY74" s="14">
        <f t="shared" si="108"/>
        <v>0</v>
      </c>
      <c r="AZ74" s="14">
        <f t="shared" si="109"/>
        <v>0</v>
      </c>
      <c r="BA74" s="14">
        <f t="shared" si="110"/>
        <v>0</v>
      </c>
      <c r="BB74" s="14">
        <f t="shared" si="111"/>
        <v>0</v>
      </c>
      <c r="BC74" s="14">
        <f t="shared" si="112"/>
        <v>0</v>
      </c>
      <c r="BD74" s="14">
        <f t="shared" si="113"/>
        <v>0</v>
      </c>
      <c r="BE74" s="14">
        <f t="shared" si="114"/>
        <v>0</v>
      </c>
      <c r="BF74" s="14">
        <f t="shared" si="115"/>
        <v>0</v>
      </c>
      <c r="BG74" s="14">
        <f t="shared" si="116"/>
        <v>0</v>
      </c>
      <c r="BH74" s="14">
        <f t="shared" si="117"/>
        <v>0</v>
      </c>
      <c r="BI74" s="14">
        <f t="shared" si="118"/>
        <v>0</v>
      </c>
      <c r="BJ74" s="14">
        <f t="shared" si="119"/>
        <v>0</v>
      </c>
      <c r="BK74" s="14">
        <f t="shared" si="120"/>
        <v>0</v>
      </c>
      <c r="BL74" s="14">
        <f t="shared" si="121"/>
        <v>0</v>
      </c>
      <c r="BM74" s="14">
        <f>(AG74-AF74)*1000</f>
        <v>0</v>
      </c>
    </row>
    <row r="75" spans="1:65" x14ac:dyDescent="0.25">
      <c r="A75" s="52" t="s">
        <v>202</v>
      </c>
      <c r="B75" s="59">
        <v>7434652.8099999996</v>
      </c>
      <c r="C75">
        <v>7436794.8300000001</v>
      </c>
      <c r="D75">
        <v>7439533</v>
      </c>
      <c r="E75">
        <v>7442373.8600000003</v>
      </c>
      <c r="AH75" t="s">
        <v>202</v>
      </c>
      <c r="AI75" s="14">
        <f t="shared" si="92"/>
        <v>2142.0200000004843</v>
      </c>
      <c r="AJ75" s="14">
        <f t="shared" si="93"/>
        <v>2738.1699999999255</v>
      </c>
      <c r="AK75" s="14">
        <f t="shared" si="94"/>
        <v>2840.8600000003353</v>
      </c>
      <c r="AL75" s="14">
        <f t="shared" si="95"/>
        <v>-7442373.8600000003</v>
      </c>
      <c r="AM75" s="14">
        <f t="shared" si="96"/>
        <v>0</v>
      </c>
      <c r="AN75" s="14">
        <f t="shared" si="97"/>
        <v>0</v>
      </c>
      <c r="AO75" s="14">
        <f t="shared" si="98"/>
        <v>0</v>
      </c>
      <c r="AP75" s="14">
        <f t="shared" si="99"/>
        <v>0</v>
      </c>
      <c r="AQ75" s="14">
        <f t="shared" si="100"/>
        <v>0</v>
      </c>
      <c r="AR75" s="14">
        <f t="shared" si="101"/>
        <v>0</v>
      </c>
      <c r="AS75" s="14">
        <f t="shared" si="102"/>
        <v>0</v>
      </c>
      <c r="AT75" s="14">
        <f t="shared" si="103"/>
        <v>0</v>
      </c>
      <c r="AU75" s="14">
        <f t="shared" si="104"/>
        <v>0</v>
      </c>
      <c r="AV75" s="14">
        <f t="shared" si="105"/>
        <v>0</v>
      </c>
      <c r="AW75" s="14">
        <f t="shared" si="106"/>
        <v>0</v>
      </c>
      <c r="AX75" s="14">
        <f t="shared" si="107"/>
        <v>0</v>
      </c>
      <c r="AY75" s="14">
        <f t="shared" si="108"/>
        <v>0</v>
      </c>
      <c r="AZ75" s="14">
        <f t="shared" si="109"/>
        <v>0</v>
      </c>
      <c r="BA75" s="14">
        <f t="shared" si="110"/>
        <v>0</v>
      </c>
      <c r="BB75" s="14">
        <f t="shared" si="111"/>
        <v>0</v>
      </c>
      <c r="BC75" s="14">
        <f t="shared" si="112"/>
        <v>0</v>
      </c>
      <c r="BD75" s="14">
        <f t="shared" si="113"/>
        <v>0</v>
      </c>
      <c r="BE75" s="14">
        <f t="shared" si="114"/>
        <v>0</v>
      </c>
      <c r="BF75" s="14">
        <f t="shared" si="115"/>
        <v>0</v>
      </c>
      <c r="BG75" s="14">
        <f t="shared" si="116"/>
        <v>0</v>
      </c>
      <c r="BH75" s="14">
        <f t="shared" si="117"/>
        <v>0</v>
      </c>
      <c r="BI75" s="14">
        <f t="shared" si="118"/>
        <v>0</v>
      </c>
      <c r="BJ75" s="14">
        <f t="shared" si="119"/>
        <v>0</v>
      </c>
      <c r="BK75" s="14">
        <f t="shared" si="120"/>
        <v>0</v>
      </c>
      <c r="BL75" s="14">
        <f t="shared" si="121"/>
        <v>0</v>
      </c>
      <c r="BM75" s="14">
        <f>(AG75-AF75)*1000</f>
        <v>0</v>
      </c>
    </row>
    <row r="76" spans="1:65" x14ac:dyDescent="0.25">
      <c r="A76" s="52" t="s">
        <v>16</v>
      </c>
      <c r="B76" s="59">
        <v>6948154.7400000002</v>
      </c>
      <c r="C76">
        <v>6950221.6500000004</v>
      </c>
      <c r="D76">
        <v>6952895</v>
      </c>
      <c r="E76">
        <v>6955659.5800000001</v>
      </c>
      <c r="AH76" t="s">
        <v>16</v>
      </c>
      <c r="AI76" s="14">
        <f t="shared" si="92"/>
        <v>2066.910000000149</v>
      </c>
      <c r="AJ76" s="14">
        <f t="shared" si="93"/>
        <v>2673.3499999996275</v>
      </c>
      <c r="AK76" s="14">
        <f t="shared" si="94"/>
        <v>2764.5800000000745</v>
      </c>
      <c r="AL76" s="14">
        <f t="shared" si="95"/>
        <v>-6955659.5800000001</v>
      </c>
      <c r="AM76" s="14">
        <f t="shared" si="96"/>
        <v>0</v>
      </c>
      <c r="AN76" s="14">
        <f t="shared" si="97"/>
        <v>0</v>
      </c>
      <c r="AO76" s="14">
        <f t="shared" si="98"/>
        <v>0</v>
      </c>
      <c r="AP76" s="14">
        <f t="shared" si="99"/>
        <v>0</v>
      </c>
      <c r="AQ76" s="14">
        <f t="shared" si="100"/>
        <v>0</v>
      </c>
      <c r="AR76" s="14">
        <f t="shared" si="101"/>
        <v>0</v>
      </c>
      <c r="AS76" s="14">
        <f t="shared" si="102"/>
        <v>0</v>
      </c>
      <c r="AT76" s="14">
        <f t="shared" si="103"/>
        <v>0</v>
      </c>
      <c r="AU76" s="14">
        <f t="shared" si="104"/>
        <v>0</v>
      </c>
      <c r="AV76" s="14">
        <f t="shared" si="105"/>
        <v>0</v>
      </c>
      <c r="AW76" s="14">
        <f t="shared" si="106"/>
        <v>0</v>
      </c>
      <c r="AX76" s="14">
        <f t="shared" si="107"/>
        <v>0</v>
      </c>
      <c r="AY76" s="14">
        <f t="shared" si="108"/>
        <v>0</v>
      </c>
      <c r="AZ76" s="14">
        <f t="shared" si="109"/>
        <v>0</v>
      </c>
      <c r="BA76" s="14">
        <f t="shared" si="110"/>
        <v>0</v>
      </c>
      <c r="BB76" s="14">
        <f t="shared" si="111"/>
        <v>0</v>
      </c>
      <c r="BC76" s="14">
        <f t="shared" si="112"/>
        <v>0</v>
      </c>
      <c r="BD76" s="14">
        <f t="shared" si="113"/>
        <v>0</v>
      </c>
      <c r="BE76" s="14">
        <f t="shared" si="114"/>
        <v>0</v>
      </c>
      <c r="BF76" s="14">
        <f t="shared" si="115"/>
        <v>0</v>
      </c>
      <c r="BG76" s="14">
        <f t="shared" si="116"/>
        <v>0</v>
      </c>
      <c r="BH76" s="14">
        <f t="shared" si="117"/>
        <v>0</v>
      </c>
      <c r="BI76" s="14">
        <f t="shared" si="118"/>
        <v>0</v>
      </c>
      <c r="BJ76" s="14">
        <f t="shared" si="119"/>
        <v>0</v>
      </c>
      <c r="BK76" s="14">
        <f t="shared" si="120"/>
        <v>0</v>
      </c>
      <c r="BL76" s="14">
        <f>AF76-AF76</f>
        <v>0</v>
      </c>
      <c r="BM76" s="14">
        <f>(AG76-AF76)</f>
        <v>0</v>
      </c>
    </row>
    <row r="77" spans="1:65" x14ac:dyDescent="0.25">
      <c r="A77" s="52" t="s">
        <v>135</v>
      </c>
      <c r="B77" s="59">
        <v>324056.96000000002</v>
      </c>
      <c r="C77">
        <v>324131.19</v>
      </c>
      <c r="D77">
        <v>324195</v>
      </c>
      <c r="E77">
        <v>324272.03999999998</v>
      </c>
      <c r="AH77" t="s">
        <v>135</v>
      </c>
      <c r="AI77" s="14">
        <f t="shared" si="92"/>
        <v>74.229999999981374</v>
      </c>
      <c r="AJ77" s="14">
        <f t="shared" si="93"/>
        <v>63.809999999997672</v>
      </c>
      <c r="AK77" s="14">
        <f t="shared" si="94"/>
        <v>77.039999999979045</v>
      </c>
      <c r="AL77" s="14">
        <f t="shared" si="95"/>
        <v>-324272.03999999998</v>
      </c>
      <c r="AM77" s="14">
        <f t="shared" si="96"/>
        <v>0</v>
      </c>
      <c r="AN77" s="14">
        <f t="shared" si="97"/>
        <v>0</v>
      </c>
      <c r="AO77" s="14">
        <f t="shared" si="98"/>
        <v>0</v>
      </c>
      <c r="AP77" s="14">
        <f t="shared" si="99"/>
        <v>0</v>
      </c>
      <c r="AQ77" s="14">
        <f t="shared" si="100"/>
        <v>0</v>
      </c>
      <c r="AR77" s="14">
        <f t="shared" si="101"/>
        <v>0</v>
      </c>
      <c r="AS77" s="14">
        <f t="shared" si="102"/>
        <v>0</v>
      </c>
      <c r="AT77" s="14">
        <f t="shared" si="103"/>
        <v>0</v>
      </c>
      <c r="AU77" s="14">
        <f t="shared" si="104"/>
        <v>0</v>
      </c>
      <c r="AV77" s="14">
        <f t="shared" si="105"/>
        <v>0</v>
      </c>
      <c r="AW77" s="14">
        <f t="shared" si="106"/>
        <v>0</v>
      </c>
      <c r="AX77" s="14">
        <f t="shared" si="107"/>
        <v>0</v>
      </c>
      <c r="AY77" s="14">
        <f t="shared" si="108"/>
        <v>0</v>
      </c>
      <c r="AZ77" s="14">
        <f t="shared" si="109"/>
        <v>0</v>
      </c>
      <c r="BA77" s="14">
        <f t="shared" si="110"/>
        <v>0</v>
      </c>
      <c r="BB77" s="14">
        <f t="shared" si="111"/>
        <v>0</v>
      </c>
      <c r="BC77" s="14">
        <f t="shared" si="112"/>
        <v>0</v>
      </c>
      <c r="BD77" s="14">
        <f t="shared" si="113"/>
        <v>0</v>
      </c>
      <c r="BE77" s="14">
        <f t="shared" si="114"/>
        <v>0</v>
      </c>
      <c r="BF77" s="14">
        <f t="shared" si="115"/>
        <v>0</v>
      </c>
      <c r="BG77" s="14">
        <f t="shared" si="116"/>
        <v>0</v>
      </c>
      <c r="BH77" s="14">
        <f t="shared" si="117"/>
        <v>0</v>
      </c>
      <c r="BI77" s="14">
        <f t="shared" si="118"/>
        <v>0</v>
      </c>
      <c r="BJ77" s="14">
        <f t="shared" si="119"/>
        <v>0</v>
      </c>
      <c r="BK77" s="14">
        <f t="shared" si="120"/>
        <v>0</v>
      </c>
      <c r="BL77" s="14">
        <f t="shared" ref="BL77:BL83" si="123">AF77-AE77</f>
        <v>0</v>
      </c>
      <c r="BM77" s="14">
        <f>(AG77-AF77)</f>
        <v>0</v>
      </c>
    </row>
    <row r="78" spans="1:65" x14ac:dyDescent="0.25">
      <c r="A78" s="52" t="s">
        <v>197</v>
      </c>
      <c r="B78" s="59">
        <v>15754817.359999999</v>
      </c>
      <c r="C78">
        <v>15759489.58</v>
      </c>
      <c r="D78">
        <v>15764310</v>
      </c>
      <c r="E78">
        <v>15769397.869999999</v>
      </c>
      <c r="AH78" t="s">
        <v>197</v>
      </c>
      <c r="AI78" s="14">
        <f t="shared" si="92"/>
        <v>4672.2200000006706</v>
      </c>
      <c r="AJ78" s="14">
        <f t="shared" si="93"/>
        <v>4820.4199999999255</v>
      </c>
      <c r="AK78" s="14">
        <f t="shared" si="94"/>
        <v>5087.8699999991804</v>
      </c>
      <c r="AL78" s="14">
        <f t="shared" si="95"/>
        <v>-15769397.869999999</v>
      </c>
      <c r="AM78" s="14">
        <f t="shared" si="96"/>
        <v>0</v>
      </c>
      <c r="AN78" s="14">
        <f t="shared" si="97"/>
        <v>0</v>
      </c>
      <c r="AO78" s="14">
        <f t="shared" si="98"/>
        <v>0</v>
      </c>
      <c r="AP78" s="14">
        <f t="shared" si="99"/>
        <v>0</v>
      </c>
      <c r="AQ78" s="14">
        <f t="shared" si="100"/>
        <v>0</v>
      </c>
      <c r="AR78" s="14">
        <f t="shared" si="101"/>
        <v>0</v>
      </c>
      <c r="AS78" s="14">
        <f t="shared" si="102"/>
        <v>0</v>
      </c>
      <c r="AT78" s="14">
        <f t="shared" si="103"/>
        <v>0</v>
      </c>
      <c r="AU78" s="14">
        <f t="shared" si="104"/>
        <v>0</v>
      </c>
      <c r="AV78" s="14">
        <f t="shared" si="105"/>
        <v>0</v>
      </c>
      <c r="AW78" s="14">
        <f t="shared" si="106"/>
        <v>0</v>
      </c>
      <c r="AX78" s="14">
        <f t="shared" si="107"/>
        <v>0</v>
      </c>
      <c r="AY78" s="14">
        <f t="shared" si="108"/>
        <v>0</v>
      </c>
      <c r="AZ78" s="14">
        <f t="shared" si="109"/>
        <v>0</v>
      </c>
      <c r="BA78" s="14">
        <f t="shared" si="110"/>
        <v>0</v>
      </c>
      <c r="BB78" s="14">
        <f t="shared" si="111"/>
        <v>0</v>
      </c>
      <c r="BC78" s="14">
        <f t="shared" si="112"/>
        <v>0</v>
      </c>
      <c r="BD78" s="14">
        <f t="shared" si="113"/>
        <v>0</v>
      </c>
      <c r="BE78" s="14">
        <f t="shared" si="114"/>
        <v>0</v>
      </c>
      <c r="BF78" s="14">
        <f t="shared" si="115"/>
        <v>0</v>
      </c>
      <c r="BG78" s="14">
        <f t="shared" si="116"/>
        <v>0</v>
      </c>
      <c r="BH78" s="14">
        <f t="shared" si="117"/>
        <v>0</v>
      </c>
      <c r="BI78" s="14">
        <f t="shared" si="118"/>
        <v>0</v>
      </c>
      <c r="BJ78" s="14">
        <f t="shared" si="119"/>
        <v>0</v>
      </c>
      <c r="BK78" s="14">
        <f t="shared" si="120"/>
        <v>0</v>
      </c>
      <c r="BL78" s="14">
        <f t="shared" si="123"/>
        <v>0</v>
      </c>
      <c r="BM78" s="14">
        <f>(AG78-AF78)</f>
        <v>0</v>
      </c>
    </row>
    <row r="79" spans="1:65" x14ac:dyDescent="0.25">
      <c r="A79" s="52" t="s">
        <v>16</v>
      </c>
      <c r="B79" s="59">
        <v>6977937.5800000001</v>
      </c>
      <c r="C79">
        <v>6979981.6799999997</v>
      </c>
      <c r="D79">
        <v>6982625</v>
      </c>
      <c r="E79">
        <v>6985359.0300000003</v>
      </c>
      <c r="AH79" t="s">
        <v>16</v>
      </c>
      <c r="AI79" s="14">
        <f t="shared" si="92"/>
        <v>2044.0999999996275</v>
      </c>
      <c r="AJ79" s="14">
        <f t="shared" si="93"/>
        <v>2643.320000000298</v>
      </c>
      <c r="AK79" s="14">
        <f t="shared" si="94"/>
        <v>2734.0300000002608</v>
      </c>
      <c r="AL79" s="14">
        <f t="shared" si="95"/>
        <v>-6985359.0300000003</v>
      </c>
      <c r="AM79" s="14">
        <f t="shared" si="96"/>
        <v>0</v>
      </c>
      <c r="AN79" s="14">
        <f t="shared" si="97"/>
        <v>0</v>
      </c>
      <c r="AO79" s="14">
        <f t="shared" si="98"/>
        <v>0</v>
      </c>
      <c r="AP79" s="14">
        <f t="shared" si="99"/>
        <v>0</v>
      </c>
      <c r="AQ79" s="14">
        <f t="shared" si="100"/>
        <v>0</v>
      </c>
      <c r="AR79" s="14">
        <f t="shared" si="101"/>
        <v>0</v>
      </c>
      <c r="AS79" s="14">
        <f t="shared" si="102"/>
        <v>0</v>
      </c>
      <c r="AT79" s="14">
        <f t="shared" si="103"/>
        <v>0</v>
      </c>
      <c r="AU79" s="14">
        <f t="shared" si="104"/>
        <v>0</v>
      </c>
      <c r="AV79" s="14">
        <f t="shared" si="105"/>
        <v>0</v>
      </c>
      <c r="AW79" s="14">
        <f t="shared" si="106"/>
        <v>0</v>
      </c>
      <c r="AX79" s="14">
        <f t="shared" si="107"/>
        <v>0</v>
      </c>
      <c r="AY79" s="14">
        <f t="shared" si="108"/>
        <v>0</v>
      </c>
      <c r="AZ79" s="14">
        <f t="shared" si="109"/>
        <v>0</v>
      </c>
      <c r="BA79" s="14">
        <f t="shared" si="110"/>
        <v>0</v>
      </c>
      <c r="BB79" s="14">
        <f t="shared" si="111"/>
        <v>0</v>
      </c>
      <c r="BC79" s="14">
        <f t="shared" si="112"/>
        <v>0</v>
      </c>
      <c r="BD79" s="14">
        <f t="shared" si="113"/>
        <v>0</v>
      </c>
      <c r="BE79" s="14">
        <f t="shared" si="114"/>
        <v>0</v>
      </c>
      <c r="BF79" s="14">
        <f t="shared" si="115"/>
        <v>0</v>
      </c>
      <c r="BG79" s="14">
        <f t="shared" si="116"/>
        <v>0</v>
      </c>
      <c r="BH79" s="14">
        <f t="shared" si="117"/>
        <v>0</v>
      </c>
      <c r="BI79" s="14">
        <f t="shared" si="118"/>
        <v>0</v>
      </c>
      <c r="BJ79" s="14">
        <f t="shared" si="119"/>
        <v>0</v>
      </c>
      <c r="BK79" s="14">
        <f t="shared" si="120"/>
        <v>0</v>
      </c>
      <c r="BL79" s="14">
        <f t="shared" si="123"/>
        <v>0</v>
      </c>
      <c r="BM79" s="14">
        <f>(AG79-AF79)</f>
        <v>0</v>
      </c>
    </row>
    <row r="80" spans="1:65" x14ac:dyDescent="0.25">
      <c r="A80" s="52"/>
      <c r="B80" s="59">
        <v>0</v>
      </c>
      <c r="AI80" s="14">
        <f t="shared" si="92"/>
        <v>0</v>
      </c>
      <c r="AJ80" s="14">
        <f t="shared" si="93"/>
        <v>0</v>
      </c>
      <c r="AK80" s="14">
        <f t="shared" si="94"/>
        <v>0</v>
      </c>
      <c r="AL80" s="14">
        <f t="shared" si="95"/>
        <v>0</v>
      </c>
      <c r="AM80" s="14">
        <f t="shared" si="96"/>
        <v>0</v>
      </c>
      <c r="AN80" s="14">
        <f t="shared" si="97"/>
        <v>0</v>
      </c>
      <c r="AO80" s="14">
        <f t="shared" si="98"/>
        <v>0</v>
      </c>
      <c r="AP80" s="14">
        <f t="shared" si="99"/>
        <v>0</v>
      </c>
      <c r="AQ80" s="14">
        <f t="shared" si="100"/>
        <v>0</v>
      </c>
      <c r="AR80" s="14">
        <f t="shared" si="101"/>
        <v>0</v>
      </c>
      <c r="AS80" s="14">
        <f t="shared" si="102"/>
        <v>0</v>
      </c>
      <c r="AT80" s="14">
        <f t="shared" si="103"/>
        <v>0</v>
      </c>
      <c r="AU80" s="14">
        <f t="shared" si="104"/>
        <v>0</v>
      </c>
      <c r="AV80" s="14">
        <f t="shared" si="105"/>
        <v>0</v>
      </c>
      <c r="AW80" s="14">
        <f t="shared" si="106"/>
        <v>0</v>
      </c>
      <c r="AX80" s="14">
        <f t="shared" si="107"/>
        <v>0</v>
      </c>
      <c r="AY80" s="14">
        <f t="shared" si="108"/>
        <v>0</v>
      </c>
      <c r="AZ80" s="14">
        <f t="shared" si="109"/>
        <v>0</v>
      </c>
      <c r="BA80" s="14">
        <f t="shared" si="110"/>
        <v>0</v>
      </c>
      <c r="BB80" s="14">
        <f t="shared" si="111"/>
        <v>0</v>
      </c>
      <c r="BC80" s="14">
        <f t="shared" si="112"/>
        <v>0</v>
      </c>
      <c r="BD80" s="14">
        <f t="shared" si="113"/>
        <v>0</v>
      </c>
      <c r="BE80" s="14">
        <f t="shared" si="114"/>
        <v>0</v>
      </c>
      <c r="BF80" s="14">
        <f t="shared" si="115"/>
        <v>0</v>
      </c>
      <c r="BG80" s="14">
        <f t="shared" si="116"/>
        <v>0</v>
      </c>
      <c r="BH80" s="14">
        <f t="shared" si="117"/>
        <v>0</v>
      </c>
      <c r="BI80" s="14">
        <f t="shared" si="118"/>
        <v>0</v>
      </c>
      <c r="BJ80" s="14">
        <f t="shared" si="119"/>
        <v>0</v>
      </c>
      <c r="BK80" s="14">
        <f t="shared" si="120"/>
        <v>0</v>
      </c>
      <c r="BL80" s="14">
        <f t="shared" si="123"/>
        <v>0</v>
      </c>
      <c r="BM80" s="14">
        <f>(AG80-AF80)*1000</f>
        <v>0</v>
      </c>
    </row>
    <row r="81" spans="1:65" x14ac:dyDescent="0.25">
      <c r="A81" s="52" t="s">
        <v>203</v>
      </c>
      <c r="B81" s="59">
        <v>19233688.199999999</v>
      </c>
      <c r="C81">
        <v>19240673.43</v>
      </c>
      <c r="D81">
        <v>19248032.550000001</v>
      </c>
      <c r="E81">
        <v>19255590.09</v>
      </c>
      <c r="AH81" t="s">
        <v>203</v>
      </c>
      <c r="AI81" s="14">
        <f t="shared" si="92"/>
        <v>6985.230000000447</v>
      </c>
      <c r="AJ81" s="14">
        <f t="shared" si="93"/>
        <v>7359.1200000010431</v>
      </c>
      <c r="AK81" s="14">
        <f t="shared" si="94"/>
        <v>7557.5399999991059</v>
      </c>
      <c r="AL81" s="14">
        <f t="shared" si="95"/>
        <v>-19255590.09</v>
      </c>
      <c r="AM81" s="14">
        <f t="shared" si="96"/>
        <v>0</v>
      </c>
      <c r="AN81" s="14">
        <f t="shared" si="97"/>
        <v>0</v>
      </c>
      <c r="AO81" s="14">
        <f t="shared" si="98"/>
        <v>0</v>
      </c>
      <c r="AP81" s="14">
        <f t="shared" si="99"/>
        <v>0</v>
      </c>
      <c r="AQ81" s="14">
        <f t="shared" si="100"/>
        <v>0</v>
      </c>
      <c r="AR81" s="14">
        <f t="shared" si="101"/>
        <v>0</v>
      </c>
      <c r="AS81" s="14">
        <f t="shared" si="102"/>
        <v>0</v>
      </c>
      <c r="AT81" s="14">
        <f t="shared" si="103"/>
        <v>0</v>
      </c>
      <c r="AU81" s="14">
        <f t="shared" si="104"/>
        <v>0</v>
      </c>
      <c r="AV81" s="14">
        <f t="shared" si="105"/>
        <v>0</v>
      </c>
      <c r="AW81" s="14">
        <f t="shared" si="106"/>
        <v>0</v>
      </c>
      <c r="AX81" s="14">
        <f t="shared" si="107"/>
        <v>0</v>
      </c>
      <c r="AY81" s="14">
        <f t="shared" si="108"/>
        <v>0</v>
      </c>
      <c r="AZ81" s="14">
        <f t="shared" si="109"/>
        <v>0</v>
      </c>
      <c r="BA81" s="14">
        <f t="shared" si="110"/>
        <v>0</v>
      </c>
      <c r="BB81" s="14">
        <f t="shared" si="111"/>
        <v>0</v>
      </c>
      <c r="BC81" s="14">
        <f t="shared" si="112"/>
        <v>0</v>
      </c>
      <c r="BD81" s="14">
        <f t="shared" si="113"/>
        <v>0</v>
      </c>
      <c r="BE81" s="14">
        <f t="shared" si="114"/>
        <v>0</v>
      </c>
      <c r="BF81" s="14">
        <f t="shared" si="115"/>
        <v>0</v>
      </c>
      <c r="BG81" s="14">
        <f t="shared" si="116"/>
        <v>0</v>
      </c>
      <c r="BH81" s="14">
        <f t="shared" si="117"/>
        <v>0</v>
      </c>
      <c r="BI81" s="14">
        <f t="shared" si="118"/>
        <v>0</v>
      </c>
      <c r="BJ81" s="14">
        <f t="shared" si="119"/>
        <v>0</v>
      </c>
      <c r="BK81" s="14">
        <f t="shared" si="120"/>
        <v>0</v>
      </c>
      <c r="BL81" s="14">
        <f t="shared" si="123"/>
        <v>0</v>
      </c>
      <c r="BM81" s="14">
        <f>(AG81-AF81)</f>
        <v>0</v>
      </c>
    </row>
    <row r="82" spans="1:65" x14ac:dyDescent="0.25">
      <c r="A82" s="52" t="s">
        <v>204</v>
      </c>
      <c r="B82" s="59">
        <v>1613630.31</v>
      </c>
      <c r="C82">
        <v>1614393.24</v>
      </c>
      <c r="D82">
        <v>1615204.03</v>
      </c>
      <c r="E82">
        <v>1616017.01</v>
      </c>
      <c r="AH82" t="s">
        <v>204</v>
      </c>
      <c r="AI82" s="14">
        <f t="shared" si="92"/>
        <v>762.92999999993481</v>
      </c>
      <c r="AJ82" s="14">
        <f t="shared" si="93"/>
        <v>810.79000000003725</v>
      </c>
      <c r="AK82" s="14">
        <f t="shared" si="94"/>
        <v>812.97999999998137</v>
      </c>
      <c r="AL82" s="14">
        <f t="shared" si="95"/>
        <v>-1616017.01</v>
      </c>
      <c r="AM82" s="14">
        <f t="shared" si="96"/>
        <v>0</v>
      </c>
      <c r="AN82" s="14">
        <f t="shared" si="97"/>
        <v>0</v>
      </c>
      <c r="AO82" s="14">
        <f t="shared" si="98"/>
        <v>0</v>
      </c>
      <c r="AP82" s="14">
        <f t="shared" si="99"/>
        <v>0</v>
      </c>
      <c r="AQ82" s="14">
        <f t="shared" si="100"/>
        <v>0</v>
      </c>
      <c r="AR82" s="14">
        <f t="shared" si="101"/>
        <v>0</v>
      </c>
      <c r="AS82" s="14">
        <f t="shared" si="102"/>
        <v>0</v>
      </c>
      <c r="AT82" s="14">
        <f t="shared" si="103"/>
        <v>0</v>
      </c>
      <c r="AU82" s="14">
        <f t="shared" si="104"/>
        <v>0</v>
      </c>
      <c r="AV82" s="14">
        <f t="shared" si="105"/>
        <v>0</v>
      </c>
      <c r="AW82" s="14">
        <f t="shared" si="106"/>
        <v>0</v>
      </c>
      <c r="AX82" s="14">
        <f t="shared" si="107"/>
        <v>0</v>
      </c>
      <c r="AY82" s="14">
        <f t="shared" si="108"/>
        <v>0</v>
      </c>
      <c r="AZ82" s="14">
        <f t="shared" si="109"/>
        <v>0</v>
      </c>
      <c r="BA82" s="14">
        <f t="shared" si="110"/>
        <v>0</v>
      </c>
      <c r="BB82" s="14">
        <f t="shared" si="111"/>
        <v>0</v>
      </c>
      <c r="BC82" s="14">
        <f t="shared" si="112"/>
        <v>0</v>
      </c>
      <c r="BD82" s="14">
        <f t="shared" si="113"/>
        <v>0</v>
      </c>
      <c r="BE82" s="14">
        <f t="shared" si="114"/>
        <v>0</v>
      </c>
      <c r="BF82" s="14">
        <f t="shared" si="115"/>
        <v>0</v>
      </c>
      <c r="BG82" s="14">
        <f t="shared" si="116"/>
        <v>0</v>
      </c>
      <c r="BH82" s="14">
        <f t="shared" si="117"/>
        <v>0</v>
      </c>
      <c r="BI82" s="14">
        <f t="shared" si="118"/>
        <v>0</v>
      </c>
      <c r="BJ82" s="14">
        <f t="shared" si="119"/>
        <v>0</v>
      </c>
      <c r="BK82" s="14">
        <f t="shared" si="120"/>
        <v>0</v>
      </c>
      <c r="BL82" s="14">
        <f t="shared" si="123"/>
        <v>0</v>
      </c>
      <c r="BM82" s="14">
        <f>(AG82-AF82)</f>
        <v>0</v>
      </c>
    </row>
    <row r="83" spans="1:65" x14ac:dyDescent="0.25">
      <c r="A83" s="52" t="s">
        <v>135</v>
      </c>
      <c r="B83" s="59">
        <v>188517.04</v>
      </c>
      <c r="C83">
        <v>188578.72</v>
      </c>
      <c r="D83">
        <v>188649.5</v>
      </c>
      <c r="E83">
        <v>188715.89</v>
      </c>
      <c r="AH83" t="s">
        <v>135</v>
      </c>
      <c r="AI83" s="14">
        <f t="shared" si="92"/>
        <v>61.679999999993015</v>
      </c>
      <c r="AJ83" s="14">
        <f t="shared" si="93"/>
        <v>70.779999999998836</v>
      </c>
      <c r="AK83" s="14">
        <f t="shared" si="94"/>
        <v>66.39000000001397</v>
      </c>
      <c r="AL83" s="14">
        <f t="shared" si="95"/>
        <v>-188715.89</v>
      </c>
      <c r="AM83" s="14">
        <f t="shared" si="96"/>
        <v>0</v>
      </c>
      <c r="AN83" s="14">
        <f t="shared" si="97"/>
        <v>0</v>
      </c>
      <c r="AO83" s="14">
        <f t="shared" si="98"/>
        <v>0</v>
      </c>
      <c r="AP83" s="14">
        <f t="shared" si="99"/>
        <v>0</v>
      </c>
      <c r="AQ83" s="14">
        <f t="shared" si="100"/>
        <v>0</v>
      </c>
      <c r="AR83" s="14">
        <f t="shared" si="101"/>
        <v>0</v>
      </c>
      <c r="AS83" s="14">
        <f t="shared" si="102"/>
        <v>0</v>
      </c>
      <c r="AT83" s="14">
        <f t="shared" si="103"/>
        <v>0</v>
      </c>
      <c r="AU83" s="14">
        <f t="shared" si="104"/>
        <v>0</v>
      </c>
      <c r="AV83" s="14">
        <f t="shared" si="105"/>
        <v>0</v>
      </c>
      <c r="AW83" s="14">
        <f t="shared" si="106"/>
        <v>0</v>
      </c>
      <c r="AX83" s="14">
        <f t="shared" si="107"/>
        <v>0</v>
      </c>
      <c r="AY83" s="14">
        <f t="shared" si="108"/>
        <v>0</v>
      </c>
      <c r="AZ83" s="14">
        <f t="shared" si="109"/>
        <v>0</v>
      </c>
      <c r="BA83" s="14">
        <f t="shared" si="110"/>
        <v>0</v>
      </c>
      <c r="BB83" s="14">
        <f t="shared" si="111"/>
        <v>0</v>
      </c>
      <c r="BC83" s="14">
        <f t="shared" si="112"/>
        <v>0</v>
      </c>
      <c r="BD83" s="14">
        <f t="shared" si="113"/>
        <v>0</v>
      </c>
      <c r="BE83" s="14">
        <f t="shared" si="114"/>
        <v>0</v>
      </c>
      <c r="BF83" s="14">
        <f t="shared" si="115"/>
        <v>0</v>
      </c>
      <c r="BG83" s="14">
        <f t="shared" si="116"/>
        <v>0</v>
      </c>
      <c r="BH83" s="14">
        <f t="shared" si="117"/>
        <v>0</v>
      </c>
      <c r="BI83" s="14">
        <f t="shared" si="118"/>
        <v>0</v>
      </c>
      <c r="BJ83" s="14">
        <f t="shared" si="119"/>
        <v>0</v>
      </c>
      <c r="BK83" s="14">
        <f t="shared" si="120"/>
        <v>0</v>
      </c>
      <c r="BL83" s="14">
        <f t="shared" si="123"/>
        <v>0</v>
      </c>
      <c r="BM83" s="14">
        <f>(AG83-AF83)</f>
        <v>0</v>
      </c>
    </row>
    <row r="84" spans="1:65" ht="15.75" thickBot="1" x14ac:dyDescent="0.3">
      <c r="A84" s="53" t="s">
        <v>6</v>
      </c>
      <c r="B84" s="60">
        <v>1744.0318</v>
      </c>
      <c r="C84" s="54">
        <v>1746.3466000000001</v>
      </c>
      <c r="D84" s="54">
        <v>1748.6790000000001</v>
      </c>
      <c r="E84" s="54">
        <v>1751.0581999999999</v>
      </c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  <c r="AF84" s="54"/>
      <c r="AG84" s="54"/>
      <c r="AH84" s="54" t="s">
        <v>6</v>
      </c>
      <c r="AI84" s="14">
        <f t="shared" ref="AI84:BK84" si="124">(C84-B84)*1000</f>
        <v>2314.8000000001048</v>
      </c>
      <c r="AJ84" s="14">
        <f t="shared" si="124"/>
        <v>2332.4000000000069</v>
      </c>
      <c r="AK84" s="14">
        <f t="shared" si="124"/>
        <v>2379.1999999998552</v>
      </c>
      <c r="AL84" s="14">
        <f t="shared" si="124"/>
        <v>-1751058.2</v>
      </c>
      <c r="AM84" s="14">
        <f t="shared" si="124"/>
        <v>0</v>
      </c>
      <c r="AN84" s="14">
        <f t="shared" si="124"/>
        <v>0</v>
      </c>
      <c r="AO84" s="14">
        <f t="shared" si="124"/>
        <v>0</v>
      </c>
      <c r="AP84" s="14">
        <f t="shared" si="124"/>
        <v>0</v>
      </c>
      <c r="AQ84" s="14">
        <f t="shared" si="124"/>
        <v>0</v>
      </c>
      <c r="AR84" s="14">
        <f t="shared" si="124"/>
        <v>0</v>
      </c>
      <c r="AS84" s="14">
        <f t="shared" si="124"/>
        <v>0</v>
      </c>
      <c r="AT84" s="14">
        <f t="shared" si="124"/>
        <v>0</v>
      </c>
      <c r="AU84" s="14">
        <f t="shared" si="124"/>
        <v>0</v>
      </c>
      <c r="AV84" s="14">
        <f t="shared" si="124"/>
        <v>0</v>
      </c>
      <c r="AW84" s="14">
        <f t="shared" si="124"/>
        <v>0</v>
      </c>
      <c r="AX84" s="14">
        <f t="shared" si="124"/>
        <v>0</v>
      </c>
      <c r="AY84" s="14">
        <f t="shared" si="124"/>
        <v>0</v>
      </c>
      <c r="AZ84" s="14">
        <f t="shared" si="124"/>
        <v>0</v>
      </c>
      <c r="BA84" s="14">
        <f t="shared" si="124"/>
        <v>0</v>
      </c>
      <c r="BB84" s="14">
        <f t="shared" si="124"/>
        <v>0</v>
      </c>
      <c r="BC84" s="14">
        <f t="shared" si="124"/>
        <v>0</v>
      </c>
      <c r="BD84" s="14">
        <f t="shared" si="124"/>
        <v>0</v>
      </c>
      <c r="BE84" s="14">
        <f t="shared" si="124"/>
        <v>0</v>
      </c>
      <c r="BF84" s="14">
        <f t="shared" si="124"/>
        <v>0</v>
      </c>
      <c r="BG84" s="14">
        <f t="shared" si="124"/>
        <v>0</v>
      </c>
      <c r="BH84" s="14">
        <f t="shared" si="124"/>
        <v>0</v>
      </c>
      <c r="BI84" s="14">
        <f t="shared" si="124"/>
        <v>0</v>
      </c>
      <c r="BJ84" s="14">
        <f t="shared" si="124"/>
        <v>0</v>
      </c>
      <c r="BK84" s="14">
        <f t="shared" si="124"/>
        <v>0</v>
      </c>
      <c r="BL84" s="14">
        <f>(AF84-AE84)*1000</f>
        <v>0</v>
      </c>
      <c r="BM84" s="14">
        <f>(AG84-AF84)*1000</f>
        <v>0</v>
      </c>
    </row>
  </sheetData>
  <mergeCells count="6">
    <mergeCell ref="A1:AG1"/>
    <mergeCell ref="A31:AG31"/>
    <mergeCell ref="A58:AG58"/>
    <mergeCell ref="AI58:BM58"/>
    <mergeCell ref="AI31:BM31"/>
    <mergeCell ref="AI1:BM1"/>
  </mergeCells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4"/>
  <sheetViews>
    <sheetView topLeftCell="A13" workbookViewId="0">
      <selection activeCell="J1" sqref="J1:J1048576"/>
    </sheetView>
  </sheetViews>
  <sheetFormatPr defaultRowHeight="15" x14ac:dyDescent="0.25"/>
  <cols>
    <col min="1" max="1" width="11.7109375" customWidth="1"/>
    <col min="2" max="2" width="13.42578125" customWidth="1"/>
    <col min="3" max="3" width="12.42578125" customWidth="1"/>
    <col min="4" max="4" width="13.7109375" customWidth="1"/>
    <col min="6" max="6" width="13.7109375" customWidth="1"/>
    <col min="7" max="7" width="16.140625" style="49" customWidth="1"/>
    <col min="8" max="8" width="11.7109375" customWidth="1"/>
    <col min="9" max="9" width="14.140625" customWidth="1"/>
    <col min="10" max="10" width="14.5703125" style="49" customWidth="1"/>
    <col min="11" max="11" width="15" customWidth="1"/>
  </cols>
  <sheetData>
    <row r="1" spans="1:11" x14ac:dyDescent="0.25">
      <c r="A1">
        <v>22</v>
      </c>
      <c r="B1">
        <v>23</v>
      </c>
      <c r="F1">
        <v>24</v>
      </c>
      <c r="I1">
        <v>25</v>
      </c>
    </row>
    <row r="2" spans="1:11" x14ac:dyDescent="0.25">
      <c r="A2">
        <v>213.92645999999999</v>
      </c>
      <c r="B2">
        <v>214.85785999999999</v>
      </c>
      <c r="C2">
        <f>B2-A2</f>
        <v>0.93139999999999645</v>
      </c>
      <c r="D2">
        <f>C2*1000</f>
        <v>931.39999999999645</v>
      </c>
      <c r="E2">
        <v>211</v>
      </c>
      <c r="F2">
        <v>215.67918</v>
      </c>
      <c r="G2" s="49">
        <f>(F2-B2)*1000</f>
        <v>821.32000000001426</v>
      </c>
      <c r="H2">
        <f>G2/1000</f>
        <v>0.82132000000001426</v>
      </c>
      <c r="I2">
        <v>216.97136</v>
      </c>
      <c r="J2" s="49">
        <f>(I2-F2)*1000</f>
        <v>1292.1800000000019</v>
      </c>
      <c r="K2">
        <f>J2/1000</f>
        <v>1.2921800000000019</v>
      </c>
    </row>
    <row r="3" spans="1:11" x14ac:dyDescent="0.25">
      <c r="A3">
        <v>454.94644</v>
      </c>
      <c r="B3">
        <v>458.36187999999999</v>
      </c>
      <c r="C3">
        <f t="shared" ref="C3:C34" si="0">B3-A3</f>
        <v>3.4154399999999896</v>
      </c>
      <c r="D3">
        <f t="shared" ref="D3:D34" si="1">C3*1000</f>
        <v>3415.4399999999896</v>
      </c>
      <c r="E3" t="s">
        <v>131</v>
      </c>
      <c r="F3">
        <v>460.80068</v>
      </c>
      <c r="G3" s="49">
        <f t="shared" ref="G3:G34" si="2">(F3-B3)*1000</f>
        <v>2438.8000000000147</v>
      </c>
      <c r="H3">
        <f t="shared" ref="H3:H34" si="3">G3/1000</f>
        <v>2.4388000000000147</v>
      </c>
      <c r="I3">
        <v>462.93608</v>
      </c>
      <c r="J3" s="49">
        <f t="shared" ref="J3:J34" si="4">(I3-F3)*1000</f>
        <v>2135.4000000000042</v>
      </c>
      <c r="K3">
        <f t="shared" ref="K3:K34" si="5">J3/1000</f>
        <v>2.1354000000000042</v>
      </c>
    </row>
    <row r="4" spans="1:11" x14ac:dyDescent="0.25">
      <c r="A4">
        <v>477983.39</v>
      </c>
      <c r="B4">
        <v>478144.83</v>
      </c>
      <c r="C4">
        <f t="shared" si="0"/>
        <v>161.44000000000233</v>
      </c>
      <c r="D4">
        <f t="shared" si="1"/>
        <v>161440.00000000233</v>
      </c>
      <c r="E4" t="s">
        <v>132</v>
      </c>
      <c r="F4">
        <v>478271.77</v>
      </c>
      <c r="G4" s="49">
        <f t="shared" si="2"/>
        <v>126940.00000000233</v>
      </c>
      <c r="H4">
        <f t="shared" si="3"/>
        <v>126.94000000000233</v>
      </c>
      <c r="I4">
        <v>478428.29</v>
      </c>
      <c r="J4" s="49">
        <f t="shared" si="4"/>
        <v>156519.99999996042</v>
      </c>
      <c r="K4">
        <f t="shared" si="5"/>
        <v>156.51999999996042</v>
      </c>
    </row>
    <row r="5" spans="1:11" x14ac:dyDescent="0.25">
      <c r="A5">
        <v>507435.63</v>
      </c>
      <c r="B5">
        <v>507798</v>
      </c>
      <c r="C5">
        <f t="shared" si="0"/>
        <v>362.36999999999534</v>
      </c>
      <c r="D5">
        <f t="shared" si="1"/>
        <v>362369.99999999534</v>
      </c>
      <c r="E5" t="s">
        <v>133</v>
      </c>
      <c r="F5">
        <v>508159.69</v>
      </c>
      <c r="G5" s="49">
        <f t="shared" si="2"/>
        <v>361690.00000000233</v>
      </c>
      <c r="H5">
        <f t="shared" si="3"/>
        <v>361.69000000000233</v>
      </c>
      <c r="I5">
        <v>508507.52</v>
      </c>
      <c r="J5" s="49">
        <f t="shared" si="4"/>
        <v>347830.0000000163</v>
      </c>
      <c r="K5">
        <f t="shared" si="5"/>
        <v>347.8300000000163</v>
      </c>
    </row>
    <row r="6" spans="1:11" x14ac:dyDescent="0.25">
      <c r="A6">
        <v>666927.85</v>
      </c>
      <c r="B6">
        <v>667025.09</v>
      </c>
      <c r="C6">
        <f t="shared" si="0"/>
        <v>97.239999999990687</v>
      </c>
      <c r="D6">
        <f t="shared" si="1"/>
        <v>97239.999999990687</v>
      </c>
      <c r="E6" t="s">
        <v>134</v>
      </c>
      <c r="F6">
        <v>667125.38</v>
      </c>
      <c r="G6" s="49">
        <f t="shared" si="2"/>
        <v>100290.00000003725</v>
      </c>
      <c r="H6">
        <f t="shared" si="3"/>
        <v>100.29000000003725</v>
      </c>
      <c r="I6">
        <v>667224</v>
      </c>
      <c r="J6" s="49">
        <f t="shared" si="4"/>
        <v>98619.999999995343</v>
      </c>
      <c r="K6">
        <f t="shared" si="5"/>
        <v>98.619999999995343</v>
      </c>
    </row>
    <row r="7" spans="1:11" x14ac:dyDescent="0.25">
      <c r="A7">
        <v>269020.77</v>
      </c>
      <c r="B7">
        <v>269120.18</v>
      </c>
      <c r="C7">
        <f t="shared" si="0"/>
        <v>99.409999999974389</v>
      </c>
      <c r="D7">
        <f t="shared" si="1"/>
        <v>99409.999999974389</v>
      </c>
      <c r="E7" t="s">
        <v>135</v>
      </c>
      <c r="F7">
        <v>269234.24</v>
      </c>
      <c r="G7" s="49">
        <f t="shared" si="2"/>
        <v>114059.99999999767</v>
      </c>
      <c r="H7">
        <f t="shared" si="3"/>
        <v>114.05999999999767</v>
      </c>
      <c r="I7">
        <v>269326.86</v>
      </c>
      <c r="J7" s="49">
        <f t="shared" si="4"/>
        <v>92619.999999995343</v>
      </c>
      <c r="K7">
        <f t="shared" si="5"/>
        <v>92.619999999995343</v>
      </c>
    </row>
    <row r="8" spans="1:11" x14ac:dyDescent="0.25">
      <c r="A8">
        <v>14774159.34</v>
      </c>
      <c r="B8">
        <v>14780008.41</v>
      </c>
      <c r="C8">
        <f t="shared" si="0"/>
        <v>5849.070000000298</v>
      </c>
      <c r="D8">
        <f t="shared" si="1"/>
        <v>5849070.000000298</v>
      </c>
      <c r="E8" t="s">
        <v>136</v>
      </c>
      <c r="F8">
        <v>14786787.779999999</v>
      </c>
      <c r="G8" s="49">
        <f t="shared" si="2"/>
        <v>6779369.9999991804</v>
      </c>
      <c r="H8">
        <f t="shared" si="3"/>
        <v>6779.3699999991804</v>
      </c>
      <c r="I8">
        <v>14793852.4</v>
      </c>
      <c r="J8" s="49">
        <f t="shared" si="4"/>
        <v>7064620.0000010431</v>
      </c>
      <c r="K8">
        <f t="shared" si="5"/>
        <v>7064.6200000010431</v>
      </c>
    </row>
    <row r="9" spans="1:11" x14ac:dyDescent="0.25">
      <c r="A9">
        <v>3645404.65</v>
      </c>
      <c r="B9">
        <v>3648200.5</v>
      </c>
      <c r="C9">
        <f t="shared" si="0"/>
        <v>2795.8500000000931</v>
      </c>
      <c r="D9">
        <f t="shared" si="1"/>
        <v>2795850.0000000931</v>
      </c>
      <c r="E9" t="s">
        <v>137</v>
      </c>
      <c r="F9">
        <v>3650958.43</v>
      </c>
      <c r="G9" s="49">
        <f t="shared" si="2"/>
        <v>2757930.0000001676</v>
      </c>
      <c r="H9">
        <f t="shared" si="3"/>
        <v>2757.9300000001676</v>
      </c>
      <c r="I9">
        <v>3653714.6</v>
      </c>
      <c r="J9" s="49">
        <f t="shared" si="4"/>
        <v>2756169.9999999255</v>
      </c>
      <c r="K9">
        <f t="shared" si="5"/>
        <v>2756.1699999999255</v>
      </c>
    </row>
    <row r="10" spans="1:11" x14ac:dyDescent="0.25">
      <c r="A10">
        <v>12474316.48</v>
      </c>
      <c r="B10">
        <v>12479555.74</v>
      </c>
      <c r="C10">
        <f t="shared" si="0"/>
        <v>5239.2599999997765</v>
      </c>
      <c r="D10">
        <f t="shared" si="1"/>
        <v>5239259.9999997765</v>
      </c>
      <c r="E10" t="s">
        <v>138</v>
      </c>
      <c r="F10">
        <v>12484050.24</v>
      </c>
      <c r="G10" s="49">
        <f t="shared" si="2"/>
        <v>4494500</v>
      </c>
      <c r="H10">
        <f t="shared" si="3"/>
        <v>4494.5</v>
      </c>
      <c r="I10">
        <v>12488555.619999999</v>
      </c>
      <c r="J10" s="49">
        <f t="shared" si="4"/>
        <v>4505379.9999989569</v>
      </c>
      <c r="K10">
        <f t="shared" si="5"/>
        <v>4505.3799999989569</v>
      </c>
    </row>
    <row r="11" spans="1:11" x14ac:dyDescent="0.25">
      <c r="A11">
        <v>4707316.6900000004</v>
      </c>
      <c r="B11">
        <v>4709031.67</v>
      </c>
      <c r="C11">
        <f t="shared" si="0"/>
        <v>1714.9799999995157</v>
      </c>
      <c r="D11">
        <f t="shared" si="1"/>
        <v>1714979.9999995157</v>
      </c>
      <c r="E11" t="s">
        <v>139</v>
      </c>
      <c r="F11">
        <v>4710875.8</v>
      </c>
      <c r="G11" s="49">
        <f t="shared" si="2"/>
        <v>1844129.9999998882</v>
      </c>
      <c r="H11">
        <f t="shared" si="3"/>
        <v>1844.1299999998882</v>
      </c>
      <c r="I11">
        <v>4712822.13</v>
      </c>
      <c r="J11" s="49">
        <f t="shared" si="4"/>
        <v>1946330.0000000745</v>
      </c>
      <c r="K11">
        <f t="shared" si="5"/>
        <v>1946.3300000000745</v>
      </c>
    </row>
    <row r="12" spans="1:11" x14ac:dyDescent="0.25">
      <c r="A12">
        <v>2234044.35</v>
      </c>
      <c r="B12">
        <v>2235118.4900000002</v>
      </c>
      <c r="C12">
        <f t="shared" si="0"/>
        <v>1074.1400000001304</v>
      </c>
      <c r="D12">
        <f t="shared" si="1"/>
        <v>1074140.0000001304</v>
      </c>
      <c r="E12" t="s">
        <v>140</v>
      </c>
      <c r="F12">
        <v>2236394.44</v>
      </c>
      <c r="G12" s="49">
        <f t="shared" si="2"/>
        <v>1275949.9999997206</v>
      </c>
      <c r="H12">
        <f t="shared" si="3"/>
        <v>1275.9499999997206</v>
      </c>
      <c r="I12">
        <v>2237667.7999999998</v>
      </c>
      <c r="J12" s="49">
        <f t="shared" si="4"/>
        <v>1273359.9999998696</v>
      </c>
      <c r="K12">
        <f t="shared" si="5"/>
        <v>1273.3599999998696</v>
      </c>
    </row>
    <row r="13" spans="1:11" x14ac:dyDescent="0.25">
      <c r="A13">
        <v>1417513.85</v>
      </c>
      <c r="B13">
        <v>1418040.3</v>
      </c>
      <c r="C13">
        <f t="shared" si="0"/>
        <v>526.44999999995343</v>
      </c>
      <c r="D13">
        <f t="shared" si="1"/>
        <v>526449.99999995343</v>
      </c>
      <c r="E13" t="s">
        <v>134</v>
      </c>
      <c r="F13">
        <v>1418562.52</v>
      </c>
      <c r="G13" s="49">
        <f t="shared" si="2"/>
        <v>522219.99999997206</v>
      </c>
      <c r="H13">
        <f t="shared" si="3"/>
        <v>522.21999999997206</v>
      </c>
      <c r="I13">
        <v>1419024.69</v>
      </c>
      <c r="J13" s="49">
        <f t="shared" si="4"/>
        <v>462169.99999992549</v>
      </c>
      <c r="K13">
        <f t="shared" si="5"/>
        <v>462.16999999992549</v>
      </c>
    </row>
    <row r="14" spans="1:11" x14ac:dyDescent="0.25">
      <c r="A14">
        <v>3406486.47</v>
      </c>
      <c r="B14">
        <v>3409147.8</v>
      </c>
      <c r="C14">
        <f t="shared" si="0"/>
        <v>2661.3299999996088</v>
      </c>
      <c r="D14">
        <f t="shared" si="1"/>
        <v>2661329.9999996088</v>
      </c>
      <c r="E14" t="s">
        <v>141</v>
      </c>
      <c r="F14">
        <v>3411787.19</v>
      </c>
      <c r="G14" s="49">
        <f t="shared" si="2"/>
        <v>2639390.0000001304</v>
      </c>
      <c r="H14">
        <f t="shared" si="3"/>
        <v>2639.3900000001304</v>
      </c>
      <c r="I14">
        <v>3414425.36</v>
      </c>
      <c r="J14" s="49">
        <f t="shared" si="4"/>
        <v>2638169.9999999255</v>
      </c>
      <c r="K14">
        <f t="shared" si="5"/>
        <v>2638.1699999999255</v>
      </c>
    </row>
    <row r="15" spans="1:11" x14ac:dyDescent="0.25">
      <c r="A15">
        <v>1054574.05</v>
      </c>
      <c r="B15">
        <v>1054880.73</v>
      </c>
      <c r="C15">
        <f t="shared" si="0"/>
        <v>306.67999999993481</v>
      </c>
      <c r="D15">
        <f t="shared" si="1"/>
        <v>306679.99999993481</v>
      </c>
      <c r="E15" t="s">
        <v>142</v>
      </c>
      <c r="F15">
        <v>1055182.3400000001</v>
      </c>
      <c r="G15" s="49">
        <f t="shared" si="2"/>
        <v>301610.00000010245</v>
      </c>
      <c r="H15">
        <f t="shared" si="3"/>
        <v>301.61000000010245</v>
      </c>
      <c r="I15">
        <v>1055483.7</v>
      </c>
      <c r="J15" s="49">
        <f t="shared" si="4"/>
        <v>301359.99999986961</v>
      </c>
      <c r="K15">
        <f t="shared" si="5"/>
        <v>301.35999999986961</v>
      </c>
    </row>
    <row r="16" spans="1:11" x14ac:dyDescent="0.25">
      <c r="A16">
        <v>4707.9368999999997</v>
      </c>
      <c r="B16">
        <v>4728.3536000000004</v>
      </c>
      <c r="C16">
        <f t="shared" si="0"/>
        <v>20.416700000000674</v>
      </c>
      <c r="D16">
        <f t="shared" si="1"/>
        <v>20416.700000000674</v>
      </c>
      <c r="E16" t="s">
        <v>5</v>
      </c>
      <c r="F16">
        <v>4747.4063999999998</v>
      </c>
      <c r="G16" s="49">
        <f t="shared" si="2"/>
        <v>19052.799999999479</v>
      </c>
      <c r="H16">
        <f t="shared" si="3"/>
        <v>19.052799999999479</v>
      </c>
      <c r="I16">
        <v>4764.3739999999998</v>
      </c>
      <c r="J16" s="49">
        <f t="shared" si="4"/>
        <v>16967.599999999948</v>
      </c>
      <c r="K16">
        <f t="shared" si="5"/>
        <v>16.967599999999948</v>
      </c>
    </row>
    <row r="17" spans="1:13" x14ac:dyDescent="0.25">
      <c r="A17">
        <v>2585.6977999999999</v>
      </c>
      <c r="B17">
        <v>2600.9526000000001</v>
      </c>
      <c r="C17">
        <f t="shared" si="0"/>
        <v>15.254800000000159</v>
      </c>
      <c r="D17">
        <f t="shared" si="1"/>
        <v>15254.800000000159</v>
      </c>
      <c r="E17" t="s">
        <v>143</v>
      </c>
      <c r="F17">
        <v>2615.7656000000002</v>
      </c>
      <c r="G17" s="49">
        <f t="shared" si="2"/>
        <v>14813.000000000102</v>
      </c>
      <c r="H17">
        <f t="shared" si="3"/>
        <v>14.813000000000102</v>
      </c>
      <c r="I17">
        <v>2630.6923999999999</v>
      </c>
      <c r="J17" s="49">
        <f t="shared" si="4"/>
        <v>14926.79999999973</v>
      </c>
      <c r="K17">
        <f t="shared" si="5"/>
        <v>14.92679999999973</v>
      </c>
    </row>
    <row r="18" spans="1:13" x14ac:dyDescent="0.25">
      <c r="A18">
        <v>1358.3404</v>
      </c>
      <c r="B18">
        <v>1368.6791000000001</v>
      </c>
      <c r="C18">
        <f t="shared" si="0"/>
        <v>10.338700000000017</v>
      </c>
      <c r="D18">
        <f t="shared" si="1"/>
        <v>10338.700000000017</v>
      </c>
      <c r="E18" t="s">
        <v>144</v>
      </c>
      <c r="F18">
        <v>1378.7819999999999</v>
      </c>
      <c r="G18" s="49">
        <f t="shared" si="2"/>
        <v>10102.899999999863</v>
      </c>
      <c r="H18">
        <f t="shared" si="3"/>
        <v>10.102899999999863</v>
      </c>
      <c r="I18">
        <v>1388.8842999999999</v>
      </c>
      <c r="J18" s="49">
        <f t="shared" si="4"/>
        <v>10102.300000000014</v>
      </c>
      <c r="K18">
        <f t="shared" si="5"/>
        <v>10.102300000000014</v>
      </c>
    </row>
    <row r="19" spans="1:13" x14ac:dyDescent="0.25">
      <c r="A19">
        <v>3153.0446000000002</v>
      </c>
      <c r="B19">
        <v>3168.3047999999999</v>
      </c>
      <c r="C19">
        <f t="shared" si="0"/>
        <v>15.260199999999713</v>
      </c>
      <c r="D19">
        <f t="shared" si="1"/>
        <v>15260.199999999713</v>
      </c>
      <c r="E19" t="s">
        <v>145</v>
      </c>
      <c r="F19">
        <v>3183.2651999999998</v>
      </c>
      <c r="G19" s="49">
        <f t="shared" si="2"/>
        <v>14960.399999999936</v>
      </c>
      <c r="H19">
        <f t="shared" si="3"/>
        <v>14.960399999999936</v>
      </c>
      <c r="I19">
        <v>3198.4715999999999</v>
      </c>
      <c r="J19" s="49">
        <f t="shared" si="4"/>
        <v>15206.400000000031</v>
      </c>
      <c r="K19">
        <f t="shared" si="5"/>
        <v>15.206400000000031</v>
      </c>
    </row>
    <row r="20" spans="1:13" x14ac:dyDescent="0.25">
      <c r="A20">
        <v>1516.2260000000001</v>
      </c>
      <c r="B20">
        <v>1521.8169</v>
      </c>
      <c r="C20">
        <f t="shared" si="0"/>
        <v>5.5908999999999196</v>
      </c>
      <c r="D20">
        <f t="shared" si="1"/>
        <v>5590.8999999999196</v>
      </c>
      <c r="E20" t="s">
        <v>8</v>
      </c>
      <c r="F20">
        <v>1527.3198</v>
      </c>
      <c r="G20" s="49">
        <f t="shared" si="2"/>
        <v>5502.8999999999542</v>
      </c>
      <c r="H20">
        <f t="shared" si="3"/>
        <v>5.5028999999999542</v>
      </c>
      <c r="I20">
        <v>1532.5825</v>
      </c>
      <c r="J20" s="49">
        <f t="shared" si="4"/>
        <v>5262.6999999999953</v>
      </c>
      <c r="K20">
        <f t="shared" si="5"/>
        <v>5.2626999999999953</v>
      </c>
    </row>
    <row r="21" spans="1:13" x14ac:dyDescent="0.25">
      <c r="A21">
        <v>899.42287999999996</v>
      </c>
      <c r="B21">
        <v>906.0376</v>
      </c>
      <c r="C21">
        <f t="shared" si="0"/>
        <v>6.6147200000000339</v>
      </c>
      <c r="D21">
        <f t="shared" si="1"/>
        <v>6614.7200000000339</v>
      </c>
      <c r="E21" t="s">
        <v>146</v>
      </c>
      <c r="F21">
        <v>912.37599999999998</v>
      </c>
      <c r="G21" s="49">
        <f t="shared" si="2"/>
        <v>6338.3999999999787</v>
      </c>
      <c r="H21">
        <f t="shared" si="3"/>
        <v>6.3383999999999787</v>
      </c>
      <c r="I21">
        <v>918.82695999999999</v>
      </c>
      <c r="J21" s="49">
        <f t="shared" si="4"/>
        <v>6450.9600000000091</v>
      </c>
      <c r="K21">
        <f t="shared" si="5"/>
        <v>6.4509600000000091</v>
      </c>
    </row>
    <row r="22" spans="1:13" x14ac:dyDescent="0.25">
      <c r="A22">
        <v>1144.5606</v>
      </c>
      <c r="B22">
        <v>1152.55</v>
      </c>
      <c r="C22">
        <f t="shared" si="0"/>
        <v>7.9893999999999323</v>
      </c>
      <c r="D22">
        <f t="shared" si="1"/>
        <v>7989.3999999999323</v>
      </c>
      <c r="E22" t="s">
        <v>147</v>
      </c>
      <c r="F22">
        <v>1160.4595999999999</v>
      </c>
      <c r="G22" s="49">
        <f t="shared" si="2"/>
        <v>7909.5999999999549</v>
      </c>
      <c r="H22">
        <f t="shared" si="3"/>
        <v>7.9095999999999549</v>
      </c>
      <c r="I22">
        <v>1168.1610000000001</v>
      </c>
      <c r="J22" s="49">
        <f t="shared" si="4"/>
        <v>7701.4000000001488</v>
      </c>
      <c r="K22">
        <f t="shared" si="5"/>
        <v>7.7014000000001488</v>
      </c>
    </row>
    <row r="23" spans="1:13" x14ac:dyDescent="0.25">
      <c r="A23">
        <v>1366321.31</v>
      </c>
      <c r="B23">
        <v>1366810.28</v>
      </c>
      <c r="C23">
        <f t="shared" si="0"/>
        <v>488.96999999997206</v>
      </c>
      <c r="D23">
        <f t="shared" si="1"/>
        <v>488969.99999997206</v>
      </c>
      <c r="E23" t="s">
        <v>148</v>
      </c>
      <c r="F23">
        <v>1367279.49</v>
      </c>
      <c r="G23" s="49">
        <f t="shared" si="2"/>
        <v>469209.99999996275</v>
      </c>
      <c r="H23">
        <f t="shared" si="3"/>
        <v>469.20999999996275</v>
      </c>
      <c r="I23">
        <v>1367681.76</v>
      </c>
      <c r="J23" s="49">
        <f t="shared" si="4"/>
        <v>402270.00000001863</v>
      </c>
      <c r="K23">
        <f t="shared" si="5"/>
        <v>402.27000000001863</v>
      </c>
    </row>
    <row r="24" spans="1:13" x14ac:dyDescent="0.25">
      <c r="A24">
        <v>2820.0486000000001</v>
      </c>
      <c r="B24">
        <v>2865.4191999999998</v>
      </c>
      <c r="C24">
        <f t="shared" si="0"/>
        <v>45.37059999999974</v>
      </c>
      <c r="D24">
        <f t="shared" si="1"/>
        <v>45370.599999999744</v>
      </c>
      <c r="E24" t="s">
        <v>14</v>
      </c>
      <c r="F24">
        <v>2913.8607999999999</v>
      </c>
      <c r="G24" s="49">
        <f t="shared" si="2"/>
        <v>48441.600000000108</v>
      </c>
      <c r="H24">
        <f t="shared" si="3"/>
        <v>48.441600000000108</v>
      </c>
      <c r="I24">
        <v>2965.8890000000001</v>
      </c>
      <c r="J24" s="49">
        <f t="shared" si="4"/>
        <v>52028.200000000201</v>
      </c>
      <c r="K24">
        <f t="shared" si="5"/>
        <v>52.028200000000204</v>
      </c>
    </row>
    <row r="25" spans="1:13" x14ac:dyDescent="0.25">
      <c r="A25">
        <v>1337.5262</v>
      </c>
      <c r="B25">
        <v>1345.5948000000001</v>
      </c>
      <c r="C25">
        <f t="shared" si="0"/>
        <v>8.0686000000000604</v>
      </c>
      <c r="D25">
        <f t="shared" si="1"/>
        <v>8068.6000000000604</v>
      </c>
      <c r="E25" t="s">
        <v>149</v>
      </c>
      <c r="F25">
        <v>1353.0346999999999</v>
      </c>
      <c r="G25" s="49">
        <f t="shared" si="2"/>
        <v>7439.8999999998523</v>
      </c>
      <c r="H25">
        <f t="shared" si="3"/>
        <v>7.4398999999998523</v>
      </c>
      <c r="I25">
        <v>1360.8105</v>
      </c>
      <c r="J25" s="49">
        <f t="shared" si="4"/>
        <v>7775.8000000001175</v>
      </c>
      <c r="K25">
        <f t="shared" si="5"/>
        <v>7.7758000000001175</v>
      </c>
    </row>
    <row r="26" spans="1:13" x14ac:dyDescent="0.25">
      <c r="A26">
        <v>14306250.27</v>
      </c>
      <c r="B26">
        <v>14311072.220000001</v>
      </c>
      <c r="C26">
        <f t="shared" si="0"/>
        <v>4821.9500000011176</v>
      </c>
      <c r="D26">
        <f t="shared" si="1"/>
        <v>4821950.0000011176</v>
      </c>
      <c r="E26" t="s">
        <v>150</v>
      </c>
      <c r="F26">
        <v>14315749.08</v>
      </c>
      <c r="G26" s="49">
        <f t="shared" si="2"/>
        <v>4676859.999999404</v>
      </c>
      <c r="H26">
        <f t="shared" si="3"/>
        <v>4676.859999999404</v>
      </c>
      <c r="I26">
        <v>14320499.5</v>
      </c>
      <c r="J26" s="49">
        <f t="shared" si="4"/>
        <v>4750419.9999999255</v>
      </c>
      <c r="K26">
        <f t="shared" si="5"/>
        <v>4750.4199999999255</v>
      </c>
    </row>
    <row r="27" spans="1:13" x14ac:dyDescent="0.25">
      <c r="A27">
        <v>2176124.0699999998</v>
      </c>
      <c r="B27">
        <v>2180069.7999999998</v>
      </c>
      <c r="C27">
        <f t="shared" si="0"/>
        <v>3945.7299999999814</v>
      </c>
      <c r="D27">
        <f t="shared" si="1"/>
        <v>3945729.9999999814</v>
      </c>
      <c r="E27" t="s">
        <v>151</v>
      </c>
      <c r="F27">
        <v>2183790.4</v>
      </c>
      <c r="G27" s="49">
        <f t="shared" si="2"/>
        <v>3720600.0000000931</v>
      </c>
      <c r="H27">
        <f t="shared" si="3"/>
        <v>3720.6000000000931</v>
      </c>
      <c r="I27">
        <v>2187585</v>
      </c>
      <c r="J27" s="49">
        <f t="shared" si="4"/>
        <v>3794600.0000000931</v>
      </c>
      <c r="K27">
        <f t="shared" si="5"/>
        <v>3794.6000000000931</v>
      </c>
      <c r="L27">
        <f>H27/2</f>
        <v>1860.3000000000466</v>
      </c>
      <c r="M27">
        <f>K27/2</f>
        <v>1897.3000000000466</v>
      </c>
    </row>
    <row r="28" spans="1:13" x14ac:dyDescent="0.25">
      <c r="A28">
        <v>1336981.18</v>
      </c>
      <c r="B28">
        <v>1337320.22</v>
      </c>
      <c r="C28">
        <f t="shared" si="0"/>
        <v>339.04000000003725</v>
      </c>
      <c r="D28">
        <f t="shared" si="1"/>
        <v>339040.00000003725</v>
      </c>
      <c r="E28" t="s">
        <v>152</v>
      </c>
      <c r="F28">
        <v>1337725.8400000001</v>
      </c>
      <c r="G28" s="49">
        <f t="shared" si="2"/>
        <v>405620.00000011176</v>
      </c>
      <c r="H28">
        <f t="shared" si="3"/>
        <v>405.62000000011176</v>
      </c>
      <c r="I28">
        <v>1338142</v>
      </c>
      <c r="J28" s="49">
        <f t="shared" si="4"/>
        <v>416159.99999991618</v>
      </c>
      <c r="K28">
        <f t="shared" si="5"/>
        <v>416.15999999991618</v>
      </c>
    </row>
    <row r="29" spans="1:13" x14ac:dyDescent="0.25">
      <c r="A29">
        <v>2585523.65</v>
      </c>
      <c r="B29">
        <v>2588412.38</v>
      </c>
      <c r="C29">
        <f t="shared" si="0"/>
        <v>2888.7299999999814</v>
      </c>
      <c r="D29">
        <f t="shared" si="1"/>
        <v>2888729.9999999814</v>
      </c>
      <c r="E29" t="s">
        <v>153</v>
      </c>
      <c r="F29">
        <v>2591162.27</v>
      </c>
      <c r="G29" s="49">
        <f t="shared" si="2"/>
        <v>2749890.0000001304</v>
      </c>
      <c r="H29">
        <f t="shared" si="3"/>
        <v>2749.8900000001304</v>
      </c>
      <c r="I29">
        <v>2594008.41</v>
      </c>
      <c r="J29" s="49">
        <f t="shared" si="4"/>
        <v>2846140.0000001304</v>
      </c>
      <c r="K29">
        <f t="shared" si="5"/>
        <v>2846.1400000001304</v>
      </c>
    </row>
    <row r="30" spans="1:13" x14ac:dyDescent="0.25">
      <c r="A30">
        <v>45420.23</v>
      </c>
      <c r="B30">
        <v>45429.07</v>
      </c>
      <c r="C30">
        <f t="shared" si="0"/>
        <v>8.8399999999965075</v>
      </c>
      <c r="D30">
        <f t="shared" si="1"/>
        <v>8839.9999999965075</v>
      </c>
      <c r="E30" t="s">
        <v>142</v>
      </c>
      <c r="F30">
        <v>45437.06</v>
      </c>
      <c r="G30" s="49">
        <f t="shared" si="2"/>
        <v>7989.9999999979627</v>
      </c>
      <c r="H30">
        <f t="shared" si="3"/>
        <v>7.9899999999979627</v>
      </c>
      <c r="I30">
        <v>45442.85</v>
      </c>
      <c r="J30" s="49">
        <f t="shared" si="4"/>
        <v>5790.0000000008731</v>
      </c>
      <c r="K30">
        <f t="shared" si="5"/>
        <v>5.7900000000008731</v>
      </c>
    </row>
    <row r="31" spans="1:13" x14ac:dyDescent="0.25">
      <c r="A31">
        <v>1129115.71</v>
      </c>
      <c r="B31">
        <v>1129333.3</v>
      </c>
      <c r="C31">
        <f t="shared" si="0"/>
        <v>217.59000000008382</v>
      </c>
      <c r="D31">
        <f t="shared" si="1"/>
        <v>217590.00000008382</v>
      </c>
      <c r="E31" t="s">
        <v>134</v>
      </c>
      <c r="F31">
        <v>1129603.3899999999</v>
      </c>
      <c r="G31" s="49">
        <f t="shared" si="2"/>
        <v>270089.99999985099</v>
      </c>
      <c r="H31">
        <f t="shared" si="3"/>
        <v>270.08999999985099</v>
      </c>
      <c r="I31">
        <v>1129831.54</v>
      </c>
      <c r="J31" s="49">
        <f t="shared" si="4"/>
        <v>228150.0000001397</v>
      </c>
      <c r="K31">
        <f t="shared" si="5"/>
        <v>228.1500000001397</v>
      </c>
    </row>
    <row r="32" spans="1:13" x14ac:dyDescent="0.25">
      <c r="A32">
        <v>6185193.1600000001</v>
      </c>
      <c r="B32">
        <v>6187808.25</v>
      </c>
      <c r="C32">
        <f t="shared" si="0"/>
        <v>2615.089999999851</v>
      </c>
      <c r="D32">
        <f t="shared" si="1"/>
        <v>2615089.999999851</v>
      </c>
      <c r="E32" t="s">
        <v>154</v>
      </c>
      <c r="F32">
        <v>6190257.5800000001</v>
      </c>
      <c r="G32" s="49">
        <f t="shared" si="2"/>
        <v>2449330.0000000745</v>
      </c>
      <c r="H32">
        <f t="shared" si="3"/>
        <v>2449.3300000000745</v>
      </c>
      <c r="I32">
        <v>6192697.0800000001</v>
      </c>
      <c r="J32" s="49">
        <f t="shared" si="4"/>
        <v>2439500</v>
      </c>
      <c r="K32">
        <f t="shared" si="5"/>
        <v>2439.5</v>
      </c>
    </row>
    <row r="33" spans="1:11" x14ac:dyDescent="0.25">
      <c r="A33">
        <v>305752.71000000002</v>
      </c>
      <c r="B33">
        <v>305853.21999999997</v>
      </c>
      <c r="C33">
        <f t="shared" si="0"/>
        <v>100.50999999995111</v>
      </c>
      <c r="D33">
        <f t="shared" si="1"/>
        <v>100509.99999995111</v>
      </c>
      <c r="E33" t="s">
        <v>135</v>
      </c>
      <c r="F33">
        <v>305952.78999999998</v>
      </c>
      <c r="G33" s="49">
        <f t="shared" si="2"/>
        <v>99570.000000006985</v>
      </c>
      <c r="H33">
        <f t="shared" si="3"/>
        <v>99.570000000006985</v>
      </c>
      <c r="I33">
        <v>306047.46999999997</v>
      </c>
      <c r="J33" s="49">
        <f t="shared" si="4"/>
        <v>94679.999999993015</v>
      </c>
      <c r="K33">
        <f t="shared" si="5"/>
        <v>94.679999999993015</v>
      </c>
    </row>
    <row r="34" spans="1:11" x14ac:dyDescent="0.25">
      <c r="A34">
        <v>1334519.17</v>
      </c>
      <c r="B34">
        <v>1335536.9099999999</v>
      </c>
      <c r="C34">
        <f t="shared" si="0"/>
        <v>1017.7399999999907</v>
      </c>
      <c r="D34">
        <f t="shared" si="1"/>
        <v>1017739.9999999907</v>
      </c>
      <c r="E34" t="s">
        <v>155</v>
      </c>
      <c r="F34">
        <v>1336164.56</v>
      </c>
      <c r="G34" s="49">
        <f t="shared" si="2"/>
        <v>627650.0000001397</v>
      </c>
      <c r="H34">
        <f t="shared" si="3"/>
        <v>627.6500000001397</v>
      </c>
      <c r="I34">
        <v>1336910.72</v>
      </c>
      <c r="J34" s="49">
        <f t="shared" si="4"/>
        <v>746159.99999991618</v>
      </c>
      <c r="K34">
        <f t="shared" si="5"/>
        <v>746.15999999991618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O15"/>
  <sheetViews>
    <sheetView zoomScaleNormal="100" workbookViewId="0">
      <selection activeCell="Q16" sqref="Q16"/>
    </sheetView>
  </sheetViews>
  <sheetFormatPr defaultRowHeight="15" x14ac:dyDescent="0.25"/>
  <cols>
    <col min="1" max="1" width="24.7109375" bestFit="1" customWidth="1"/>
    <col min="2" max="2" width="10" customWidth="1"/>
    <col min="3" max="3" width="10.140625" customWidth="1"/>
    <col min="4" max="4" width="1.28515625" customWidth="1"/>
    <col min="6" max="6" width="10.42578125" customWidth="1"/>
    <col min="7" max="7" width="2.28515625" customWidth="1"/>
    <col min="9" max="9" width="10.42578125" customWidth="1"/>
    <col min="10" max="10" width="3" customWidth="1"/>
    <col min="12" max="12" width="10.28515625" customWidth="1"/>
    <col min="13" max="13" width="3.5703125" customWidth="1"/>
    <col min="15" max="15" width="11.42578125" customWidth="1"/>
  </cols>
  <sheetData>
    <row r="2" spans="1:15" x14ac:dyDescent="0.25">
      <c r="A2" s="144" t="s">
        <v>112</v>
      </c>
      <c r="B2" s="139">
        <v>43344</v>
      </c>
      <c r="C2" s="139" t="s">
        <v>115</v>
      </c>
      <c r="D2" s="139"/>
      <c r="E2" s="139">
        <v>43345</v>
      </c>
      <c r="F2" s="139" t="s">
        <v>115</v>
      </c>
      <c r="G2" s="139"/>
      <c r="H2" s="139">
        <v>43346</v>
      </c>
      <c r="I2" s="139" t="s">
        <v>115</v>
      </c>
      <c r="J2" s="139"/>
      <c r="K2" s="139">
        <v>43347</v>
      </c>
      <c r="L2" s="139" t="s">
        <v>115</v>
      </c>
      <c r="M2" s="139"/>
      <c r="N2" s="139">
        <v>43348</v>
      </c>
      <c r="O2" s="139" t="s">
        <v>115</v>
      </c>
    </row>
    <row r="3" spans="1:15" x14ac:dyDescent="0.25">
      <c r="A3" s="145"/>
      <c r="B3" s="141"/>
      <c r="C3" s="140"/>
      <c r="D3" s="140"/>
      <c r="E3" s="141"/>
      <c r="F3" s="140"/>
      <c r="G3" s="140"/>
      <c r="H3" s="141"/>
      <c r="I3" s="140"/>
      <c r="J3" s="140"/>
      <c r="K3" s="141"/>
      <c r="L3" s="140"/>
      <c r="M3" s="140"/>
      <c r="N3" s="141"/>
      <c r="O3" s="140"/>
    </row>
    <row r="4" spans="1:15" x14ac:dyDescent="0.25">
      <c r="A4" s="41" t="s">
        <v>13</v>
      </c>
      <c r="B4" s="14"/>
      <c r="C4" s="141"/>
      <c r="D4" s="140"/>
      <c r="E4" s="14"/>
      <c r="F4" s="141"/>
      <c r="G4" s="140"/>
      <c r="H4" s="14"/>
      <c r="I4" s="141"/>
      <c r="J4" s="140"/>
      <c r="K4" s="14"/>
      <c r="L4" s="141"/>
      <c r="M4" s="140"/>
      <c r="N4" s="14"/>
      <c r="O4" s="141"/>
    </row>
    <row r="5" spans="1:15" x14ac:dyDescent="0.25">
      <c r="A5" s="21" t="s">
        <v>49</v>
      </c>
      <c r="B5" s="35">
        <v>50630</v>
      </c>
      <c r="C5" s="35">
        <f>B5/B13</f>
        <v>2109.5833333333335</v>
      </c>
      <c r="D5" s="140"/>
      <c r="E5" s="35">
        <v>46632</v>
      </c>
      <c r="F5" s="35">
        <f>E5/E13</f>
        <v>2163.8979118329466</v>
      </c>
      <c r="G5" s="140"/>
      <c r="H5" s="35">
        <v>48932</v>
      </c>
      <c r="I5" s="35">
        <f>H5/H13</f>
        <v>2204.1441441441443</v>
      </c>
      <c r="J5" s="140"/>
      <c r="K5" s="35">
        <v>49880</v>
      </c>
      <c r="L5" s="35">
        <f>K5/K13</f>
        <v>2168.695652173913</v>
      </c>
      <c r="M5" s="140"/>
      <c r="N5" s="35">
        <v>41204</v>
      </c>
      <c r="O5" s="35">
        <f>N5/N13</f>
        <v>2146.041666666667</v>
      </c>
    </row>
    <row r="6" spans="1:15" x14ac:dyDescent="0.25">
      <c r="A6" s="21" t="s">
        <v>50</v>
      </c>
      <c r="B6" s="35">
        <v>6853</v>
      </c>
      <c r="C6" s="35">
        <f>B6/B13</f>
        <v>285.54166666666669</v>
      </c>
      <c r="D6" s="140"/>
      <c r="E6" s="35">
        <v>6371</v>
      </c>
      <c r="F6" s="35">
        <f>E6/E13</f>
        <v>295.63805104408351</v>
      </c>
      <c r="G6" s="140"/>
      <c r="H6" s="35">
        <v>6583</v>
      </c>
      <c r="I6" s="35">
        <f>H6/H13</f>
        <v>296.53153153153153</v>
      </c>
      <c r="J6" s="140"/>
      <c r="K6" s="35">
        <v>6611</v>
      </c>
      <c r="L6" s="35">
        <f>K6/K13</f>
        <v>287.43478260869563</v>
      </c>
      <c r="M6" s="140"/>
      <c r="N6" s="35">
        <v>5864</v>
      </c>
      <c r="O6" s="35">
        <f>N6/N13</f>
        <v>305.41666666666669</v>
      </c>
    </row>
    <row r="7" spans="1:15" x14ac:dyDescent="0.25">
      <c r="A7" s="21" t="s">
        <v>51</v>
      </c>
      <c r="B7" s="35">
        <v>6444</v>
      </c>
      <c r="C7" s="35">
        <f>B7/B13</f>
        <v>268.5</v>
      </c>
      <c r="D7" s="140"/>
      <c r="E7" s="35">
        <v>5219.5</v>
      </c>
      <c r="F7" s="35">
        <f>E7/E13</f>
        <v>242.20417633410673</v>
      </c>
      <c r="G7" s="140"/>
      <c r="H7" s="35">
        <v>5988.5</v>
      </c>
      <c r="I7" s="35">
        <f>H7/H13</f>
        <v>269.75225225225228</v>
      </c>
      <c r="J7" s="140"/>
      <c r="K7" s="35">
        <v>7338.5</v>
      </c>
      <c r="L7" s="35">
        <f>K7/K13</f>
        <v>319.06521739130437</v>
      </c>
      <c r="M7" s="140"/>
      <c r="N7" s="35">
        <v>6110</v>
      </c>
      <c r="O7" s="35">
        <f>N7/N13</f>
        <v>318.22916666666669</v>
      </c>
    </row>
    <row r="8" spans="1:15" x14ac:dyDescent="0.25">
      <c r="A8" s="21" t="s">
        <v>52</v>
      </c>
      <c r="B8" s="35">
        <v>495</v>
      </c>
      <c r="C8" s="35">
        <f>B8/B13</f>
        <v>20.625</v>
      </c>
      <c r="D8" s="140"/>
      <c r="E8" s="35">
        <v>430</v>
      </c>
      <c r="F8" s="35">
        <f>E8/E13</f>
        <v>19.953596287703014</v>
      </c>
      <c r="G8" s="140"/>
      <c r="H8" s="35">
        <v>440</v>
      </c>
      <c r="I8" s="35">
        <f>H8/H13</f>
        <v>19.81981981981982</v>
      </c>
      <c r="J8" s="140"/>
      <c r="K8" s="35">
        <v>469</v>
      </c>
      <c r="L8" s="35">
        <f>K8/K13</f>
        <v>20.391304347826086</v>
      </c>
      <c r="M8" s="140"/>
      <c r="N8" s="35">
        <v>378</v>
      </c>
      <c r="O8" s="35">
        <f>N8/N13</f>
        <v>19.6875</v>
      </c>
    </row>
    <row r="9" spans="1:15" x14ac:dyDescent="0.25">
      <c r="A9" s="21" t="s">
        <v>53</v>
      </c>
      <c r="B9" s="35">
        <v>0</v>
      </c>
      <c r="C9" s="35">
        <f>B9/B13</f>
        <v>0</v>
      </c>
      <c r="D9" s="140"/>
      <c r="E9" s="35">
        <v>0</v>
      </c>
      <c r="F9" s="35">
        <f>E9/E13</f>
        <v>0</v>
      </c>
      <c r="G9" s="140"/>
      <c r="H9" s="35">
        <v>0</v>
      </c>
      <c r="I9" s="35">
        <f>H9/H13</f>
        <v>0</v>
      </c>
      <c r="J9" s="140"/>
      <c r="K9" s="35">
        <v>0</v>
      </c>
      <c r="L9" s="35">
        <f>K9/K13</f>
        <v>0</v>
      </c>
      <c r="M9" s="140"/>
      <c r="N9" s="35">
        <v>0</v>
      </c>
      <c r="O9" s="35">
        <f>N9/N13</f>
        <v>0</v>
      </c>
    </row>
    <row r="10" spans="1:15" x14ac:dyDescent="0.25">
      <c r="A10" s="21" t="s">
        <v>54</v>
      </c>
      <c r="B10" s="35">
        <v>2666</v>
      </c>
      <c r="C10" s="35">
        <f>B10/B13</f>
        <v>111.08333333333333</v>
      </c>
      <c r="D10" s="140"/>
      <c r="E10" s="35">
        <v>2648</v>
      </c>
      <c r="F10" s="35">
        <f>E10/E13</f>
        <v>122.87703016241299</v>
      </c>
      <c r="G10" s="140"/>
      <c r="H10" s="35">
        <v>2679</v>
      </c>
      <c r="I10" s="35">
        <f>H10/H13</f>
        <v>120.67567567567568</v>
      </c>
      <c r="J10" s="140"/>
      <c r="K10" s="35">
        <v>2602</v>
      </c>
      <c r="L10" s="35">
        <f>K10/K13</f>
        <v>113.1304347826087</v>
      </c>
      <c r="M10" s="140"/>
      <c r="N10" s="35">
        <v>2614</v>
      </c>
      <c r="O10" s="35">
        <f>N10/N13</f>
        <v>136.14583333333334</v>
      </c>
    </row>
    <row r="11" spans="1:15" x14ac:dyDescent="0.25">
      <c r="A11" s="21" t="s">
        <v>55</v>
      </c>
      <c r="B11" s="35">
        <v>0</v>
      </c>
      <c r="C11" s="35">
        <f>B11/B13</f>
        <v>0</v>
      </c>
      <c r="D11" s="140"/>
      <c r="E11" s="35">
        <v>0</v>
      </c>
      <c r="F11" s="35">
        <f>E11/E13</f>
        <v>0</v>
      </c>
      <c r="G11" s="140"/>
      <c r="H11" s="35">
        <v>0</v>
      </c>
      <c r="I11" s="35">
        <f>H11/H13</f>
        <v>0</v>
      </c>
      <c r="J11" s="140"/>
      <c r="K11" s="35">
        <v>836</v>
      </c>
      <c r="L11" s="35">
        <f>K11/K13</f>
        <v>36.347826086956523</v>
      </c>
      <c r="M11" s="140"/>
      <c r="N11" s="35">
        <v>676</v>
      </c>
      <c r="O11" s="35">
        <f>N11/N13</f>
        <v>35.208333333333336</v>
      </c>
    </row>
    <row r="12" spans="1:15" x14ac:dyDescent="0.25">
      <c r="A12" s="42" t="s">
        <v>46</v>
      </c>
      <c r="B12" s="45">
        <v>67088</v>
      </c>
      <c r="C12" s="46">
        <f>B12/B13</f>
        <v>2795.3333333333335</v>
      </c>
      <c r="D12" s="140"/>
      <c r="E12" s="45">
        <v>61300.5</v>
      </c>
      <c r="F12" s="45">
        <f>E12/E13</f>
        <v>2844.5707656612526</v>
      </c>
      <c r="G12" s="140"/>
      <c r="H12" s="45">
        <v>64622.5</v>
      </c>
      <c r="I12" s="45">
        <f>H12/H13</f>
        <v>2910.9234234234236</v>
      </c>
      <c r="J12" s="140"/>
      <c r="K12" s="45">
        <v>67736.5</v>
      </c>
      <c r="L12" s="45">
        <f>K12/K13</f>
        <v>2945.0652173913045</v>
      </c>
      <c r="M12" s="140"/>
      <c r="N12" s="45">
        <v>56846</v>
      </c>
      <c r="O12" s="45">
        <f>N12/N13</f>
        <v>2960.729166666667</v>
      </c>
    </row>
    <row r="13" spans="1:15" x14ac:dyDescent="0.25">
      <c r="A13" s="21" t="s">
        <v>47</v>
      </c>
      <c r="B13" s="17">
        <v>24</v>
      </c>
      <c r="C13" s="142" t="s">
        <v>116</v>
      </c>
      <c r="D13" s="140"/>
      <c r="E13" s="17">
        <v>21.55</v>
      </c>
      <c r="F13" s="142" t="s">
        <v>116</v>
      </c>
      <c r="G13" s="140"/>
      <c r="H13" s="17">
        <v>22.2</v>
      </c>
      <c r="I13" s="142" t="s">
        <v>116</v>
      </c>
      <c r="J13" s="140"/>
      <c r="K13" s="17">
        <v>23</v>
      </c>
      <c r="L13" s="142" t="s">
        <v>116</v>
      </c>
      <c r="M13" s="140"/>
      <c r="N13" s="17">
        <v>19.2</v>
      </c>
      <c r="O13" s="142" t="s">
        <v>116</v>
      </c>
    </row>
    <row r="14" spans="1:15" x14ac:dyDescent="0.25">
      <c r="A14" s="21" t="s">
        <v>48</v>
      </c>
      <c r="B14" s="17">
        <v>1800</v>
      </c>
      <c r="C14" s="143"/>
      <c r="D14" s="140"/>
      <c r="E14" s="17">
        <v>1595</v>
      </c>
      <c r="F14" s="143"/>
      <c r="G14" s="140"/>
      <c r="H14" s="17">
        <v>1697</v>
      </c>
      <c r="I14" s="143"/>
      <c r="J14" s="140"/>
      <c r="K14" s="17">
        <v>1793</v>
      </c>
      <c r="L14" s="143"/>
      <c r="M14" s="140"/>
      <c r="N14" s="17">
        <v>1250</v>
      </c>
      <c r="O14" s="143"/>
    </row>
    <row r="15" spans="1:15" x14ac:dyDescent="0.25">
      <c r="A15" s="43" t="s">
        <v>113</v>
      </c>
      <c r="B15" s="44">
        <v>2795.3333333333335</v>
      </c>
      <c r="C15" s="44">
        <f>B14/B13</f>
        <v>75</v>
      </c>
      <c r="D15" s="141"/>
      <c r="E15" s="44">
        <v>2844.5707656612526</v>
      </c>
      <c r="F15" s="44">
        <f>E14/E13</f>
        <v>74.013921113689094</v>
      </c>
      <c r="G15" s="141"/>
      <c r="H15" s="44">
        <v>2910.9234234234236</v>
      </c>
      <c r="I15" s="44">
        <f>H14/H13</f>
        <v>76.441441441441441</v>
      </c>
      <c r="J15" s="141"/>
      <c r="K15" s="44">
        <v>2945.0652173913045</v>
      </c>
      <c r="L15" s="44">
        <f>K14/K13</f>
        <v>77.956521739130437</v>
      </c>
      <c r="M15" s="141"/>
      <c r="N15" s="44">
        <v>2960.729166666667</v>
      </c>
      <c r="O15" s="44">
        <f>N14/N13</f>
        <v>65.104166666666671</v>
      </c>
    </row>
  </sheetData>
  <mergeCells count="20">
    <mergeCell ref="A2:A3"/>
    <mergeCell ref="B2:B3"/>
    <mergeCell ref="E2:E3"/>
    <mergeCell ref="H2:H3"/>
    <mergeCell ref="C2:C4"/>
    <mergeCell ref="C13:C14"/>
    <mergeCell ref="F2:F4"/>
    <mergeCell ref="F13:F14"/>
    <mergeCell ref="I2:I4"/>
    <mergeCell ref="D2:D15"/>
    <mergeCell ref="I13:I14"/>
    <mergeCell ref="O2:O4"/>
    <mergeCell ref="O13:O14"/>
    <mergeCell ref="M2:M15"/>
    <mergeCell ref="J2:J15"/>
    <mergeCell ref="G2:G15"/>
    <mergeCell ref="K2:K3"/>
    <mergeCell ref="N2:N3"/>
    <mergeCell ref="L2:L4"/>
    <mergeCell ref="L13:L14"/>
  </mergeCells>
  <pageMargins left="0.7" right="0.7" top="0.75" bottom="0.75" header="0.3" footer="0.3"/>
  <pageSetup paperSize="9" scale="9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5:E48"/>
  <sheetViews>
    <sheetView workbookViewId="0">
      <selection activeCell="C43" sqref="C43"/>
    </sheetView>
  </sheetViews>
  <sheetFormatPr defaultRowHeight="15" x14ac:dyDescent="0.25"/>
  <cols>
    <col min="2" max="2" width="15.85546875" style="34" customWidth="1"/>
    <col min="3" max="3" width="27.42578125" style="34" customWidth="1"/>
    <col min="4" max="4" width="22.85546875" style="34" customWidth="1"/>
    <col min="5" max="5" width="16.140625" style="34" customWidth="1"/>
  </cols>
  <sheetData>
    <row r="5" spans="2:5" x14ac:dyDescent="0.25">
      <c r="B5" s="146" t="s">
        <v>81</v>
      </c>
      <c r="C5" s="146"/>
      <c r="D5" s="146"/>
      <c r="E5" s="146"/>
    </row>
    <row r="6" spans="2:5" x14ac:dyDescent="0.25">
      <c r="B6" s="36">
        <v>43313</v>
      </c>
      <c r="C6" s="17" t="s">
        <v>59</v>
      </c>
      <c r="D6" s="17" t="s">
        <v>60</v>
      </c>
      <c r="E6" s="17" t="s">
        <v>61</v>
      </c>
    </row>
    <row r="7" spans="2:5" x14ac:dyDescent="0.25">
      <c r="B7" s="17" t="s">
        <v>57</v>
      </c>
      <c r="C7" s="35">
        <v>7485.63</v>
      </c>
      <c r="D7" s="35">
        <v>7497.16</v>
      </c>
      <c r="E7" s="35">
        <f>D7-C7</f>
        <v>11.529999999999745</v>
      </c>
    </row>
    <row r="8" spans="2:5" x14ac:dyDescent="0.25">
      <c r="B8" s="17" t="s">
        <v>58</v>
      </c>
      <c r="C8" s="35">
        <v>14470.2</v>
      </c>
      <c r="D8" s="35">
        <v>14487.38</v>
      </c>
      <c r="E8" s="35">
        <f>D8-C8</f>
        <v>17.179999999998472</v>
      </c>
    </row>
    <row r="9" spans="2:5" x14ac:dyDescent="0.25">
      <c r="B9" s="147" t="s">
        <v>48</v>
      </c>
      <c r="C9" s="17" t="s">
        <v>62</v>
      </c>
      <c r="D9" s="17" t="s">
        <v>63</v>
      </c>
      <c r="E9" s="151"/>
    </row>
    <row r="10" spans="2:5" x14ac:dyDescent="0.25">
      <c r="B10" s="147"/>
      <c r="C10" s="35">
        <v>907</v>
      </c>
      <c r="D10" s="35">
        <v>1091.3</v>
      </c>
      <c r="E10" s="152"/>
    </row>
    <row r="11" spans="2:5" x14ac:dyDescent="0.25">
      <c r="B11" s="17"/>
      <c r="C11" s="35"/>
      <c r="D11" s="148" t="s">
        <v>76</v>
      </c>
      <c r="E11" s="149" t="s">
        <v>77</v>
      </c>
    </row>
    <row r="12" spans="2:5" x14ac:dyDescent="0.25">
      <c r="B12" s="17" t="s">
        <v>73</v>
      </c>
      <c r="C12" s="17" t="s">
        <v>74</v>
      </c>
      <c r="D12" s="148"/>
      <c r="E12" s="149"/>
    </row>
    <row r="13" spans="2:5" x14ac:dyDescent="0.25">
      <c r="B13" s="35" t="s">
        <v>64</v>
      </c>
      <c r="C13" s="35">
        <v>22</v>
      </c>
      <c r="D13" s="148"/>
      <c r="E13" s="149"/>
    </row>
    <row r="14" spans="2:5" x14ac:dyDescent="0.25">
      <c r="B14" s="35" t="s">
        <v>65</v>
      </c>
      <c r="C14" s="35">
        <v>45</v>
      </c>
    </row>
    <row r="15" spans="2:5" x14ac:dyDescent="0.25">
      <c r="B15" s="35" t="s">
        <v>66</v>
      </c>
      <c r="C15" s="35">
        <v>18.5</v>
      </c>
      <c r="D15" s="150" t="s">
        <v>78</v>
      </c>
      <c r="E15" s="39" t="s">
        <v>79</v>
      </c>
    </row>
    <row r="16" spans="2:5" x14ac:dyDescent="0.25">
      <c r="B16" s="35" t="s">
        <v>67</v>
      </c>
      <c r="C16" s="35">
        <v>5.5</v>
      </c>
      <c r="D16" s="150"/>
      <c r="E16" s="39" t="s">
        <v>80</v>
      </c>
    </row>
    <row r="17" spans="2:4" x14ac:dyDescent="0.25">
      <c r="B17" s="35" t="s">
        <v>68</v>
      </c>
      <c r="C17" s="35">
        <v>11</v>
      </c>
      <c r="D17" s="38"/>
    </row>
    <row r="18" spans="2:4" x14ac:dyDescent="0.25">
      <c r="B18" s="35" t="s">
        <v>69</v>
      </c>
      <c r="C18" s="35">
        <v>37</v>
      </c>
    </row>
    <row r="19" spans="2:4" x14ac:dyDescent="0.25">
      <c r="B19" s="35" t="s">
        <v>70</v>
      </c>
      <c r="C19" s="35">
        <v>0.75</v>
      </c>
    </row>
    <row r="20" spans="2:4" x14ac:dyDescent="0.25">
      <c r="B20" s="35" t="s">
        <v>71</v>
      </c>
      <c r="C20" s="35">
        <v>7.5</v>
      </c>
    </row>
    <row r="21" spans="2:4" x14ac:dyDescent="0.25">
      <c r="B21" s="35" t="s">
        <v>72</v>
      </c>
      <c r="C21" s="35">
        <v>0.75</v>
      </c>
    </row>
    <row r="22" spans="2:4" x14ac:dyDescent="0.25">
      <c r="B22" s="37" t="s">
        <v>75</v>
      </c>
      <c r="C22" s="37">
        <f>SUM(C13:C21)</f>
        <v>148</v>
      </c>
    </row>
    <row r="26" spans="2:4" x14ac:dyDescent="0.25">
      <c r="B26" s="34" t="s">
        <v>82</v>
      </c>
      <c r="C26" s="34" t="s">
        <v>74</v>
      </c>
    </row>
    <row r="27" spans="2:4" x14ac:dyDescent="0.25">
      <c r="B27" s="34" t="s">
        <v>83</v>
      </c>
      <c r="C27" s="34">
        <v>7.5</v>
      </c>
    </row>
    <row r="28" spans="2:4" x14ac:dyDescent="0.25">
      <c r="B28" s="34" t="s">
        <v>94</v>
      </c>
      <c r="C28" s="34">
        <v>18.5</v>
      </c>
    </row>
    <row r="29" spans="2:4" x14ac:dyDescent="0.25">
      <c r="B29" s="34" t="s">
        <v>95</v>
      </c>
      <c r="C29" s="34">
        <v>22</v>
      </c>
    </row>
    <row r="30" spans="2:4" x14ac:dyDescent="0.25">
      <c r="B30" s="34" t="s">
        <v>96</v>
      </c>
      <c r="C30" s="34">
        <v>5.5</v>
      </c>
    </row>
    <row r="31" spans="2:4" x14ac:dyDescent="0.25">
      <c r="B31" s="34" t="s">
        <v>84</v>
      </c>
      <c r="C31" s="34">
        <v>11</v>
      </c>
    </row>
    <row r="32" spans="2:4" x14ac:dyDescent="0.25">
      <c r="B32" s="34" t="s">
        <v>85</v>
      </c>
      <c r="C32" s="34">
        <v>15</v>
      </c>
    </row>
    <row r="33" spans="2:3" x14ac:dyDescent="0.25">
      <c r="B33" s="34" t="s">
        <v>86</v>
      </c>
      <c r="C33" s="34">
        <v>15</v>
      </c>
    </row>
    <row r="34" spans="2:3" x14ac:dyDescent="0.25">
      <c r="B34" s="34" t="s">
        <v>87</v>
      </c>
      <c r="C34" s="34">
        <v>5.5</v>
      </c>
    </row>
    <row r="35" spans="2:3" x14ac:dyDescent="0.25">
      <c r="B35" s="34" t="s">
        <v>88</v>
      </c>
      <c r="C35" s="34">
        <v>7.5</v>
      </c>
    </row>
    <row r="36" spans="2:3" x14ac:dyDescent="0.25">
      <c r="B36" s="34" t="s">
        <v>89</v>
      </c>
      <c r="C36" s="34">
        <v>0.75</v>
      </c>
    </row>
    <row r="37" spans="2:3" x14ac:dyDescent="0.25">
      <c r="B37" s="34" t="s">
        <v>90</v>
      </c>
      <c r="C37" s="34">
        <v>0.75</v>
      </c>
    </row>
    <row r="38" spans="2:3" x14ac:dyDescent="0.25">
      <c r="B38" s="34" t="s">
        <v>91</v>
      </c>
      <c r="C38" s="34">
        <v>0.75</v>
      </c>
    </row>
    <row r="39" spans="2:3" x14ac:dyDescent="0.25">
      <c r="B39" s="34" t="s">
        <v>92</v>
      </c>
      <c r="C39" s="34">
        <v>0.75</v>
      </c>
    </row>
    <row r="40" spans="2:3" x14ac:dyDescent="0.25">
      <c r="B40" s="34" t="s">
        <v>93</v>
      </c>
      <c r="C40" s="34">
        <v>0.75</v>
      </c>
    </row>
    <row r="41" spans="2:3" x14ac:dyDescent="0.25">
      <c r="B41" s="34" t="s">
        <v>97</v>
      </c>
      <c r="C41" s="34">
        <v>55</v>
      </c>
    </row>
    <row r="42" spans="2:3" x14ac:dyDescent="0.25">
      <c r="B42" s="34" t="s">
        <v>98</v>
      </c>
      <c r="C42" s="34">
        <v>0.75</v>
      </c>
    </row>
    <row r="43" spans="2:3" x14ac:dyDescent="0.25">
      <c r="B43" s="34" t="s">
        <v>99</v>
      </c>
    </row>
    <row r="44" spans="2:3" x14ac:dyDescent="0.25">
      <c r="B44" s="34" t="s">
        <v>100</v>
      </c>
    </row>
    <row r="45" spans="2:3" x14ac:dyDescent="0.25">
      <c r="B45" s="34" t="s">
        <v>101</v>
      </c>
    </row>
    <row r="46" spans="2:3" x14ac:dyDescent="0.25">
      <c r="B46" s="34" t="s">
        <v>102</v>
      </c>
    </row>
    <row r="47" spans="2:3" x14ac:dyDescent="0.25">
      <c r="B47" s="34" t="s">
        <v>103</v>
      </c>
    </row>
    <row r="48" spans="2:3" x14ac:dyDescent="0.25">
      <c r="B48" s="34" t="s">
        <v>104</v>
      </c>
    </row>
  </sheetData>
  <mergeCells count="6">
    <mergeCell ref="B5:E5"/>
    <mergeCell ref="B9:B10"/>
    <mergeCell ref="D11:D13"/>
    <mergeCell ref="E11:E13"/>
    <mergeCell ref="D15:D16"/>
    <mergeCell ref="E9:E10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5"/>
  <sheetViews>
    <sheetView workbookViewId="0">
      <selection activeCell="H14" sqref="H14"/>
    </sheetView>
  </sheetViews>
  <sheetFormatPr defaultRowHeight="15" x14ac:dyDescent="0.25"/>
  <cols>
    <col min="1" max="1" width="28.140625" bestFit="1" customWidth="1"/>
  </cols>
  <sheetData>
    <row r="1" spans="1:3" ht="15" customHeight="1" x14ac:dyDescent="0.25">
      <c r="A1" s="149" t="s">
        <v>31</v>
      </c>
      <c r="B1" s="22"/>
      <c r="C1" s="153"/>
    </row>
    <row r="2" spans="1:3" x14ac:dyDescent="0.25">
      <c r="A2" s="149"/>
      <c r="B2" s="23"/>
      <c r="C2" s="154"/>
    </row>
    <row r="3" spans="1:3" x14ac:dyDescent="0.25">
      <c r="A3" s="14" t="s">
        <v>21</v>
      </c>
      <c r="B3" s="14"/>
      <c r="C3" s="14"/>
    </row>
    <row r="4" spans="1:3" x14ac:dyDescent="0.25">
      <c r="A4" s="14" t="s">
        <v>32</v>
      </c>
      <c r="B4" s="14"/>
      <c r="C4" s="14"/>
    </row>
    <row r="5" spans="1:3" x14ac:dyDescent="0.25">
      <c r="A5" s="14" t="s">
        <v>23</v>
      </c>
      <c r="B5" s="14"/>
      <c r="C5" s="14"/>
    </row>
    <row r="6" spans="1:3" x14ac:dyDescent="0.25">
      <c r="A6" s="14" t="s">
        <v>24</v>
      </c>
      <c r="B6" s="14"/>
      <c r="C6" s="14"/>
    </row>
    <row r="7" spans="1:3" x14ac:dyDescent="0.25">
      <c r="A7" s="14" t="s">
        <v>25</v>
      </c>
      <c r="B7" s="14"/>
      <c r="C7" s="14"/>
    </row>
    <row r="8" spans="1:3" x14ac:dyDescent="0.25">
      <c r="A8" s="14" t="s">
        <v>26</v>
      </c>
      <c r="B8" s="14"/>
      <c r="C8" s="14"/>
    </row>
    <row r="9" spans="1:3" x14ac:dyDescent="0.25">
      <c r="A9" s="14" t="s">
        <v>27</v>
      </c>
      <c r="B9" s="14"/>
      <c r="C9" s="14"/>
    </row>
    <row r="10" spans="1:3" x14ac:dyDescent="0.25">
      <c r="A10" s="14" t="s">
        <v>33</v>
      </c>
      <c r="B10" s="14"/>
      <c r="C10" s="14"/>
    </row>
    <row r="11" spans="1:3" x14ac:dyDescent="0.25">
      <c r="A11" s="14" t="s">
        <v>28</v>
      </c>
      <c r="B11" s="14"/>
      <c r="C11" s="14"/>
    </row>
    <row r="12" spans="1:3" x14ac:dyDescent="0.25">
      <c r="A12" s="14"/>
      <c r="B12" s="14"/>
      <c r="C12" s="14"/>
    </row>
    <row r="13" spans="1:3" x14ac:dyDescent="0.25">
      <c r="A13" s="21" t="s">
        <v>29</v>
      </c>
      <c r="B13" s="14"/>
      <c r="C13" s="14"/>
    </row>
    <row r="14" spans="1:3" x14ac:dyDescent="0.25">
      <c r="A14" s="21" t="s">
        <v>34</v>
      </c>
      <c r="B14" s="20"/>
      <c r="C14" s="20"/>
    </row>
    <row r="15" spans="1:3" ht="45" x14ac:dyDescent="0.25">
      <c r="A15" s="16" t="s">
        <v>35</v>
      </c>
      <c r="B15" s="14"/>
      <c r="C15" s="14"/>
    </row>
  </sheetData>
  <mergeCells count="2"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Sheet5</vt:lpstr>
      <vt:lpstr>IMS DATA</vt:lpstr>
      <vt:lpstr>CUMULATIVE DAILY</vt:lpstr>
      <vt:lpstr>Sheet4</vt:lpstr>
      <vt:lpstr>Energy Readings</vt:lpstr>
      <vt:lpstr>READINGS</vt:lpstr>
      <vt:lpstr>Sheet8</vt:lpstr>
      <vt:lpstr>Sheet6</vt:lpstr>
      <vt:lpstr>Sheet7</vt:lpstr>
      <vt:lpstr>Sheet9</vt:lpstr>
      <vt:lpstr>Sheet1</vt:lpstr>
      <vt:lpstr>Sheet3</vt:lpstr>
      <vt:lpstr>Sheet2</vt:lpstr>
      <vt:lpstr>CORRECTIONS IF ANY</vt:lpstr>
      <vt:lpstr>'CUMULATIVE DAILY'!Print_Area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2026-07-02T15:01:47Z</dcterms:modified>
</cp:coreProperties>
</file>