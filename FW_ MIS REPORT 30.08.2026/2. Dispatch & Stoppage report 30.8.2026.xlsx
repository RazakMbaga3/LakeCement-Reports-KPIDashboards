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B8A4AA2-1A64-4135-AB50-E448D5E383E5}" xr6:coauthVersionLast="36" xr6:coauthVersionMax="47" xr10:uidLastSave="{00000000-0000-0000-0000-000000000000}"/>
  <bookViews>
    <workbookView xWindow="0" yWindow="0" windowWidth="10980" windowHeight="4080" xr2:uid="{00000000-000D-0000-FFFF-FFFF00000000}"/>
  </bookViews>
  <sheets>
    <sheet name="30.8.2026" sheetId="4" r:id="rId1"/>
    <sheet name="Stoppage Report" sheetId="5" r:id="rId2"/>
    <sheet name="Sheet2" sheetId="3" state="hidden" r:id="rId3"/>
    <sheet name="Sheet1" sheetId="2" state="hidden" r:id="rId4"/>
  </sheets>
  <calcPr calcId="181029"/>
</workbook>
</file>

<file path=xl/calcChain.xml><?xml version="1.0" encoding="utf-8"?>
<calcChain xmlns="http://schemas.openxmlformats.org/spreadsheetml/2006/main">
  <c r="S7" i="4" l="1"/>
  <c r="S8" i="4" l="1"/>
  <c r="Q15" i="4" l="1"/>
  <c r="Q14" i="4"/>
  <c r="Q13" i="4"/>
  <c r="R10" i="4" l="1"/>
</calcChain>
</file>

<file path=xl/sharedStrings.xml><?xml version="1.0" encoding="utf-8"?>
<sst xmlns="http://schemas.openxmlformats.org/spreadsheetml/2006/main" count="89" uniqueCount="43">
  <si>
    <t>REGULAR BAGS</t>
  </si>
  <si>
    <t>BIG BAGS</t>
  </si>
  <si>
    <t xml:space="preserve">42.5 R </t>
  </si>
  <si>
    <t>42.5 N</t>
  </si>
  <si>
    <t>42.5 R</t>
  </si>
  <si>
    <t>SO PENDENCY</t>
  </si>
  <si>
    <t>Total</t>
  </si>
  <si>
    <t>Loaded after 12 pm</t>
  </si>
  <si>
    <t>Inside Plant for Loading</t>
  </si>
  <si>
    <t>Outside Plant Waiting         </t>
  </si>
  <si>
    <t>AVERAGE DAILY</t>
  </si>
  <si>
    <t>SALES ON DATE</t>
  </si>
  <si>
    <t xml:space="preserve">32.5 N </t>
  </si>
  <si>
    <t xml:space="preserve">42.5 N </t>
  </si>
  <si>
    <t>DISPATCH</t>
  </si>
  <si>
    <t>SHIFT CHANGE</t>
  </si>
  <si>
    <t>Start Time</t>
  </si>
  <si>
    <t>End Time</t>
  </si>
  <si>
    <t>Duration</t>
  </si>
  <si>
    <t>Responsible Department</t>
  </si>
  <si>
    <t>Stoppage Reason</t>
  </si>
  <si>
    <t>SR NO</t>
  </si>
  <si>
    <t xml:space="preserve">Sales </t>
  </si>
  <si>
    <t>BULKER</t>
  </si>
  <si>
    <t xml:space="preserve"> 42.5 R</t>
  </si>
  <si>
    <t xml:space="preserve"> 42.5 N B-M</t>
  </si>
  <si>
    <t xml:space="preserve"> 32.5 N</t>
  </si>
  <si>
    <t xml:space="preserve"> OPC 42.5 N</t>
  </si>
  <si>
    <t>32.5 N</t>
  </si>
  <si>
    <t xml:space="preserve"> 42.5 N</t>
  </si>
  <si>
    <t>42.5 N B-M</t>
  </si>
  <si>
    <t>Clinker</t>
  </si>
  <si>
    <t xml:space="preserve">DATE </t>
  </si>
  <si>
    <t xml:space="preserve">DISPATCH REPORT ( MT ) </t>
  </si>
  <si>
    <t>YTD SALES ( APRIL'26-MARCH'27)</t>
  </si>
  <si>
    <t>0.0</t>
  </si>
  <si>
    <t>Stoppage Date</t>
  </si>
  <si>
    <t>MTD SALES ( Aug '26)</t>
  </si>
  <si>
    <t>VEHICLES @ 6 AM</t>
  </si>
  <si>
    <t>PRODUCTION</t>
  </si>
  <si>
    <t>LOW LEVEL IN SILOS</t>
  </si>
  <si>
    <t>LOW LEVEL OF CEMENT IN SILO #2</t>
  </si>
  <si>
    <t>LOW LEVEL OF CEMENT IN SILO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</si>
</sst>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* #,##0_-;\-* #,##0_-;_-* &quot;-&quot;??_-;_-@_-"/>
    <numFmt numFmtId="166" formatCode="dd/mm/yyyy\ hh:mm:ss"/>
    <numFmt numFmtId="167" formatCode="hh:mm:ss"/>
    <numFmt numFmtId="168" formatCode="_(* #,##0_);_(* \(#,##0\);_(* &quot;-&quot;??_);_(@_)"/>
    <numFmt numFmtId="169" formatCode="dd/mm/yyyy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000000"/>
      <name val="Calibri"/>
      <family val="2"/>
    </font>
    <font>
      <b/>
      <sz val="20"/>
      <name val="Calibri"/>
      <family val="2"/>
      <scheme val="minor"/>
    </font>
    <font>
      <b/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4" fontId="18" fillId="0" borderId="0" applyFont="0" applyFill="0" applyBorder="0" applyAlignment="0" applyProtection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7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166" fontId="23" fillId="0" borderId="1" xfId="0" applyNumberFormat="1" applyFont="1" applyBorder="1" applyAlignment="1">
      <alignment horizontal="left"/>
    </xf>
    <xf numFmtId="167" fontId="23" fillId="0" borderId="1" xfId="0" applyNumberFormat="1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16" fillId="0" borderId="2" xfId="0" applyFont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21" fillId="4" borderId="1" xfId="0" applyFont="1" applyFill="1" applyBorder="1" applyAlignment="1">
      <alignment horizontal="left" vertical="center"/>
    </xf>
    <xf numFmtId="165" fontId="19" fillId="6" borderId="1" xfId="1" applyNumberFormat="1" applyFont="1" applyFill="1" applyBorder="1" applyAlignment="1">
      <alignment horizontal="left" wrapText="1"/>
    </xf>
    <xf numFmtId="0" fontId="30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1" fontId="34" fillId="4" borderId="1" xfId="0" applyNumberFormat="1" applyFont="1" applyFill="1" applyBorder="1" applyAlignment="1">
      <alignment horizontal="center"/>
    </xf>
    <xf numFmtId="0" fontId="33" fillId="6" borderId="1" xfId="0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top"/>
    </xf>
    <xf numFmtId="0" fontId="35" fillId="0" borderId="5" xfId="0" applyFont="1" applyBorder="1" applyAlignment="1">
      <alignment horizontal="center" vertical="top"/>
    </xf>
    <xf numFmtId="0" fontId="36" fillId="3" borderId="1" xfId="0" applyFont="1" applyFill="1" applyBorder="1" applyAlignment="1">
      <alignment horizontal="center" vertical="center"/>
    </xf>
    <xf numFmtId="15" fontId="20" fillId="2" borderId="1" xfId="0" applyNumberFormat="1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30" fillId="3" borderId="1" xfId="0" applyNumberFormat="1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top"/>
    </xf>
    <xf numFmtId="0" fontId="0" fillId="0" borderId="6" xfId="0" applyBorder="1"/>
    <xf numFmtId="0" fontId="22" fillId="3" borderId="1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0" fillId="0" borderId="1" xfId="0" applyBorder="1"/>
    <xf numFmtId="1" fontId="33" fillId="6" borderId="1" xfId="0" applyNumberFormat="1" applyFont="1" applyFill="1" applyBorder="1" applyAlignment="1">
      <alignment horizontal="center" vertical="center" wrapText="1"/>
    </xf>
    <xf numFmtId="168" fontId="20" fillId="0" borderId="1" xfId="1" applyNumberFormat="1" applyFont="1" applyBorder="1" applyAlignment="1">
      <alignment horizontal="center"/>
    </xf>
    <xf numFmtId="165" fontId="32" fillId="4" borderId="1" xfId="1" applyNumberFormat="1" applyFont="1" applyFill="1" applyBorder="1" applyAlignment="1"/>
    <xf numFmtId="1" fontId="17" fillId="4" borderId="1" xfId="0" applyNumberFormat="1" applyFont="1" applyFill="1" applyBorder="1" applyAlignment="1">
      <alignment horizontal="center"/>
    </xf>
    <xf numFmtId="15" fontId="25" fillId="2" borderId="1" xfId="0" applyNumberFormat="1" applyFont="1" applyFill="1" applyBorder="1"/>
    <xf numFmtId="1" fontId="33" fillId="4" borderId="1" xfId="0" applyNumberFormat="1" applyFont="1" applyFill="1" applyBorder="1" applyAlignment="1">
      <alignment horizontal="center" vertical="center"/>
    </xf>
    <xf numFmtId="1" fontId="33" fillId="5" borderId="1" xfId="0" applyNumberFormat="1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right" wrapText="1"/>
    </xf>
    <xf numFmtId="0" fontId="26" fillId="6" borderId="9" xfId="0" applyFont="1" applyFill="1" applyBorder="1" applyAlignment="1">
      <alignment wrapText="1"/>
    </xf>
    <xf numFmtId="169" fontId="23" fillId="0" borderId="1" xfId="0" applyNumberFormat="1" applyFont="1" applyBorder="1" applyAlignment="1">
      <alignment horizontal="left"/>
    </xf>
    <xf numFmtId="0" fontId="0" fillId="0" borderId="7" xfId="0" applyBorder="1" applyAlignment="1"/>
    <xf numFmtId="0" fontId="0" fillId="0" borderId="8" xfId="0" applyBorder="1" applyAlignment="1"/>
    <xf numFmtId="0" fontId="38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30" fillId="3" borderId="1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</cellXfs>
  <cellStyles count="17">
    <cellStyle name="Comma" xfId="1" builtinId="3"/>
    <cellStyle name="Normal" xfId="0" builtinId="0"/>
    <cellStyle name="Normal 10" xfId="10" xr:uid="{B3501801-9849-4CE3-B6C7-F5A4DA280988}"/>
    <cellStyle name="Normal 11" xfId="11" xr:uid="{210A86A0-BD3A-4B68-AE28-266B0808D8FC}"/>
    <cellStyle name="Normal 12" xfId="12" xr:uid="{BA9338E7-C459-4123-AD0F-3B318FBDA52B}"/>
    <cellStyle name="Normal 13" xfId="13" xr:uid="{F0475E3C-7FF4-4A6B-8BC7-D3F9DCFBA14C}"/>
    <cellStyle name="Normal 14" xfId="14" xr:uid="{E3CD0739-D559-4AF9-B9BA-68444C6B214D}"/>
    <cellStyle name="Normal 15" xfId="15" xr:uid="{068ACF09-489A-4FDF-A0A5-722026F3551F}"/>
    <cellStyle name="Normal 16" xfId="16" xr:uid="{00000000-0005-0000-0000-00003D000000}"/>
    <cellStyle name="Normal 2" xfId="2" xr:uid="{00000000-0005-0000-0000-00002F000000}"/>
    <cellStyle name="Normal 3" xfId="3" xr:uid="{00000000-0005-0000-0000-000030000000}"/>
    <cellStyle name="Normal 4" xfId="4" xr:uid="{00000000-0005-0000-0000-000031000000}"/>
    <cellStyle name="Normal 5" xfId="5" xr:uid="{FCE1C07F-E670-4082-9717-BCA5827DEEDA}"/>
    <cellStyle name="Normal 6" xfId="6" xr:uid="{2E33A0FA-4C16-4ABB-A40F-FBE959AC0240}"/>
    <cellStyle name="Normal 7" xfId="7" xr:uid="{D33E9C4F-08CB-45CA-9AC7-A2BD79F81638}"/>
    <cellStyle name="Normal 8" xfId="8" xr:uid="{4EE12447-7554-4914-9251-A6C082BC5EC0}"/>
    <cellStyle name="Normal 9" xfId="9" xr:uid="{BE368363-D7A8-4496-91ED-251F1A21267C}"/>
  </cellStyles>
  <dxfs count="0"/>
  <tableStyles count="0" defaultTableStyle="TableStyleMedium2" defaultPivotStyle="PivotStyleLight16"/>
  <colors>
    <mruColors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1</xdr:row>
      <xdr:rowOff>1078</xdr:rowOff>
    </xdr:from>
    <xdr:to>
      <xdr:col>2</xdr:col>
      <xdr:colOff>542926</xdr:colOff>
      <xdr:row>3</xdr:row>
      <xdr:rowOff>90410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F699C0C-BD39-4D20-8997-E84FEF0F7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66701" y="172528"/>
          <a:ext cx="762000" cy="7370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483B-D442-484C-B47E-4138F082882C}">
  <dimension ref="B1:S16"/>
  <sheetViews>
    <sheetView tabSelected="1" topLeftCell="A6" zoomScaleNormal="100" workbookViewId="0">
      <selection activeCell="G18" sqref="G18"/>
    </sheetView>
  </sheetViews>
  <sheetFormatPr defaultColWidth="8.85546875" defaultRowHeight="15"/>
  <cols>
    <col min="1" max="1" width="3.85546875" customWidth="1"/>
    <col min="2" max="2" width="3.42578125" style="2" customWidth="1"/>
    <col min="3" max="3" width="39.5703125" customWidth="1"/>
    <col min="4" max="4" width="12.28515625" style="3" bestFit="1" customWidth="1"/>
    <col min="5" max="5" width="10.5703125" style="3" customWidth="1"/>
    <col min="6" max="6" width="4.28515625" style="3" customWidth="1"/>
    <col min="7" max="7" width="11.140625" style="3" customWidth="1"/>
    <col min="8" max="9" width="9.7109375" style="3" customWidth="1"/>
    <col min="10" max="10" width="9.42578125" style="3" bestFit="1" customWidth="1"/>
    <col min="11" max="11" width="10.85546875" style="3" bestFit="1" customWidth="1"/>
    <col min="12" max="12" width="3.5703125" style="3" customWidth="1"/>
    <col min="13" max="13" width="9.85546875" style="3" customWidth="1"/>
    <col min="14" max="14" width="6.140625" style="3" customWidth="1"/>
    <col min="15" max="15" width="6.85546875" style="3" customWidth="1"/>
    <col min="16" max="16" width="3" style="3" customWidth="1"/>
    <col min="17" max="17" width="6.5703125" style="3" bestFit="1" customWidth="1"/>
    <col min="18" max="18" width="12" customWidth="1"/>
    <col min="19" max="19" width="11.85546875" customWidth="1"/>
    <col min="27" max="27" width="10.85546875" bestFit="1" customWidth="1"/>
    <col min="30" max="30" width="10.140625" bestFit="1" customWidth="1"/>
  </cols>
  <sheetData>
    <row r="1" spans="2:19" ht="13.5" customHeight="1"/>
    <row r="2" spans="2:19" s="1" customFormat="1" ht="22.35" customHeight="1">
      <c r="B2" s="8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33">
        <v>46265</v>
      </c>
    </row>
    <row r="3" spans="2:19" s="1" customFormat="1" ht="29.25" customHeight="1">
      <c r="B3" s="8"/>
      <c r="C3" s="47" t="s">
        <v>33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21" t="s">
        <v>32</v>
      </c>
      <c r="S3" s="33">
        <v>46264</v>
      </c>
    </row>
    <row r="4" spans="2:19" ht="18.75">
      <c r="B4" s="53" t="s">
        <v>21</v>
      </c>
      <c r="C4" s="54" t="s">
        <v>22</v>
      </c>
      <c r="D4" s="55" t="s">
        <v>0</v>
      </c>
      <c r="E4" s="55"/>
      <c r="F4" s="55"/>
      <c r="G4" s="55"/>
      <c r="H4" s="55"/>
      <c r="I4" s="56" t="s">
        <v>23</v>
      </c>
      <c r="J4" s="56"/>
      <c r="K4" s="56"/>
      <c r="L4" s="56"/>
      <c r="M4" s="56"/>
      <c r="N4" s="56" t="s">
        <v>1</v>
      </c>
      <c r="O4" s="56"/>
      <c r="P4" s="56"/>
      <c r="Q4" s="56"/>
      <c r="R4" s="56"/>
      <c r="S4" s="52" t="s">
        <v>10</v>
      </c>
    </row>
    <row r="5" spans="2:19" ht="78.75">
      <c r="B5" s="53"/>
      <c r="C5" s="54"/>
      <c r="D5" s="13" t="s">
        <v>24</v>
      </c>
      <c r="E5" s="14" t="s">
        <v>25</v>
      </c>
      <c r="F5" s="22" t="s">
        <v>3</v>
      </c>
      <c r="G5" s="13" t="s">
        <v>26</v>
      </c>
      <c r="H5" s="14" t="s">
        <v>27</v>
      </c>
      <c r="I5" s="13" t="s">
        <v>28</v>
      </c>
      <c r="J5" s="13" t="s">
        <v>24</v>
      </c>
      <c r="K5" s="14" t="s">
        <v>25</v>
      </c>
      <c r="L5" s="43" t="s">
        <v>29</v>
      </c>
      <c r="M5" s="23" t="s">
        <v>27</v>
      </c>
      <c r="N5" s="20" t="s">
        <v>24</v>
      </c>
      <c r="O5" s="14" t="s">
        <v>30</v>
      </c>
      <c r="P5" s="14" t="s">
        <v>29</v>
      </c>
      <c r="Q5" s="20" t="s">
        <v>31</v>
      </c>
      <c r="R5" s="15" t="s">
        <v>6</v>
      </c>
      <c r="S5" s="52"/>
    </row>
    <row r="6" spans="2:19" ht="18.75">
      <c r="B6" s="48">
        <v>1</v>
      </c>
      <c r="C6" s="12" t="s">
        <v>11</v>
      </c>
      <c r="D6" s="30">
        <v>1478.25</v>
      </c>
      <c r="E6" s="30">
        <v>516</v>
      </c>
      <c r="F6" s="30" t="s">
        <v>35</v>
      </c>
      <c r="G6" s="30">
        <v>120</v>
      </c>
      <c r="H6" s="30" t="s">
        <v>35</v>
      </c>
      <c r="I6" s="30" t="s">
        <v>35</v>
      </c>
      <c r="J6" s="30" t="s">
        <v>35</v>
      </c>
      <c r="K6" s="30">
        <v>89.64</v>
      </c>
      <c r="L6" s="30" t="s">
        <v>35</v>
      </c>
      <c r="M6" s="30" t="s">
        <v>35</v>
      </c>
      <c r="N6" s="30" t="s">
        <v>35</v>
      </c>
      <c r="O6" s="30" t="s">
        <v>35</v>
      </c>
      <c r="P6" s="30" t="s">
        <v>35</v>
      </c>
      <c r="Q6" s="30" t="s">
        <v>35</v>
      </c>
      <c r="R6" s="30">
        <v>2203.89</v>
      </c>
      <c r="S6" s="30"/>
    </row>
    <row r="7" spans="2:19" ht="19.5" customHeight="1">
      <c r="B7" s="48"/>
      <c r="C7" s="12" t="s">
        <v>37</v>
      </c>
      <c r="D7" s="30">
        <v>67851.600000000006</v>
      </c>
      <c r="E7" s="30">
        <v>5065.1499999999996</v>
      </c>
      <c r="F7" s="30" t="s">
        <v>35</v>
      </c>
      <c r="G7" s="30">
        <v>5633.5</v>
      </c>
      <c r="H7" s="30">
        <v>349</v>
      </c>
      <c r="I7" s="30">
        <v>364</v>
      </c>
      <c r="J7" s="30">
        <v>514.46</v>
      </c>
      <c r="K7" s="30">
        <v>5364.4999999999982</v>
      </c>
      <c r="L7" s="30" t="s">
        <v>35</v>
      </c>
      <c r="M7" s="30">
        <v>909</v>
      </c>
      <c r="N7" s="30" t="s">
        <v>35</v>
      </c>
      <c r="O7" s="30" t="s">
        <v>35</v>
      </c>
      <c r="P7" s="30" t="s">
        <v>35</v>
      </c>
      <c r="Q7" s="30" t="s">
        <v>35</v>
      </c>
      <c r="R7" s="30">
        <v>86051.21</v>
      </c>
      <c r="S7" s="30">
        <f>R7/S14</f>
        <v>2868.3736666666668</v>
      </c>
    </row>
    <row r="8" spans="2:19" ht="21" customHeight="1">
      <c r="B8" s="48"/>
      <c r="C8" s="31" t="s">
        <v>34</v>
      </c>
      <c r="D8" s="31">
        <v>286051.55</v>
      </c>
      <c r="E8" s="31">
        <v>23968.799999999999</v>
      </c>
      <c r="F8" s="31">
        <v>-0.15</v>
      </c>
      <c r="G8" s="31">
        <v>17691.5</v>
      </c>
      <c r="H8" s="31">
        <v>1758.5</v>
      </c>
      <c r="I8" s="31">
        <v>1184</v>
      </c>
      <c r="J8" s="31">
        <v>2618.1000000000022</v>
      </c>
      <c r="K8" s="31">
        <v>18004.17999999992</v>
      </c>
      <c r="L8" s="31" t="s">
        <v>35</v>
      </c>
      <c r="M8" s="31">
        <v>5685</v>
      </c>
      <c r="N8" s="31" t="s">
        <v>35</v>
      </c>
      <c r="O8" s="31" t="s">
        <v>35</v>
      </c>
      <c r="P8" s="31" t="s">
        <v>35</v>
      </c>
      <c r="Q8" s="31" t="s">
        <v>35</v>
      </c>
      <c r="R8" s="31">
        <v>356961.47999999992</v>
      </c>
      <c r="S8" s="31">
        <f>R8/S15</f>
        <v>2348.4307894736835</v>
      </c>
    </row>
    <row r="9" spans="2:19" ht="17.25" customHeight="1">
      <c r="B9" s="1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</row>
    <row r="10" spans="2:19" ht="23.25">
      <c r="B10" s="24">
        <v>2</v>
      </c>
      <c r="C10" s="11" t="s">
        <v>5</v>
      </c>
      <c r="D10" s="34">
        <v>4948</v>
      </c>
      <c r="E10" s="34">
        <v>403</v>
      </c>
      <c r="F10" s="35">
        <v>0</v>
      </c>
      <c r="G10" s="35">
        <v>157</v>
      </c>
      <c r="H10" s="35">
        <v>30</v>
      </c>
      <c r="I10" s="34">
        <v>0</v>
      </c>
      <c r="J10" s="34">
        <v>0</v>
      </c>
      <c r="K10" s="34">
        <v>210</v>
      </c>
      <c r="L10" s="34">
        <v>0</v>
      </c>
      <c r="M10" s="35">
        <v>31</v>
      </c>
      <c r="N10" s="35">
        <v>0</v>
      </c>
      <c r="O10" s="35">
        <v>0</v>
      </c>
      <c r="P10" s="35">
        <v>0</v>
      </c>
      <c r="Q10" s="35">
        <v>0</v>
      </c>
      <c r="R10" s="16">
        <f>SUM(D10:Q10)</f>
        <v>5779</v>
      </c>
      <c r="S10" s="32"/>
    </row>
    <row r="11" spans="2:19" ht="17.25" customHeight="1">
      <c r="B11" s="19"/>
      <c r="C11" s="25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</row>
    <row r="12" spans="2:19" ht="47.25">
      <c r="B12" s="48">
        <v>3</v>
      </c>
      <c r="C12" s="26" t="s">
        <v>38</v>
      </c>
      <c r="D12" s="13" t="s">
        <v>2</v>
      </c>
      <c r="E12" s="14" t="s">
        <v>25</v>
      </c>
      <c r="F12" s="44" t="s">
        <v>3</v>
      </c>
      <c r="G12" s="13">
        <v>32.5</v>
      </c>
      <c r="H12" s="14" t="s">
        <v>27</v>
      </c>
      <c r="I12" s="13" t="s">
        <v>12</v>
      </c>
      <c r="J12" s="13" t="s">
        <v>4</v>
      </c>
      <c r="K12" s="14" t="s">
        <v>25</v>
      </c>
      <c r="L12" s="45" t="s">
        <v>13</v>
      </c>
      <c r="M12" s="14" t="s">
        <v>27</v>
      </c>
      <c r="N12" s="13" t="s">
        <v>24</v>
      </c>
      <c r="O12" s="14" t="s">
        <v>30</v>
      </c>
      <c r="P12" s="22" t="s">
        <v>3</v>
      </c>
      <c r="Q12" s="36" t="s">
        <v>6</v>
      </c>
      <c r="R12" s="49"/>
      <c r="S12" s="41"/>
    </row>
    <row r="13" spans="2:19" ht="23.25">
      <c r="B13" s="48"/>
      <c r="C13" s="27" t="s">
        <v>7</v>
      </c>
      <c r="D13" s="17">
        <v>21</v>
      </c>
      <c r="E13" s="17">
        <v>5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37">
        <f>D13+E13+F13+G13+H13+I13+J13+K13+L13+M13+N13+O13+P13</f>
        <v>26</v>
      </c>
      <c r="R13" s="50"/>
      <c r="S13" s="42"/>
    </row>
    <row r="14" spans="2:19" ht="23.25">
      <c r="B14" s="48"/>
      <c r="C14" s="27" t="s">
        <v>8</v>
      </c>
      <c r="D14" s="17">
        <v>19</v>
      </c>
      <c r="E14" s="17">
        <v>3</v>
      </c>
      <c r="F14" s="17">
        <v>0</v>
      </c>
      <c r="G14" s="17">
        <v>1</v>
      </c>
      <c r="H14" s="17">
        <v>1</v>
      </c>
      <c r="I14" s="17">
        <v>0</v>
      </c>
      <c r="J14" s="17">
        <v>0</v>
      </c>
      <c r="K14" s="17">
        <v>0</v>
      </c>
      <c r="L14" s="17">
        <v>0</v>
      </c>
      <c r="M14" s="17">
        <v>1</v>
      </c>
      <c r="N14" s="17">
        <v>0</v>
      </c>
      <c r="O14" s="17">
        <v>0</v>
      </c>
      <c r="P14" s="17">
        <v>0</v>
      </c>
      <c r="Q14" s="37">
        <f>D14+E14+F14+G14+H14+I14+J14+K14+L14+M14+N14+O14+P14</f>
        <v>25</v>
      </c>
      <c r="R14" s="50"/>
      <c r="S14" s="38">
        <v>30</v>
      </c>
    </row>
    <row r="15" spans="2:19" ht="23.25">
      <c r="B15" s="48"/>
      <c r="C15" s="27" t="s">
        <v>9</v>
      </c>
      <c r="D15" s="17">
        <v>89</v>
      </c>
      <c r="E15" s="17">
        <v>3</v>
      </c>
      <c r="F15" s="17">
        <v>0</v>
      </c>
      <c r="G15" s="17">
        <v>1</v>
      </c>
      <c r="H15" s="29">
        <v>0</v>
      </c>
      <c r="I15" s="17">
        <v>0</v>
      </c>
      <c r="J15" s="17">
        <v>0</v>
      </c>
      <c r="K15" s="17">
        <v>2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37">
        <f>D15+E15+F15+G15+H15+I15+J15+K15+L15+M15+N15+O15+P15</f>
        <v>95</v>
      </c>
      <c r="R15" s="51"/>
      <c r="S15" s="39">
        <v>152</v>
      </c>
    </row>
    <row r="16" spans="2:19" ht="17.25" customHeight="1"/>
  </sheetData>
  <mergeCells count="11">
    <mergeCell ref="S4:S5"/>
    <mergeCell ref="B4:B5"/>
    <mergeCell ref="C4:C5"/>
    <mergeCell ref="D4:H4"/>
    <mergeCell ref="I4:M4"/>
    <mergeCell ref="N4:R4"/>
    <mergeCell ref="C2:R2"/>
    <mergeCell ref="C3:Q3"/>
    <mergeCell ref="B6:B8"/>
    <mergeCell ref="B12:B15"/>
    <mergeCell ref="R12:R15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9CB8-03BB-4451-9E8C-22CF89947A3D}">
  <dimension ref="A4:F13"/>
  <sheetViews>
    <sheetView workbookViewId="0">
      <selection activeCell="C16" sqref="C16"/>
    </sheetView>
  </sheetViews>
  <sheetFormatPr defaultRowHeight="15"/>
  <cols>
    <col min="1" max="1" width="14.140625" customWidth="1"/>
    <col min="2" max="3" width="18" bestFit="1" customWidth="1"/>
    <col min="5" max="5" width="21.7109375" customWidth="1"/>
    <col min="6" max="6" width="29.42578125" customWidth="1"/>
  </cols>
  <sheetData>
    <row r="4" spans="1:6">
      <c r="A4" s="7" t="s">
        <v>36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>
      <c r="A5" s="40">
        <v>46264</v>
      </c>
      <c r="B5" s="4">
        <v>46264.159722222219</v>
      </c>
      <c r="C5" s="4">
        <v>46264.25</v>
      </c>
      <c r="D5" s="5">
        <v>9.0277777777777776E-2</v>
      </c>
      <c r="E5" s="6" t="s">
        <v>39</v>
      </c>
      <c r="F5" s="6" t="s">
        <v>41</v>
      </c>
    </row>
    <row r="6" spans="1:6">
      <c r="A6" s="40">
        <v>46264</v>
      </c>
      <c r="B6" s="4">
        <v>46264</v>
      </c>
      <c r="C6" s="4">
        <v>46264.27847222222</v>
      </c>
      <c r="D6" s="5">
        <v>0.27847222222222218</v>
      </c>
      <c r="E6" s="6" t="s">
        <v>39</v>
      </c>
      <c r="F6" s="6" t="s">
        <v>42</v>
      </c>
    </row>
    <row r="7" spans="1:6">
      <c r="A7" s="40">
        <v>46264</v>
      </c>
      <c r="B7" s="4">
        <v>46264.295138888891</v>
      </c>
      <c r="C7" s="4">
        <v>46264.333333333343</v>
      </c>
      <c r="D7" s="5">
        <v>3.8194444444444448E-2</v>
      </c>
      <c r="E7" s="6" t="s">
        <v>39</v>
      </c>
      <c r="F7" s="6" t="s">
        <v>42</v>
      </c>
    </row>
    <row r="8" spans="1:6">
      <c r="A8" s="40">
        <v>46264</v>
      </c>
      <c r="B8" s="4">
        <v>46264.333333333343</v>
      </c>
      <c r="C8" s="4">
        <v>46264.34375</v>
      </c>
      <c r="D8" s="5">
        <v>1.041666666666667E-2</v>
      </c>
      <c r="E8" s="6" t="s">
        <v>14</v>
      </c>
      <c r="F8" s="6" t="s">
        <v>15</v>
      </c>
    </row>
    <row r="9" spans="1:6">
      <c r="A9" s="40">
        <v>46264</v>
      </c>
      <c r="B9" s="4">
        <v>46264.634027777778</v>
      </c>
      <c r="C9" s="4">
        <v>46264.708333333343</v>
      </c>
      <c r="D9" s="5">
        <v>7.4305555555555555E-2</v>
      </c>
      <c r="E9" s="6" t="s">
        <v>39</v>
      </c>
      <c r="F9" s="6" t="s">
        <v>40</v>
      </c>
    </row>
    <row r="10" spans="1:6">
      <c r="A10" s="40">
        <v>46264</v>
      </c>
      <c r="B10" s="4">
        <v>46264.791666666657</v>
      </c>
      <c r="C10" s="4">
        <v>46264.833333333343</v>
      </c>
      <c r="D10" s="5">
        <v>4.1666666666666657E-2</v>
      </c>
      <c r="E10" s="6" t="s">
        <v>39</v>
      </c>
      <c r="F10" s="6" t="s">
        <v>40</v>
      </c>
    </row>
    <row r="11" spans="1:6">
      <c r="A11" s="40">
        <v>46264</v>
      </c>
      <c r="B11" s="4">
        <v>46264.833333333343</v>
      </c>
      <c r="C11" s="4">
        <v>46264.84375</v>
      </c>
      <c r="D11" s="5">
        <v>1.041666666666667E-2</v>
      </c>
      <c r="E11" s="6" t="s">
        <v>14</v>
      </c>
      <c r="F11" s="6" t="s">
        <v>15</v>
      </c>
    </row>
    <row r="12" spans="1:6">
      <c r="A12" s="40">
        <v>46264</v>
      </c>
      <c r="B12" s="4">
        <v>46264.84375</v>
      </c>
      <c r="C12" s="4">
        <v>46264.875</v>
      </c>
      <c r="D12" s="5">
        <v>3.125E-2</v>
      </c>
      <c r="E12" s="6" t="s">
        <v>39</v>
      </c>
      <c r="F12" s="6" t="s">
        <v>42</v>
      </c>
    </row>
    <row r="13" spans="1:6">
      <c r="A13" s="40">
        <v>46264</v>
      </c>
      <c r="B13" s="4">
        <v>46264.927083333343</v>
      </c>
      <c r="C13" s="4">
        <v>46264.999305555553</v>
      </c>
      <c r="D13" s="5">
        <v>7.2222222222222215E-2</v>
      </c>
      <c r="E13" s="6" t="s">
        <v>39</v>
      </c>
      <c r="F13" s="6" t="s">
        <v>42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7" sqref="C17"/>
    </sheetView>
  </sheetViews>
  <sheetFormatPr defaultColWidth="9" defaultRowHeight="15"/>
  <cols>
    <col min="2" max="2" width="5.140625" customWidth="1"/>
    <col min="3" max="3" width="41.42578125" customWidth="1"/>
    <col min="4" max="4" width="10.140625" customWidth="1"/>
    <col min="5" max="5" width="10.5703125" customWidth="1"/>
    <col min="6" max="6" width="11.140625" customWidth="1"/>
    <col min="11" max="11" width="15" customWidth="1"/>
    <col min="12" max="12" width="18" customWidth="1"/>
    <col min="13" max="13" width="1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30.8.2026</vt:lpstr>
      <vt:lpstr>Stoppage Report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Patel</cp:lastModifiedBy>
  <cp:lastPrinted>2022-09-05T08:46:47Z</cp:lastPrinted>
  <dcterms:created xsi:type="dcterms:W3CDTF">2015-06-05T18:19:00Z</dcterms:created>
  <dcterms:modified xsi:type="dcterms:W3CDTF">2026-08-31T03:06:50Z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377E86B24FA14A8EBC7C7DDD4D46ABA6</vt:lpwstr>
  </property>
  <property fmtid="{D5CDD505-2E9C-101B-9397-08002B2CF9AE}" pid="3" name="KSOProductBuildVer">
    <vt:lpwstr>1033-11.2.0.11191</vt:lpwstr>
  </property>
</Properties>
</file>