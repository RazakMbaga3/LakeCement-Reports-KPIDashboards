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 codeName="ThisWorkbook"/>
  <xr:revisionPtr revIDLastSave="173" documentId="104_{7FE4CA85-5854-489D-BCC7-7E1CADF1D599}" xr6:coauthVersionLast="36" xr6:coauthVersionMax="47" xr10:uidLastSave="{198F180F-F4AC-48D6-84C5-C8C63E4B6FE7}"/>
  <bookViews>
    <workbookView xWindow="-120" yWindow="-120" windowWidth="20730" windowHeight="11160" activeTab="6" xr2:uid="{00000000-000D-0000-FFFF-FFFF00000000}"/>
  </bookViews>
  <sheets>
    <sheet name="Clinker" sheetId="1" r:id="rId1"/>
    <sheet name="Cement" sheetId="3" r:id="rId2"/>
    <sheet name="Packing bag " sheetId="4" r:id="rId3"/>
    <sheet name="DAILY CEM1" sheetId="12" r:id="rId4"/>
    <sheet name="DAILY CEM2" sheetId="101" r:id="rId5"/>
    <sheet name="CPP" sheetId="8" r:id="rId6"/>
    <sheet name="Diesel" sheetId="56" r:id="rId7"/>
    <sheet name="01" sheetId="80" r:id="rId8"/>
    <sheet name="2" sheetId="81" r:id="rId9"/>
    <sheet name="3" sheetId="82" r:id="rId10"/>
    <sheet name="4" sheetId="84" r:id="rId11"/>
    <sheet name="5" sheetId="85" r:id="rId12"/>
    <sheet name="6" sheetId="86" r:id="rId13"/>
    <sheet name="7" sheetId="87" r:id="rId14"/>
    <sheet name="8" sheetId="88" r:id="rId15"/>
    <sheet name="9" sheetId="89" r:id="rId16"/>
    <sheet name="10" sheetId="90" r:id="rId17"/>
    <sheet name="11" sheetId="91" r:id="rId18"/>
    <sheet name="12" sheetId="92" r:id="rId19"/>
    <sheet name="13" sheetId="93" r:id="rId20"/>
    <sheet name="14" sheetId="94" r:id="rId21"/>
    <sheet name="15" sheetId="95" r:id="rId22"/>
    <sheet name="16" sheetId="96" r:id="rId23"/>
    <sheet name="17" sheetId="97" r:id="rId24"/>
    <sheet name="18" sheetId="98" r:id="rId25"/>
    <sheet name="19" sheetId="99" r:id="rId26"/>
    <sheet name="20" sheetId="42" r:id="rId27"/>
    <sheet name="21" sheetId="68" r:id="rId28"/>
    <sheet name="22" sheetId="69" r:id="rId29"/>
    <sheet name="23" sheetId="70" r:id="rId30"/>
    <sheet name="24" sheetId="72" r:id="rId31"/>
    <sheet name="25" sheetId="73" r:id="rId32"/>
    <sheet name="26" sheetId="74" r:id="rId33"/>
    <sheet name="27" sheetId="75" r:id="rId34"/>
    <sheet name="28" sheetId="76" r:id="rId35"/>
    <sheet name="29" sheetId="77" r:id="rId36"/>
    <sheet name="30" sheetId="78" r:id="rId37"/>
    <sheet name="31" sheetId="79" r:id="rId38"/>
    <sheet name="Sheet1" sheetId="100" r:id="rId39"/>
  </sheets>
  <externalReferences>
    <externalReference r:id="rId40"/>
    <externalReference r:id="rId41"/>
  </externalReferences>
  <definedNames>
    <definedName name="_xlnm.Print_Area" localSheetId="7">'01'!#REF!</definedName>
    <definedName name="_xlnm.Print_Area" localSheetId="16">'10'!#REF!</definedName>
    <definedName name="_xlnm.Print_Area" localSheetId="17">'11'!#REF!</definedName>
    <definedName name="_xlnm.Print_Area" localSheetId="18">'12'!#REF!</definedName>
    <definedName name="_xlnm.Print_Area" localSheetId="19">'13'!#REF!</definedName>
    <definedName name="_xlnm.Print_Area" localSheetId="20">'14'!#REF!</definedName>
    <definedName name="_xlnm.Print_Area" localSheetId="21">'15'!#REF!</definedName>
    <definedName name="_xlnm.Print_Area" localSheetId="23">'17'!#REF!</definedName>
    <definedName name="_xlnm.Print_Area" localSheetId="24">'18'!#REF!</definedName>
    <definedName name="_xlnm.Print_Area" localSheetId="25">'19'!#REF!</definedName>
    <definedName name="_xlnm.Print_Area" localSheetId="8">'2'!#REF!</definedName>
    <definedName name="_xlnm.Print_Area" localSheetId="27">'21'!#REF!</definedName>
    <definedName name="_xlnm.Print_Area" localSheetId="30">'24'!#REF!</definedName>
    <definedName name="_xlnm.Print_Area" localSheetId="32">'26'!#REF!</definedName>
    <definedName name="_xlnm.Print_Area" localSheetId="33">'27'!#REF!</definedName>
    <definedName name="_xlnm.Print_Area" localSheetId="34">'28'!#REF!</definedName>
    <definedName name="_xlnm.Print_Area" localSheetId="35">'29'!#REF!</definedName>
    <definedName name="_xlnm.Print_Area" localSheetId="9">'3'!#REF!</definedName>
    <definedName name="_xlnm.Print_Area" localSheetId="37">'31'!#REF!</definedName>
    <definedName name="_xlnm.Print_Area" localSheetId="10">'4'!#REF!</definedName>
    <definedName name="_xlnm.Print_Area" localSheetId="11">'5'!#REF!</definedName>
    <definedName name="_xlnm.Print_Area" localSheetId="12">'6'!#REF!</definedName>
    <definedName name="_xlnm.Print_Area" localSheetId="14">'8'!#REF!</definedName>
    <definedName name="_xlnm.Print_Area" localSheetId="15">'9'!#REF!</definedName>
    <definedName name="_xlnm.Print_Area" localSheetId="1">Cement!$B:$N</definedName>
    <definedName name="_xlnm.Print_Area" localSheetId="3">'DAILY CEM1'!$27:$33</definedName>
    <definedName name="_xlnm.Print_Area" localSheetId="4">'DAILY CEM2'!$27:$33</definedName>
  </definedNames>
  <calcPr calcId="17902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9" i="77" l="1"/>
  <c r="J59" i="78" l="1"/>
  <c r="AU33" i="101"/>
  <c r="AB33" i="101"/>
  <c r="AR33" i="101" s="1"/>
  <c r="Z33" i="101"/>
  <c r="Y33" i="101"/>
  <c r="AO33" i="101" s="1"/>
  <c r="X33" i="101"/>
  <c r="W33" i="101"/>
  <c r="AD33" i="101" s="1"/>
  <c r="AT33" i="101" s="1"/>
  <c r="V33" i="101"/>
  <c r="AH33" i="101" s="1"/>
  <c r="U33" i="101"/>
  <c r="T33" i="101"/>
  <c r="S33" i="101"/>
  <c r="AN33" i="101" s="1"/>
  <c r="R33" i="101"/>
  <c r="Q33" i="101"/>
  <c r="AG33" i="101" s="1"/>
  <c r="P33" i="101"/>
  <c r="O33" i="101"/>
  <c r="N33" i="101"/>
  <c r="M33" i="101"/>
  <c r="AX33" i="12"/>
  <c r="AS33" i="12"/>
  <c r="AI33" i="12"/>
  <c r="AC33" i="12"/>
  <c r="AU33" i="12" s="1"/>
  <c r="AA33" i="12"/>
  <c r="Z33" i="12"/>
  <c r="AP33" i="12" s="1"/>
  <c r="Y33" i="12"/>
  <c r="AE33" i="12" s="1"/>
  <c r="W33" i="12"/>
  <c r="V33" i="12"/>
  <c r="AD33" i="12" s="1"/>
  <c r="U33" i="12"/>
  <c r="T33" i="12"/>
  <c r="AO33" i="12" s="1"/>
  <c r="S33" i="12"/>
  <c r="R33" i="12"/>
  <c r="AH33" i="12" s="1"/>
  <c r="Q33" i="12"/>
  <c r="P33" i="12"/>
  <c r="O33" i="12"/>
  <c r="N33" i="12"/>
  <c r="M33" i="12"/>
  <c r="AC33" i="101" l="1"/>
  <c r="AS33" i="101" s="1"/>
  <c r="AE33" i="101"/>
  <c r="AM33" i="101"/>
  <c r="AA33" i="101"/>
  <c r="AF33" i="12"/>
  <c r="AV33" i="12" s="1"/>
  <c r="AN33" i="12"/>
  <c r="AB33" i="12"/>
  <c r="AU32" i="101"/>
  <c r="AB32" i="101"/>
  <c r="AR32" i="101" s="1"/>
  <c r="Z32" i="101"/>
  <c r="Y32" i="101"/>
  <c r="AO32" i="101" s="1"/>
  <c r="X32" i="101"/>
  <c r="W32" i="101"/>
  <c r="AD32" i="101" s="1"/>
  <c r="AT32" i="101" s="1"/>
  <c r="V32" i="101"/>
  <c r="AC32" i="101" s="1"/>
  <c r="AS32" i="101" s="1"/>
  <c r="U32" i="101"/>
  <c r="T32" i="101"/>
  <c r="S32" i="101"/>
  <c r="AN32" i="101" s="1"/>
  <c r="R32" i="101"/>
  <c r="Q32" i="101"/>
  <c r="AG32" i="101" s="1"/>
  <c r="P32" i="101"/>
  <c r="O32" i="101"/>
  <c r="N32" i="101"/>
  <c r="M32" i="101"/>
  <c r="AX32" i="12"/>
  <c r="AS32" i="12"/>
  <c r="AI32" i="12"/>
  <c r="AC32" i="12"/>
  <c r="AU32" i="12" s="1"/>
  <c r="AA32" i="12"/>
  <c r="Z32" i="12"/>
  <c r="AP32" i="12" s="1"/>
  <c r="Y32" i="12"/>
  <c r="AE32" i="12" s="1"/>
  <c r="W32" i="12"/>
  <c r="V32" i="12"/>
  <c r="AD32" i="12" s="1"/>
  <c r="U32" i="12"/>
  <c r="T32" i="12"/>
  <c r="AO32" i="12" s="1"/>
  <c r="S32" i="12"/>
  <c r="R32" i="12"/>
  <c r="AH32" i="12" s="1"/>
  <c r="Q32" i="12"/>
  <c r="P32" i="12"/>
  <c r="O32" i="12"/>
  <c r="N32" i="12"/>
  <c r="M32" i="12"/>
  <c r="AQ33" i="101" l="1"/>
  <c r="AF33" i="101"/>
  <c r="AG33" i="12"/>
  <c r="AT33" i="12"/>
  <c r="AH32" i="101"/>
  <c r="AE32" i="101"/>
  <c r="AM32" i="101"/>
  <c r="AA32" i="101"/>
  <c r="AF32" i="12"/>
  <c r="AV32" i="12" s="1"/>
  <c r="AN32" i="12"/>
  <c r="AB32" i="12"/>
  <c r="AU31" i="101"/>
  <c r="AB31" i="101"/>
  <c r="AR31" i="101" s="1"/>
  <c r="Z31" i="101"/>
  <c r="Y31" i="101"/>
  <c r="AO31" i="101" s="1"/>
  <c r="X31" i="101"/>
  <c r="W31" i="101"/>
  <c r="AD31" i="101" s="1"/>
  <c r="AT31" i="101" s="1"/>
  <c r="V31" i="101"/>
  <c r="AC31" i="101" s="1"/>
  <c r="AS31" i="101" s="1"/>
  <c r="U31" i="101"/>
  <c r="T31" i="101"/>
  <c r="S31" i="101"/>
  <c r="AN31" i="101" s="1"/>
  <c r="R31" i="101"/>
  <c r="Q31" i="101"/>
  <c r="AG31" i="101" s="1"/>
  <c r="P31" i="101"/>
  <c r="O31" i="101"/>
  <c r="N31" i="101"/>
  <c r="M31" i="101"/>
  <c r="AX31" i="12"/>
  <c r="AS31" i="12"/>
  <c r="AI31" i="12"/>
  <c r="AC31" i="12"/>
  <c r="AA31" i="12"/>
  <c r="Z31" i="12"/>
  <c r="AP31" i="12" s="1"/>
  <c r="Y31" i="12"/>
  <c r="AE31" i="12" s="1"/>
  <c r="W31" i="12"/>
  <c r="V31" i="12"/>
  <c r="AD31" i="12" s="1"/>
  <c r="U31" i="12"/>
  <c r="T31" i="12"/>
  <c r="AO31" i="12" s="1"/>
  <c r="S31" i="12"/>
  <c r="R31" i="12"/>
  <c r="AH31" i="12" s="1"/>
  <c r="Q31" i="12"/>
  <c r="P31" i="12"/>
  <c r="O31" i="12"/>
  <c r="N31" i="12"/>
  <c r="M31" i="12"/>
  <c r="AL33" i="101" l="1"/>
  <c r="AK33" i="101"/>
  <c r="AM33" i="12"/>
  <c r="AL33" i="12"/>
  <c r="AF32" i="101"/>
  <c r="AQ32" i="101"/>
  <c r="AG32" i="12"/>
  <c r="AT32" i="12"/>
  <c r="AH31" i="101"/>
  <c r="AE31" i="101"/>
  <c r="AM31" i="101"/>
  <c r="AA31" i="101"/>
  <c r="AV31" i="12"/>
  <c r="AU31" i="12"/>
  <c r="AF31" i="12"/>
  <c r="AN31" i="12"/>
  <c r="AB31" i="12"/>
  <c r="AL32" i="101" l="1"/>
  <c r="AK32" i="101"/>
  <c r="AM32" i="12"/>
  <c r="AL32" i="12"/>
  <c r="AF31" i="101"/>
  <c r="AQ31" i="101"/>
  <c r="AG31" i="12"/>
  <c r="AT31" i="12"/>
  <c r="AL31" i="101" l="1"/>
  <c r="AK31" i="101"/>
  <c r="AM31" i="12"/>
  <c r="AL31" i="12"/>
  <c r="AU30" i="101" l="1"/>
  <c r="AO30" i="101"/>
  <c r="AH30" i="101"/>
  <c r="AG30" i="101"/>
  <c r="AB30" i="101"/>
  <c r="AR30" i="101" s="1"/>
  <c r="AA30" i="101"/>
  <c r="Z30" i="101"/>
  <c r="Y30" i="101"/>
  <c r="AE30" i="101" s="1"/>
  <c r="X30" i="101"/>
  <c r="W30" i="101"/>
  <c r="AD30" i="101" s="1"/>
  <c r="AT30" i="101" s="1"/>
  <c r="V30" i="101"/>
  <c r="U30" i="101"/>
  <c r="AC30" i="101" s="1"/>
  <c r="AS30" i="101" s="1"/>
  <c r="T30" i="101"/>
  <c r="S30" i="101"/>
  <c r="AN30" i="101" s="1"/>
  <c r="R30" i="101"/>
  <c r="Q30" i="101"/>
  <c r="AM30" i="101" s="1"/>
  <c r="P30" i="101"/>
  <c r="O30" i="101"/>
  <c r="N30" i="101"/>
  <c r="M30" i="101"/>
  <c r="AX30" i="12"/>
  <c r="AS30" i="12"/>
  <c r="AA30" i="12"/>
  <c r="Z30" i="12"/>
  <c r="AP30" i="12" s="1"/>
  <c r="Y30" i="12"/>
  <c r="AE30" i="12" s="1"/>
  <c r="W30" i="12"/>
  <c r="AD30" i="12" s="1"/>
  <c r="V30" i="12"/>
  <c r="U30" i="12"/>
  <c r="T30" i="12"/>
  <c r="AC30" i="12" s="1"/>
  <c r="S30" i="12"/>
  <c r="AI30" i="12" s="1"/>
  <c r="R30" i="12"/>
  <c r="AH30" i="12" s="1"/>
  <c r="Q30" i="12"/>
  <c r="P30" i="12"/>
  <c r="O30" i="12"/>
  <c r="N30" i="12"/>
  <c r="M30" i="12"/>
  <c r="EJ29" i="1"/>
  <c r="EJ28" i="1"/>
  <c r="EJ27" i="1"/>
  <c r="EJ19" i="1"/>
  <c r="AF30" i="101" l="1"/>
  <c r="AQ30" i="101"/>
  <c r="AV30" i="12"/>
  <c r="AU30" i="12"/>
  <c r="AF30" i="12"/>
  <c r="AN30" i="12"/>
  <c r="AO30" i="12"/>
  <c r="AB30" i="12"/>
  <c r="AU29" i="101"/>
  <c r="AB29" i="101"/>
  <c r="AR29" i="101" s="1"/>
  <c r="Z29" i="101"/>
  <c r="Y29" i="101"/>
  <c r="AO29" i="101" s="1"/>
  <c r="X29" i="101"/>
  <c r="W29" i="101"/>
  <c r="AD29" i="101" s="1"/>
  <c r="AT29" i="101" s="1"/>
  <c r="V29" i="101"/>
  <c r="AC29" i="101" s="1"/>
  <c r="AS29" i="101" s="1"/>
  <c r="U29" i="101"/>
  <c r="T29" i="101"/>
  <c r="S29" i="101"/>
  <c r="AN29" i="101" s="1"/>
  <c r="R29" i="101"/>
  <c r="Q29" i="101"/>
  <c r="AG29" i="101" s="1"/>
  <c r="P29" i="101"/>
  <c r="O29" i="101"/>
  <c r="N29" i="101"/>
  <c r="M29" i="101"/>
  <c r="AX29" i="12"/>
  <c r="AS29" i="12"/>
  <c r="AA29" i="12"/>
  <c r="Z29" i="12"/>
  <c r="AP29" i="12" s="1"/>
  <c r="Y29" i="12"/>
  <c r="AE29" i="12" s="1"/>
  <c r="AW29" i="12" s="1"/>
  <c r="W29" i="12"/>
  <c r="AD29" i="12" s="1"/>
  <c r="AV29" i="12" s="1"/>
  <c r="V29" i="12"/>
  <c r="U29" i="12"/>
  <c r="T29" i="12"/>
  <c r="AC29" i="12" s="1"/>
  <c r="AU29" i="12" s="1"/>
  <c r="S29" i="12"/>
  <c r="AI29" i="12" s="1"/>
  <c r="R29" i="12"/>
  <c r="AH29" i="12" s="1"/>
  <c r="Q29" i="12"/>
  <c r="P29" i="12"/>
  <c r="O29" i="12"/>
  <c r="N29" i="12"/>
  <c r="M29" i="12"/>
  <c r="AL30" i="101" l="1"/>
  <c r="AK30" i="101"/>
  <c r="AG30" i="12"/>
  <c r="AT30" i="12"/>
  <c r="AH29" i="101"/>
  <c r="AE29" i="101"/>
  <c r="AM29" i="101"/>
  <c r="AA29" i="101"/>
  <c r="AF29" i="12"/>
  <c r="AN29" i="12"/>
  <c r="AO29" i="12"/>
  <c r="AB29" i="12"/>
  <c r="AU28" i="101"/>
  <c r="AC28" i="101"/>
  <c r="AS28" i="101" s="1"/>
  <c r="Z28" i="101"/>
  <c r="Y28" i="101"/>
  <c r="AO28" i="101" s="1"/>
  <c r="X28" i="101"/>
  <c r="W28" i="101"/>
  <c r="AD28" i="101" s="1"/>
  <c r="AT28" i="101" s="1"/>
  <c r="V28" i="101"/>
  <c r="U28" i="101"/>
  <c r="T28" i="101"/>
  <c r="S28" i="101"/>
  <c r="AB28" i="101" s="1"/>
  <c r="AR28" i="101" s="1"/>
  <c r="R28" i="101"/>
  <c r="AH28" i="101" s="1"/>
  <c r="Q28" i="101"/>
  <c r="AG28" i="101" s="1"/>
  <c r="P28" i="101"/>
  <c r="O28" i="101"/>
  <c r="N28" i="101"/>
  <c r="M28" i="101"/>
  <c r="AX28" i="12"/>
  <c r="AS28" i="12"/>
  <c r="AA28" i="12"/>
  <c r="Z28" i="12"/>
  <c r="AP28" i="12" s="1"/>
  <c r="Y28" i="12"/>
  <c r="AE28" i="12" s="1"/>
  <c r="AW28" i="12" s="1"/>
  <c r="W28" i="12"/>
  <c r="V28" i="12"/>
  <c r="AD28" i="12" s="1"/>
  <c r="AV28" i="12" s="1"/>
  <c r="U28" i="12"/>
  <c r="T28" i="12"/>
  <c r="AC28" i="12" s="1"/>
  <c r="AU28" i="12" s="1"/>
  <c r="S28" i="12"/>
  <c r="AI28" i="12" s="1"/>
  <c r="R28" i="12"/>
  <c r="AH28" i="12" s="1"/>
  <c r="Q28" i="12"/>
  <c r="P28" i="12"/>
  <c r="O28" i="12"/>
  <c r="N28" i="12"/>
  <c r="M28" i="12"/>
  <c r="AM30" i="12" l="1"/>
  <c r="AL30" i="12"/>
  <c r="AF29" i="101"/>
  <c r="AQ29" i="101"/>
  <c r="AG29" i="12"/>
  <c r="AT29" i="12"/>
  <c r="AE28" i="101"/>
  <c r="AM28" i="101"/>
  <c r="AN28" i="101"/>
  <c r="AA28" i="101"/>
  <c r="AF28" i="12"/>
  <c r="AN28" i="12"/>
  <c r="AO28" i="12"/>
  <c r="AB28" i="12"/>
  <c r="AL29" i="101" l="1"/>
  <c r="AK29" i="101"/>
  <c r="AM29" i="12"/>
  <c r="AL29" i="12"/>
  <c r="AQ28" i="101"/>
  <c r="AF28" i="101"/>
  <c r="AT28" i="12"/>
  <c r="AG28" i="12"/>
  <c r="AL28" i="101" l="1"/>
  <c r="AK28" i="101"/>
  <c r="AL28" i="12"/>
  <c r="AM28" i="12"/>
  <c r="J69" i="72" l="1"/>
  <c r="AU27" i="101" l="1"/>
  <c r="AB27" i="101"/>
  <c r="AR27" i="101" s="1"/>
  <c r="Z27" i="101"/>
  <c r="Y27" i="101"/>
  <c r="AO27" i="101" s="1"/>
  <c r="X27" i="101"/>
  <c r="W27" i="101"/>
  <c r="AD27" i="101" s="1"/>
  <c r="AT27" i="101" s="1"/>
  <c r="V27" i="101"/>
  <c r="AC27" i="101" s="1"/>
  <c r="AS27" i="101" s="1"/>
  <c r="U27" i="101"/>
  <c r="T27" i="101"/>
  <c r="S27" i="101"/>
  <c r="AN27" i="101" s="1"/>
  <c r="R27" i="101"/>
  <c r="Q27" i="101"/>
  <c r="AG27" i="101" s="1"/>
  <c r="P27" i="101"/>
  <c r="O27" i="101"/>
  <c r="N27" i="101"/>
  <c r="M27" i="101"/>
  <c r="AX27" i="12"/>
  <c r="AS27" i="12"/>
  <c r="AD27" i="12"/>
  <c r="AA27" i="12"/>
  <c r="Z27" i="12"/>
  <c r="AP27" i="12" s="1"/>
  <c r="Y27" i="12"/>
  <c r="AE27" i="12" s="1"/>
  <c r="AW27" i="12" s="1"/>
  <c r="W27" i="12"/>
  <c r="V27" i="12"/>
  <c r="U27" i="12"/>
  <c r="T27" i="12"/>
  <c r="AO27" i="12" s="1"/>
  <c r="S27" i="12"/>
  <c r="AI27" i="12" s="1"/>
  <c r="R27" i="12"/>
  <c r="AH27" i="12" s="1"/>
  <c r="Q27" i="12"/>
  <c r="P27" i="12"/>
  <c r="O27" i="12"/>
  <c r="N27" i="12"/>
  <c r="M27" i="12"/>
  <c r="AH27" i="101" l="1"/>
  <c r="AE27" i="101"/>
  <c r="AM27" i="101"/>
  <c r="AA27" i="101"/>
  <c r="AN27" i="12"/>
  <c r="AB27" i="12"/>
  <c r="AC27" i="12"/>
  <c r="AU27" i="12" s="1"/>
  <c r="AF27" i="12"/>
  <c r="AV27" i="12" s="1"/>
  <c r="J69" i="70"/>
  <c r="AU26" i="101"/>
  <c r="AC26" i="101"/>
  <c r="AS26" i="101" s="1"/>
  <c r="Z26" i="101"/>
  <c r="Y26" i="101"/>
  <c r="AO26" i="101" s="1"/>
  <c r="X26" i="101"/>
  <c r="W26" i="101"/>
  <c r="AD26" i="101" s="1"/>
  <c r="AT26" i="101" s="1"/>
  <c r="V26" i="101"/>
  <c r="U26" i="101"/>
  <c r="T26" i="101"/>
  <c r="S26" i="101"/>
  <c r="AB26" i="101" s="1"/>
  <c r="AR26" i="101" s="1"/>
  <c r="R26" i="101"/>
  <c r="AH26" i="101" s="1"/>
  <c r="Q26" i="101"/>
  <c r="AG26" i="101" s="1"/>
  <c r="P26" i="101"/>
  <c r="O26" i="101"/>
  <c r="N26" i="101"/>
  <c r="M26" i="101"/>
  <c r="AX26" i="12"/>
  <c r="AS26" i="12"/>
  <c r="AA26" i="12"/>
  <c r="Z26" i="12"/>
  <c r="AP26" i="12" s="1"/>
  <c r="Y26" i="12"/>
  <c r="AE26" i="12" s="1"/>
  <c r="AW26" i="12" s="1"/>
  <c r="W26" i="12"/>
  <c r="AD26" i="12" s="1"/>
  <c r="V26" i="12"/>
  <c r="U26" i="12"/>
  <c r="T26" i="12"/>
  <c r="AC26" i="12" s="1"/>
  <c r="AU26" i="12" s="1"/>
  <c r="S26" i="12"/>
  <c r="AI26" i="12" s="1"/>
  <c r="R26" i="12"/>
  <c r="AH26" i="12" s="1"/>
  <c r="Q26" i="12"/>
  <c r="P26" i="12"/>
  <c r="O26" i="12"/>
  <c r="N26" i="12"/>
  <c r="M26" i="12"/>
  <c r="AF27" i="101" l="1"/>
  <c r="AQ27" i="101"/>
  <c r="AG27" i="12"/>
  <c r="AT27" i="12"/>
  <c r="AE26" i="101"/>
  <c r="AM26" i="101"/>
  <c r="AN26" i="101"/>
  <c r="AA26" i="101"/>
  <c r="AF26" i="12"/>
  <c r="AV26" i="12" s="1"/>
  <c r="AN26" i="12"/>
  <c r="AO26" i="12"/>
  <c r="AB26" i="12"/>
  <c r="AL27" i="101" l="1"/>
  <c r="AK27" i="101"/>
  <c r="AM27" i="12"/>
  <c r="AL27" i="12"/>
  <c r="AP26" i="101"/>
  <c r="AF26" i="101"/>
  <c r="AQ26" i="101"/>
  <c r="AG26" i="12"/>
  <c r="AT26" i="12"/>
  <c r="AL26" i="101" l="1"/>
  <c r="AK26" i="101"/>
  <c r="AM26" i="12"/>
  <c r="AL26" i="12"/>
  <c r="AU25" i="101" l="1"/>
  <c r="AC25" i="101"/>
  <c r="AS25" i="101" s="1"/>
  <c r="Z25" i="101"/>
  <c r="Y25" i="101"/>
  <c r="AO25" i="101" s="1"/>
  <c r="X25" i="101"/>
  <c r="W25" i="101"/>
  <c r="AD25" i="101" s="1"/>
  <c r="AT25" i="101" s="1"/>
  <c r="V25" i="101"/>
  <c r="U25" i="101"/>
  <c r="T25" i="101"/>
  <c r="S25" i="101"/>
  <c r="AB25" i="101" s="1"/>
  <c r="AR25" i="101" s="1"/>
  <c r="R25" i="101"/>
  <c r="AH25" i="101" s="1"/>
  <c r="Q25" i="101"/>
  <c r="AG25" i="101" s="1"/>
  <c r="P25" i="101"/>
  <c r="O25" i="101"/>
  <c r="N25" i="101"/>
  <c r="M25" i="101"/>
  <c r="AX25" i="12"/>
  <c r="AS25" i="12"/>
  <c r="AA25" i="12"/>
  <c r="Z25" i="12"/>
  <c r="AP25" i="12" s="1"/>
  <c r="Y25" i="12"/>
  <c r="AE25" i="12" s="1"/>
  <c r="AW25" i="12" s="1"/>
  <c r="W25" i="12"/>
  <c r="AD25" i="12" s="1"/>
  <c r="V25" i="12"/>
  <c r="U25" i="12"/>
  <c r="T25" i="12"/>
  <c r="AC25" i="12" s="1"/>
  <c r="AU25" i="12" s="1"/>
  <c r="S25" i="12"/>
  <c r="AI25" i="12" s="1"/>
  <c r="R25" i="12"/>
  <c r="AH25" i="12" s="1"/>
  <c r="Q25" i="12"/>
  <c r="P25" i="12"/>
  <c r="O25" i="12"/>
  <c r="N25" i="12"/>
  <c r="M25" i="12"/>
  <c r="AE25" i="101" l="1"/>
  <c r="AM25" i="101"/>
  <c r="AN25" i="101"/>
  <c r="AA25" i="101"/>
  <c r="AF25" i="12"/>
  <c r="AV25" i="12" s="1"/>
  <c r="AN25" i="12"/>
  <c r="AO25" i="12"/>
  <c r="AB25" i="12"/>
  <c r="AP25" i="101" l="1"/>
  <c r="AF25" i="101"/>
  <c r="AQ25" i="101"/>
  <c r="AG25" i="12"/>
  <c r="AT25" i="12"/>
  <c r="AL25" i="101" l="1"/>
  <c r="AK25" i="101"/>
  <c r="AM25" i="12"/>
  <c r="AL25" i="12"/>
  <c r="J7" i="86" l="1"/>
  <c r="J7" i="85"/>
  <c r="J7" i="84"/>
  <c r="J7" i="82"/>
  <c r="J7" i="81"/>
  <c r="J7" i="80"/>
  <c r="AU24" i="101" l="1"/>
  <c r="AM24" i="101"/>
  <c r="AB24" i="101"/>
  <c r="AR24" i="101" s="1"/>
  <c r="Z24" i="101"/>
  <c r="Y24" i="101"/>
  <c r="AO24" i="101" s="1"/>
  <c r="X24" i="101"/>
  <c r="AD24" i="101" s="1"/>
  <c r="AT24" i="101" s="1"/>
  <c r="W24" i="101"/>
  <c r="V24" i="101"/>
  <c r="U24" i="101"/>
  <c r="AC24" i="101" s="1"/>
  <c r="AS24" i="101" s="1"/>
  <c r="T24" i="101"/>
  <c r="S24" i="101"/>
  <c r="AG24" i="101" s="1"/>
  <c r="R24" i="101"/>
  <c r="AH24" i="101" s="1"/>
  <c r="Q24" i="101"/>
  <c r="P24" i="101"/>
  <c r="O24" i="101"/>
  <c r="N24" i="101"/>
  <c r="M24" i="101"/>
  <c r="AU23" i="101"/>
  <c r="AO23" i="101"/>
  <c r="AN23" i="101"/>
  <c r="Z23" i="101"/>
  <c r="Y23" i="101"/>
  <c r="AE23" i="101" s="1"/>
  <c r="X23" i="101"/>
  <c r="AD23" i="101" s="1"/>
  <c r="AT23" i="101" s="1"/>
  <c r="W23" i="101"/>
  <c r="V23" i="101"/>
  <c r="U23" i="101"/>
  <c r="AC23" i="101" s="1"/>
  <c r="AS23" i="101" s="1"/>
  <c r="T23" i="101"/>
  <c r="S23" i="101"/>
  <c r="AB23" i="101" s="1"/>
  <c r="AR23" i="101" s="1"/>
  <c r="R23" i="101"/>
  <c r="AH23" i="101" s="1"/>
  <c r="Q23" i="101"/>
  <c r="AM23" i="101" s="1"/>
  <c r="P23" i="101"/>
  <c r="O23" i="101"/>
  <c r="N23" i="101"/>
  <c r="M23" i="101"/>
  <c r="AU22" i="101"/>
  <c r="AN22" i="101"/>
  <c r="AB22" i="101"/>
  <c r="AR22" i="101" s="1"/>
  <c r="Z22" i="101"/>
  <c r="Y22" i="101"/>
  <c r="AE22" i="101" s="1"/>
  <c r="X22" i="101"/>
  <c r="W22" i="101"/>
  <c r="AD22" i="101" s="1"/>
  <c r="AT22" i="101" s="1"/>
  <c r="V22" i="101"/>
  <c r="AC22" i="101" s="1"/>
  <c r="AS22" i="101" s="1"/>
  <c r="U22" i="101"/>
  <c r="T22" i="101"/>
  <c r="S22" i="101"/>
  <c r="R22" i="101"/>
  <c r="Q22" i="101"/>
  <c r="AM22" i="101" s="1"/>
  <c r="P22" i="101"/>
  <c r="O22" i="101"/>
  <c r="N22" i="101"/>
  <c r="M22" i="101"/>
  <c r="AU21" i="101"/>
  <c r="AB21" i="101"/>
  <c r="AR21" i="101" s="1"/>
  <c r="Z21" i="101"/>
  <c r="Y21" i="101"/>
  <c r="AO21" i="101" s="1"/>
  <c r="X21" i="101"/>
  <c r="AH21" i="101" s="1"/>
  <c r="V21" i="101"/>
  <c r="U21" i="101"/>
  <c r="AC21" i="101" s="1"/>
  <c r="AS21" i="101" s="1"/>
  <c r="T21" i="101"/>
  <c r="S21" i="101"/>
  <c r="AN21" i="101" s="1"/>
  <c r="R21" i="101"/>
  <c r="Q21" i="101"/>
  <c r="AG21" i="101" s="1"/>
  <c r="P21" i="101"/>
  <c r="O21" i="101"/>
  <c r="N21" i="101"/>
  <c r="M21" i="101"/>
  <c r="AV20" i="101"/>
  <c r="AU20" i="101"/>
  <c r="AP20" i="101"/>
  <c r="AO20" i="101"/>
  <c r="AM20" i="101"/>
  <c r="AA20" i="101"/>
  <c r="AQ20" i="101" s="1"/>
  <c r="Z20" i="101"/>
  <c r="Y20" i="101"/>
  <c r="AE20" i="101" s="1"/>
  <c r="X20" i="101"/>
  <c r="W20" i="101"/>
  <c r="AD20" i="101" s="1"/>
  <c r="AT20" i="101" s="1"/>
  <c r="V20" i="101"/>
  <c r="AH20" i="101" s="1"/>
  <c r="U20" i="101"/>
  <c r="AC20" i="101" s="1"/>
  <c r="AS20" i="101" s="1"/>
  <c r="T20" i="101"/>
  <c r="S20" i="101"/>
  <c r="AB20" i="101" s="1"/>
  <c r="AR20" i="101" s="1"/>
  <c r="R20" i="101"/>
  <c r="Q20" i="101"/>
  <c r="P20" i="101"/>
  <c r="O20" i="101"/>
  <c r="N20" i="101"/>
  <c r="M20" i="101"/>
  <c r="AV19" i="101"/>
  <c r="AU19" i="101"/>
  <c r="AM19" i="101"/>
  <c r="AB19" i="101"/>
  <c r="AR19" i="101" s="1"/>
  <c r="Z19" i="101"/>
  <c r="Y19" i="101"/>
  <c r="AO19" i="101" s="1"/>
  <c r="X19" i="101"/>
  <c r="AD19" i="101" s="1"/>
  <c r="AT19" i="101" s="1"/>
  <c r="W19" i="101"/>
  <c r="V19" i="101"/>
  <c r="U19" i="101"/>
  <c r="AC19" i="101" s="1"/>
  <c r="AS19" i="101" s="1"/>
  <c r="T19" i="101"/>
  <c r="S19" i="101"/>
  <c r="AG19" i="101" s="1"/>
  <c r="R19" i="101"/>
  <c r="AH19" i="101" s="1"/>
  <c r="Q19" i="101"/>
  <c r="P19" i="101"/>
  <c r="O19" i="101"/>
  <c r="N19" i="101"/>
  <c r="M19" i="101"/>
  <c r="AV18" i="101"/>
  <c r="AU18" i="101"/>
  <c r="AO18" i="101"/>
  <c r="AM18" i="101"/>
  <c r="AG18" i="101"/>
  <c r="AA18" i="101"/>
  <c r="AQ18" i="101" s="1"/>
  <c r="Z18" i="101"/>
  <c r="Y18" i="101"/>
  <c r="AE18" i="101" s="1"/>
  <c r="X18" i="101"/>
  <c r="AD18" i="101" s="1"/>
  <c r="AT18" i="101" s="1"/>
  <c r="W18" i="101"/>
  <c r="V18" i="101"/>
  <c r="AH18" i="101" s="1"/>
  <c r="U18" i="101"/>
  <c r="AC18" i="101" s="1"/>
  <c r="AS18" i="101" s="1"/>
  <c r="T18" i="101"/>
  <c r="S18" i="101"/>
  <c r="AB18" i="101" s="1"/>
  <c r="AR18" i="101" s="1"/>
  <c r="R18" i="101"/>
  <c r="Q18" i="101"/>
  <c r="P18" i="101"/>
  <c r="O18" i="101"/>
  <c r="N18" i="101"/>
  <c r="M18" i="101"/>
  <c r="AV17" i="101"/>
  <c r="AU17" i="101"/>
  <c r="AM17" i="101"/>
  <c r="AB17" i="101"/>
  <c r="AR17" i="101" s="1"/>
  <c r="Z17" i="101"/>
  <c r="Y17" i="101"/>
  <c r="AO17" i="101" s="1"/>
  <c r="X17" i="101"/>
  <c r="AD17" i="101" s="1"/>
  <c r="AT17" i="101" s="1"/>
  <c r="W17" i="101"/>
  <c r="V17" i="101"/>
  <c r="U17" i="101"/>
  <c r="AC17" i="101" s="1"/>
  <c r="AS17" i="101" s="1"/>
  <c r="T17" i="101"/>
  <c r="S17" i="101"/>
  <c r="AG17" i="101" s="1"/>
  <c r="R17" i="101"/>
  <c r="AH17" i="101" s="1"/>
  <c r="Q17" i="101"/>
  <c r="P17" i="101"/>
  <c r="O17" i="101"/>
  <c r="N17" i="101"/>
  <c r="M17" i="101"/>
  <c r="AV16" i="101"/>
  <c r="AU16" i="101"/>
  <c r="AO16" i="101"/>
  <c r="AM16" i="101"/>
  <c r="AA16" i="101"/>
  <c r="AQ16" i="101" s="1"/>
  <c r="Z16" i="101"/>
  <c r="Y16" i="101"/>
  <c r="AE16" i="101" s="1"/>
  <c r="X16" i="101"/>
  <c r="AD16" i="101" s="1"/>
  <c r="AT16" i="101" s="1"/>
  <c r="W16" i="101"/>
  <c r="V16" i="101"/>
  <c r="AH16" i="101" s="1"/>
  <c r="U16" i="101"/>
  <c r="AC16" i="101" s="1"/>
  <c r="AS16" i="101" s="1"/>
  <c r="T16" i="101"/>
  <c r="S16" i="101"/>
  <c r="AB16" i="101" s="1"/>
  <c r="AR16" i="101" s="1"/>
  <c r="R16" i="101"/>
  <c r="Q16" i="101"/>
  <c r="P16" i="101"/>
  <c r="O16" i="101"/>
  <c r="N16" i="101"/>
  <c r="M16" i="101"/>
  <c r="AV15" i="101"/>
  <c r="AU15" i="101"/>
  <c r="AM15" i="101"/>
  <c r="AB15" i="101"/>
  <c r="AR15" i="101" s="1"/>
  <c r="Z15" i="101"/>
  <c r="Y15" i="101"/>
  <c r="AO15" i="101" s="1"/>
  <c r="X15" i="101"/>
  <c r="AD15" i="101" s="1"/>
  <c r="AT15" i="101" s="1"/>
  <c r="W15" i="101"/>
  <c r="V15" i="101"/>
  <c r="U15" i="101"/>
  <c r="AC15" i="101" s="1"/>
  <c r="AS15" i="101" s="1"/>
  <c r="T15" i="101"/>
  <c r="S15" i="101"/>
  <c r="AN15" i="101" s="1"/>
  <c r="R15" i="101"/>
  <c r="AH15" i="101" s="1"/>
  <c r="Q15" i="101"/>
  <c r="AG15" i="101" s="1"/>
  <c r="P15" i="101"/>
  <c r="O15" i="101"/>
  <c r="N15" i="101"/>
  <c r="M15" i="101"/>
  <c r="AV14" i="101"/>
  <c r="AU14" i="101"/>
  <c r="AO14" i="101"/>
  <c r="AM14" i="101"/>
  <c r="AA14" i="101"/>
  <c r="AQ14" i="101" s="1"/>
  <c r="Z14" i="101"/>
  <c r="Y14" i="101"/>
  <c r="AE14" i="101" s="1"/>
  <c r="X14" i="101"/>
  <c r="W14" i="101"/>
  <c r="AD14" i="101" s="1"/>
  <c r="AT14" i="101" s="1"/>
  <c r="V14" i="101"/>
  <c r="AH14" i="101" s="1"/>
  <c r="U14" i="101"/>
  <c r="AC14" i="101" s="1"/>
  <c r="AS14" i="101" s="1"/>
  <c r="T14" i="101"/>
  <c r="S14" i="101"/>
  <c r="AB14" i="101" s="1"/>
  <c r="AR14" i="101" s="1"/>
  <c r="R14" i="101"/>
  <c r="Q14" i="101"/>
  <c r="P14" i="101"/>
  <c r="O14" i="101"/>
  <c r="N14" i="101"/>
  <c r="M14" i="101"/>
  <c r="AV13" i="101"/>
  <c r="AU13" i="101"/>
  <c r="AM13" i="101"/>
  <c r="AB13" i="101"/>
  <c r="AR13" i="101" s="1"/>
  <c r="Z13" i="101"/>
  <c r="Y13" i="101"/>
  <c r="AO13" i="101" s="1"/>
  <c r="X13" i="101"/>
  <c r="AD13" i="101" s="1"/>
  <c r="AT13" i="101" s="1"/>
  <c r="W13" i="101"/>
  <c r="V13" i="101"/>
  <c r="U13" i="101"/>
  <c r="AC13" i="101" s="1"/>
  <c r="AS13" i="101" s="1"/>
  <c r="T13" i="101"/>
  <c r="S13" i="101"/>
  <c r="AN13" i="101" s="1"/>
  <c r="R13" i="101"/>
  <c r="AH13" i="101" s="1"/>
  <c r="Q13" i="101"/>
  <c r="AG13" i="101" s="1"/>
  <c r="P13" i="101"/>
  <c r="O13" i="101"/>
  <c r="N13" i="101"/>
  <c r="M13" i="101"/>
  <c r="AV12" i="101"/>
  <c r="AU12" i="101"/>
  <c r="AO12" i="101"/>
  <c r="AM12" i="101"/>
  <c r="AA12" i="101"/>
  <c r="AQ12" i="101" s="1"/>
  <c r="Z12" i="101"/>
  <c r="Y12" i="101"/>
  <c r="AE12" i="101" s="1"/>
  <c r="X12" i="101"/>
  <c r="W12" i="101"/>
  <c r="AD12" i="101" s="1"/>
  <c r="AT12" i="101" s="1"/>
  <c r="V12" i="101"/>
  <c r="AH12" i="101" s="1"/>
  <c r="U12" i="101"/>
  <c r="AC12" i="101" s="1"/>
  <c r="AS12" i="101" s="1"/>
  <c r="T12" i="101"/>
  <c r="S12" i="101"/>
  <c r="AB12" i="101" s="1"/>
  <c r="AR12" i="101" s="1"/>
  <c r="R12" i="101"/>
  <c r="Q12" i="101"/>
  <c r="P12" i="101"/>
  <c r="O12" i="101"/>
  <c r="N12" i="101"/>
  <c r="M12" i="101"/>
  <c r="AV11" i="101"/>
  <c r="AU11" i="101"/>
  <c r="AM11" i="101"/>
  <c r="AB11" i="101"/>
  <c r="AR11" i="101" s="1"/>
  <c r="Z11" i="101"/>
  <c r="Y11" i="101"/>
  <c r="AO11" i="101" s="1"/>
  <c r="X11" i="101"/>
  <c r="AD11" i="101" s="1"/>
  <c r="AT11" i="101" s="1"/>
  <c r="W11" i="101"/>
  <c r="V11" i="101"/>
  <c r="U11" i="101"/>
  <c r="AC11" i="101" s="1"/>
  <c r="AS11" i="101" s="1"/>
  <c r="T11" i="101"/>
  <c r="S11" i="101"/>
  <c r="AG11" i="101" s="1"/>
  <c r="R11" i="101"/>
  <c r="AH11" i="101" s="1"/>
  <c r="Q11" i="101"/>
  <c r="P11" i="101"/>
  <c r="O11" i="101"/>
  <c r="N11" i="101"/>
  <c r="M11" i="101"/>
  <c r="AV10" i="101"/>
  <c r="AU10" i="101"/>
  <c r="AO10" i="101"/>
  <c r="AM10" i="101"/>
  <c r="AA10" i="101"/>
  <c r="AQ10" i="101" s="1"/>
  <c r="Z10" i="101"/>
  <c r="Y10" i="101"/>
  <c r="AE10" i="101" s="1"/>
  <c r="X10" i="101"/>
  <c r="W10" i="101"/>
  <c r="AD10" i="101" s="1"/>
  <c r="AT10" i="101" s="1"/>
  <c r="V10" i="101"/>
  <c r="AH10" i="101" s="1"/>
  <c r="U10" i="101"/>
  <c r="AG10" i="101" s="1"/>
  <c r="T10" i="101"/>
  <c r="S10" i="101"/>
  <c r="AB10" i="101" s="1"/>
  <c r="AR10" i="101" s="1"/>
  <c r="R10" i="101"/>
  <c r="Q10" i="101"/>
  <c r="P10" i="101"/>
  <c r="O10" i="101"/>
  <c r="N10" i="101"/>
  <c r="M10" i="101"/>
  <c r="AV9" i="101"/>
  <c r="AU9" i="101"/>
  <c r="AM9" i="101"/>
  <c r="AB9" i="101"/>
  <c r="AR9" i="101" s="1"/>
  <c r="Z9" i="101"/>
  <c r="Y9" i="101"/>
  <c r="AO9" i="101" s="1"/>
  <c r="X9" i="101"/>
  <c r="AD9" i="101" s="1"/>
  <c r="AT9" i="101" s="1"/>
  <c r="W9" i="101"/>
  <c r="V9" i="101"/>
  <c r="U9" i="101"/>
  <c r="AC9" i="101" s="1"/>
  <c r="AS9" i="101" s="1"/>
  <c r="T9" i="101"/>
  <c r="S9" i="101"/>
  <c r="AG9" i="101" s="1"/>
  <c r="R9" i="101"/>
  <c r="AH9" i="101" s="1"/>
  <c r="Q9" i="101"/>
  <c r="P9" i="101"/>
  <c r="O9" i="101"/>
  <c r="N9" i="101"/>
  <c r="M9" i="101"/>
  <c r="AV8" i="101"/>
  <c r="AU8" i="101"/>
  <c r="AP8" i="101"/>
  <c r="AN8" i="101"/>
  <c r="AB8" i="101"/>
  <c r="AR8" i="101" s="1"/>
  <c r="Z8" i="101"/>
  <c r="Y8" i="101"/>
  <c r="AE8" i="101" s="1"/>
  <c r="X8" i="101"/>
  <c r="W8" i="101"/>
  <c r="AD8" i="101" s="1"/>
  <c r="AT8" i="101" s="1"/>
  <c r="V8" i="101"/>
  <c r="AC8" i="101" s="1"/>
  <c r="AS8" i="101" s="1"/>
  <c r="U8" i="101"/>
  <c r="T8" i="101"/>
  <c r="S8" i="101"/>
  <c r="R8" i="101"/>
  <c r="Q8" i="101"/>
  <c r="AM8" i="101" s="1"/>
  <c r="P8" i="101"/>
  <c r="O8" i="101"/>
  <c r="N8" i="101"/>
  <c r="M8" i="101"/>
  <c r="AV7" i="101"/>
  <c r="AU7" i="101"/>
  <c r="AT7" i="101"/>
  <c r="AP7" i="101"/>
  <c r="AO7" i="101"/>
  <c r="AN7" i="101"/>
  <c r="AD7" i="101"/>
  <c r="Z7" i="101"/>
  <c r="Y7" i="101"/>
  <c r="AE7" i="101" s="1"/>
  <c r="X7" i="101"/>
  <c r="W7" i="101"/>
  <c r="V7" i="101"/>
  <c r="U7" i="101"/>
  <c r="AC7" i="101" s="1"/>
  <c r="AS7" i="101" s="1"/>
  <c r="T7" i="101"/>
  <c r="AB7" i="101" s="1"/>
  <c r="AR7" i="101" s="1"/>
  <c r="S7" i="101"/>
  <c r="R7" i="101"/>
  <c r="AH7" i="101" s="1"/>
  <c r="Q7" i="101"/>
  <c r="AM7" i="101" s="1"/>
  <c r="P7" i="101"/>
  <c r="O7" i="101"/>
  <c r="N7" i="101"/>
  <c r="M7" i="101"/>
  <c r="AV6" i="101"/>
  <c r="AU6" i="101"/>
  <c r="AO6" i="101"/>
  <c r="AC6" i="101"/>
  <c r="AS6" i="101" s="1"/>
  <c r="Z6" i="101"/>
  <c r="Y6" i="101"/>
  <c r="AE6" i="101" s="1"/>
  <c r="X6" i="101"/>
  <c r="W6" i="101"/>
  <c r="AD6" i="101" s="1"/>
  <c r="AT6" i="101" s="1"/>
  <c r="V6" i="101"/>
  <c r="U6" i="101"/>
  <c r="T6" i="101"/>
  <c r="S6" i="101"/>
  <c r="AN6" i="101" s="1"/>
  <c r="R6" i="101"/>
  <c r="AH6" i="101" s="1"/>
  <c r="Q6" i="101"/>
  <c r="AG6" i="101" s="1"/>
  <c r="P6" i="101"/>
  <c r="O6" i="101"/>
  <c r="N6" i="101"/>
  <c r="M6" i="101"/>
  <c r="AV5" i="101"/>
  <c r="AU5" i="101"/>
  <c r="AO5" i="101"/>
  <c r="AN5" i="101"/>
  <c r="Z5" i="101"/>
  <c r="Y5" i="101"/>
  <c r="AE5" i="101" s="1"/>
  <c r="X5" i="101"/>
  <c r="AD5" i="101" s="1"/>
  <c r="AT5" i="101" s="1"/>
  <c r="W5" i="101"/>
  <c r="V5" i="101"/>
  <c r="U5" i="101"/>
  <c r="AC5" i="101" s="1"/>
  <c r="AS5" i="101" s="1"/>
  <c r="T5" i="101"/>
  <c r="AB5" i="101" s="1"/>
  <c r="AR5" i="101" s="1"/>
  <c r="S5" i="101"/>
  <c r="R5" i="101"/>
  <c r="AA5" i="101" s="1"/>
  <c r="Q5" i="101"/>
  <c r="AM5" i="101" s="1"/>
  <c r="P5" i="101"/>
  <c r="O5" i="101"/>
  <c r="N5" i="101"/>
  <c r="M5" i="101"/>
  <c r="AV4" i="101"/>
  <c r="AU4" i="101"/>
  <c r="AO4" i="101"/>
  <c r="AC4" i="101"/>
  <c r="AS4" i="101" s="1"/>
  <c r="Z4" i="101"/>
  <c r="Y4" i="101"/>
  <c r="AE4" i="101" s="1"/>
  <c r="X4" i="101"/>
  <c r="W4" i="101"/>
  <c r="AD4" i="101" s="1"/>
  <c r="AT4" i="101" s="1"/>
  <c r="V4" i="101"/>
  <c r="U4" i="101"/>
  <c r="T4" i="101"/>
  <c r="S4" i="101"/>
  <c r="AN4" i="101" s="1"/>
  <c r="R4" i="101"/>
  <c r="AH4" i="101" s="1"/>
  <c r="Q4" i="101"/>
  <c r="AG4" i="101" s="1"/>
  <c r="P4" i="101"/>
  <c r="O4" i="101"/>
  <c r="N4" i="101"/>
  <c r="M4" i="101"/>
  <c r="AX24" i="12"/>
  <c r="AW24" i="12"/>
  <c r="AT24" i="12"/>
  <c r="AS24" i="12"/>
  <c r="AP24" i="12"/>
  <c r="AH24" i="12"/>
  <c r="AB24" i="12"/>
  <c r="AA24" i="12"/>
  <c r="AI24" i="12" s="1"/>
  <c r="Z24" i="12"/>
  <c r="AF24" i="12" s="1"/>
  <c r="AV24" i="12" s="1"/>
  <c r="Y24" i="12"/>
  <c r="AE24" i="12" s="1"/>
  <c r="W24" i="12"/>
  <c r="V24" i="12"/>
  <c r="AD24" i="12" s="1"/>
  <c r="U24" i="12"/>
  <c r="T24" i="12"/>
  <c r="AO24" i="12" s="1"/>
  <c r="S24" i="12"/>
  <c r="R24" i="12"/>
  <c r="AN24" i="12" s="1"/>
  <c r="Q24" i="12"/>
  <c r="P24" i="12"/>
  <c r="O24" i="12"/>
  <c r="N24" i="12"/>
  <c r="M24" i="12"/>
  <c r="AX23" i="12"/>
  <c r="AS23" i="12"/>
  <c r="AF23" i="12"/>
  <c r="AV23" i="12" s="1"/>
  <c r="AA23" i="12"/>
  <c r="Z23" i="12"/>
  <c r="AP23" i="12" s="1"/>
  <c r="Y23" i="12"/>
  <c r="AE23" i="12" s="1"/>
  <c r="AW23" i="12" s="1"/>
  <c r="W23" i="12"/>
  <c r="AD23" i="12" s="1"/>
  <c r="V23" i="12"/>
  <c r="U23" i="12"/>
  <c r="T23" i="12"/>
  <c r="AC23" i="12" s="1"/>
  <c r="AU23" i="12" s="1"/>
  <c r="S23" i="12"/>
  <c r="R23" i="12"/>
  <c r="Q23" i="12"/>
  <c r="P23" i="12"/>
  <c r="O23" i="12"/>
  <c r="N23" i="12"/>
  <c r="M23" i="12"/>
  <c r="AX22" i="12"/>
  <c r="AS22" i="12"/>
  <c r="AR22" i="12"/>
  <c r="AP22" i="12"/>
  <c r="AB22" i="12"/>
  <c r="AT22" i="12" s="1"/>
  <c r="AA22" i="12"/>
  <c r="Z22" i="12"/>
  <c r="AF22" i="12" s="1"/>
  <c r="AV22" i="12" s="1"/>
  <c r="Y22" i="12"/>
  <c r="AE22" i="12" s="1"/>
  <c r="AW22" i="12" s="1"/>
  <c r="W22" i="12"/>
  <c r="V22" i="12"/>
  <c r="AD22" i="12" s="1"/>
  <c r="U22" i="12"/>
  <c r="AC22" i="12" s="1"/>
  <c r="AU22" i="12" s="1"/>
  <c r="T22" i="12"/>
  <c r="AO22" i="12" s="1"/>
  <c r="S22" i="12"/>
  <c r="R22" i="12"/>
  <c r="AN22" i="12" s="1"/>
  <c r="Q22" i="12"/>
  <c r="P22" i="12"/>
  <c r="O22" i="12"/>
  <c r="N22" i="12"/>
  <c r="M22" i="12"/>
  <c r="AX21" i="12"/>
  <c r="AS21" i="12"/>
  <c r="AR21" i="12"/>
  <c r="AP21" i="12"/>
  <c r="AN21" i="12"/>
  <c r="AB21" i="12"/>
  <c r="AT21" i="12" s="1"/>
  <c r="AA21" i="12"/>
  <c r="AF21" i="12" s="1"/>
  <c r="AV21" i="12" s="1"/>
  <c r="Z21" i="12"/>
  <c r="Y21" i="12"/>
  <c r="AE21" i="12" s="1"/>
  <c r="AW21" i="12" s="1"/>
  <c r="W21" i="12"/>
  <c r="V21" i="12"/>
  <c r="AD21" i="12" s="1"/>
  <c r="U21" i="12"/>
  <c r="T21" i="12"/>
  <c r="AO21" i="12" s="1"/>
  <c r="S21" i="12"/>
  <c r="R21" i="12"/>
  <c r="Q21" i="12"/>
  <c r="P21" i="12"/>
  <c r="O21" i="12"/>
  <c r="N21" i="12"/>
  <c r="M21" i="12"/>
  <c r="AX20" i="12"/>
  <c r="AS20" i="12"/>
  <c r="AR20" i="12"/>
  <c r="AO20" i="12"/>
  <c r="AD20" i="12"/>
  <c r="AA20" i="12"/>
  <c r="Z20" i="12"/>
  <c r="AP20" i="12" s="1"/>
  <c r="Y20" i="12"/>
  <c r="AE20" i="12" s="1"/>
  <c r="AW20" i="12" s="1"/>
  <c r="W20" i="12"/>
  <c r="V20" i="12"/>
  <c r="U20" i="12"/>
  <c r="T20" i="12"/>
  <c r="AC20" i="12" s="1"/>
  <c r="AU20" i="12" s="1"/>
  <c r="S20" i="12"/>
  <c r="R20" i="12"/>
  <c r="Q20" i="12"/>
  <c r="P20" i="12"/>
  <c r="O20" i="12"/>
  <c r="N20" i="12"/>
  <c r="M20" i="12"/>
  <c r="AX19" i="12"/>
  <c r="AS19" i="12"/>
  <c r="AR19" i="12"/>
  <c r="AP19" i="12"/>
  <c r="AF19" i="12"/>
  <c r="AV19" i="12" s="1"/>
  <c r="AA19" i="12"/>
  <c r="Z19" i="12"/>
  <c r="Y19" i="12"/>
  <c r="AE19" i="12" s="1"/>
  <c r="AW19" i="12" s="1"/>
  <c r="W19" i="12"/>
  <c r="AD19" i="12" s="1"/>
  <c r="V19" i="12"/>
  <c r="U19" i="12"/>
  <c r="AI19" i="12" s="1"/>
  <c r="T19" i="12"/>
  <c r="AO19" i="12" s="1"/>
  <c r="S19" i="12"/>
  <c r="R19" i="12"/>
  <c r="AN19" i="12" s="1"/>
  <c r="Q19" i="12"/>
  <c r="P19" i="12"/>
  <c r="O19" i="12"/>
  <c r="N19" i="12"/>
  <c r="M19" i="12"/>
  <c r="AX18" i="12"/>
  <c r="AW18" i="12"/>
  <c r="AS18" i="12"/>
  <c r="AR18" i="12"/>
  <c r="AP18" i="12"/>
  <c r="AO18" i="12"/>
  <c r="AN18" i="12"/>
  <c r="AF18" i="12"/>
  <c r="AV18" i="12" s="1"/>
  <c r="AC18" i="12"/>
  <c r="AU18" i="12" s="1"/>
  <c r="AB18" i="12"/>
  <c r="AT18" i="12" s="1"/>
  <c r="AA18" i="12"/>
  <c r="Z18" i="12"/>
  <c r="Y18" i="12"/>
  <c r="AE18" i="12" s="1"/>
  <c r="X18" i="12"/>
  <c r="W18" i="12"/>
  <c r="V18" i="12"/>
  <c r="U18" i="12"/>
  <c r="AI18" i="12" s="1"/>
  <c r="T18" i="12"/>
  <c r="AH18" i="12" s="1"/>
  <c r="S18" i="12"/>
  <c r="R18" i="12"/>
  <c r="Q18" i="12"/>
  <c r="P18" i="12"/>
  <c r="O18" i="12"/>
  <c r="N18" i="12"/>
  <c r="M18" i="12"/>
  <c r="AX17" i="12"/>
  <c r="AW17" i="12"/>
  <c r="AS17" i="12"/>
  <c r="AR17" i="12"/>
  <c r="AP17" i="12"/>
  <c r="AN17" i="12"/>
  <c r="AF17" i="12"/>
  <c r="AV17" i="12" s="1"/>
  <c r="AE17" i="12"/>
  <c r="AA17" i="12"/>
  <c r="Z17" i="12"/>
  <c r="W17" i="12"/>
  <c r="V17" i="12"/>
  <c r="AD17" i="12" s="1"/>
  <c r="U17" i="12"/>
  <c r="T17" i="12"/>
  <c r="AC17" i="12" s="1"/>
  <c r="AU17" i="12" s="1"/>
  <c r="S17" i="12"/>
  <c r="R17" i="12"/>
  <c r="AH17" i="12" s="1"/>
  <c r="Q17" i="12"/>
  <c r="P17" i="12"/>
  <c r="O17" i="12"/>
  <c r="N17" i="12"/>
  <c r="M17" i="12"/>
  <c r="AX16" i="12"/>
  <c r="AW16" i="12"/>
  <c r="AT16" i="12"/>
  <c r="AS16" i="12"/>
  <c r="AR16" i="12"/>
  <c r="AP16" i="12"/>
  <c r="AI16" i="12"/>
  <c r="AE16" i="12"/>
  <c r="AD16" i="12"/>
  <c r="AB16" i="12"/>
  <c r="AA16" i="12"/>
  <c r="Z16" i="12"/>
  <c r="AF16" i="12" s="1"/>
  <c r="AV16" i="12" s="1"/>
  <c r="W16" i="12"/>
  <c r="V16" i="12"/>
  <c r="U16" i="12"/>
  <c r="T16" i="12"/>
  <c r="AO16" i="12" s="1"/>
  <c r="S16" i="12"/>
  <c r="R16" i="12"/>
  <c r="AN16" i="12" s="1"/>
  <c r="Q16" i="12"/>
  <c r="P16" i="12"/>
  <c r="O16" i="12"/>
  <c r="N16" i="12"/>
  <c r="M16" i="12"/>
  <c r="AX15" i="12"/>
  <c r="AS15" i="12"/>
  <c r="AR15" i="12"/>
  <c r="AE15" i="12"/>
  <c r="AW15" i="12" s="1"/>
  <c r="AA15" i="12"/>
  <c r="Z15" i="12"/>
  <c r="AP15" i="12" s="1"/>
  <c r="Y15" i="12"/>
  <c r="W15" i="12"/>
  <c r="V15" i="12"/>
  <c r="AD15" i="12" s="1"/>
  <c r="U15" i="12"/>
  <c r="T15" i="12"/>
  <c r="AC15" i="12" s="1"/>
  <c r="AU15" i="12" s="1"/>
  <c r="S15" i="12"/>
  <c r="AI15" i="12" s="1"/>
  <c r="R15" i="12"/>
  <c r="AN15" i="12" s="1"/>
  <c r="Q15" i="12"/>
  <c r="P15" i="12"/>
  <c r="O15" i="12"/>
  <c r="N15" i="12"/>
  <c r="M15" i="12"/>
  <c r="AX14" i="12"/>
  <c r="AU14" i="12"/>
  <c r="AS14" i="12"/>
  <c r="AR14" i="12"/>
  <c r="AN14" i="12"/>
  <c r="AE14" i="12"/>
  <c r="AW14" i="12" s="1"/>
  <c r="AC14" i="12"/>
  <c r="AA14" i="12"/>
  <c r="Z14" i="12"/>
  <c r="AP14" i="12" s="1"/>
  <c r="Y14" i="12"/>
  <c r="W14" i="12"/>
  <c r="V14" i="12"/>
  <c r="AD14" i="12" s="1"/>
  <c r="U14" i="12"/>
  <c r="T14" i="12"/>
  <c r="AO14" i="12" s="1"/>
  <c r="S14" i="12"/>
  <c r="AI14" i="12" s="1"/>
  <c r="R14" i="12"/>
  <c r="Q14" i="12"/>
  <c r="P14" i="12"/>
  <c r="O14" i="12"/>
  <c r="N14" i="12"/>
  <c r="M14" i="12"/>
  <c r="AX13" i="12"/>
  <c r="AW13" i="12"/>
  <c r="AS13" i="12"/>
  <c r="AR13" i="12"/>
  <c r="AP13" i="12"/>
  <c r="AB13" i="12"/>
  <c r="AT13" i="12" s="1"/>
  <c r="AA13" i="12"/>
  <c r="AI13" i="12" s="1"/>
  <c r="Z13" i="12"/>
  <c r="Y13" i="12"/>
  <c r="AE13" i="12" s="1"/>
  <c r="W13" i="12"/>
  <c r="AD13" i="12" s="1"/>
  <c r="V13" i="12"/>
  <c r="U13" i="12"/>
  <c r="T13" i="12"/>
  <c r="AO13" i="12" s="1"/>
  <c r="S13" i="12"/>
  <c r="R13" i="12"/>
  <c r="AN13" i="12" s="1"/>
  <c r="Q13" i="12"/>
  <c r="P13" i="12"/>
  <c r="O13" i="12"/>
  <c r="N13" i="12"/>
  <c r="M13" i="12"/>
  <c r="AX12" i="12"/>
  <c r="AS12" i="12"/>
  <c r="AR12" i="12"/>
  <c r="AN12" i="12"/>
  <c r="AE12" i="12"/>
  <c r="AW12" i="12" s="1"/>
  <c r="AC12" i="12"/>
  <c r="AU12" i="12" s="1"/>
  <c r="AA12" i="12"/>
  <c r="Z12" i="12"/>
  <c r="AP12" i="12" s="1"/>
  <c r="Y12" i="12"/>
  <c r="W12" i="12"/>
  <c r="V12" i="12"/>
  <c r="AD12" i="12" s="1"/>
  <c r="AV12" i="12" s="1"/>
  <c r="U12" i="12"/>
  <c r="T12" i="12"/>
  <c r="AH12" i="12" s="1"/>
  <c r="S12" i="12"/>
  <c r="AI12" i="12" s="1"/>
  <c r="R12" i="12"/>
  <c r="Q12" i="12"/>
  <c r="P12" i="12"/>
  <c r="O12" i="12"/>
  <c r="N12" i="12"/>
  <c r="M12" i="12"/>
  <c r="AX11" i="12"/>
  <c r="AS11" i="12"/>
  <c r="AR11" i="12"/>
  <c r="AN11" i="12"/>
  <c r="AE11" i="12"/>
  <c r="AW11" i="12" s="1"/>
  <c r="AA11" i="12"/>
  <c r="Z11" i="12"/>
  <c r="AP11" i="12" s="1"/>
  <c r="Y11" i="12"/>
  <c r="W11" i="12"/>
  <c r="V11" i="12"/>
  <c r="AD11" i="12" s="1"/>
  <c r="AV11" i="12" s="1"/>
  <c r="U11" i="12"/>
  <c r="T11" i="12"/>
  <c r="AO11" i="12" s="1"/>
  <c r="S11" i="12"/>
  <c r="AI11" i="12" s="1"/>
  <c r="R11" i="12"/>
  <c r="Q11" i="12"/>
  <c r="P11" i="12"/>
  <c r="O11" i="12"/>
  <c r="N11" i="12"/>
  <c r="M11" i="12"/>
  <c r="AX10" i="12"/>
  <c r="AS10" i="12"/>
  <c r="AR10" i="12"/>
  <c r="AP10" i="12"/>
  <c r="AO10" i="12"/>
  <c r="AD10" i="12"/>
  <c r="AV10" i="12" s="1"/>
  <c r="AA10" i="12"/>
  <c r="Z10" i="12"/>
  <c r="Y10" i="12"/>
  <c r="AE10" i="12" s="1"/>
  <c r="AW10" i="12" s="1"/>
  <c r="W10" i="12"/>
  <c r="V10" i="12"/>
  <c r="U10" i="12"/>
  <c r="AI10" i="12" s="1"/>
  <c r="T10" i="12"/>
  <c r="AC10" i="12" s="1"/>
  <c r="AU10" i="12" s="1"/>
  <c r="S10" i="12"/>
  <c r="R10" i="12"/>
  <c r="AN10" i="12" s="1"/>
  <c r="Q10" i="12"/>
  <c r="P10" i="12"/>
  <c r="O10" i="12"/>
  <c r="N10" i="12"/>
  <c r="M10" i="12"/>
  <c r="AX9" i="12"/>
  <c r="AW9" i="12"/>
  <c r="AS9" i="12"/>
  <c r="AR9" i="12"/>
  <c r="AN9" i="12"/>
  <c r="AE9" i="12"/>
  <c r="AA9" i="12"/>
  <c r="Z9" i="12"/>
  <c r="AF9" i="12" s="1"/>
  <c r="Y9" i="12"/>
  <c r="W9" i="12"/>
  <c r="V9" i="12"/>
  <c r="AD9" i="12" s="1"/>
  <c r="AV9" i="12" s="1"/>
  <c r="U9" i="12"/>
  <c r="T9" i="12"/>
  <c r="AC9" i="12" s="1"/>
  <c r="AU9" i="12" s="1"/>
  <c r="S9" i="12"/>
  <c r="AI9" i="12" s="1"/>
  <c r="R9" i="12"/>
  <c r="AB9" i="12" s="1"/>
  <c r="Q9" i="12"/>
  <c r="P9" i="12"/>
  <c r="O9" i="12"/>
  <c r="N9" i="12"/>
  <c r="M9" i="12"/>
  <c r="AX8" i="12"/>
  <c r="AS8" i="12"/>
  <c r="AR8" i="12"/>
  <c r="AN8" i="12"/>
  <c r="AE8" i="12"/>
  <c r="AW8" i="12" s="1"/>
  <c r="AA8" i="12"/>
  <c r="Z8" i="12"/>
  <c r="AP8" i="12" s="1"/>
  <c r="Y8" i="12"/>
  <c r="W8" i="12"/>
  <c r="V8" i="12"/>
  <c r="AD8" i="12" s="1"/>
  <c r="AV8" i="12" s="1"/>
  <c r="U8" i="12"/>
  <c r="T8" i="12"/>
  <c r="AC8" i="12" s="1"/>
  <c r="AU8" i="12" s="1"/>
  <c r="S8" i="12"/>
  <c r="AI8" i="12" s="1"/>
  <c r="R8" i="12"/>
  <c r="Q8" i="12"/>
  <c r="P8" i="12"/>
  <c r="O8" i="12"/>
  <c r="N8" i="12"/>
  <c r="M8" i="12"/>
  <c r="AX7" i="12"/>
  <c r="AS7" i="12"/>
  <c r="AR7" i="12"/>
  <c r="AP7" i="12"/>
  <c r="AD7" i="12"/>
  <c r="AV7" i="12" s="1"/>
  <c r="AB7" i="12"/>
  <c r="AT7" i="12" s="1"/>
  <c r="AA7" i="12"/>
  <c r="Z7" i="12"/>
  <c r="Y7" i="12"/>
  <c r="AE7" i="12" s="1"/>
  <c r="AW7" i="12" s="1"/>
  <c r="W7" i="12"/>
  <c r="V7" i="12"/>
  <c r="U7" i="12"/>
  <c r="AI7" i="12" s="1"/>
  <c r="T7" i="12"/>
  <c r="AH7" i="12" s="1"/>
  <c r="S7" i="12"/>
  <c r="R7" i="12"/>
  <c r="AN7" i="12" s="1"/>
  <c r="Q7" i="12"/>
  <c r="P7" i="12"/>
  <c r="O7" i="12"/>
  <c r="N7" i="12"/>
  <c r="M7" i="12"/>
  <c r="AX6" i="12"/>
  <c r="AS6" i="12"/>
  <c r="AR6" i="12"/>
  <c r="AN6" i="12"/>
  <c r="AE6" i="12"/>
  <c r="AW6" i="12" s="1"/>
  <c r="AC6" i="12"/>
  <c r="AU6" i="12" s="1"/>
  <c r="AA6" i="12"/>
  <c r="Z6" i="12"/>
  <c r="AP6" i="12" s="1"/>
  <c r="Y6" i="12"/>
  <c r="W6" i="12"/>
  <c r="V6" i="12"/>
  <c r="AD6" i="12" s="1"/>
  <c r="AV6" i="12" s="1"/>
  <c r="U6" i="12"/>
  <c r="T6" i="12"/>
  <c r="AH6" i="12" s="1"/>
  <c r="S6" i="12"/>
  <c r="AI6" i="12" s="1"/>
  <c r="R6" i="12"/>
  <c r="Q6" i="12"/>
  <c r="P6" i="12"/>
  <c r="O6" i="12"/>
  <c r="N6" i="12"/>
  <c r="M6" i="12"/>
  <c r="AX5" i="12"/>
  <c r="AS5" i="12"/>
  <c r="AR5" i="12"/>
  <c r="AN5" i="12"/>
  <c r="AE5" i="12"/>
  <c r="AW5" i="12" s="1"/>
  <c r="AA5" i="12"/>
  <c r="Z5" i="12"/>
  <c r="AP5" i="12" s="1"/>
  <c r="Y5" i="12"/>
  <c r="W5" i="12"/>
  <c r="V5" i="12"/>
  <c r="AD5" i="12" s="1"/>
  <c r="AV5" i="12" s="1"/>
  <c r="U5" i="12"/>
  <c r="T5" i="12"/>
  <c r="AO5" i="12" s="1"/>
  <c r="S5" i="12"/>
  <c r="AI5" i="12" s="1"/>
  <c r="R5" i="12"/>
  <c r="Q5" i="12"/>
  <c r="P5" i="12"/>
  <c r="O5" i="12"/>
  <c r="N5" i="12"/>
  <c r="M5" i="12"/>
  <c r="AX4" i="12"/>
  <c r="AS4" i="12"/>
  <c r="AR4" i="12"/>
  <c r="AP4" i="12"/>
  <c r="AO4" i="12"/>
  <c r="AA4" i="12"/>
  <c r="Z4" i="12"/>
  <c r="Y4" i="12"/>
  <c r="AE4" i="12" s="1"/>
  <c r="AW4" i="12" s="1"/>
  <c r="W4" i="12"/>
  <c r="AD4" i="12" s="1"/>
  <c r="AV4" i="12" s="1"/>
  <c r="V4" i="12"/>
  <c r="U4" i="12"/>
  <c r="AI4" i="12" s="1"/>
  <c r="T4" i="12"/>
  <c r="AC4" i="12" s="1"/>
  <c r="AU4" i="12" s="1"/>
  <c r="S4" i="12"/>
  <c r="R4" i="12"/>
  <c r="AN4" i="12" s="1"/>
  <c r="Q4" i="12"/>
  <c r="P4" i="12"/>
  <c r="O4" i="12"/>
  <c r="N4" i="12"/>
  <c r="M4" i="12"/>
  <c r="AQ5" i="101" l="1"/>
  <c r="AF5" i="101"/>
  <c r="AH8" i="101"/>
  <c r="AG12" i="101"/>
  <c r="AG14" i="101"/>
  <c r="AA4" i="101"/>
  <c r="AB4" i="101"/>
  <c r="AR4" i="101" s="1"/>
  <c r="AB6" i="101"/>
  <c r="AR6" i="101" s="1"/>
  <c r="AA8" i="101"/>
  <c r="AG8" i="101"/>
  <c r="AO8" i="101"/>
  <c r="AN10" i="101"/>
  <c r="AF12" i="101"/>
  <c r="AN12" i="101"/>
  <c r="AF14" i="101"/>
  <c r="AN14" i="101"/>
  <c r="AF16" i="101"/>
  <c r="AN16" i="101"/>
  <c r="AF18" i="101"/>
  <c r="AN18" i="101"/>
  <c r="AF20" i="101"/>
  <c r="AN20" i="101"/>
  <c r="AA22" i="101"/>
  <c r="AG22" i="101"/>
  <c r="AO22" i="101"/>
  <c r="AG16" i="101"/>
  <c r="AG20" i="101"/>
  <c r="AH22" i="101"/>
  <c r="AG5" i="101"/>
  <c r="AA7" i="101"/>
  <c r="AG7" i="101"/>
  <c r="AE9" i="101"/>
  <c r="AE11" i="101"/>
  <c r="AE13" i="101"/>
  <c r="AE15" i="101"/>
  <c r="AE17" i="101"/>
  <c r="AE19" i="101"/>
  <c r="AE21" i="101"/>
  <c r="AM21" i="101"/>
  <c r="AA23" i="101"/>
  <c r="AG23" i="101"/>
  <c r="AE24" i="101"/>
  <c r="AM4" i="101"/>
  <c r="AH5" i="101"/>
  <c r="AM6" i="101"/>
  <c r="AN9" i="101"/>
  <c r="AC10" i="101"/>
  <c r="AS10" i="101" s="1"/>
  <c r="AN11" i="101"/>
  <c r="AN17" i="101"/>
  <c r="AN19" i="101"/>
  <c r="AN24" i="101"/>
  <c r="AD21" i="101"/>
  <c r="AT21" i="101" s="1"/>
  <c r="AA9" i="101"/>
  <c r="AA11" i="101"/>
  <c r="AA13" i="101"/>
  <c r="AA15" i="101"/>
  <c r="AA17" i="101"/>
  <c r="AA19" i="101"/>
  <c r="AA21" i="101"/>
  <c r="AA24" i="101"/>
  <c r="AA6" i="101"/>
  <c r="AG9" i="12"/>
  <c r="AT9" i="12"/>
  <c r="AP9" i="12"/>
  <c r="AH20" i="12"/>
  <c r="AB20" i="12"/>
  <c r="AH9" i="12"/>
  <c r="AB4" i="12"/>
  <c r="AO7" i="12"/>
  <c r="AC5" i="12"/>
  <c r="AU5" i="12" s="1"/>
  <c r="AB6" i="12"/>
  <c r="AF7" i="12"/>
  <c r="AH8" i="12"/>
  <c r="AB8" i="12"/>
  <c r="AF8" i="12"/>
  <c r="AO8" i="12"/>
  <c r="AO9" i="12"/>
  <c r="AC11" i="12"/>
  <c r="AU11" i="12" s="1"/>
  <c r="AB12" i="12"/>
  <c r="AF13" i="12"/>
  <c r="AV13" i="12" s="1"/>
  <c r="AH13" i="12"/>
  <c r="AH16" i="12"/>
  <c r="AO17" i="12"/>
  <c r="AD18" i="12"/>
  <c r="AC19" i="12"/>
  <c r="AU19" i="12" s="1"/>
  <c r="AF20" i="12"/>
  <c r="AV20" i="12" s="1"/>
  <c r="AH21" i="12"/>
  <c r="AI22" i="12"/>
  <c r="AO23" i="12"/>
  <c r="AH15" i="12"/>
  <c r="AI21" i="12"/>
  <c r="AG16" i="12"/>
  <c r="AI20" i="12"/>
  <c r="AH23" i="12"/>
  <c r="AB23" i="12"/>
  <c r="AF4" i="12"/>
  <c r="AH5" i="12"/>
  <c r="AB5" i="12"/>
  <c r="AF5" i="12"/>
  <c r="AF6" i="12"/>
  <c r="AO6" i="12"/>
  <c r="AC7" i="12"/>
  <c r="AU7" i="12" s="1"/>
  <c r="AF10" i="12"/>
  <c r="AH11" i="12"/>
  <c r="AB11" i="12"/>
  <c r="AF11" i="12"/>
  <c r="AF12" i="12"/>
  <c r="AO12" i="12"/>
  <c r="AC13" i="12"/>
  <c r="AU13" i="12" s="1"/>
  <c r="AH14" i="12"/>
  <c r="AB14" i="12"/>
  <c r="AF14" i="12"/>
  <c r="AV14" i="12" s="1"/>
  <c r="AB15" i="12"/>
  <c r="AC16" i="12"/>
  <c r="AU16" i="12" s="1"/>
  <c r="AG18" i="12"/>
  <c r="AC21" i="12"/>
  <c r="AU21" i="12" s="1"/>
  <c r="AI23" i="12"/>
  <c r="AO15" i="12"/>
  <c r="AI17" i="12"/>
  <c r="AH19" i="12"/>
  <c r="AN20" i="12"/>
  <c r="AC24" i="12"/>
  <c r="AG22" i="12"/>
  <c r="AH4" i="12"/>
  <c r="AH10" i="12"/>
  <c r="AB10" i="12"/>
  <c r="AG13" i="12"/>
  <c r="AF15" i="12"/>
  <c r="AV15" i="12" s="1"/>
  <c r="AB17" i="12"/>
  <c r="AB19" i="12"/>
  <c r="AH22" i="12"/>
  <c r="AN23" i="12"/>
  <c r="AQ9" i="101" l="1"/>
  <c r="AF9" i="101"/>
  <c r="AF6" i="101"/>
  <c r="AQ6" i="101"/>
  <c r="AQ13" i="101"/>
  <c r="AF13" i="101"/>
  <c r="AF7" i="101"/>
  <c r="AQ7" i="101"/>
  <c r="AQ24" i="101"/>
  <c r="AF24" i="101"/>
  <c r="AQ11" i="101"/>
  <c r="AF11" i="101"/>
  <c r="AF22" i="101"/>
  <c r="AQ22" i="101"/>
  <c r="AL16" i="101"/>
  <c r="AK16" i="101"/>
  <c r="AF10" i="101"/>
  <c r="AF4" i="101"/>
  <c r="AQ4" i="101"/>
  <c r="AQ21" i="101"/>
  <c r="AF21" i="101"/>
  <c r="AQ23" i="101"/>
  <c r="AF23" i="101"/>
  <c r="AQ19" i="101"/>
  <c r="AF19" i="101"/>
  <c r="AL20" i="101"/>
  <c r="AK20" i="101"/>
  <c r="AL14" i="101"/>
  <c r="AK14" i="101"/>
  <c r="AQ17" i="101"/>
  <c r="AF17" i="101"/>
  <c r="AF8" i="101"/>
  <c r="AQ8" i="101"/>
  <c r="AQ15" i="101"/>
  <c r="AF15" i="101"/>
  <c r="AL18" i="101"/>
  <c r="AK18" i="101"/>
  <c r="AL12" i="101"/>
  <c r="AK12" i="101"/>
  <c r="AL5" i="101"/>
  <c r="AK5" i="101"/>
  <c r="AG14" i="12"/>
  <c r="AT14" i="12"/>
  <c r="AG11" i="12"/>
  <c r="AT11" i="12"/>
  <c r="AM13" i="12"/>
  <c r="AL13" i="12"/>
  <c r="AT5" i="12"/>
  <c r="AG5" i="12"/>
  <c r="AM16" i="12"/>
  <c r="AL16" i="12"/>
  <c r="AT8" i="12"/>
  <c r="AG8" i="12"/>
  <c r="AG10" i="12"/>
  <c r="AT10" i="12"/>
  <c r="AL18" i="12"/>
  <c r="AM18" i="12"/>
  <c r="AG12" i="12"/>
  <c r="AT12" i="12"/>
  <c r="AG4" i="12"/>
  <c r="AT4" i="12"/>
  <c r="AG21" i="12"/>
  <c r="AG7" i="12"/>
  <c r="AG19" i="12"/>
  <c r="AT19" i="12"/>
  <c r="AU24" i="12"/>
  <c r="AG24" i="12"/>
  <c r="AT15" i="12"/>
  <c r="AG15" i="12"/>
  <c r="AT23" i="12"/>
  <c r="AG23" i="12"/>
  <c r="AT20" i="12"/>
  <c r="AG20" i="12"/>
  <c r="AL9" i="12"/>
  <c r="AM9" i="12"/>
  <c r="AT17" i="12"/>
  <c r="AG17" i="12"/>
  <c r="AM22" i="12"/>
  <c r="AL22" i="12"/>
  <c r="AT6" i="12"/>
  <c r="AG6" i="12"/>
  <c r="AL15" i="101" l="1"/>
  <c r="AK15" i="101"/>
  <c r="AL23" i="101"/>
  <c r="AK23" i="101"/>
  <c r="AL10" i="101"/>
  <c r="AK10" i="101"/>
  <c r="AL7" i="101"/>
  <c r="AK7" i="101"/>
  <c r="AL11" i="101"/>
  <c r="AK11" i="101"/>
  <c r="AL13" i="101"/>
  <c r="AK13" i="101"/>
  <c r="AL21" i="101"/>
  <c r="AK21" i="101"/>
  <c r="AL8" i="101"/>
  <c r="AK8" i="101"/>
  <c r="AL24" i="101"/>
  <c r="AK24" i="101"/>
  <c r="AL17" i="101"/>
  <c r="AK17" i="101"/>
  <c r="AL19" i="101"/>
  <c r="AK19" i="101"/>
  <c r="AL22" i="101"/>
  <c r="AK22" i="101"/>
  <c r="AL6" i="101"/>
  <c r="AK6" i="101"/>
  <c r="AL4" i="101"/>
  <c r="AK4" i="101"/>
  <c r="AL9" i="101"/>
  <c r="AK9" i="101"/>
  <c r="AM4" i="12"/>
  <c r="AL4" i="12"/>
  <c r="AM10" i="12"/>
  <c r="AL10" i="12"/>
  <c r="AL6" i="12"/>
  <c r="AM6" i="12"/>
  <c r="AL15" i="12"/>
  <c r="AM15" i="12"/>
  <c r="AL5" i="12"/>
  <c r="AM5" i="12"/>
  <c r="AM19" i="12"/>
  <c r="AL19" i="12"/>
  <c r="AL12" i="12"/>
  <c r="AM12" i="12"/>
  <c r="AM11" i="12"/>
  <c r="AL11" i="12"/>
  <c r="AM20" i="12"/>
  <c r="AL20" i="12"/>
  <c r="AM7" i="12"/>
  <c r="AL7" i="12"/>
  <c r="AM8" i="12"/>
  <c r="AL8" i="12"/>
  <c r="AL21" i="12"/>
  <c r="AM21" i="12"/>
  <c r="AL14" i="12"/>
  <c r="AM14" i="12"/>
  <c r="AL17" i="12"/>
  <c r="AM17" i="12"/>
  <c r="AM23" i="12"/>
  <c r="AL23" i="12"/>
  <c r="AM24" i="12"/>
  <c r="AL24" i="12"/>
  <c r="EJ22" i="1" l="1"/>
  <c r="EJ21" i="1" l="1"/>
  <c r="EJ18" i="1" l="1"/>
  <c r="EJ20" i="1"/>
  <c r="EJ11" i="1" l="1"/>
  <c r="EJ12" i="1"/>
  <c r="EJ13" i="1"/>
  <c r="EJ14" i="1"/>
  <c r="EJ15" i="1"/>
  <c r="EJ8" i="1" l="1"/>
  <c r="EJ9" i="1"/>
  <c r="EJ10" i="1"/>
  <c r="B4" i="56" l="1"/>
  <c r="I33" i="3" l="1"/>
  <c r="EJ3" i="1" l="1"/>
  <c r="AH35" i="1" l="1"/>
  <c r="L20" i="80"/>
  <c r="AU34" i="101" l="1"/>
  <c r="Z34" i="101"/>
  <c r="Y34" i="101"/>
  <c r="AO34" i="101" s="1"/>
  <c r="X34" i="101"/>
  <c r="W34" i="101"/>
  <c r="V34" i="101"/>
  <c r="U34" i="101"/>
  <c r="T34" i="101"/>
  <c r="S34" i="101"/>
  <c r="AN34" i="101" s="1"/>
  <c r="R34" i="101"/>
  <c r="Q34" i="101"/>
  <c r="P34" i="101"/>
  <c r="O34" i="101"/>
  <c r="N34" i="101"/>
  <c r="M34" i="101"/>
  <c r="AX34" i="12"/>
  <c r="AP34" i="12"/>
  <c r="AE34" i="12"/>
  <c r="AB34" i="12"/>
  <c r="AA34" i="12"/>
  <c r="Z34" i="12"/>
  <c r="AF34" i="12" s="1"/>
  <c r="W34" i="12"/>
  <c r="V34" i="12"/>
  <c r="AD34" i="12" s="1"/>
  <c r="U34" i="12"/>
  <c r="AI34" i="12" s="1"/>
  <c r="T34" i="12"/>
  <c r="AH34" i="12" s="1"/>
  <c r="S34" i="12"/>
  <c r="R34" i="12"/>
  <c r="AN34" i="12" s="1"/>
  <c r="Q34" i="12"/>
  <c r="P34" i="12"/>
  <c r="O34" i="12"/>
  <c r="N34" i="12"/>
  <c r="M34" i="12"/>
  <c r="AB34" i="101" l="1"/>
  <c r="AR34" i="101" s="1"/>
  <c r="AC34" i="101"/>
  <c r="AS34" i="101" s="1"/>
  <c r="AG34" i="101"/>
  <c r="AD34" i="101"/>
  <c r="AT34" i="101" s="1"/>
  <c r="AH34" i="101"/>
  <c r="AE34" i="101"/>
  <c r="AM34" i="101"/>
  <c r="AA34" i="101"/>
  <c r="AV34" i="12"/>
  <c r="AU34" i="12"/>
  <c r="AC34" i="12"/>
  <c r="AG34" i="12" s="1"/>
  <c r="AT34" i="12"/>
  <c r="AO34" i="12"/>
  <c r="AF34" i="101" l="1"/>
  <c r="AQ34" i="101"/>
  <c r="AL34" i="12"/>
  <c r="AM34" i="12"/>
  <c r="AL34" i="101" l="1"/>
  <c r="AK34" i="101"/>
  <c r="EJ26" i="1" l="1"/>
  <c r="EJ24" i="1" l="1"/>
  <c r="EJ25" i="1"/>
  <c r="EJ30" i="1"/>
  <c r="EJ23" i="1" l="1"/>
  <c r="M66" i="69" l="1"/>
  <c r="L66" i="69"/>
  <c r="K66" i="69"/>
  <c r="EJ16" i="1" l="1"/>
  <c r="J20" i="79" l="1"/>
  <c r="J20" i="78"/>
  <c r="J20" i="77"/>
  <c r="J20" i="76"/>
  <c r="J20" i="75"/>
  <c r="J20" i="74"/>
  <c r="J20" i="73"/>
  <c r="J20" i="72"/>
  <c r="J20" i="70"/>
  <c r="J20" i="69"/>
  <c r="J20" i="68"/>
  <c r="J20" i="42"/>
  <c r="J20" i="99"/>
  <c r="J20" i="98"/>
  <c r="J20" i="97"/>
  <c r="J20" i="96"/>
  <c r="J20" i="95"/>
  <c r="J20" i="94"/>
  <c r="J20" i="93" l="1"/>
  <c r="N62" i="89" l="1"/>
  <c r="N53" i="89"/>
  <c r="N27" i="89"/>
  <c r="N54" i="89" l="1"/>
  <c r="EJ4" i="1" l="1"/>
  <c r="EJ5" i="1"/>
  <c r="EJ6" i="1"/>
  <c r="EJ7" i="1"/>
  <c r="EJ17" i="1"/>
  <c r="EJ31" i="1"/>
  <c r="EJ32" i="1"/>
  <c r="EJ33" i="1"/>
  <c r="N53" i="98" l="1"/>
  <c r="N27" i="98"/>
  <c r="N54" i="98" l="1"/>
  <c r="Z35" i="12"/>
  <c r="AA35" i="12"/>
  <c r="AA36" i="12"/>
  <c r="AA37" i="12"/>
  <c r="AA38" i="12"/>
  <c r="AD35" i="12"/>
  <c r="AC35" i="101"/>
  <c r="AC36" i="101"/>
  <c r="AE35" i="101"/>
  <c r="AE36" i="101"/>
  <c r="AE37" i="101"/>
  <c r="AD35" i="101"/>
  <c r="AD36" i="101"/>
  <c r="AD37" i="101"/>
  <c r="AE38" i="101"/>
  <c r="E4" i="3" l="1"/>
  <c r="I4" i="3" s="1"/>
  <c r="E5" i="3"/>
  <c r="I5" i="3" s="1"/>
  <c r="E6" i="3" l="1"/>
  <c r="I6" i="3" s="1"/>
  <c r="EK4" i="1" l="1"/>
  <c r="J8" i="81" s="1"/>
  <c r="AE35" i="12" l="1"/>
  <c r="AF35" i="12"/>
  <c r="AC37" i="101" l="1"/>
  <c r="E33" i="3" l="1"/>
  <c r="J7" i="79" s="1"/>
  <c r="E32" i="3" l="1"/>
  <c r="N53" i="76"/>
  <c r="N27" i="76"/>
  <c r="I32" i="3" l="1"/>
  <c r="J7" i="78" s="1"/>
  <c r="E31" i="3"/>
  <c r="E29" i="3"/>
  <c r="N54" i="76"/>
  <c r="I31" i="3" l="1"/>
  <c r="J7" i="77" s="1"/>
  <c r="I29" i="3"/>
  <c r="J7" i="75" s="1"/>
  <c r="E30" i="3"/>
  <c r="I30" i="3" l="1"/>
  <c r="J7" i="76" s="1"/>
  <c r="E28" i="3"/>
  <c r="I28" i="3" l="1"/>
  <c r="J7" i="74" s="1"/>
  <c r="E27" i="3"/>
  <c r="I27" i="3" l="1"/>
  <c r="J7" i="73" s="1"/>
  <c r="E26" i="3"/>
  <c r="I26" i="3" l="1"/>
  <c r="J7" i="72" s="1"/>
  <c r="E25" i="3"/>
  <c r="I25" i="3" l="1"/>
  <c r="J7" i="70" s="1"/>
  <c r="DT25" i="1"/>
  <c r="DT26" i="1"/>
  <c r="DT27" i="1"/>
  <c r="DT28" i="1"/>
  <c r="DT29" i="1"/>
  <c r="DT30" i="1"/>
  <c r="DT31" i="1"/>
  <c r="DT32" i="1"/>
  <c r="DT33" i="1"/>
  <c r="DT4" i="1"/>
  <c r="DT5" i="1"/>
  <c r="DT6" i="1"/>
  <c r="DT7" i="1"/>
  <c r="DT8" i="1"/>
  <c r="DT9" i="1"/>
  <c r="DT10" i="1"/>
  <c r="DT11" i="1"/>
  <c r="J37" i="89" s="1"/>
  <c r="DT12" i="1"/>
  <c r="J37" i="90" s="1"/>
  <c r="DT13" i="1"/>
  <c r="J37" i="91" s="1"/>
  <c r="DT14" i="1"/>
  <c r="J37" i="92" s="1"/>
  <c r="DT15" i="1"/>
  <c r="J37" i="93" s="1"/>
  <c r="DT16" i="1"/>
  <c r="J37" i="94" s="1"/>
  <c r="DT17" i="1"/>
  <c r="J37" i="95" s="1"/>
  <c r="DT18" i="1"/>
  <c r="J37" i="96" s="1"/>
  <c r="DT19" i="1"/>
  <c r="J37" i="97" s="1"/>
  <c r="DT20" i="1"/>
  <c r="J37" i="98" s="1"/>
  <c r="DT21" i="1"/>
  <c r="J37" i="99" s="1"/>
  <c r="DT22" i="1"/>
  <c r="J37" i="42" s="1"/>
  <c r="DT23" i="1"/>
  <c r="DT24" i="1"/>
  <c r="DT3" i="1"/>
  <c r="E24" i="3" l="1"/>
  <c r="E23" i="3"/>
  <c r="I23" i="3" l="1"/>
  <c r="J7" i="68" s="1"/>
  <c r="I24" i="3"/>
  <c r="J7" i="69" s="1"/>
  <c r="E22" i="3"/>
  <c r="I22" i="3" l="1"/>
  <c r="J7" i="42" s="1"/>
  <c r="E21" i="3"/>
  <c r="I21" i="3" l="1"/>
  <c r="J7" i="99" s="1"/>
  <c r="M31" i="97"/>
  <c r="E20" i="3" l="1"/>
  <c r="M33" i="96"/>
  <c r="I20" i="3" l="1"/>
  <c r="J7" i="98" s="1"/>
  <c r="E19" i="3"/>
  <c r="I19" i="3" l="1"/>
  <c r="J7" i="97" s="1"/>
  <c r="E18" i="3"/>
  <c r="I18" i="3" s="1"/>
  <c r="J7" i="96" l="1"/>
  <c r="E17" i="3"/>
  <c r="I17" i="3" l="1"/>
  <c r="J7" i="95" s="1"/>
  <c r="E16" i="3"/>
  <c r="I16" i="3" l="1"/>
  <c r="J7" i="94" s="1"/>
  <c r="E15" i="3"/>
  <c r="AW4" i="1"/>
  <c r="AW5" i="1"/>
  <c r="AW6" i="1"/>
  <c r="AW7" i="1"/>
  <c r="AW8" i="1"/>
  <c r="AW9" i="1"/>
  <c r="AW10" i="1"/>
  <c r="AW11" i="1"/>
  <c r="J32" i="89" s="1"/>
  <c r="AW12" i="1"/>
  <c r="J32" i="90" s="1"/>
  <c r="AW13" i="1"/>
  <c r="J32" i="91" s="1"/>
  <c r="AW14" i="1"/>
  <c r="J32" i="92" s="1"/>
  <c r="AW15" i="1"/>
  <c r="J32" i="93" s="1"/>
  <c r="AW16" i="1"/>
  <c r="J32" i="94" s="1"/>
  <c r="AW17" i="1"/>
  <c r="J32" i="95" s="1"/>
  <c r="AW18" i="1"/>
  <c r="J32" i="96" s="1"/>
  <c r="AW19" i="1"/>
  <c r="J32" i="97" s="1"/>
  <c r="AW20" i="1"/>
  <c r="J32" i="98" s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" i="1"/>
  <c r="I15" i="3" l="1"/>
  <c r="J7" i="93" s="1"/>
  <c r="E14" i="3"/>
  <c r="E13" i="3"/>
  <c r="I14" i="3" l="1"/>
  <c r="J7" i="92" s="1"/>
  <c r="I13" i="3"/>
  <c r="J7" i="91" s="1"/>
  <c r="E11" i="3"/>
  <c r="I11" i="3" l="1"/>
  <c r="J7" i="89" s="1"/>
  <c r="E12" i="3"/>
  <c r="I12" i="3" l="1"/>
  <c r="J7" i="90" s="1"/>
  <c r="E8" i="3"/>
  <c r="I8" i="3" s="1"/>
  <c r="E7" i="3"/>
  <c r="I7" i="3" s="1"/>
  <c r="E10" i="3" l="1"/>
  <c r="E9" i="3"/>
  <c r="I9" i="3" s="1"/>
  <c r="J7" i="87" s="1"/>
  <c r="I10" i="3" l="1"/>
  <c r="J7" i="88" s="1"/>
  <c r="S40" i="85"/>
  <c r="N53" i="85"/>
  <c r="N27" i="85"/>
  <c r="N54" i="85" l="1"/>
  <c r="N53" i="68" l="1"/>
  <c r="N27" i="68"/>
  <c r="N54" i="68" s="1"/>
  <c r="N62" i="95" l="1"/>
  <c r="N53" i="95"/>
  <c r="N27" i="95"/>
  <c r="N54" i="95" l="1"/>
  <c r="N62" i="88"/>
  <c r="N53" i="88"/>
  <c r="N27" i="88"/>
  <c r="N54" i="88" l="1"/>
  <c r="J74" i="79"/>
  <c r="J73" i="79"/>
  <c r="J72" i="79"/>
  <c r="J71" i="79"/>
  <c r="J70" i="79"/>
  <c r="J69" i="79"/>
  <c r="J68" i="79"/>
  <c r="G68" i="79"/>
  <c r="G67" i="79"/>
  <c r="G64" i="79"/>
  <c r="G63" i="79"/>
  <c r="Q60" i="79"/>
  <c r="Q59" i="79"/>
  <c r="J58" i="79"/>
  <c r="G58" i="79"/>
  <c r="F58" i="79"/>
  <c r="J57" i="79"/>
  <c r="G57" i="79"/>
  <c r="J56" i="79"/>
  <c r="G56" i="79"/>
  <c r="J55" i="79"/>
  <c r="G55" i="79"/>
  <c r="P53" i="79"/>
  <c r="O53" i="79"/>
  <c r="N52" i="79"/>
  <c r="G51" i="79"/>
  <c r="G50" i="79"/>
  <c r="G49" i="79"/>
  <c r="G48" i="79"/>
  <c r="G47" i="79"/>
  <c r="M32" i="79"/>
  <c r="G31" i="79"/>
  <c r="M30" i="79"/>
  <c r="M29" i="79"/>
  <c r="G28" i="79"/>
  <c r="P27" i="79"/>
  <c r="O27" i="79"/>
  <c r="N26" i="79"/>
  <c r="J25" i="79"/>
  <c r="G25" i="79"/>
  <c r="J24" i="79"/>
  <c r="G24" i="79"/>
  <c r="J23" i="79"/>
  <c r="G23" i="79"/>
  <c r="J22" i="79"/>
  <c r="G22" i="79"/>
  <c r="J21" i="79"/>
  <c r="G21" i="79"/>
  <c r="G20" i="79"/>
  <c r="J19" i="79"/>
  <c r="G19" i="79"/>
  <c r="J18" i="79"/>
  <c r="G18" i="79"/>
  <c r="J17" i="79"/>
  <c r="G17" i="79"/>
  <c r="J16" i="79"/>
  <c r="G16" i="79"/>
  <c r="J15" i="79"/>
  <c r="G15" i="79"/>
  <c r="J14" i="79"/>
  <c r="G14" i="79"/>
  <c r="J13" i="79"/>
  <c r="G13" i="79"/>
  <c r="J12" i="79"/>
  <c r="G12" i="79"/>
  <c r="J11" i="79"/>
  <c r="G11" i="79"/>
  <c r="J10" i="79"/>
  <c r="G10" i="79"/>
  <c r="G7" i="79"/>
  <c r="J6" i="79"/>
  <c r="G6" i="79"/>
  <c r="J75" i="78"/>
  <c r="J74" i="78"/>
  <c r="J73" i="78"/>
  <c r="J72" i="78"/>
  <c r="J71" i="78"/>
  <c r="J70" i="78"/>
  <c r="J69" i="78"/>
  <c r="G69" i="78"/>
  <c r="G68" i="78"/>
  <c r="G76" i="78" s="1"/>
  <c r="G65" i="78"/>
  <c r="G64" i="78"/>
  <c r="G66" i="78" s="1"/>
  <c r="P62" i="78"/>
  <c r="O62" i="78"/>
  <c r="Q61" i="78"/>
  <c r="Q60" i="78"/>
  <c r="G59" i="78"/>
  <c r="J58" i="78"/>
  <c r="G58" i="78"/>
  <c r="J57" i="78"/>
  <c r="G57" i="78"/>
  <c r="J56" i="78"/>
  <c r="G56" i="78"/>
  <c r="P53" i="78"/>
  <c r="O53" i="78"/>
  <c r="N53" i="78"/>
  <c r="G52" i="78"/>
  <c r="G51" i="78"/>
  <c r="G50" i="78"/>
  <c r="G49" i="78"/>
  <c r="G48" i="78"/>
  <c r="M33" i="78"/>
  <c r="G32" i="78"/>
  <c r="M31" i="78"/>
  <c r="M30" i="78"/>
  <c r="G29" i="78"/>
  <c r="P27" i="78"/>
  <c r="P54" i="78" s="1"/>
  <c r="O27" i="78"/>
  <c r="O54" i="78" s="1"/>
  <c r="N27" i="78"/>
  <c r="J26" i="78"/>
  <c r="G26" i="78"/>
  <c r="J25" i="78"/>
  <c r="G25" i="78"/>
  <c r="J24" i="78"/>
  <c r="G24" i="78"/>
  <c r="J23" i="78"/>
  <c r="G23" i="78"/>
  <c r="J22" i="78"/>
  <c r="G22" i="78"/>
  <c r="J21" i="78"/>
  <c r="G21" i="78"/>
  <c r="G20" i="78"/>
  <c r="J19" i="78"/>
  <c r="G19" i="78"/>
  <c r="J18" i="78"/>
  <c r="G18" i="78"/>
  <c r="J17" i="78"/>
  <c r="G17" i="78"/>
  <c r="J16" i="78"/>
  <c r="G16" i="78"/>
  <c r="J15" i="78"/>
  <c r="G15" i="78"/>
  <c r="J14" i="78"/>
  <c r="G14" i="78"/>
  <c r="J13" i="78"/>
  <c r="G13" i="78"/>
  <c r="J12" i="78"/>
  <c r="G12" i="78"/>
  <c r="J11" i="78"/>
  <c r="G11" i="78"/>
  <c r="J10" i="78"/>
  <c r="G10" i="78"/>
  <c r="G7" i="78"/>
  <c r="J6" i="78"/>
  <c r="G6" i="78"/>
  <c r="J75" i="77"/>
  <c r="J74" i="77"/>
  <c r="J73" i="77"/>
  <c r="J72" i="77"/>
  <c r="J71" i="77"/>
  <c r="J70" i="77"/>
  <c r="J69" i="77"/>
  <c r="G69" i="77"/>
  <c r="G68" i="77"/>
  <c r="G76" i="77" s="1"/>
  <c r="G65" i="77"/>
  <c r="G64" i="77"/>
  <c r="P62" i="77"/>
  <c r="O62" i="77"/>
  <c r="Q61" i="77"/>
  <c r="Q60" i="77"/>
  <c r="G59" i="77"/>
  <c r="J58" i="77"/>
  <c r="G58" i="77"/>
  <c r="J57" i="77"/>
  <c r="G57" i="77"/>
  <c r="J56" i="77"/>
  <c r="G56" i="77"/>
  <c r="P53" i="77"/>
  <c r="O53" i="77"/>
  <c r="N53" i="77"/>
  <c r="G52" i="77"/>
  <c r="G51" i="77"/>
  <c r="G50" i="77"/>
  <c r="G49" i="77"/>
  <c r="G48" i="77"/>
  <c r="H34" i="77"/>
  <c r="M33" i="77"/>
  <c r="G32" i="77"/>
  <c r="M31" i="77"/>
  <c r="M30" i="77"/>
  <c r="G29" i="77"/>
  <c r="P27" i="77"/>
  <c r="P54" i="77" s="1"/>
  <c r="O27" i="77"/>
  <c r="O54" i="77" s="1"/>
  <c r="N27" i="77"/>
  <c r="J26" i="77"/>
  <c r="G26" i="77"/>
  <c r="J25" i="77"/>
  <c r="G25" i="77"/>
  <c r="J24" i="77"/>
  <c r="G24" i="77"/>
  <c r="J23" i="77"/>
  <c r="G23" i="77"/>
  <c r="J22" i="77"/>
  <c r="G22" i="77"/>
  <c r="J21" i="77"/>
  <c r="G21" i="77"/>
  <c r="G20" i="77"/>
  <c r="J19" i="77"/>
  <c r="G19" i="77"/>
  <c r="J18" i="77"/>
  <c r="G18" i="77"/>
  <c r="J17" i="77"/>
  <c r="G17" i="77"/>
  <c r="J16" i="77"/>
  <c r="G16" i="77"/>
  <c r="J15" i="77"/>
  <c r="G15" i="77"/>
  <c r="J14" i="77"/>
  <c r="G14" i="77"/>
  <c r="J13" i="77"/>
  <c r="G13" i="77"/>
  <c r="J12" i="77"/>
  <c r="G12" i="77"/>
  <c r="J11" i="77"/>
  <c r="G11" i="77"/>
  <c r="J10" i="77"/>
  <c r="G10" i="77"/>
  <c r="G7" i="77"/>
  <c r="J6" i="77"/>
  <c r="G6" i="77"/>
  <c r="J75" i="76"/>
  <c r="J74" i="76"/>
  <c r="J73" i="76"/>
  <c r="J72" i="76"/>
  <c r="J71" i="76"/>
  <c r="J70" i="76"/>
  <c r="J69" i="76"/>
  <c r="G69" i="76"/>
  <c r="G68" i="76"/>
  <c r="G76" i="76" s="1"/>
  <c r="G65" i="76"/>
  <c r="G64" i="76"/>
  <c r="P62" i="76"/>
  <c r="O62" i="76"/>
  <c r="Q61" i="76"/>
  <c r="Q60" i="76"/>
  <c r="J59" i="76"/>
  <c r="G59" i="76"/>
  <c r="J58" i="76"/>
  <c r="G58" i="76"/>
  <c r="J57" i="76"/>
  <c r="G57" i="76"/>
  <c r="J56" i="76"/>
  <c r="G56" i="76"/>
  <c r="P53" i="76"/>
  <c r="O53" i="76"/>
  <c r="G52" i="76"/>
  <c r="G51" i="76"/>
  <c r="G50" i="76"/>
  <c r="G49" i="76"/>
  <c r="G48" i="76"/>
  <c r="M33" i="76"/>
  <c r="G32" i="76"/>
  <c r="M31" i="76"/>
  <c r="M30" i="76"/>
  <c r="G29" i="76"/>
  <c r="P27" i="76"/>
  <c r="P54" i="76" s="1"/>
  <c r="O27" i="76"/>
  <c r="O54" i="76" s="1"/>
  <c r="J26" i="76"/>
  <c r="G26" i="76"/>
  <c r="J25" i="76"/>
  <c r="G25" i="76"/>
  <c r="J24" i="76"/>
  <c r="G24" i="76"/>
  <c r="J23" i="76"/>
  <c r="G23" i="76"/>
  <c r="J22" i="76"/>
  <c r="G22" i="76"/>
  <c r="J21" i="76"/>
  <c r="G21" i="76"/>
  <c r="G20" i="76"/>
  <c r="J19" i="76"/>
  <c r="G19" i="76"/>
  <c r="J18" i="76"/>
  <c r="G18" i="76"/>
  <c r="J17" i="76"/>
  <c r="G17" i="76"/>
  <c r="J16" i="76"/>
  <c r="G16" i="76"/>
  <c r="J15" i="76"/>
  <c r="G15" i="76"/>
  <c r="J14" i="76"/>
  <c r="G14" i="76"/>
  <c r="J13" i="76"/>
  <c r="G13" i="76"/>
  <c r="J12" i="76"/>
  <c r="G12" i="76"/>
  <c r="J11" i="76"/>
  <c r="G11" i="76"/>
  <c r="J10" i="76"/>
  <c r="G10" i="76"/>
  <c r="G7" i="76"/>
  <c r="J6" i="76"/>
  <c r="G6" i="76"/>
  <c r="J75" i="75"/>
  <c r="M75" i="75" s="1"/>
  <c r="J74" i="75"/>
  <c r="M74" i="75" s="1"/>
  <c r="J73" i="75"/>
  <c r="M73" i="75" s="1"/>
  <c r="J72" i="75"/>
  <c r="J71" i="75"/>
  <c r="J70" i="75"/>
  <c r="J69" i="75"/>
  <c r="G69" i="75"/>
  <c r="G68" i="75"/>
  <c r="G76" i="75" s="1"/>
  <c r="G65" i="75"/>
  <c r="G64" i="75"/>
  <c r="P62" i="75"/>
  <c r="O62" i="75"/>
  <c r="Q61" i="75"/>
  <c r="Q60" i="75"/>
  <c r="J59" i="75"/>
  <c r="G59" i="75"/>
  <c r="J58" i="75"/>
  <c r="G58" i="75"/>
  <c r="J57" i="75"/>
  <c r="G57" i="75"/>
  <c r="J56" i="75"/>
  <c r="G56" i="75"/>
  <c r="P53" i="75"/>
  <c r="O53" i="75"/>
  <c r="N53" i="75"/>
  <c r="N54" i="75" s="1"/>
  <c r="G52" i="75"/>
  <c r="G51" i="75"/>
  <c r="G50" i="75"/>
  <c r="G49" i="75"/>
  <c r="G48" i="75"/>
  <c r="M33" i="75"/>
  <c r="G32" i="75"/>
  <c r="M31" i="75"/>
  <c r="M30" i="75"/>
  <c r="G29" i="75"/>
  <c r="P27" i="75"/>
  <c r="P54" i="75" s="1"/>
  <c r="O27" i="75"/>
  <c r="O54" i="75" s="1"/>
  <c r="J26" i="75"/>
  <c r="G26" i="75"/>
  <c r="J25" i="75"/>
  <c r="G25" i="75"/>
  <c r="J24" i="75"/>
  <c r="G24" i="75"/>
  <c r="J23" i="75"/>
  <c r="G23" i="75"/>
  <c r="J22" i="75"/>
  <c r="G22" i="75"/>
  <c r="J21" i="75"/>
  <c r="G21" i="75"/>
  <c r="G20" i="75"/>
  <c r="J19" i="75"/>
  <c r="G19" i="75"/>
  <c r="J18" i="75"/>
  <c r="G18" i="75"/>
  <c r="J17" i="75"/>
  <c r="G17" i="75"/>
  <c r="J16" i="75"/>
  <c r="G16" i="75"/>
  <c r="J15" i="75"/>
  <c r="G15" i="75"/>
  <c r="J14" i="75"/>
  <c r="G14" i="75"/>
  <c r="J13" i="75"/>
  <c r="G13" i="75"/>
  <c r="J12" i="75"/>
  <c r="G12" i="75"/>
  <c r="J11" i="75"/>
  <c r="G11" i="75"/>
  <c r="J10" i="75"/>
  <c r="G10" i="75"/>
  <c r="G8" i="75"/>
  <c r="G7" i="75"/>
  <c r="J6" i="75"/>
  <c r="G6" i="75"/>
  <c r="J75" i="74"/>
  <c r="M75" i="74" s="1"/>
  <c r="J74" i="74"/>
  <c r="M74" i="74" s="1"/>
  <c r="J73" i="74"/>
  <c r="M73" i="74" s="1"/>
  <c r="J72" i="74"/>
  <c r="J71" i="74"/>
  <c r="J70" i="74"/>
  <c r="J69" i="74"/>
  <c r="G69" i="74"/>
  <c r="G68" i="74"/>
  <c r="G65" i="74"/>
  <c r="G64" i="74"/>
  <c r="P62" i="74"/>
  <c r="O62" i="74"/>
  <c r="Q61" i="74"/>
  <c r="Q60" i="74"/>
  <c r="J59" i="74"/>
  <c r="G59" i="74"/>
  <c r="J58" i="74"/>
  <c r="G58" i="74"/>
  <c r="J57" i="74"/>
  <c r="G57" i="74"/>
  <c r="J56" i="74"/>
  <c r="G56" i="74"/>
  <c r="P53" i="74"/>
  <c r="O53" i="74"/>
  <c r="N53" i="74"/>
  <c r="G52" i="74"/>
  <c r="G51" i="74"/>
  <c r="G50" i="74"/>
  <c r="G49" i="74"/>
  <c r="G48" i="74"/>
  <c r="M33" i="74"/>
  <c r="G32" i="74"/>
  <c r="M31" i="74"/>
  <c r="M30" i="74"/>
  <c r="G29" i="74"/>
  <c r="P27" i="74"/>
  <c r="P54" i="74" s="1"/>
  <c r="O27" i="74"/>
  <c r="N27" i="74"/>
  <c r="J26" i="74"/>
  <c r="G26" i="74"/>
  <c r="J25" i="74"/>
  <c r="G25" i="74"/>
  <c r="J24" i="74"/>
  <c r="G24" i="74"/>
  <c r="J23" i="74"/>
  <c r="G23" i="74"/>
  <c r="J22" i="74"/>
  <c r="G22" i="74"/>
  <c r="J21" i="74"/>
  <c r="G21" i="74"/>
  <c r="G20" i="74"/>
  <c r="J19" i="74"/>
  <c r="G19" i="74"/>
  <c r="J18" i="74"/>
  <c r="G18" i="74"/>
  <c r="J17" i="74"/>
  <c r="G17" i="74"/>
  <c r="J16" i="74"/>
  <c r="G16" i="74"/>
  <c r="J15" i="74"/>
  <c r="G15" i="74"/>
  <c r="J14" i="74"/>
  <c r="G14" i="74"/>
  <c r="J13" i="74"/>
  <c r="G13" i="74"/>
  <c r="J12" i="74"/>
  <c r="G12" i="74"/>
  <c r="J11" i="74"/>
  <c r="G11" i="74"/>
  <c r="J10" i="74"/>
  <c r="G10" i="74"/>
  <c r="G8" i="74"/>
  <c r="G7" i="74"/>
  <c r="J6" i="74"/>
  <c r="G6" i="74"/>
  <c r="J75" i="73"/>
  <c r="J74" i="73"/>
  <c r="J73" i="73"/>
  <c r="M73" i="73" s="1"/>
  <c r="J72" i="73"/>
  <c r="J71" i="73"/>
  <c r="J70" i="73"/>
  <c r="J69" i="73"/>
  <c r="G69" i="73"/>
  <c r="G68" i="73"/>
  <c r="G65" i="73"/>
  <c r="G64" i="73"/>
  <c r="P62" i="73"/>
  <c r="O62" i="73"/>
  <c r="Q61" i="73"/>
  <c r="Q60" i="73"/>
  <c r="J59" i="73"/>
  <c r="G59" i="73"/>
  <c r="J58" i="73"/>
  <c r="G58" i="73"/>
  <c r="J57" i="73"/>
  <c r="G57" i="73"/>
  <c r="J56" i="73"/>
  <c r="G56" i="73"/>
  <c r="P53" i="73"/>
  <c r="O53" i="73"/>
  <c r="N53" i="73"/>
  <c r="G52" i="73"/>
  <c r="G51" i="73"/>
  <c r="G50" i="73"/>
  <c r="G49" i="73"/>
  <c r="G48" i="73"/>
  <c r="M33" i="73"/>
  <c r="G32" i="73"/>
  <c r="M31" i="73"/>
  <c r="M30" i="73"/>
  <c r="G29" i="73"/>
  <c r="P27" i="73"/>
  <c r="P54" i="73" s="1"/>
  <c r="O27" i="73"/>
  <c r="N27" i="73"/>
  <c r="J26" i="73"/>
  <c r="G26" i="73"/>
  <c r="J25" i="73"/>
  <c r="G25" i="73"/>
  <c r="J24" i="73"/>
  <c r="G24" i="73"/>
  <c r="J23" i="73"/>
  <c r="G23" i="73"/>
  <c r="J22" i="73"/>
  <c r="G22" i="73"/>
  <c r="J21" i="73"/>
  <c r="G21" i="73"/>
  <c r="G20" i="73"/>
  <c r="J19" i="73"/>
  <c r="G19" i="73"/>
  <c r="J18" i="73"/>
  <c r="G18" i="73"/>
  <c r="J17" i="73"/>
  <c r="G17" i="73"/>
  <c r="J16" i="73"/>
  <c r="G16" i="73"/>
  <c r="J15" i="73"/>
  <c r="G15" i="73"/>
  <c r="J14" i="73"/>
  <c r="G14" i="73"/>
  <c r="J13" i="73"/>
  <c r="G13" i="73"/>
  <c r="J12" i="73"/>
  <c r="G12" i="73"/>
  <c r="J11" i="73"/>
  <c r="G11" i="73"/>
  <c r="J10" i="73"/>
  <c r="G10" i="73"/>
  <c r="G8" i="73"/>
  <c r="G7" i="73"/>
  <c r="J6" i="73"/>
  <c r="G6" i="73"/>
  <c r="J75" i="72"/>
  <c r="J74" i="72"/>
  <c r="M74" i="72" s="1"/>
  <c r="J73" i="72"/>
  <c r="M73" i="72" s="1"/>
  <c r="J72" i="72"/>
  <c r="J71" i="72"/>
  <c r="J70" i="72"/>
  <c r="G69" i="72"/>
  <c r="G68" i="72"/>
  <c r="G65" i="72"/>
  <c r="G64" i="72"/>
  <c r="P62" i="72"/>
  <c r="O62" i="72"/>
  <c r="Q61" i="72"/>
  <c r="Q60" i="72"/>
  <c r="J59" i="72"/>
  <c r="G59" i="72"/>
  <c r="J58" i="72"/>
  <c r="G58" i="72"/>
  <c r="J57" i="72"/>
  <c r="G57" i="72"/>
  <c r="J56" i="72"/>
  <c r="G56" i="72"/>
  <c r="P53" i="72"/>
  <c r="O53" i="72"/>
  <c r="N53" i="72"/>
  <c r="G52" i="72"/>
  <c r="G51" i="72"/>
  <c r="G50" i="72"/>
  <c r="G49" i="72"/>
  <c r="G48" i="72"/>
  <c r="M33" i="72"/>
  <c r="G32" i="72"/>
  <c r="M31" i="72"/>
  <c r="M30" i="72"/>
  <c r="G29" i="72"/>
  <c r="P27" i="72"/>
  <c r="O27" i="72"/>
  <c r="O54" i="72" s="1"/>
  <c r="N27" i="72"/>
  <c r="J26" i="72"/>
  <c r="G26" i="72"/>
  <c r="J25" i="72"/>
  <c r="G25" i="72"/>
  <c r="J24" i="72"/>
  <c r="G24" i="72"/>
  <c r="J23" i="72"/>
  <c r="G23" i="72"/>
  <c r="J22" i="72"/>
  <c r="G22" i="72"/>
  <c r="J21" i="72"/>
  <c r="G21" i="72"/>
  <c r="G20" i="72"/>
  <c r="J19" i="72"/>
  <c r="G19" i="72"/>
  <c r="J18" i="72"/>
  <c r="G18" i="72"/>
  <c r="J17" i="72"/>
  <c r="G17" i="72"/>
  <c r="J16" i="72"/>
  <c r="G16" i="72"/>
  <c r="J15" i="72"/>
  <c r="G15" i="72"/>
  <c r="J14" i="72"/>
  <c r="G14" i="72"/>
  <c r="J13" i="72"/>
  <c r="G13" i="72"/>
  <c r="J12" i="72"/>
  <c r="G12" i="72"/>
  <c r="J11" i="72"/>
  <c r="G11" i="72"/>
  <c r="J10" i="72"/>
  <c r="G10" i="72"/>
  <c r="G8" i="72"/>
  <c r="G7" i="72"/>
  <c r="J6" i="72"/>
  <c r="G6" i="72"/>
  <c r="J75" i="70"/>
  <c r="M75" i="70" s="1"/>
  <c r="J74" i="70"/>
  <c r="M74" i="70" s="1"/>
  <c r="J73" i="70"/>
  <c r="M73" i="70" s="1"/>
  <c r="J72" i="70"/>
  <c r="J71" i="70"/>
  <c r="J70" i="70"/>
  <c r="G69" i="70"/>
  <c r="G68" i="70"/>
  <c r="G65" i="70"/>
  <c r="G64" i="70"/>
  <c r="G66" i="70" s="1"/>
  <c r="P62" i="70"/>
  <c r="O62" i="70"/>
  <c r="Q61" i="70"/>
  <c r="L61" i="70"/>
  <c r="L61" i="72" s="1"/>
  <c r="L61" i="73" s="1"/>
  <c r="L61" i="74" s="1"/>
  <c r="L61" i="75" s="1"/>
  <c r="L61" i="76" s="1"/>
  <c r="L61" i="77" s="1"/>
  <c r="L61" i="78" s="1"/>
  <c r="L60" i="79" s="1"/>
  <c r="K61" i="70"/>
  <c r="K61" i="72" s="1"/>
  <c r="K61" i="73" s="1"/>
  <c r="K61" i="74" s="1"/>
  <c r="K61" i="75" s="1"/>
  <c r="K61" i="76" s="1"/>
  <c r="K61" i="77" s="1"/>
  <c r="K61" i="78" s="1"/>
  <c r="K60" i="79" s="1"/>
  <c r="Q60" i="70"/>
  <c r="J59" i="70"/>
  <c r="G59" i="70"/>
  <c r="J58" i="70"/>
  <c r="G58" i="70"/>
  <c r="J57" i="70"/>
  <c r="G57" i="70"/>
  <c r="J56" i="70"/>
  <c r="G56" i="70"/>
  <c r="P53" i="70"/>
  <c r="O53" i="70"/>
  <c r="N53" i="70"/>
  <c r="G52" i="70"/>
  <c r="G51" i="70"/>
  <c r="G50" i="70"/>
  <c r="G49" i="70"/>
  <c r="G48" i="70"/>
  <c r="J46" i="70"/>
  <c r="M33" i="70"/>
  <c r="G32" i="70"/>
  <c r="M31" i="70"/>
  <c r="M30" i="70"/>
  <c r="G29" i="70"/>
  <c r="P27" i="70"/>
  <c r="P54" i="70" s="1"/>
  <c r="O27" i="70"/>
  <c r="N27" i="70"/>
  <c r="J26" i="70"/>
  <c r="G26" i="70"/>
  <c r="J25" i="70"/>
  <c r="G25" i="70"/>
  <c r="J24" i="70"/>
  <c r="G24" i="70"/>
  <c r="J23" i="70"/>
  <c r="G23" i="70"/>
  <c r="J22" i="70"/>
  <c r="G22" i="70"/>
  <c r="J21" i="70"/>
  <c r="G21" i="70"/>
  <c r="G20" i="70"/>
  <c r="J19" i="70"/>
  <c r="G19" i="70"/>
  <c r="J18" i="70"/>
  <c r="G18" i="70"/>
  <c r="J17" i="70"/>
  <c r="G17" i="70"/>
  <c r="J16" i="70"/>
  <c r="G16" i="70"/>
  <c r="J15" i="70"/>
  <c r="G15" i="70"/>
  <c r="J14" i="70"/>
  <c r="G14" i="70"/>
  <c r="J13" i="70"/>
  <c r="G13" i="70"/>
  <c r="J12" i="70"/>
  <c r="G12" i="70"/>
  <c r="J11" i="70"/>
  <c r="G11" i="70"/>
  <c r="J10" i="70"/>
  <c r="G10" i="70"/>
  <c r="G8" i="70"/>
  <c r="G7" i="70"/>
  <c r="J6" i="70"/>
  <c r="G6" i="70"/>
  <c r="J75" i="69"/>
  <c r="M75" i="69" s="1"/>
  <c r="I75" i="69"/>
  <c r="I75" i="70" s="1"/>
  <c r="I75" i="72" s="1"/>
  <c r="I75" i="73" s="1"/>
  <c r="I75" i="74" s="1"/>
  <c r="I75" i="75" s="1"/>
  <c r="I75" i="76" s="1"/>
  <c r="I75" i="77" s="1"/>
  <c r="I75" i="78" s="1"/>
  <c r="I74" i="79" s="1"/>
  <c r="H75" i="69"/>
  <c r="H75" i="70" s="1"/>
  <c r="H75" i="72" s="1"/>
  <c r="H75" i="73" s="1"/>
  <c r="H75" i="74" s="1"/>
  <c r="H75" i="75" s="1"/>
  <c r="H75" i="76" s="1"/>
  <c r="H75" i="77" s="1"/>
  <c r="H75" i="78" s="1"/>
  <c r="H74" i="79" s="1"/>
  <c r="J74" i="69"/>
  <c r="M74" i="69" s="1"/>
  <c r="H74" i="69"/>
  <c r="H74" i="70" s="1"/>
  <c r="H74" i="72" s="1"/>
  <c r="H74" i="73" s="1"/>
  <c r="H74" i="74" s="1"/>
  <c r="H74" i="75" s="1"/>
  <c r="H74" i="76" s="1"/>
  <c r="H74" i="77" s="1"/>
  <c r="H74" i="78" s="1"/>
  <c r="H73" i="79" s="1"/>
  <c r="J73" i="69"/>
  <c r="M73" i="69" s="1"/>
  <c r="H73" i="69"/>
  <c r="H73" i="70" s="1"/>
  <c r="H73" i="72" s="1"/>
  <c r="H73" i="73" s="1"/>
  <c r="H73" i="74" s="1"/>
  <c r="H73" i="75" s="1"/>
  <c r="H73" i="76" s="1"/>
  <c r="H73" i="77" s="1"/>
  <c r="H73" i="78" s="1"/>
  <c r="H72" i="79" s="1"/>
  <c r="J72" i="69"/>
  <c r="H72" i="69"/>
  <c r="H72" i="70" s="1"/>
  <c r="H72" i="72" s="1"/>
  <c r="H72" i="73" s="1"/>
  <c r="H72" i="74" s="1"/>
  <c r="H72" i="75" s="1"/>
  <c r="H72" i="76" s="1"/>
  <c r="H72" i="77" s="1"/>
  <c r="H72" i="78" s="1"/>
  <c r="H71" i="79" s="1"/>
  <c r="J71" i="69"/>
  <c r="H71" i="69"/>
  <c r="H71" i="70" s="1"/>
  <c r="H71" i="72" s="1"/>
  <c r="H71" i="73" s="1"/>
  <c r="H71" i="74" s="1"/>
  <c r="H71" i="75" s="1"/>
  <c r="H71" i="76" s="1"/>
  <c r="H71" i="77" s="1"/>
  <c r="H71" i="78" s="1"/>
  <c r="H70" i="79" s="1"/>
  <c r="J70" i="69"/>
  <c r="H70" i="69"/>
  <c r="H70" i="70" s="1"/>
  <c r="H70" i="72" s="1"/>
  <c r="H70" i="73" s="1"/>
  <c r="H70" i="74" s="1"/>
  <c r="H70" i="75" s="1"/>
  <c r="H70" i="76" s="1"/>
  <c r="H70" i="77" s="1"/>
  <c r="H70" i="78" s="1"/>
  <c r="H69" i="79" s="1"/>
  <c r="J69" i="69"/>
  <c r="G69" i="69"/>
  <c r="G68" i="69"/>
  <c r="G65" i="69"/>
  <c r="G64" i="69"/>
  <c r="G66" i="69" s="1"/>
  <c r="P62" i="69"/>
  <c r="O62" i="69"/>
  <c r="Q61" i="69"/>
  <c r="Q60" i="69"/>
  <c r="L60" i="69"/>
  <c r="L60" i="70" s="1"/>
  <c r="L60" i="72" s="1"/>
  <c r="L60" i="73" s="1"/>
  <c r="L60" i="74" s="1"/>
  <c r="L60" i="75" s="1"/>
  <c r="L60" i="76" s="1"/>
  <c r="L60" i="77" s="1"/>
  <c r="L60" i="78" s="1"/>
  <c r="K60" i="69"/>
  <c r="K60" i="70" s="1"/>
  <c r="K60" i="72" s="1"/>
  <c r="K60" i="73" s="1"/>
  <c r="K60" i="74" s="1"/>
  <c r="K60" i="75" s="1"/>
  <c r="K60" i="76" s="1"/>
  <c r="K60" i="77" s="1"/>
  <c r="K60" i="78" s="1"/>
  <c r="K59" i="79" s="1"/>
  <c r="J59" i="69"/>
  <c r="G59" i="69"/>
  <c r="J58" i="69"/>
  <c r="G58" i="69"/>
  <c r="J57" i="69"/>
  <c r="G57" i="69"/>
  <c r="J56" i="69"/>
  <c r="G56" i="69"/>
  <c r="P53" i="69"/>
  <c r="O53" i="69"/>
  <c r="N53" i="69"/>
  <c r="G52" i="69"/>
  <c r="G51" i="69"/>
  <c r="G50" i="69"/>
  <c r="G49" i="69"/>
  <c r="G48" i="69"/>
  <c r="G32" i="69"/>
  <c r="G29" i="69"/>
  <c r="P27" i="69"/>
  <c r="P54" i="69" s="1"/>
  <c r="O27" i="69"/>
  <c r="N27" i="69"/>
  <c r="J26" i="69"/>
  <c r="G26" i="69"/>
  <c r="J25" i="69"/>
  <c r="G25" i="69"/>
  <c r="J24" i="69"/>
  <c r="G24" i="69"/>
  <c r="J23" i="69"/>
  <c r="G23" i="69"/>
  <c r="J22" i="69"/>
  <c r="G22" i="69"/>
  <c r="J21" i="69"/>
  <c r="G21" i="69"/>
  <c r="G20" i="69"/>
  <c r="J19" i="69"/>
  <c r="G19" i="69"/>
  <c r="J18" i="69"/>
  <c r="G18" i="69"/>
  <c r="J17" i="69"/>
  <c r="G17" i="69"/>
  <c r="J16" i="69"/>
  <c r="G16" i="69"/>
  <c r="J15" i="69"/>
  <c r="G15" i="69"/>
  <c r="J14" i="69"/>
  <c r="G14" i="69"/>
  <c r="J13" i="69"/>
  <c r="G13" i="69"/>
  <c r="J12" i="69"/>
  <c r="G12" i="69"/>
  <c r="J11" i="69"/>
  <c r="G11" i="69"/>
  <c r="J10" i="69"/>
  <c r="G10" i="69"/>
  <c r="G8" i="69"/>
  <c r="G7" i="69"/>
  <c r="J6" i="69"/>
  <c r="G6" i="69"/>
  <c r="J75" i="68"/>
  <c r="M75" i="68" s="1"/>
  <c r="I75" i="68"/>
  <c r="H75" i="68"/>
  <c r="J74" i="68"/>
  <c r="M74" i="68" s="1"/>
  <c r="I74" i="68"/>
  <c r="I74" i="69" s="1"/>
  <c r="I74" i="70" s="1"/>
  <c r="I74" i="72" s="1"/>
  <c r="I74" i="73" s="1"/>
  <c r="I74" i="74" s="1"/>
  <c r="I74" i="75" s="1"/>
  <c r="I74" i="76" s="1"/>
  <c r="I74" i="77" s="1"/>
  <c r="I74" i="78" s="1"/>
  <c r="I73" i="79" s="1"/>
  <c r="H74" i="68"/>
  <c r="J73" i="68"/>
  <c r="M73" i="68" s="1"/>
  <c r="I73" i="68"/>
  <c r="I73" i="69" s="1"/>
  <c r="I73" i="70" s="1"/>
  <c r="I73" i="72" s="1"/>
  <c r="I73" i="73" s="1"/>
  <c r="I73" i="74" s="1"/>
  <c r="I73" i="75" s="1"/>
  <c r="I73" i="76" s="1"/>
  <c r="I73" i="77" s="1"/>
  <c r="I73" i="78" s="1"/>
  <c r="I72" i="79" s="1"/>
  <c r="H73" i="68"/>
  <c r="J72" i="68"/>
  <c r="I72" i="68"/>
  <c r="I72" i="69" s="1"/>
  <c r="I72" i="70" s="1"/>
  <c r="I72" i="72" s="1"/>
  <c r="I72" i="73" s="1"/>
  <c r="I72" i="74" s="1"/>
  <c r="I72" i="75" s="1"/>
  <c r="I72" i="76" s="1"/>
  <c r="I72" i="77" s="1"/>
  <c r="I72" i="78" s="1"/>
  <c r="I71" i="79" s="1"/>
  <c r="H72" i="68"/>
  <c r="J71" i="68"/>
  <c r="I71" i="68"/>
  <c r="I71" i="69" s="1"/>
  <c r="I71" i="70" s="1"/>
  <c r="I71" i="72" s="1"/>
  <c r="I71" i="73" s="1"/>
  <c r="I71" i="74" s="1"/>
  <c r="I71" i="75" s="1"/>
  <c r="I71" i="76" s="1"/>
  <c r="I71" i="77" s="1"/>
  <c r="I71" i="78" s="1"/>
  <c r="I70" i="79" s="1"/>
  <c r="H71" i="68"/>
  <c r="J70" i="68"/>
  <c r="M70" i="68" s="1"/>
  <c r="I70" i="68"/>
  <c r="I70" i="69" s="1"/>
  <c r="I70" i="70" s="1"/>
  <c r="I70" i="72" s="1"/>
  <c r="I70" i="73" s="1"/>
  <c r="I70" i="74" s="1"/>
  <c r="I70" i="75" s="1"/>
  <c r="I70" i="76" s="1"/>
  <c r="I70" i="77" s="1"/>
  <c r="I70" i="78" s="1"/>
  <c r="I69" i="79" s="1"/>
  <c r="H70" i="68"/>
  <c r="J69" i="68"/>
  <c r="G69" i="68"/>
  <c r="L68" i="68"/>
  <c r="L68" i="69" s="1"/>
  <c r="L68" i="70" s="1"/>
  <c r="L68" i="72" s="1"/>
  <c r="L68" i="73" s="1"/>
  <c r="L68" i="74" s="1"/>
  <c r="L68" i="75" s="1"/>
  <c r="L68" i="76" s="1"/>
  <c r="L68" i="77" s="1"/>
  <c r="L68" i="78" s="1"/>
  <c r="K68" i="68"/>
  <c r="K68" i="69" s="1"/>
  <c r="K68" i="70" s="1"/>
  <c r="K68" i="72" s="1"/>
  <c r="K68" i="73" s="1"/>
  <c r="K68" i="74" s="1"/>
  <c r="K68" i="75" s="1"/>
  <c r="K68" i="76" s="1"/>
  <c r="K68" i="77" s="1"/>
  <c r="K68" i="78" s="1"/>
  <c r="K67" i="79" s="1"/>
  <c r="G68" i="68"/>
  <c r="G65" i="68"/>
  <c r="G64" i="68"/>
  <c r="P62" i="68"/>
  <c r="O62" i="68"/>
  <c r="Q61" i="68"/>
  <c r="Q60" i="68"/>
  <c r="J59" i="68"/>
  <c r="G59" i="68"/>
  <c r="J58" i="68"/>
  <c r="G58" i="68"/>
  <c r="J57" i="68"/>
  <c r="G57" i="68"/>
  <c r="J56" i="68"/>
  <c r="G56" i="68"/>
  <c r="P53" i="68"/>
  <c r="O53" i="68"/>
  <c r="G52" i="68"/>
  <c r="G51" i="68"/>
  <c r="G50" i="68"/>
  <c r="G49" i="68"/>
  <c r="G48" i="68"/>
  <c r="M33" i="68"/>
  <c r="G32" i="68"/>
  <c r="M31" i="68"/>
  <c r="M30" i="68"/>
  <c r="G29" i="68"/>
  <c r="P27" i="68"/>
  <c r="O27" i="68"/>
  <c r="J26" i="68"/>
  <c r="G26" i="68"/>
  <c r="J25" i="68"/>
  <c r="G25" i="68"/>
  <c r="J24" i="68"/>
  <c r="G24" i="68"/>
  <c r="J23" i="68"/>
  <c r="G23" i="68"/>
  <c r="J22" i="68"/>
  <c r="G22" i="68"/>
  <c r="J21" i="68"/>
  <c r="G21" i="68"/>
  <c r="G20" i="68"/>
  <c r="J19" i="68"/>
  <c r="G19" i="68"/>
  <c r="J18" i="68"/>
  <c r="G18" i="68"/>
  <c r="J17" i="68"/>
  <c r="G17" i="68"/>
  <c r="J16" i="68"/>
  <c r="G16" i="68"/>
  <c r="J15" i="68"/>
  <c r="G15" i="68"/>
  <c r="J14" i="68"/>
  <c r="G14" i="68"/>
  <c r="J13" i="68"/>
  <c r="G13" i="68"/>
  <c r="J12" i="68"/>
  <c r="G12" i="68"/>
  <c r="J11" i="68"/>
  <c r="G11" i="68"/>
  <c r="J10" i="68"/>
  <c r="G10" i="68"/>
  <c r="G8" i="68"/>
  <c r="G7" i="68"/>
  <c r="J6" i="68"/>
  <c r="G6" i="68"/>
  <c r="J75" i="42"/>
  <c r="M75" i="42" s="1"/>
  <c r="J74" i="42"/>
  <c r="M74" i="42" s="1"/>
  <c r="J73" i="42"/>
  <c r="J72" i="42"/>
  <c r="J71" i="42"/>
  <c r="J70" i="42"/>
  <c r="M70" i="42" s="1"/>
  <c r="J69" i="42"/>
  <c r="G69" i="42"/>
  <c r="G68" i="42"/>
  <c r="G65" i="42"/>
  <c r="G64" i="42"/>
  <c r="P62" i="42"/>
  <c r="O62" i="42"/>
  <c r="Q61" i="42"/>
  <c r="Q60" i="42"/>
  <c r="J59" i="42"/>
  <c r="G59" i="42"/>
  <c r="J58" i="42"/>
  <c r="G58" i="42"/>
  <c r="J57" i="42"/>
  <c r="G57" i="42"/>
  <c r="J56" i="42"/>
  <c r="G56" i="42"/>
  <c r="P53" i="42"/>
  <c r="O53" i="42"/>
  <c r="N53" i="42"/>
  <c r="G52" i="42"/>
  <c r="G51" i="42"/>
  <c r="G50" i="42"/>
  <c r="G49" i="42"/>
  <c r="G48" i="42"/>
  <c r="M33" i="42"/>
  <c r="G32" i="42"/>
  <c r="M31" i="42"/>
  <c r="M30" i="42"/>
  <c r="G29" i="42"/>
  <c r="P27" i="42"/>
  <c r="P54" i="42" s="1"/>
  <c r="O27" i="42"/>
  <c r="O54" i="42" s="1"/>
  <c r="N27" i="42"/>
  <c r="J26" i="42"/>
  <c r="G26" i="42"/>
  <c r="J25" i="42"/>
  <c r="G25" i="42"/>
  <c r="J24" i="42"/>
  <c r="G24" i="42"/>
  <c r="J23" i="42"/>
  <c r="G23" i="42"/>
  <c r="J22" i="42"/>
  <c r="G22" i="42"/>
  <c r="J21" i="42"/>
  <c r="G21" i="42"/>
  <c r="G20" i="42"/>
  <c r="J19" i="42"/>
  <c r="G19" i="42"/>
  <c r="J18" i="42"/>
  <c r="G18" i="42"/>
  <c r="J17" i="42"/>
  <c r="G17" i="42"/>
  <c r="J16" i="42"/>
  <c r="G16" i="42"/>
  <c r="J15" i="42"/>
  <c r="G15" i="42"/>
  <c r="J14" i="42"/>
  <c r="G14" i="42"/>
  <c r="J13" i="42"/>
  <c r="G13" i="42"/>
  <c r="J12" i="42"/>
  <c r="G12" i="42"/>
  <c r="J11" i="42"/>
  <c r="G11" i="42"/>
  <c r="J10" i="42"/>
  <c r="G10" i="42"/>
  <c r="G7" i="42"/>
  <c r="J6" i="42"/>
  <c r="G6" i="42"/>
  <c r="J75" i="99"/>
  <c r="J74" i="99"/>
  <c r="J73" i="99"/>
  <c r="J72" i="99"/>
  <c r="J71" i="99"/>
  <c r="J70" i="99"/>
  <c r="J69" i="99"/>
  <c r="G69" i="99"/>
  <c r="G68" i="99"/>
  <c r="G76" i="99" s="1"/>
  <c r="G65" i="99"/>
  <c r="G64" i="99"/>
  <c r="P62" i="99"/>
  <c r="O62" i="99"/>
  <c r="Q61" i="99"/>
  <c r="Q60" i="99"/>
  <c r="J59" i="99"/>
  <c r="G59" i="99"/>
  <c r="J58" i="99"/>
  <c r="G58" i="99"/>
  <c r="J57" i="99"/>
  <c r="G57" i="99"/>
  <c r="J56" i="99"/>
  <c r="G56" i="99"/>
  <c r="P53" i="99"/>
  <c r="O53" i="99"/>
  <c r="N53" i="99"/>
  <c r="G52" i="99"/>
  <c r="G51" i="99"/>
  <c r="G50" i="99"/>
  <c r="G49" i="99"/>
  <c r="G48" i="99"/>
  <c r="M33" i="99"/>
  <c r="G32" i="99"/>
  <c r="M31" i="99"/>
  <c r="M30" i="99"/>
  <c r="G29" i="99"/>
  <c r="P27" i="99"/>
  <c r="P54" i="99" s="1"/>
  <c r="O27" i="99"/>
  <c r="O54" i="99" s="1"/>
  <c r="N27" i="99"/>
  <c r="J26" i="99"/>
  <c r="G26" i="99"/>
  <c r="J25" i="99"/>
  <c r="G25" i="99"/>
  <c r="J24" i="99"/>
  <c r="G24" i="99"/>
  <c r="J23" i="99"/>
  <c r="G23" i="99"/>
  <c r="J22" i="99"/>
  <c r="G22" i="99"/>
  <c r="J21" i="99"/>
  <c r="G21" i="99"/>
  <c r="G20" i="99"/>
  <c r="J19" i="99"/>
  <c r="G19" i="99"/>
  <c r="J18" i="99"/>
  <c r="G18" i="99"/>
  <c r="J17" i="99"/>
  <c r="G17" i="99"/>
  <c r="J16" i="99"/>
  <c r="G16" i="99"/>
  <c r="J15" i="99"/>
  <c r="G15" i="99"/>
  <c r="J14" i="99"/>
  <c r="G14" i="99"/>
  <c r="J13" i="99"/>
  <c r="G13" i="99"/>
  <c r="J12" i="99"/>
  <c r="G12" i="99"/>
  <c r="J11" i="99"/>
  <c r="G11" i="99"/>
  <c r="J10" i="99"/>
  <c r="G10" i="99"/>
  <c r="G8" i="99"/>
  <c r="G7" i="99"/>
  <c r="J6" i="99"/>
  <c r="G6" i="99"/>
  <c r="J75" i="98"/>
  <c r="J74" i="98"/>
  <c r="J73" i="98"/>
  <c r="J72" i="98"/>
  <c r="J71" i="98"/>
  <c r="J70" i="98"/>
  <c r="J69" i="98"/>
  <c r="G69" i="98"/>
  <c r="G68" i="98"/>
  <c r="G76" i="98" s="1"/>
  <c r="G65" i="98"/>
  <c r="G64" i="98"/>
  <c r="P62" i="98"/>
  <c r="O62" i="98"/>
  <c r="Q61" i="98"/>
  <c r="Q60" i="98"/>
  <c r="J59" i="98"/>
  <c r="G59" i="98"/>
  <c r="J58" i="98"/>
  <c r="G58" i="98"/>
  <c r="J57" i="98"/>
  <c r="G57" i="98"/>
  <c r="J56" i="98"/>
  <c r="G56" i="98"/>
  <c r="P53" i="98"/>
  <c r="O53" i="98"/>
  <c r="G52" i="98"/>
  <c r="G51" i="98"/>
  <c r="G50" i="98"/>
  <c r="G49" i="98"/>
  <c r="G48" i="98"/>
  <c r="I35" i="98"/>
  <c r="I35" i="99" s="1"/>
  <c r="H35" i="98"/>
  <c r="H35" i="99" s="1"/>
  <c r="I34" i="98"/>
  <c r="I34" i="99" s="1"/>
  <c r="H34" i="98"/>
  <c r="H34" i="99" s="1"/>
  <c r="M33" i="98"/>
  <c r="G32" i="98"/>
  <c r="M31" i="98"/>
  <c r="M30" i="98"/>
  <c r="G29" i="98"/>
  <c r="P27" i="98"/>
  <c r="P54" i="98" s="1"/>
  <c r="O27" i="98"/>
  <c r="O54" i="98" s="1"/>
  <c r="J26" i="98"/>
  <c r="G26" i="98"/>
  <c r="J25" i="98"/>
  <c r="G25" i="98"/>
  <c r="J24" i="98"/>
  <c r="G24" i="98"/>
  <c r="J23" i="98"/>
  <c r="G23" i="98"/>
  <c r="J22" i="98"/>
  <c r="G22" i="98"/>
  <c r="J21" i="98"/>
  <c r="G21" i="98"/>
  <c r="G20" i="98"/>
  <c r="J19" i="98"/>
  <c r="G19" i="98"/>
  <c r="J18" i="98"/>
  <c r="G18" i="98"/>
  <c r="J17" i="98"/>
  <c r="G17" i="98"/>
  <c r="J16" i="98"/>
  <c r="G16" i="98"/>
  <c r="J15" i="98"/>
  <c r="G15" i="98"/>
  <c r="J14" i="98"/>
  <c r="G14" i="98"/>
  <c r="J13" i="98"/>
  <c r="G13" i="98"/>
  <c r="J12" i="98"/>
  <c r="G12" i="98"/>
  <c r="J11" i="98"/>
  <c r="G11" i="98"/>
  <c r="J10" i="98"/>
  <c r="G10" i="98"/>
  <c r="G8" i="98"/>
  <c r="G7" i="98"/>
  <c r="J6" i="98"/>
  <c r="G6" i="98"/>
  <c r="J75" i="97"/>
  <c r="J74" i="97"/>
  <c r="J73" i="97"/>
  <c r="J72" i="97"/>
  <c r="J71" i="97"/>
  <c r="J70" i="97"/>
  <c r="J69" i="97"/>
  <c r="G69" i="97"/>
  <c r="G68" i="97"/>
  <c r="G65" i="97"/>
  <c r="G64" i="97"/>
  <c r="G66" i="97" s="1"/>
  <c r="P62" i="97"/>
  <c r="O62" i="97"/>
  <c r="Q61" i="97"/>
  <c r="Q60" i="97"/>
  <c r="J59" i="97"/>
  <c r="G59" i="97"/>
  <c r="J58" i="97"/>
  <c r="G58" i="97"/>
  <c r="J57" i="97"/>
  <c r="G57" i="97"/>
  <c r="J56" i="97"/>
  <c r="G56" i="97"/>
  <c r="P53" i="97"/>
  <c r="O53" i="97"/>
  <c r="N53" i="97"/>
  <c r="G52" i="97"/>
  <c r="G51" i="97"/>
  <c r="G50" i="97"/>
  <c r="G49" i="97"/>
  <c r="G48" i="97"/>
  <c r="M33" i="97"/>
  <c r="G32" i="97"/>
  <c r="M30" i="97"/>
  <c r="G29" i="97"/>
  <c r="P27" i="97"/>
  <c r="P54" i="97" s="1"/>
  <c r="O27" i="97"/>
  <c r="O54" i="97" s="1"/>
  <c r="N27" i="97"/>
  <c r="U26" i="97"/>
  <c r="J26" i="97"/>
  <c r="G26" i="97"/>
  <c r="J25" i="97"/>
  <c r="G25" i="97"/>
  <c r="J24" i="97"/>
  <c r="G24" i="97"/>
  <c r="J23" i="97"/>
  <c r="G23" i="97"/>
  <c r="J22" i="97"/>
  <c r="G22" i="97"/>
  <c r="J21" i="97"/>
  <c r="G21" i="97"/>
  <c r="G20" i="97"/>
  <c r="J19" i="97"/>
  <c r="G19" i="97"/>
  <c r="J18" i="97"/>
  <c r="G18" i="97"/>
  <c r="J17" i="97"/>
  <c r="G17" i="97"/>
  <c r="J16" i="97"/>
  <c r="G16" i="97"/>
  <c r="J15" i="97"/>
  <c r="G15" i="97"/>
  <c r="J14" i="97"/>
  <c r="G14" i="97"/>
  <c r="J13" i="97"/>
  <c r="G13" i="97"/>
  <c r="J12" i="97"/>
  <c r="G12" i="97"/>
  <c r="J11" i="97"/>
  <c r="G11" i="97"/>
  <c r="J10" i="97"/>
  <c r="G10" i="97"/>
  <c r="G8" i="97"/>
  <c r="G7" i="97"/>
  <c r="J6" i="97"/>
  <c r="G6" i="97"/>
  <c r="J75" i="96"/>
  <c r="J74" i="96"/>
  <c r="J73" i="96"/>
  <c r="J72" i="96"/>
  <c r="J71" i="96"/>
  <c r="J70" i="96"/>
  <c r="J69" i="96"/>
  <c r="G69" i="96"/>
  <c r="G68" i="96"/>
  <c r="G76" i="96" s="1"/>
  <c r="G65" i="96"/>
  <c r="G64" i="96"/>
  <c r="P62" i="96"/>
  <c r="O62" i="96"/>
  <c r="Q61" i="96"/>
  <c r="Q60" i="96"/>
  <c r="J59" i="96"/>
  <c r="G59" i="96"/>
  <c r="J58" i="96"/>
  <c r="G58" i="96"/>
  <c r="J57" i="96"/>
  <c r="G57" i="96"/>
  <c r="J56" i="96"/>
  <c r="G56" i="96"/>
  <c r="P53" i="96"/>
  <c r="O53" i="96"/>
  <c r="N53" i="96"/>
  <c r="G52" i="96"/>
  <c r="G51" i="96"/>
  <c r="G50" i="96"/>
  <c r="G49" i="96"/>
  <c r="G48" i="96"/>
  <c r="G32" i="96"/>
  <c r="M31" i="96"/>
  <c r="M30" i="96"/>
  <c r="G29" i="96"/>
  <c r="P27" i="96"/>
  <c r="P54" i="96" s="1"/>
  <c r="O27" i="96"/>
  <c r="O54" i="96" s="1"/>
  <c r="N27" i="96"/>
  <c r="J26" i="96"/>
  <c r="G26" i="96"/>
  <c r="J25" i="96"/>
  <c r="G25" i="96"/>
  <c r="J24" i="96"/>
  <c r="G24" i="96"/>
  <c r="J23" i="96"/>
  <c r="G23" i="96"/>
  <c r="J22" i="96"/>
  <c r="G22" i="96"/>
  <c r="J21" i="96"/>
  <c r="G21" i="96"/>
  <c r="G20" i="96"/>
  <c r="J19" i="96"/>
  <c r="G19" i="96"/>
  <c r="J18" i="96"/>
  <c r="G18" i="96"/>
  <c r="J17" i="96"/>
  <c r="G17" i="96"/>
  <c r="J16" i="96"/>
  <c r="G16" i="96"/>
  <c r="J15" i="96"/>
  <c r="G15" i="96"/>
  <c r="J14" i="96"/>
  <c r="G14" i="96"/>
  <c r="J13" i="96"/>
  <c r="G13" i="96"/>
  <c r="J12" i="96"/>
  <c r="G12" i="96"/>
  <c r="J11" i="96"/>
  <c r="G11" i="96"/>
  <c r="J10" i="96"/>
  <c r="G10" i="96"/>
  <c r="G8" i="96"/>
  <c r="G7" i="96"/>
  <c r="J6" i="96"/>
  <c r="G6" i="96"/>
  <c r="J75" i="95"/>
  <c r="J74" i="95"/>
  <c r="J73" i="95"/>
  <c r="J72" i="95"/>
  <c r="J71" i="95"/>
  <c r="J70" i="95"/>
  <c r="J69" i="95"/>
  <c r="G69" i="95"/>
  <c r="G68" i="95"/>
  <c r="G65" i="95"/>
  <c r="G64" i="95"/>
  <c r="P62" i="95"/>
  <c r="O62" i="95"/>
  <c r="Q61" i="95"/>
  <c r="Q60" i="95"/>
  <c r="J59" i="95"/>
  <c r="G59" i="95"/>
  <c r="J58" i="95"/>
  <c r="G58" i="95"/>
  <c r="J57" i="95"/>
  <c r="G57" i="95"/>
  <c r="J56" i="95"/>
  <c r="G56" i="95"/>
  <c r="P53" i="95"/>
  <c r="O53" i="95"/>
  <c r="G52" i="95"/>
  <c r="G51" i="95"/>
  <c r="G50" i="95"/>
  <c r="G49" i="95"/>
  <c r="G48" i="95"/>
  <c r="M33" i="95"/>
  <c r="G32" i="95"/>
  <c r="M31" i="95"/>
  <c r="M30" i="95"/>
  <c r="G29" i="95"/>
  <c r="P27" i="95"/>
  <c r="P54" i="95" s="1"/>
  <c r="O27" i="95"/>
  <c r="O54" i="95" s="1"/>
  <c r="J26" i="95"/>
  <c r="G26" i="95"/>
  <c r="J25" i="95"/>
  <c r="G25" i="95"/>
  <c r="J24" i="95"/>
  <c r="G24" i="95"/>
  <c r="J23" i="95"/>
  <c r="G23" i="95"/>
  <c r="J22" i="95"/>
  <c r="G22" i="95"/>
  <c r="J21" i="95"/>
  <c r="G21" i="95"/>
  <c r="G20" i="95"/>
  <c r="J19" i="95"/>
  <c r="G19" i="95"/>
  <c r="J18" i="95"/>
  <c r="G18" i="95"/>
  <c r="J17" i="95"/>
  <c r="G17" i="95"/>
  <c r="J16" i="95"/>
  <c r="G16" i="95"/>
  <c r="J15" i="95"/>
  <c r="G15" i="95"/>
  <c r="J14" i="95"/>
  <c r="G14" i="95"/>
  <c r="J13" i="95"/>
  <c r="G13" i="95"/>
  <c r="J12" i="95"/>
  <c r="G12" i="95"/>
  <c r="J11" i="95"/>
  <c r="G11" i="95"/>
  <c r="J10" i="95"/>
  <c r="G10" i="95"/>
  <c r="G8" i="95"/>
  <c r="G7" i="95"/>
  <c r="J6" i="95"/>
  <c r="G6" i="95"/>
  <c r="J75" i="94"/>
  <c r="J74" i="94"/>
  <c r="J73" i="94"/>
  <c r="J72" i="94"/>
  <c r="J71" i="94"/>
  <c r="J70" i="94"/>
  <c r="J69" i="94"/>
  <c r="G69" i="94"/>
  <c r="G68" i="94"/>
  <c r="G76" i="94" s="1"/>
  <c r="G65" i="94"/>
  <c r="G64" i="94"/>
  <c r="P62" i="94"/>
  <c r="O62" i="94"/>
  <c r="N62" i="94"/>
  <c r="Q61" i="94"/>
  <c r="Q60" i="94"/>
  <c r="J59" i="94"/>
  <c r="G59" i="94"/>
  <c r="J58" i="94"/>
  <c r="G58" i="94"/>
  <c r="J57" i="94"/>
  <c r="G57" i="94"/>
  <c r="J56" i="94"/>
  <c r="G56" i="94"/>
  <c r="P53" i="94"/>
  <c r="O53" i="94"/>
  <c r="N53" i="94"/>
  <c r="G52" i="94"/>
  <c r="G51" i="94"/>
  <c r="G50" i="94"/>
  <c r="G49" i="94"/>
  <c r="G48" i="94"/>
  <c r="M33" i="94"/>
  <c r="G32" i="94"/>
  <c r="M31" i="94"/>
  <c r="M30" i="94"/>
  <c r="G29" i="94"/>
  <c r="P27" i="94"/>
  <c r="P54" i="94" s="1"/>
  <c r="O27" i="94"/>
  <c r="O54" i="94" s="1"/>
  <c r="N27" i="94"/>
  <c r="J26" i="94"/>
  <c r="G26" i="94"/>
  <c r="J25" i="94"/>
  <c r="G25" i="94"/>
  <c r="J24" i="94"/>
  <c r="G24" i="94"/>
  <c r="J23" i="94"/>
  <c r="G23" i="94"/>
  <c r="J22" i="94"/>
  <c r="G22" i="94"/>
  <c r="J21" i="94"/>
  <c r="G21" i="94"/>
  <c r="G20" i="94"/>
  <c r="J19" i="94"/>
  <c r="G19" i="94"/>
  <c r="J18" i="94"/>
  <c r="G18" i="94"/>
  <c r="J17" i="94"/>
  <c r="G17" i="94"/>
  <c r="J16" i="94"/>
  <c r="G16" i="94"/>
  <c r="J15" i="94"/>
  <c r="G15" i="94"/>
  <c r="J14" i="94"/>
  <c r="G14" i="94"/>
  <c r="J13" i="94"/>
  <c r="G13" i="94"/>
  <c r="J12" i="94"/>
  <c r="G12" i="94"/>
  <c r="J11" i="94"/>
  <c r="G11" i="94"/>
  <c r="J10" i="94"/>
  <c r="G10" i="94"/>
  <c r="G8" i="94"/>
  <c r="G7" i="94"/>
  <c r="J6" i="94"/>
  <c r="G6" i="94"/>
  <c r="J75" i="93"/>
  <c r="J74" i="93"/>
  <c r="J73" i="93"/>
  <c r="J72" i="93"/>
  <c r="J71" i="93"/>
  <c r="J70" i="93"/>
  <c r="J69" i="93"/>
  <c r="G69" i="93"/>
  <c r="G68" i="93"/>
  <c r="G76" i="93" s="1"/>
  <c r="G65" i="93"/>
  <c r="G64" i="93"/>
  <c r="P62" i="93"/>
  <c r="O62" i="93"/>
  <c r="N62" i="93"/>
  <c r="Q61" i="93"/>
  <c r="Q60" i="93"/>
  <c r="J59" i="93"/>
  <c r="G59" i="93"/>
  <c r="J58" i="93"/>
  <c r="G58" i="93"/>
  <c r="J57" i="93"/>
  <c r="G57" i="93"/>
  <c r="J56" i="93"/>
  <c r="G56" i="93"/>
  <c r="P53" i="93"/>
  <c r="O53" i="93"/>
  <c r="N53" i="93"/>
  <c r="G52" i="93"/>
  <c r="G51" i="93"/>
  <c r="G50" i="93"/>
  <c r="G49" i="93"/>
  <c r="G48" i="93"/>
  <c r="M33" i="93"/>
  <c r="G32" i="93"/>
  <c r="M31" i="93"/>
  <c r="M30" i="93"/>
  <c r="G29" i="93"/>
  <c r="P27" i="93"/>
  <c r="P54" i="93" s="1"/>
  <c r="O27" i="93"/>
  <c r="O54" i="93" s="1"/>
  <c r="N27" i="93"/>
  <c r="N54" i="93" s="1"/>
  <c r="J26" i="93"/>
  <c r="G26" i="93"/>
  <c r="J25" i="93"/>
  <c r="G25" i="93"/>
  <c r="J24" i="93"/>
  <c r="G24" i="93"/>
  <c r="J23" i="93"/>
  <c r="G23" i="93"/>
  <c r="J22" i="93"/>
  <c r="G22" i="93"/>
  <c r="J21" i="93"/>
  <c r="G21" i="93"/>
  <c r="G20" i="93"/>
  <c r="J19" i="93"/>
  <c r="G19" i="93"/>
  <c r="J18" i="93"/>
  <c r="G18" i="93"/>
  <c r="J17" i="93"/>
  <c r="G17" i="93"/>
  <c r="J16" i="93"/>
  <c r="G16" i="93"/>
  <c r="J15" i="93"/>
  <c r="G15" i="93"/>
  <c r="J14" i="93"/>
  <c r="G14" i="93"/>
  <c r="J13" i="93"/>
  <c r="G13" i="93"/>
  <c r="J12" i="93"/>
  <c r="G12" i="93"/>
  <c r="J11" i="93"/>
  <c r="G11" i="93"/>
  <c r="J10" i="93"/>
  <c r="G10" i="93"/>
  <c r="G8" i="93"/>
  <c r="G7" i="93"/>
  <c r="J6" i="93"/>
  <c r="G6" i="93"/>
  <c r="J75" i="92"/>
  <c r="J74" i="92"/>
  <c r="J73" i="92"/>
  <c r="J72" i="92"/>
  <c r="J71" i="92"/>
  <c r="J70" i="92"/>
  <c r="J69" i="92"/>
  <c r="G69" i="92"/>
  <c r="G68" i="92"/>
  <c r="G76" i="92" s="1"/>
  <c r="G65" i="92"/>
  <c r="G64" i="92"/>
  <c r="G66" i="92" s="1"/>
  <c r="P62" i="92"/>
  <c r="O62" i="92"/>
  <c r="N62" i="92"/>
  <c r="Q61" i="92"/>
  <c r="Q60" i="92"/>
  <c r="J59" i="92"/>
  <c r="G59" i="92"/>
  <c r="J58" i="92"/>
  <c r="G58" i="92"/>
  <c r="J57" i="92"/>
  <c r="G57" i="92"/>
  <c r="J56" i="92"/>
  <c r="G56" i="92"/>
  <c r="P53" i="92"/>
  <c r="O53" i="92"/>
  <c r="N53" i="92"/>
  <c r="G52" i="92"/>
  <c r="G51" i="92"/>
  <c r="G50" i="92"/>
  <c r="G49" i="92"/>
  <c r="G48" i="92"/>
  <c r="G32" i="92"/>
  <c r="M30" i="92"/>
  <c r="G29" i="92"/>
  <c r="P27" i="92"/>
  <c r="P54" i="92" s="1"/>
  <c r="O27" i="92"/>
  <c r="O54" i="92" s="1"/>
  <c r="N27" i="92"/>
  <c r="J26" i="92"/>
  <c r="G26" i="92"/>
  <c r="J25" i="92"/>
  <c r="G25" i="92"/>
  <c r="J24" i="92"/>
  <c r="G24" i="92"/>
  <c r="J23" i="92"/>
  <c r="G23" i="92"/>
  <c r="J22" i="92"/>
  <c r="G22" i="92"/>
  <c r="J21" i="92"/>
  <c r="G21" i="92"/>
  <c r="J20" i="92"/>
  <c r="G20" i="92"/>
  <c r="J19" i="92"/>
  <c r="G19" i="92"/>
  <c r="J18" i="92"/>
  <c r="G18" i="92"/>
  <c r="J17" i="92"/>
  <c r="G17" i="92"/>
  <c r="J16" i="92"/>
  <c r="G16" i="92"/>
  <c r="J15" i="92"/>
  <c r="G15" i="92"/>
  <c r="J14" i="92"/>
  <c r="G14" i="92"/>
  <c r="J13" i="92"/>
  <c r="G13" i="92"/>
  <c r="J12" i="92"/>
  <c r="G12" i="92"/>
  <c r="J11" i="92"/>
  <c r="G11" i="92"/>
  <c r="J10" i="92"/>
  <c r="G10" i="92"/>
  <c r="G8" i="92"/>
  <c r="G7" i="92"/>
  <c r="J6" i="92"/>
  <c r="G6" i="92"/>
  <c r="J75" i="91"/>
  <c r="J74" i="91"/>
  <c r="J73" i="91"/>
  <c r="J72" i="91"/>
  <c r="J71" i="91"/>
  <c r="J70" i="91"/>
  <c r="J69" i="91"/>
  <c r="G69" i="91"/>
  <c r="G68" i="91"/>
  <c r="G76" i="91" s="1"/>
  <c r="G65" i="91"/>
  <c r="G64" i="91"/>
  <c r="P62" i="91"/>
  <c r="O62" i="91"/>
  <c r="N62" i="91"/>
  <c r="Q61" i="91"/>
  <c r="Q60" i="91"/>
  <c r="J59" i="91"/>
  <c r="G59" i="91"/>
  <c r="J58" i="91"/>
  <c r="G58" i="91"/>
  <c r="J57" i="91"/>
  <c r="G57" i="91"/>
  <c r="J56" i="91"/>
  <c r="G56" i="91"/>
  <c r="P53" i="91"/>
  <c r="O53" i="91"/>
  <c r="N53" i="91"/>
  <c r="G52" i="91"/>
  <c r="G51" i="91"/>
  <c r="G50" i="91"/>
  <c r="G49" i="91"/>
  <c r="G48" i="91"/>
  <c r="M33" i="91"/>
  <c r="G32" i="91"/>
  <c r="M31" i="91"/>
  <c r="M30" i="91"/>
  <c r="G29" i="91"/>
  <c r="P27" i="91"/>
  <c r="P54" i="91" s="1"/>
  <c r="O27" i="91"/>
  <c r="N27" i="91"/>
  <c r="J26" i="91"/>
  <c r="G26" i="91"/>
  <c r="J25" i="91"/>
  <c r="G25" i="91"/>
  <c r="J24" i="91"/>
  <c r="G24" i="91"/>
  <c r="J23" i="91"/>
  <c r="G23" i="91"/>
  <c r="J22" i="91"/>
  <c r="G22" i="91"/>
  <c r="J21" i="91"/>
  <c r="G21" i="91"/>
  <c r="J20" i="91"/>
  <c r="G20" i="91"/>
  <c r="J19" i="91"/>
  <c r="G19" i="91"/>
  <c r="J18" i="91"/>
  <c r="G18" i="91"/>
  <c r="J17" i="91"/>
  <c r="G17" i="91"/>
  <c r="J16" i="91"/>
  <c r="G16" i="91"/>
  <c r="J15" i="91"/>
  <c r="G15" i="91"/>
  <c r="J14" i="91"/>
  <c r="G14" i="91"/>
  <c r="J13" i="91"/>
  <c r="G13" i="91"/>
  <c r="J12" i="91"/>
  <c r="G12" i="91"/>
  <c r="J11" i="91"/>
  <c r="G11" i="91"/>
  <c r="J10" i="91"/>
  <c r="G10" i="91"/>
  <c r="G8" i="91"/>
  <c r="G7" i="91"/>
  <c r="J6" i="91"/>
  <c r="G6" i="91"/>
  <c r="J75" i="90"/>
  <c r="J74" i="90"/>
  <c r="J73" i="90"/>
  <c r="J72" i="90"/>
  <c r="J71" i="90"/>
  <c r="J70" i="90"/>
  <c r="J69" i="90"/>
  <c r="G69" i="90"/>
  <c r="G68" i="90"/>
  <c r="G76" i="90" s="1"/>
  <c r="G65" i="90"/>
  <c r="G64" i="90"/>
  <c r="G66" i="90" s="1"/>
  <c r="P62" i="90"/>
  <c r="O62" i="90"/>
  <c r="N62" i="90"/>
  <c r="Q61" i="90"/>
  <c r="Q60" i="90"/>
  <c r="J59" i="90"/>
  <c r="G59" i="90"/>
  <c r="J58" i="90"/>
  <c r="G58" i="90"/>
  <c r="J57" i="90"/>
  <c r="G57" i="90"/>
  <c r="J56" i="90"/>
  <c r="G56" i="90"/>
  <c r="P53" i="90"/>
  <c r="O53" i="90"/>
  <c r="N53" i="90"/>
  <c r="G52" i="90"/>
  <c r="G51" i="90"/>
  <c r="G50" i="90"/>
  <c r="G49" i="90"/>
  <c r="G48" i="90"/>
  <c r="M33" i="90"/>
  <c r="G32" i="90"/>
  <c r="M31" i="90"/>
  <c r="M30" i="90"/>
  <c r="G29" i="90"/>
  <c r="P27" i="90"/>
  <c r="P54" i="90" s="1"/>
  <c r="O27" i="90"/>
  <c r="N27" i="90"/>
  <c r="J26" i="90"/>
  <c r="G26" i="90"/>
  <c r="J25" i="90"/>
  <c r="G25" i="90"/>
  <c r="J24" i="90"/>
  <c r="G24" i="90"/>
  <c r="J23" i="90"/>
  <c r="G23" i="90"/>
  <c r="J22" i="90"/>
  <c r="G22" i="90"/>
  <c r="J21" i="90"/>
  <c r="G21" i="90"/>
  <c r="J20" i="90"/>
  <c r="G20" i="90"/>
  <c r="J19" i="90"/>
  <c r="G19" i="90"/>
  <c r="J18" i="90"/>
  <c r="G18" i="90"/>
  <c r="J17" i="90"/>
  <c r="G17" i="90"/>
  <c r="J16" i="90"/>
  <c r="G16" i="90"/>
  <c r="J15" i="90"/>
  <c r="G15" i="90"/>
  <c r="J14" i="90"/>
  <c r="G14" i="90"/>
  <c r="J13" i="90"/>
  <c r="G13" i="90"/>
  <c r="J12" i="90"/>
  <c r="G12" i="90"/>
  <c r="J11" i="90"/>
  <c r="G11" i="90"/>
  <c r="J10" i="90"/>
  <c r="G10" i="90"/>
  <c r="G8" i="90"/>
  <c r="G7" i="90"/>
  <c r="J6" i="90"/>
  <c r="G6" i="90"/>
  <c r="J75" i="89"/>
  <c r="J74" i="89"/>
  <c r="J73" i="89"/>
  <c r="J72" i="89"/>
  <c r="J71" i="89"/>
  <c r="J70" i="89"/>
  <c r="J69" i="89"/>
  <c r="G68" i="89"/>
  <c r="G76" i="89" s="1"/>
  <c r="G65" i="89"/>
  <c r="G64" i="89"/>
  <c r="G66" i="89" s="1"/>
  <c r="P62" i="89"/>
  <c r="O62" i="89"/>
  <c r="Q61" i="89"/>
  <c r="Q60" i="89"/>
  <c r="J59" i="89"/>
  <c r="G59" i="89"/>
  <c r="J58" i="89"/>
  <c r="G58" i="89"/>
  <c r="J57" i="89"/>
  <c r="G57" i="89"/>
  <c r="J56" i="89"/>
  <c r="G56" i="89"/>
  <c r="P53" i="89"/>
  <c r="O53" i="89"/>
  <c r="G52" i="89"/>
  <c r="G51" i="89"/>
  <c r="G50" i="89"/>
  <c r="G49" i="89"/>
  <c r="G48" i="89"/>
  <c r="M33" i="89"/>
  <c r="G32" i="89"/>
  <c r="M31" i="89"/>
  <c r="M30" i="89"/>
  <c r="G29" i="89"/>
  <c r="P27" i="89"/>
  <c r="P54" i="89" s="1"/>
  <c r="O27" i="89"/>
  <c r="O54" i="89" s="1"/>
  <c r="J26" i="89"/>
  <c r="G26" i="89"/>
  <c r="J25" i="89"/>
  <c r="G25" i="89"/>
  <c r="J24" i="89"/>
  <c r="G24" i="89"/>
  <c r="J23" i="89"/>
  <c r="G23" i="89"/>
  <c r="J22" i="89"/>
  <c r="G22" i="89"/>
  <c r="J21" i="89"/>
  <c r="G21" i="89"/>
  <c r="J20" i="89"/>
  <c r="G20" i="89"/>
  <c r="J19" i="89"/>
  <c r="G19" i="89"/>
  <c r="J18" i="89"/>
  <c r="G18" i="89"/>
  <c r="J17" i="89"/>
  <c r="G17" i="89"/>
  <c r="J16" i="89"/>
  <c r="G16" i="89"/>
  <c r="J15" i="89"/>
  <c r="G15" i="89"/>
  <c r="J14" i="89"/>
  <c r="G14" i="89"/>
  <c r="J13" i="89"/>
  <c r="G13" i="89"/>
  <c r="J12" i="89"/>
  <c r="G12" i="89"/>
  <c r="J11" i="89"/>
  <c r="G11" i="89"/>
  <c r="J10" i="89"/>
  <c r="G10" i="89"/>
  <c r="G8" i="89"/>
  <c r="G7" i="89"/>
  <c r="J6" i="89"/>
  <c r="G6" i="89"/>
  <c r="J75" i="88"/>
  <c r="J74" i="88"/>
  <c r="J73" i="88"/>
  <c r="J72" i="88"/>
  <c r="J71" i="88"/>
  <c r="J70" i="88"/>
  <c r="J69" i="88"/>
  <c r="G69" i="88"/>
  <c r="G68" i="88"/>
  <c r="G76" i="88" s="1"/>
  <c r="G65" i="88"/>
  <c r="G64" i="88"/>
  <c r="G66" i="88" s="1"/>
  <c r="P62" i="88"/>
  <c r="O62" i="88"/>
  <c r="Q61" i="88"/>
  <c r="Q60" i="88"/>
  <c r="J59" i="88"/>
  <c r="G59" i="88"/>
  <c r="J58" i="88"/>
  <c r="G58" i="88"/>
  <c r="J57" i="88"/>
  <c r="G57" i="88"/>
  <c r="J56" i="88"/>
  <c r="G56" i="88"/>
  <c r="P53" i="88"/>
  <c r="O53" i="88"/>
  <c r="G52" i="88"/>
  <c r="G51" i="88"/>
  <c r="G50" i="88"/>
  <c r="G49" i="88"/>
  <c r="G48" i="88"/>
  <c r="M33" i="88"/>
  <c r="G32" i="88"/>
  <c r="M31" i="88"/>
  <c r="M30" i="88"/>
  <c r="G29" i="88"/>
  <c r="P27" i="88"/>
  <c r="P54" i="88" s="1"/>
  <c r="O27" i="88"/>
  <c r="O54" i="88" s="1"/>
  <c r="J26" i="88"/>
  <c r="G26" i="88"/>
  <c r="J25" i="88"/>
  <c r="G25" i="88"/>
  <c r="J24" i="88"/>
  <c r="G24" i="88"/>
  <c r="J23" i="88"/>
  <c r="G23" i="88"/>
  <c r="J22" i="88"/>
  <c r="G22" i="88"/>
  <c r="J21" i="88"/>
  <c r="G21" i="88"/>
  <c r="J20" i="88"/>
  <c r="G20" i="88"/>
  <c r="J19" i="88"/>
  <c r="G19" i="88"/>
  <c r="J18" i="88"/>
  <c r="G18" i="88"/>
  <c r="J17" i="88"/>
  <c r="G17" i="88"/>
  <c r="J16" i="88"/>
  <c r="G16" i="88"/>
  <c r="J15" i="88"/>
  <c r="G15" i="88"/>
  <c r="J14" i="88"/>
  <c r="G14" i="88"/>
  <c r="J13" i="88"/>
  <c r="G13" i="88"/>
  <c r="J12" i="88"/>
  <c r="G12" i="88"/>
  <c r="J11" i="88"/>
  <c r="G11" i="88"/>
  <c r="J10" i="88"/>
  <c r="G10" i="88"/>
  <c r="G8" i="88"/>
  <c r="G7" i="88"/>
  <c r="J6" i="88"/>
  <c r="G6" i="88"/>
  <c r="J75" i="87"/>
  <c r="J74" i="87"/>
  <c r="J73" i="87"/>
  <c r="J72" i="87"/>
  <c r="J71" i="87"/>
  <c r="J70" i="87"/>
  <c r="J69" i="87"/>
  <c r="G69" i="87"/>
  <c r="G68" i="87"/>
  <c r="G76" i="87" s="1"/>
  <c r="G65" i="87"/>
  <c r="G64" i="87"/>
  <c r="P62" i="87"/>
  <c r="O62" i="87"/>
  <c r="N62" i="87"/>
  <c r="Q61" i="87"/>
  <c r="Q60" i="87"/>
  <c r="J59" i="87"/>
  <c r="G59" i="87"/>
  <c r="J58" i="87"/>
  <c r="G58" i="87"/>
  <c r="J57" i="87"/>
  <c r="G57" i="87"/>
  <c r="J56" i="87"/>
  <c r="G56" i="87"/>
  <c r="P53" i="87"/>
  <c r="O53" i="87"/>
  <c r="N53" i="87"/>
  <c r="G52" i="87"/>
  <c r="G51" i="87"/>
  <c r="G50" i="87"/>
  <c r="G49" i="87"/>
  <c r="G48" i="87"/>
  <c r="M33" i="87"/>
  <c r="G32" i="87"/>
  <c r="M31" i="87"/>
  <c r="M30" i="87"/>
  <c r="G29" i="87"/>
  <c r="P27" i="87"/>
  <c r="P54" i="87" s="1"/>
  <c r="O27" i="87"/>
  <c r="O54" i="87" s="1"/>
  <c r="N27" i="87"/>
  <c r="J26" i="87"/>
  <c r="G26" i="87"/>
  <c r="J25" i="87"/>
  <c r="G25" i="87"/>
  <c r="J24" i="87"/>
  <c r="G24" i="87"/>
  <c r="J23" i="87"/>
  <c r="G23" i="87"/>
  <c r="J22" i="87"/>
  <c r="G22" i="87"/>
  <c r="J21" i="87"/>
  <c r="G21" i="87"/>
  <c r="J20" i="87"/>
  <c r="G20" i="87"/>
  <c r="J19" i="87"/>
  <c r="G19" i="87"/>
  <c r="J18" i="87"/>
  <c r="G18" i="87"/>
  <c r="J17" i="87"/>
  <c r="G17" i="87"/>
  <c r="J16" i="87"/>
  <c r="G16" i="87"/>
  <c r="J15" i="87"/>
  <c r="G15" i="87"/>
  <c r="J14" i="87"/>
  <c r="G14" i="87"/>
  <c r="J13" i="87"/>
  <c r="G13" i="87"/>
  <c r="J12" i="87"/>
  <c r="G12" i="87"/>
  <c r="J11" i="87"/>
  <c r="G11" i="87"/>
  <c r="J10" i="87"/>
  <c r="G10" i="87"/>
  <c r="G8" i="87"/>
  <c r="G7" i="87"/>
  <c r="J6" i="87"/>
  <c r="G6" i="87"/>
  <c r="J75" i="86"/>
  <c r="J74" i="86"/>
  <c r="J73" i="86"/>
  <c r="J72" i="86"/>
  <c r="J71" i="86"/>
  <c r="J70" i="86"/>
  <c r="J69" i="86"/>
  <c r="G69" i="86"/>
  <c r="G68" i="86"/>
  <c r="G65" i="86"/>
  <c r="G64" i="86"/>
  <c r="G66" i="86" s="1"/>
  <c r="P62" i="86"/>
  <c r="O62" i="86"/>
  <c r="N62" i="86"/>
  <c r="Q61" i="86"/>
  <c r="Q60" i="86"/>
  <c r="J59" i="86"/>
  <c r="G59" i="86"/>
  <c r="J58" i="86"/>
  <c r="G58" i="86"/>
  <c r="J57" i="86"/>
  <c r="G57" i="86"/>
  <c r="J56" i="86"/>
  <c r="G56" i="86"/>
  <c r="P53" i="86"/>
  <c r="O53" i="86"/>
  <c r="N53" i="86"/>
  <c r="G52" i="86"/>
  <c r="G51" i="86"/>
  <c r="G50" i="86"/>
  <c r="G49" i="86"/>
  <c r="G48" i="86"/>
  <c r="M33" i="86"/>
  <c r="G32" i="86"/>
  <c r="M31" i="86"/>
  <c r="M30" i="86"/>
  <c r="G29" i="86"/>
  <c r="P27" i="86"/>
  <c r="P54" i="86" s="1"/>
  <c r="O27" i="86"/>
  <c r="N27" i="86"/>
  <c r="J26" i="86"/>
  <c r="G26" i="86"/>
  <c r="J25" i="86"/>
  <c r="G25" i="86"/>
  <c r="J24" i="86"/>
  <c r="G24" i="86"/>
  <c r="J23" i="86"/>
  <c r="G23" i="86"/>
  <c r="J22" i="86"/>
  <c r="G22" i="86"/>
  <c r="J21" i="86"/>
  <c r="G21" i="86"/>
  <c r="J20" i="86"/>
  <c r="G20" i="86"/>
  <c r="J19" i="86"/>
  <c r="G19" i="86"/>
  <c r="J18" i="86"/>
  <c r="G18" i="86"/>
  <c r="J17" i="86"/>
  <c r="G17" i="86"/>
  <c r="J16" i="86"/>
  <c r="G16" i="86"/>
  <c r="J15" i="86"/>
  <c r="G15" i="86"/>
  <c r="J14" i="86"/>
  <c r="G14" i="86"/>
  <c r="J13" i="86"/>
  <c r="G13" i="86"/>
  <c r="J12" i="86"/>
  <c r="G12" i="86"/>
  <c r="J11" i="86"/>
  <c r="G11" i="86"/>
  <c r="J10" i="86"/>
  <c r="G10" i="86"/>
  <c r="G8" i="86"/>
  <c r="G7" i="86"/>
  <c r="J6" i="86"/>
  <c r="G6" i="86"/>
  <c r="J75" i="85"/>
  <c r="J74" i="85"/>
  <c r="J73" i="85"/>
  <c r="J72" i="85"/>
  <c r="J71" i="85"/>
  <c r="J70" i="85"/>
  <c r="J69" i="85"/>
  <c r="G69" i="85"/>
  <c r="G68" i="85"/>
  <c r="G76" i="85" s="1"/>
  <c r="G65" i="85"/>
  <c r="G64" i="85"/>
  <c r="P62" i="85"/>
  <c r="O62" i="85"/>
  <c r="Q61" i="85"/>
  <c r="Q60" i="85"/>
  <c r="J59" i="85"/>
  <c r="G59" i="85"/>
  <c r="J58" i="85"/>
  <c r="G58" i="85"/>
  <c r="J57" i="85"/>
  <c r="G57" i="85"/>
  <c r="J56" i="85"/>
  <c r="G56" i="85"/>
  <c r="P53" i="85"/>
  <c r="O53" i="85"/>
  <c r="G52" i="85"/>
  <c r="G51" i="85"/>
  <c r="G50" i="85"/>
  <c r="F50" i="85"/>
  <c r="G49" i="85"/>
  <c r="G48" i="85"/>
  <c r="M33" i="85"/>
  <c r="G32" i="85"/>
  <c r="M31" i="85"/>
  <c r="M30" i="85"/>
  <c r="G29" i="85"/>
  <c r="P27" i="85"/>
  <c r="P54" i="85" s="1"/>
  <c r="O27" i="85"/>
  <c r="O54" i="85" s="1"/>
  <c r="J26" i="85"/>
  <c r="G26" i="85"/>
  <c r="J25" i="85"/>
  <c r="G25" i="85"/>
  <c r="J24" i="85"/>
  <c r="G24" i="85"/>
  <c r="J23" i="85"/>
  <c r="G23" i="85"/>
  <c r="J22" i="85"/>
  <c r="G22" i="85"/>
  <c r="J21" i="85"/>
  <c r="G21" i="85"/>
  <c r="J20" i="85"/>
  <c r="G20" i="85"/>
  <c r="J19" i="85"/>
  <c r="G19" i="85"/>
  <c r="J18" i="85"/>
  <c r="G18" i="85"/>
  <c r="J17" i="85"/>
  <c r="G17" i="85"/>
  <c r="J16" i="85"/>
  <c r="G16" i="85"/>
  <c r="J15" i="85"/>
  <c r="G15" i="85"/>
  <c r="J14" i="85"/>
  <c r="G14" i="85"/>
  <c r="J13" i="85"/>
  <c r="G13" i="85"/>
  <c r="J12" i="85"/>
  <c r="G12" i="85"/>
  <c r="J11" i="85"/>
  <c r="G11" i="85"/>
  <c r="J10" i="85"/>
  <c r="G10" i="85"/>
  <c r="G8" i="85"/>
  <c r="G7" i="85"/>
  <c r="J6" i="85"/>
  <c r="G6" i="85"/>
  <c r="J75" i="84"/>
  <c r="J74" i="84"/>
  <c r="J73" i="84"/>
  <c r="J72" i="84"/>
  <c r="J71" i="84"/>
  <c r="J70" i="84"/>
  <c r="J69" i="84"/>
  <c r="G69" i="84"/>
  <c r="G68" i="84"/>
  <c r="G76" i="84" s="1"/>
  <c r="G65" i="84"/>
  <c r="G64" i="84"/>
  <c r="P62" i="84"/>
  <c r="O62" i="84"/>
  <c r="Q61" i="84"/>
  <c r="Q60" i="84"/>
  <c r="J59" i="84"/>
  <c r="G59" i="84"/>
  <c r="J58" i="84"/>
  <c r="G58" i="84"/>
  <c r="J57" i="84"/>
  <c r="G57" i="84"/>
  <c r="J56" i="84"/>
  <c r="G56" i="84"/>
  <c r="P53" i="84"/>
  <c r="O53" i="84"/>
  <c r="N53" i="84"/>
  <c r="G52" i="84"/>
  <c r="G51" i="84"/>
  <c r="G50" i="84"/>
  <c r="G49" i="84"/>
  <c r="G48" i="84"/>
  <c r="M33" i="84"/>
  <c r="G32" i="84"/>
  <c r="M31" i="84"/>
  <c r="M30" i="84"/>
  <c r="G29" i="84"/>
  <c r="P27" i="84"/>
  <c r="O27" i="84"/>
  <c r="O54" i="84" s="1"/>
  <c r="N27" i="84"/>
  <c r="J26" i="84"/>
  <c r="G26" i="84"/>
  <c r="J25" i="84"/>
  <c r="G25" i="84"/>
  <c r="J24" i="84"/>
  <c r="G24" i="84"/>
  <c r="J23" i="84"/>
  <c r="G23" i="84"/>
  <c r="J22" i="84"/>
  <c r="G22" i="84"/>
  <c r="J21" i="84"/>
  <c r="G21" i="84"/>
  <c r="J20" i="84"/>
  <c r="G20" i="84"/>
  <c r="J19" i="84"/>
  <c r="G19" i="84"/>
  <c r="J18" i="84"/>
  <c r="G18" i="84"/>
  <c r="J17" i="84"/>
  <c r="G17" i="84"/>
  <c r="J16" i="84"/>
  <c r="G16" i="84"/>
  <c r="J15" i="84"/>
  <c r="G15" i="84"/>
  <c r="J14" i="84"/>
  <c r="G14" i="84"/>
  <c r="J13" i="84"/>
  <c r="G13" i="84"/>
  <c r="J12" i="84"/>
  <c r="G12" i="84"/>
  <c r="J11" i="84"/>
  <c r="G11" i="84"/>
  <c r="J10" i="84"/>
  <c r="G10" i="84"/>
  <c r="G8" i="84"/>
  <c r="G7" i="84"/>
  <c r="J6" i="84"/>
  <c r="G6" i="84"/>
  <c r="J75" i="82"/>
  <c r="J74" i="82"/>
  <c r="J73" i="82"/>
  <c r="J72" i="82"/>
  <c r="J71" i="82"/>
  <c r="J70" i="82"/>
  <c r="J69" i="82"/>
  <c r="G69" i="82"/>
  <c r="G68" i="82"/>
  <c r="G65" i="82"/>
  <c r="G64" i="82"/>
  <c r="P62" i="82"/>
  <c r="O62" i="82"/>
  <c r="Q61" i="82"/>
  <c r="Q60" i="82"/>
  <c r="J59" i="82"/>
  <c r="G59" i="82"/>
  <c r="J58" i="82"/>
  <c r="G58" i="82"/>
  <c r="J57" i="82"/>
  <c r="G57" i="82"/>
  <c r="J56" i="82"/>
  <c r="G56" i="82"/>
  <c r="P53" i="82"/>
  <c r="O53" i="82"/>
  <c r="N53" i="82"/>
  <c r="G52" i="82"/>
  <c r="G51" i="82"/>
  <c r="G50" i="82"/>
  <c r="F50" i="82"/>
  <c r="G49" i="82"/>
  <c r="G48" i="82"/>
  <c r="I34" i="82"/>
  <c r="M33" i="82"/>
  <c r="G32" i="82"/>
  <c r="M31" i="82"/>
  <c r="M30" i="82"/>
  <c r="G29" i="82"/>
  <c r="P27" i="82"/>
  <c r="P54" i="82" s="1"/>
  <c r="O27" i="82"/>
  <c r="O54" i="82" s="1"/>
  <c r="N27" i="82"/>
  <c r="J26" i="82"/>
  <c r="G26" i="82"/>
  <c r="J25" i="82"/>
  <c r="G25" i="82"/>
  <c r="J24" i="82"/>
  <c r="G24" i="82"/>
  <c r="J23" i="82"/>
  <c r="G23" i="82"/>
  <c r="J22" i="82"/>
  <c r="G22" i="82"/>
  <c r="J21" i="82"/>
  <c r="G21" i="82"/>
  <c r="J20" i="82"/>
  <c r="G20" i="82"/>
  <c r="J19" i="82"/>
  <c r="G19" i="82"/>
  <c r="J18" i="82"/>
  <c r="G18" i="82"/>
  <c r="J17" i="82"/>
  <c r="G17" i="82"/>
  <c r="J16" i="82"/>
  <c r="G16" i="82"/>
  <c r="J15" i="82"/>
  <c r="G15" i="82"/>
  <c r="J14" i="82"/>
  <c r="G14" i="82"/>
  <c r="J13" i="82"/>
  <c r="G13" i="82"/>
  <c r="J12" i="82"/>
  <c r="G12" i="82"/>
  <c r="J11" i="82"/>
  <c r="G11" i="82"/>
  <c r="J10" i="82"/>
  <c r="G10" i="82"/>
  <c r="G8" i="82"/>
  <c r="G7" i="82"/>
  <c r="J6" i="82"/>
  <c r="G6" i="82"/>
  <c r="J75" i="81"/>
  <c r="J74" i="81"/>
  <c r="J73" i="81"/>
  <c r="J72" i="81"/>
  <c r="J71" i="81"/>
  <c r="J70" i="81"/>
  <c r="J69" i="81"/>
  <c r="G69" i="81"/>
  <c r="G68" i="81"/>
  <c r="G65" i="81"/>
  <c r="G64" i="81"/>
  <c r="P62" i="81"/>
  <c r="O62" i="81"/>
  <c r="Q61" i="81"/>
  <c r="I61" i="81"/>
  <c r="I61" i="82" s="1"/>
  <c r="I61" i="84" s="1"/>
  <c r="I61" i="85" s="1"/>
  <c r="I61" i="86" s="1"/>
  <c r="I61" i="87" s="1"/>
  <c r="I61" i="88" s="1"/>
  <c r="I61" i="89" s="1"/>
  <c r="I61" i="90" s="1"/>
  <c r="I61" i="91" s="1"/>
  <c r="I61" i="92" s="1"/>
  <c r="I61" i="93" s="1"/>
  <c r="I61" i="94" s="1"/>
  <c r="I61" i="95" s="1"/>
  <c r="I61" i="96" s="1"/>
  <c r="I61" i="97" s="1"/>
  <c r="I61" i="98" s="1"/>
  <c r="I61" i="99" s="1"/>
  <c r="I61" i="42" s="1"/>
  <c r="Q60" i="81"/>
  <c r="I60" i="81"/>
  <c r="I60" i="82" s="1"/>
  <c r="I60" i="84" s="1"/>
  <c r="I60" i="85" s="1"/>
  <c r="I60" i="86" s="1"/>
  <c r="I60" i="87" s="1"/>
  <c r="I60" i="88" s="1"/>
  <c r="I60" i="89" s="1"/>
  <c r="I60" i="90" s="1"/>
  <c r="I60" i="91" s="1"/>
  <c r="I60" i="92" s="1"/>
  <c r="I60" i="93" s="1"/>
  <c r="I60" i="94" s="1"/>
  <c r="I60" i="95" s="1"/>
  <c r="I60" i="96" s="1"/>
  <c r="I60" i="97" s="1"/>
  <c r="I60" i="98" s="1"/>
  <c r="I60" i="99" s="1"/>
  <c r="I60" i="42" s="1"/>
  <c r="I60" i="68" s="1"/>
  <c r="I60" i="69" s="1"/>
  <c r="I60" i="70" s="1"/>
  <c r="I60" i="72" s="1"/>
  <c r="I60" i="73" s="1"/>
  <c r="I60" i="74" s="1"/>
  <c r="I60" i="75" s="1"/>
  <c r="I60" i="76" s="1"/>
  <c r="I60" i="77" s="1"/>
  <c r="I60" i="78" s="1"/>
  <c r="I59" i="79" s="1"/>
  <c r="J59" i="81"/>
  <c r="G59" i="81"/>
  <c r="J58" i="81"/>
  <c r="G58" i="81"/>
  <c r="J57" i="81"/>
  <c r="G57" i="81"/>
  <c r="J56" i="81"/>
  <c r="G56" i="81"/>
  <c r="P53" i="81"/>
  <c r="O53" i="81"/>
  <c r="N53" i="81"/>
  <c r="G52" i="81"/>
  <c r="G51" i="81"/>
  <c r="G50" i="81"/>
  <c r="G49" i="81"/>
  <c r="G48" i="81"/>
  <c r="M33" i="81"/>
  <c r="I33" i="81"/>
  <c r="I33" i="82" s="1"/>
  <c r="I33" i="84" s="1"/>
  <c r="I33" i="85" s="1"/>
  <c r="I33" i="86" s="1"/>
  <c r="I33" i="87" s="1"/>
  <c r="I33" i="88" s="1"/>
  <c r="I33" i="89" s="1"/>
  <c r="I33" i="90" s="1"/>
  <c r="I33" i="91" s="1"/>
  <c r="I33" i="92" s="1"/>
  <c r="I33" i="93" s="1"/>
  <c r="I33" i="94" s="1"/>
  <c r="I33" i="95" s="1"/>
  <c r="I33" i="96" s="1"/>
  <c r="I33" i="97" s="1"/>
  <c r="I33" i="98" s="1"/>
  <c r="I33" i="99" s="1"/>
  <c r="I33" i="42" s="1"/>
  <c r="I33" i="68" s="1"/>
  <c r="I33" i="69" s="1"/>
  <c r="I33" i="70" s="1"/>
  <c r="I33" i="72" s="1"/>
  <c r="I33" i="73" s="1"/>
  <c r="I33" i="74" s="1"/>
  <c r="I33" i="75" s="1"/>
  <c r="I33" i="76" s="1"/>
  <c r="I33" i="77" s="1"/>
  <c r="I33" i="78" s="1"/>
  <c r="I32" i="79" s="1"/>
  <c r="G32" i="81"/>
  <c r="H32" i="81" s="1"/>
  <c r="M31" i="81"/>
  <c r="I31" i="81"/>
  <c r="I31" i="82" s="1"/>
  <c r="I31" i="84" s="1"/>
  <c r="I31" i="85" s="1"/>
  <c r="I31" i="86" s="1"/>
  <c r="I31" i="87" s="1"/>
  <c r="I31" i="88" s="1"/>
  <c r="I31" i="89" s="1"/>
  <c r="I31" i="90" s="1"/>
  <c r="I31" i="91" s="1"/>
  <c r="I31" i="92" s="1"/>
  <c r="I31" i="93" s="1"/>
  <c r="I31" i="94" s="1"/>
  <c r="I31" i="95" s="1"/>
  <c r="I31" i="96" s="1"/>
  <c r="I31" i="97" s="1"/>
  <c r="I31" i="98" s="1"/>
  <c r="I31" i="99" s="1"/>
  <c r="I31" i="42" s="1"/>
  <c r="I31" i="68" s="1"/>
  <c r="I31" i="69" s="1"/>
  <c r="I31" i="70" s="1"/>
  <c r="I31" i="72" s="1"/>
  <c r="I31" i="73" s="1"/>
  <c r="I31" i="74" s="1"/>
  <c r="I31" i="75" s="1"/>
  <c r="I31" i="76" s="1"/>
  <c r="I31" i="77" s="1"/>
  <c r="I31" i="78" s="1"/>
  <c r="I30" i="79" s="1"/>
  <c r="M30" i="81"/>
  <c r="I30" i="81"/>
  <c r="I30" i="82" s="1"/>
  <c r="I30" i="84" s="1"/>
  <c r="I30" i="85" s="1"/>
  <c r="I30" i="86" s="1"/>
  <c r="I30" i="87" s="1"/>
  <c r="I30" i="88" s="1"/>
  <c r="I30" i="89" s="1"/>
  <c r="I30" i="90" s="1"/>
  <c r="I30" i="91" s="1"/>
  <c r="I30" i="92" s="1"/>
  <c r="I30" i="93" s="1"/>
  <c r="I30" i="94" s="1"/>
  <c r="I30" i="95" s="1"/>
  <c r="I30" i="96" s="1"/>
  <c r="I30" i="97" s="1"/>
  <c r="I30" i="98" s="1"/>
  <c r="I30" i="99" s="1"/>
  <c r="I30" i="42" s="1"/>
  <c r="I30" i="68" s="1"/>
  <c r="I30" i="69" s="1"/>
  <c r="I30" i="70" s="1"/>
  <c r="I30" i="72" s="1"/>
  <c r="I30" i="73" s="1"/>
  <c r="I30" i="74" s="1"/>
  <c r="I30" i="75" s="1"/>
  <c r="I30" i="76" s="1"/>
  <c r="I30" i="77" s="1"/>
  <c r="I30" i="78" s="1"/>
  <c r="I29" i="79" s="1"/>
  <c r="G29" i="81"/>
  <c r="P27" i="81"/>
  <c r="P54" i="81" s="1"/>
  <c r="O27" i="81"/>
  <c r="N27" i="81"/>
  <c r="J26" i="81"/>
  <c r="G26" i="81"/>
  <c r="J25" i="81"/>
  <c r="G25" i="81"/>
  <c r="J24" i="81"/>
  <c r="G24" i="81"/>
  <c r="J23" i="81"/>
  <c r="G23" i="81"/>
  <c r="J22" i="81"/>
  <c r="G22" i="81"/>
  <c r="J21" i="81"/>
  <c r="G21" i="81"/>
  <c r="J20" i="81"/>
  <c r="G20" i="81"/>
  <c r="J19" i="81"/>
  <c r="G19" i="81"/>
  <c r="J18" i="81"/>
  <c r="G18" i="81"/>
  <c r="J17" i="81"/>
  <c r="G17" i="81"/>
  <c r="J16" i="81"/>
  <c r="G16" i="81"/>
  <c r="J15" i="81"/>
  <c r="G15" i="81"/>
  <c r="J14" i="81"/>
  <c r="G14" i="81"/>
  <c r="J13" i="81"/>
  <c r="G13" i="81"/>
  <c r="J12" i="81"/>
  <c r="G12" i="81"/>
  <c r="J11" i="81"/>
  <c r="G11" i="81"/>
  <c r="J10" i="81"/>
  <c r="G10" i="81"/>
  <c r="G8" i="81"/>
  <c r="G7" i="81"/>
  <c r="J6" i="81"/>
  <c r="G6" i="81"/>
  <c r="J75" i="80"/>
  <c r="L75" i="80" s="1"/>
  <c r="I75" i="80"/>
  <c r="I75" i="81" s="1"/>
  <c r="I75" i="82" s="1"/>
  <c r="I75" i="84" s="1"/>
  <c r="I75" i="85" s="1"/>
  <c r="I75" i="86" s="1"/>
  <c r="I75" i="87" s="1"/>
  <c r="I75" i="88" s="1"/>
  <c r="I75" i="89" s="1"/>
  <c r="I75" i="90" s="1"/>
  <c r="I75" i="91" s="1"/>
  <c r="I75" i="92" s="1"/>
  <c r="I75" i="93" s="1"/>
  <c r="I75" i="94" s="1"/>
  <c r="I75" i="95" s="1"/>
  <c r="I75" i="96" s="1"/>
  <c r="I75" i="97" s="1"/>
  <c r="I75" i="98" s="1"/>
  <c r="I75" i="99" s="1"/>
  <c r="H75" i="80"/>
  <c r="H75" i="81" s="1"/>
  <c r="H75" i="82" s="1"/>
  <c r="H75" i="84" s="1"/>
  <c r="H75" i="85" s="1"/>
  <c r="H75" i="86" s="1"/>
  <c r="H75" i="87" s="1"/>
  <c r="H75" i="88" s="1"/>
  <c r="H75" i="89" s="1"/>
  <c r="H75" i="90" s="1"/>
  <c r="H75" i="91" s="1"/>
  <c r="H75" i="92" s="1"/>
  <c r="H75" i="93" s="1"/>
  <c r="H75" i="94" s="1"/>
  <c r="H75" i="95" s="1"/>
  <c r="H75" i="96" s="1"/>
  <c r="H75" i="97" s="1"/>
  <c r="H75" i="98" s="1"/>
  <c r="H75" i="99" s="1"/>
  <c r="J74" i="80"/>
  <c r="L74" i="80" s="1"/>
  <c r="I74" i="80"/>
  <c r="I74" i="81" s="1"/>
  <c r="I74" i="82" s="1"/>
  <c r="I74" i="84" s="1"/>
  <c r="I74" i="85" s="1"/>
  <c r="I74" i="86" s="1"/>
  <c r="I74" i="87" s="1"/>
  <c r="I74" i="88" s="1"/>
  <c r="I74" i="89" s="1"/>
  <c r="I74" i="90" s="1"/>
  <c r="I74" i="91" s="1"/>
  <c r="I74" i="92" s="1"/>
  <c r="I74" i="93" s="1"/>
  <c r="I74" i="94" s="1"/>
  <c r="I74" i="95" s="1"/>
  <c r="I74" i="96" s="1"/>
  <c r="I74" i="97" s="1"/>
  <c r="I74" i="98" s="1"/>
  <c r="I74" i="99" s="1"/>
  <c r="H74" i="80"/>
  <c r="H74" i="81" s="1"/>
  <c r="H74" i="82" s="1"/>
  <c r="H74" i="84" s="1"/>
  <c r="H74" i="85" s="1"/>
  <c r="H74" i="86" s="1"/>
  <c r="H74" i="87" s="1"/>
  <c r="H74" i="88" s="1"/>
  <c r="H74" i="89" s="1"/>
  <c r="H74" i="90" s="1"/>
  <c r="H74" i="91" s="1"/>
  <c r="H74" i="92" s="1"/>
  <c r="H74" i="93" s="1"/>
  <c r="H74" i="94" s="1"/>
  <c r="H74" i="95" s="1"/>
  <c r="H74" i="96" s="1"/>
  <c r="H74" i="97" s="1"/>
  <c r="H74" i="98" s="1"/>
  <c r="H74" i="99" s="1"/>
  <c r="J73" i="80"/>
  <c r="I73" i="80"/>
  <c r="I73" i="81" s="1"/>
  <c r="I73" i="82" s="1"/>
  <c r="I73" i="84" s="1"/>
  <c r="I73" i="85" s="1"/>
  <c r="I73" i="86" s="1"/>
  <c r="I73" i="87" s="1"/>
  <c r="I73" i="88" s="1"/>
  <c r="I73" i="89" s="1"/>
  <c r="I73" i="90" s="1"/>
  <c r="I73" i="91" s="1"/>
  <c r="I73" i="92" s="1"/>
  <c r="I73" i="93" s="1"/>
  <c r="I73" i="94" s="1"/>
  <c r="I73" i="95" s="1"/>
  <c r="I73" i="96" s="1"/>
  <c r="I73" i="97" s="1"/>
  <c r="I73" i="98" s="1"/>
  <c r="I73" i="99" s="1"/>
  <c r="H73" i="80"/>
  <c r="H73" i="81" s="1"/>
  <c r="H73" i="82" s="1"/>
  <c r="H73" i="84" s="1"/>
  <c r="H73" i="85" s="1"/>
  <c r="H73" i="86" s="1"/>
  <c r="H73" i="87" s="1"/>
  <c r="H73" i="88" s="1"/>
  <c r="H73" i="89" s="1"/>
  <c r="H73" i="90" s="1"/>
  <c r="H73" i="91" s="1"/>
  <c r="H73" i="92" s="1"/>
  <c r="H73" i="93" s="1"/>
  <c r="H73" i="94" s="1"/>
  <c r="H73" i="95" s="1"/>
  <c r="H73" i="96" s="1"/>
  <c r="H73" i="97" s="1"/>
  <c r="H73" i="98" s="1"/>
  <c r="H73" i="99" s="1"/>
  <c r="J72" i="80"/>
  <c r="K72" i="80" s="1"/>
  <c r="I72" i="80"/>
  <c r="I72" i="81" s="1"/>
  <c r="I72" i="82" s="1"/>
  <c r="I72" i="84" s="1"/>
  <c r="I72" i="85" s="1"/>
  <c r="I72" i="86" s="1"/>
  <c r="I72" i="87" s="1"/>
  <c r="I72" i="88" s="1"/>
  <c r="I72" i="89" s="1"/>
  <c r="I72" i="90" s="1"/>
  <c r="I72" i="91" s="1"/>
  <c r="I72" i="92" s="1"/>
  <c r="I72" i="93" s="1"/>
  <c r="I72" i="94" s="1"/>
  <c r="I72" i="95" s="1"/>
  <c r="I72" i="96" s="1"/>
  <c r="I72" i="97" s="1"/>
  <c r="I72" i="98" s="1"/>
  <c r="I72" i="99" s="1"/>
  <c r="H72" i="80"/>
  <c r="H72" i="81" s="1"/>
  <c r="H72" i="82" s="1"/>
  <c r="H72" i="84" s="1"/>
  <c r="H72" i="85" s="1"/>
  <c r="H72" i="86" s="1"/>
  <c r="H72" i="87" s="1"/>
  <c r="H72" i="88" s="1"/>
  <c r="H72" i="89" s="1"/>
  <c r="H72" i="90" s="1"/>
  <c r="H72" i="91" s="1"/>
  <c r="H72" i="92" s="1"/>
  <c r="H72" i="93" s="1"/>
  <c r="H72" i="94" s="1"/>
  <c r="H72" i="95" s="1"/>
  <c r="H72" i="96" s="1"/>
  <c r="H72" i="97" s="1"/>
  <c r="H72" i="98" s="1"/>
  <c r="H72" i="99" s="1"/>
  <c r="J71" i="80"/>
  <c r="L71" i="80" s="1"/>
  <c r="I71" i="80"/>
  <c r="I71" i="81" s="1"/>
  <c r="I71" i="82" s="1"/>
  <c r="I71" i="84" s="1"/>
  <c r="I71" i="85" s="1"/>
  <c r="I71" i="86" s="1"/>
  <c r="I71" i="87" s="1"/>
  <c r="I71" i="88" s="1"/>
  <c r="I71" i="89" s="1"/>
  <c r="I71" i="90" s="1"/>
  <c r="I71" i="91" s="1"/>
  <c r="I71" i="92" s="1"/>
  <c r="I71" i="93" s="1"/>
  <c r="I71" i="94" s="1"/>
  <c r="I71" i="95" s="1"/>
  <c r="I71" i="96" s="1"/>
  <c r="I71" i="97" s="1"/>
  <c r="I71" i="98" s="1"/>
  <c r="I71" i="99" s="1"/>
  <c r="H71" i="80"/>
  <c r="H71" i="81" s="1"/>
  <c r="H71" i="82" s="1"/>
  <c r="H71" i="84" s="1"/>
  <c r="H71" i="85" s="1"/>
  <c r="H71" i="86" s="1"/>
  <c r="H71" i="87" s="1"/>
  <c r="H71" i="88" s="1"/>
  <c r="H71" i="89" s="1"/>
  <c r="H71" i="90" s="1"/>
  <c r="H71" i="91" s="1"/>
  <c r="H71" i="92" s="1"/>
  <c r="H71" i="93" s="1"/>
  <c r="H71" i="94" s="1"/>
  <c r="H71" i="95" s="1"/>
  <c r="H71" i="96" s="1"/>
  <c r="H71" i="97" s="1"/>
  <c r="H71" i="98" s="1"/>
  <c r="H71" i="99" s="1"/>
  <c r="J70" i="80"/>
  <c r="I70" i="80"/>
  <c r="I70" i="81" s="1"/>
  <c r="I70" i="82" s="1"/>
  <c r="I70" i="84" s="1"/>
  <c r="I70" i="85" s="1"/>
  <c r="I70" i="86" s="1"/>
  <c r="I70" i="87" s="1"/>
  <c r="I70" i="88" s="1"/>
  <c r="I70" i="89" s="1"/>
  <c r="I70" i="90" s="1"/>
  <c r="I70" i="91" s="1"/>
  <c r="I70" i="92" s="1"/>
  <c r="I70" i="93" s="1"/>
  <c r="I70" i="94" s="1"/>
  <c r="I70" i="95" s="1"/>
  <c r="I70" i="96" s="1"/>
  <c r="I70" i="97" s="1"/>
  <c r="I70" i="98" s="1"/>
  <c r="I70" i="99" s="1"/>
  <c r="H70" i="80"/>
  <c r="H70" i="81" s="1"/>
  <c r="H70" i="82" s="1"/>
  <c r="H70" i="84" s="1"/>
  <c r="H70" i="85" s="1"/>
  <c r="H70" i="86" s="1"/>
  <c r="H70" i="87" s="1"/>
  <c r="H70" i="88" s="1"/>
  <c r="H70" i="89" s="1"/>
  <c r="H70" i="90" s="1"/>
  <c r="H70" i="91" s="1"/>
  <c r="H70" i="92" s="1"/>
  <c r="H70" i="93" s="1"/>
  <c r="H70" i="94" s="1"/>
  <c r="H70" i="95" s="1"/>
  <c r="H70" i="96" s="1"/>
  <c r="H70" i="97" s="1"/>
  <c r="H70" i="98" s="1"/>
  <c r="H70" i="99" s="1"/>
  <c r="J69" i="80"/>
  <c r="L69" i="80" s="1"/>
  <c r="G69" i="80"/>
  <c r="I69" i="80" s="1"/>
  <c r="I69" i="81" s="1"/>
  <c r="I69" i="82" s="1"/>
  <c r="I69" i="84" s="1"/>
  <c r="I69" i="85" s="1"/>
  <c r="I69" i="86" s="1"/>
  <c r="I69" i="87" s="1"/>
  <c r="I69" i="88" s="1"/>
  <c r="I69" i="89" s="1"/>
  <c r="I69" i="90" s="1"/>
  <c r="I69" i="91" s="1"/>
  <c r="I69" i="92" s="1"/>
  <c r="I69" i="93" s="1"/>
  <c r="I69" i="94" s="1"/>
  <c r="I69" i="95" s="1"/>
  <c r="I69" i="96" s="1"/>
  <c r="I69" i="97" s="1"/>
  <c r="I69" i="98" s="1"/>
  <c r="I69" i="99" s="1"/>
  <c r="I69" i="42" s="1"/>
  <c r="I69" i="68" s="1"/>
  <c r="I69" i="69" s="1"/>
  <c r="I69" i="70" s="1"/>
  <c r="I69" i="72" s="1"/>
  <c r="I69" i="73" s="1"/>
  <c r="I69" i="74" s="1"/>
  <c r="I69" i="75" s="1"/>
  <c r="I69" i="76" s="1"/>
  <c r="I69" i="77" s="1"/>
  <c r="I69" i="78" s="1"/>
  <c r="I68" i="79" s="1"/>
  <c r="F69" i="80"/>
  <c r="K68" i="80"/>
  <c r="K68" i="81" s="1"/>
  <c r="K68" i="82" s="1"/>
  <c r="K68" i="84" s="1"/>
  <c r="K68" i="85" s="1"/>
  <c r="K68" i="86" s="1"/>
  <c r="K68" i="87" s="1"/>
  <c r="K68" i="88" s="1"/>
  <c r="K68" i="89" s="1"/>
  <c r="K68" i="90" s="1"/>
  <c r="K68" i="91" s="1"/>
  <c r="K68" i="92" s="1"/>
  <c r="K68" i="93" s="1"/>
  <c r="K68" i="94" s="1"/>
  <c r="K68" i="95" s="1"/>
  <c r="K68" i="96" s="1"/>
  <c r="K68" i="97" s="1"/>
  <c r="K68" i="98" s="1"/>
  <c r="K68" i="99" s="1"/>
  <c r="G68" i="80"/>
  <c r="I68" i="80" s="1"/>
  <c r="F68" i="80"/>
  <c r="G65" i="80"/>
  <c r="I65" i="80" s="1"/>
  <c r="I65" i="81" s="1"/>
  <c r="I65" i="82" s="1"/>
  <c r="I65" i="84" s="1"/>
  <c r="I65" i="85" s="1"/>
  <c r="I65" i="86" s="1"/>
  <c r="I65" i="87" s="1"/>
  <c r="I65" i="88" s="1"/>
  <c r="I65" i="89" s="1"/>
  <c r="I65" i="90" s="1"/>
  <c r="I65" i="91" s="1"/>
  <c r="I65" i="92" s="1"/>
  <c r="I65" i="93" s="1"/>
  <c r="I65" i="94" s="1"/>
  <c r="I65" i="95" s="1"/>
  <c r="I65" i="96" s="1"/>
  <c r="I65" i="97" s="1"/>
  <c r="I65" i="98" s="1"/>
  <c r="I65" i="99" s="1"/>
  <c r="I65" i="42" s="1"/>
  <c r="I65" i="68" s="1"/>
  <c r="I65" i="69" s="1"/>
  <c r="I65" i="70" s="1"/>
  <c r="I65" i="72" s="1"/>
  <c r="I65" i="73" s="1"/>
  <c r="I65" i="74" s="1"/>
  <c r="I65" i="75" s="1"/>
  <c r="I65" i="76" s="1"/>
  <c r="I65" i="77" s="1"/>
  <c r="I65" i="78" s="1"/>
  <c r="I64" i="79" s="1"/>
  <c r="F65" i="80"/>
  <c r="G64" i="80"/>
  <c r="F64" i="80"/>
  <c r="P62" i="80"/>
  <c r="O62" i="80"/>
  <c r="Q61" i="80"/>
  <c r="L61" i="80"/>
  <c r="L61" i="81" s="1"/>
  <c r="L61" i="82" s="1"/>
  <c r="L61" i="84" s="1"/>
  <c r="L61" i="85" s="1"/>
  <c r="L61" i="86" s="1"/>
  <c r="L61" i="87" s="1"/>
  <c r="L61" i="88" s="1"/>
  <c r="L61" i="89" s="1"/>
  <c r="L61" i="90" s="1"/>
  <c r="L61" i="91" s="1"/>
  <c r="L61" i="92" s="1"/>
  <c r="L61" i="93" s="1"/>
  <c r="L61" i="94" s="1"/>
  <c r="L61" i="95" s="1"/>
  <c r="L61" i="96" s="1"/>
  <c r="L61" i="97" s="1"/>
  <c r="L61" i="98" s="1"/>
  <c r="L61" i="99" s="1"/>
  <c r="L61" i="42" s="1"/>
  <c r="K61" i="80"/>
  <c r="K61" i="81" s="1"/>
  <c r="K61" i="82" s="1"/>
  <c r="K61" i="84" s="1"/>
  <c r="K61" i="85" s="1"/>
  <c r="K61" i="86" s="1"/>
  <c r="K61" i="87" s="1"/>
  <c r="K61" i="88" s="1"/>
  <c r="K61" i="89" s="1"/>
  <c r="K61" i="90" s="1"/>
  <c r="K61" i="91" s="1"/>
  <c r="K61" i="92" s="1"/>
  <c r="K61" i="93" s="1"/>
  <c r="K61" i="94" s="1"/>
  <c r="K61" i="95" s="1"/>
  <c r="K61" i="96" s="1"/>
  <c r="K61" i="97" s="1"/>
  <c r="K61" i="98" s="1"/>
  <c r="K61" i="99" s="1"/>
  <c r="K61" i="42" s="1"/>
  <c r="H61" i="80"/>
  <c r="H61" i="81" s="1"/>
  <c r="H61" i="82" s="1"/>
  <c r="H61" i="84" s="1"/>
  <c r="H61" i="85" s="1"/>
  <c r="H61" i="86" s="1"/>
  <c r="H61" i="87" s="1"/>
  <c r="H61" i="88" s="1"/>
  <c r="H61" i="89" s="1"/>
  <c r="H61" i="90" s="1"/>
  <c r="H61" i="91" s="1"/>
  <c r="H61" i="92" s="1"/>
  <c r="H61" i="93" s="1"/>
  <c r="H61" i="94" s="1"/>
  <c r="H61" i="95" s="1"/>
  <c r="H61" i="96" s="1"/>
  <c r="H61" i="97" s="1"/>
  <c r="H61" i="98" s="1"/>
  <c r="H61" i="99" s="1"/>
  <c r="H61" i="42" s="1"/>
  <c r="Q60" i="80"/>
  <c r="K60" i="80"/>
  <c r="K60" i="81" s="1"/>
  <c r="K60" i="82" s="1"/>
  <c r="K60" i="84" s="1"/>
  <c r="K60" i="85" s="1"/>
  <c r="K60" i="86" s="1"/>
  <c r="K60" i="87" s="1"/>
  <c r="K60" i="88" s="1"/>
  <c r="K60" i="89" s="1"/>
  <c r="K60" i="90" s="1"/>
  <c r="K60" i="91" s="1"/>
  <c r="K60" i="92" s="1"/>
  <c r="K60" i="93" s="1"/>
  <c r="K60" i="94" s="1"/>
  <c r="K60" i="95" s="1"/>
  <c r="K60" i="96" s="1"/>
  <c r="K60" i="97" s="1"/>
  <c r="K60" i="98" s="1"/>
  <c r="K60" i="99" s="1"/>
  <c r="K60" i="42" s="1"/>
  <c r="H60" i="80"/>
  <c r="H60" i="81" s="1"/>
  <c r="H60" i="82" s="1"/>
  <c r="H60" i="84" s="1"/>
  <c r="H60" i="85" s="1"/>
  <c r="H60" i="86" s="1"/>
  <c r="H60" i="87" s="1"/>
  <c r="H60" i="88" s="1"/>
  <c r="H60" i="89" s="1"/>
  <c r="H60" i="90" s="1"/>
  <c r="H60" i="91" s="1"/>
  <c r="H60" i="92" s="1"/>
  <c r="H60" i="93" s="1"/>
  <c r="H60" i="94" s="1"/>
  <c r="H60" i="95" s="1"/>
  <c r="H60" i="96" s="1"/>
  <c r="H60" i="97" s="1"/>
  <c r="H60" i="98" s="1"/>
  <c r="H60" i="99" s="1"/>
  <c r="H60" i="42" s="1"/>
  <c r="H60" i="68" s="1"/>
  <c r="H60" i="69" s="1"/>
  <c r="H60" i="70" s="1"/>
  <c r="H60" i="72" s="1"/>
  <c r="H60" i="73" s="1"/>
  <c r="H60" i="74" s="1"/>
  <c r="H60" i="75" s="1"/>
  <c r="H60" i="76" s="1"/>
  <c r="H60" i="77" s="1"/>
  <c r="H60" i="78" s="1"/>
  <c r="H59" i="79" s="1"/>
  <c r="J59" i="80"/>
  <c r="H59" i="81" s="1"/>
  <c r="G59" i="80"/>
  <c r="I59" i="80" s="1"/>
  <c r="I59" i="81" s="1"/>
  <c r="F59" i="80"/>
  <c r="J58" i="80"/>
  <c r="K58" i="80" s="1"/>
  <c r="G58" i="80"/>
  <c r="I58" i="80" s="1"/>
  <c r="I58" i="79" s="1"/>
  <c r="F58" i="80"/>
  <c r="J57" i="80"/>
  <c r="L57" i="80" s="1"/>
  <c r="L57" i="81" s="1"/>
  <c r="G57" i="80"/>
  <c r="I57" i="80" s="1"/>
  <c r="F57" i="80"/>
  <c r="J56" i="80"/>
  <c r="K56" i="80" s="1"/>
  <c r="G56" i="80"/>
  <c r="H56" i="80" s="1"/>
  <c r="F56" i="80"/>
  <c r="P53" i="80"/>
  <c r="O53" i="80"/>
  <c r="N53" i="80"/>
  <c r="G52" i="80"/>
  <c r="I52" i="80" s="1"/>
  <c r="I52" i="81" s="1"/>
  <c r="I52" i="82" s="1"/>
  <c r="I52" i="84" s="1"/>
  <c r="I52" i="85" s="1"/>
  <c r="F52" i="80"/>
  <c r="G51" i="80"/>
  <c r="I51" i="80" s="1"/>
  <c r="F51" i="80"/>
  <c r="G50" i="80"/>
  <c r="F50" i="80"/>
  <c r="G49" i="80"/>
  <c r="F49" i="80"/>
  <c r="G48" i="80"/>
  <c r="F48" i="80"/>
  <c r="M33" i="80"/>
  <c r="L33" i="80"/>
  <c r="L33" i="81" s="1"/>
  <c r="L33" i="82" s="1"/>
  <c r="L33" i="84" s="1"/>
  <c r="L33" i="85" s="1"/>
  <c r="L33" i="86" s="1"/>
  <c r="L33" i="87" s="1"/>
  <c r="L33" i="88" s="1"/>
  <c r="L33" i="89" s="1"/>
  <c r="L33" i="90" s="1"/>
  <c r="L33" i="91" s="1"/>
  <c r="L33" i="92" s="1"/>
  <c r="L33" i="93" s="1"/>
  <c r="L33" i="94" s="1"/>
  <c r="L33" i="95" s="1"/>
  <c r="L33" i="96" s="1"/>
  <c r="L33" i="97" s="1"/>
  <c r="L33" i="98" s="1"/>
  <c r="L33" i="99" s="1"/>
  <c r="L33" i="42" s="1"/>
  <c r="L33" i="68" s="1"/>
  <c r="K33" i="80"/>
  <c r="K33" i="81" s="1"/>
  <c r="K33" i="82" s="1"/>
  <c r="K33" i="84" s="1"/>
  <c r="K33" i="85" s="1"/>
  <c r="K33" i="86" s="1"/>
  <c r="K33" i="87" s="1"/>
  <c r="K33" i="88" s="1"/>
  <c r="K33" i="89" s="1"/>
  <c r="K33" i="90" s="1"/>
  <c r="K33" i="91" s="1"/>
  <c r="K33" i="92" s="1"/>
  <c r="K33" i="93" s="1"/>
  <c r="K33" i="94" s="1"/>
  <c r="K33" i="95" s="1"/>
  <c r="K33" i="96" s="1"/>
  <c r="K33" i="97" s="1"/>
  <c r="K33" i="98" s="1"/>
  <c r="K33" i="99" s="1"/>
  <c r="K33" i="42" s="1"/>
  <c r="K33" i="68" s="1"/>
  <c r="K33" i="69" s="1"/>
  <c r="K33" i="70" s="1"/>
  <c r="K33" i="72" s="1"/>
  <c r="K33" i="73" s="1"/>
  <c r="K33" i="74" s="1"/>
  <c r="K33" i="75" s="1"/>
  <c r="K33" i="76" s="1"/>
  <c r="K33" i="77" s="1"/>
  <c r="K33" i="78" s="1"/>
  <c r="K32" i="79" s="1"/>
  <c r="H33" i="80"/>
  <c r="H33" i="81" s="1"/>
  <c r="H33" i="82" s="1"/>
  <c r="H33" i="84" s="1"/>
  <c r="H33" i="85" s="1"/>
  <c r="H33" i="86" s="1"/>
  <c r="H33" i="87" s="1"/>
  <c r="H33" i="88" s="1"/>
  <c r="H33" i="89" s="1"/>
  <c r="H33" i="90" s="1"/>
  <c r="H33" i="91" s="1"/>
  <c r="H33" i="92" s="1"/>
  <c r="H33" i="93" s="1"/>
  <c r="H33" i="94" s="1"/>
  <c r="H33" i="95" s="1"/>
  <c r="H33" i="96" s="1"/>
  <c r="H33" i="97" s="1"/>
  <c r="H33" i="98" s="1"/>
  <c r="H33" i="99" s="1"/>
  <c r="H33" i="42" s="1"/>
  <c r="H33" i="68" s="1"/>
  <c r="H33" i="69" s="1"/>
  <c r="H33" i="70" s="1"/>
  <c r="H33" i="72" s="1"/>
  <c r="H33" i="73" s="1"/>
  <c r="H33" i="74" s="1"/>
  <c r="H33" i="75" s="1"/>
  <c r="H33" i="76" s="1"/>
  <c r="H33" i="77" s="1"/>
  <c r="H33" i="78" s="1"/>
  <c r="H32" i="79" s="1"/>
  <c r="M31" i="80"/>
  <c r="L31" i="80"/>
  <c r="L31" i="81" s="1"/>
  <c r="L31" i="82" s="1"/>
  <c r="L31" i="84" s="1"/>
  <c r="L31" i="85" s="1"/>
  <c r="L31" i="86" s="1"/>
  <c r="L31" i="87" s="1"/>
  <c r="L31" i="88" s="1"/>
  <c r="L31" i="89" s="1"/>
  <c r="L31" i="90" s="1"/>
  <c r="L31" i="91" s="1"/>
  <c r="L31" i="92" s="1"/>
  <c r="L31" i="93" s="1"/>
  <c r="L31" i="94" s="1"/>
  <c r="L31" i="95" s="1"/>
  <c r="L31" i="96" s="1"/>
  <c r="L31" i="97" s="1"/>
  <c r="L31" i="98" s="1"/>
  <c r="L31" i="99" s="1"/>
  <c r="L31" i="42" s="1"/>
  <c r="L31" i="68" s="1"/>
  <c r="K31" i="80"/>
  <c r="K31" i="81" s="1"/>
  <c r="K31" i="82" s="1"/>
  <c r="K31" i="84" s="1"/>
  <c r="K31" i="85" s="1"/>
  <c r="K31" i="86" s="1"/>
  <c r="K31" i="87" s="1"/>
  <c r="K31" i="88" s="1"/>
  <c r="K31" i="89" s="1"/>
  <c r="K31" i="90" s="1"/>
  <c r="K31" i="91" s="1"/>
  <c r="K31" i="92" s="1"/>
  <c r="K31" i="93" s="1"/>
  <c r="K31" i="94" s="1"/>
  <c r="K31" i="95" s="1"/>
  <c r="K31" i="96" s="1"/>
  <c r="K31" i="97" s="1"/>
  <c r="K31" i="98" s="1"/>
  <c r="K31" i="99" s="1"/>
  <c r="K31" i="42" s="1"/>
  <c r="K31" i="68" s="1"/>
  <c r="K31" i="69" s="1"/>
  <c r="K31" i="70" s="1"/>
  <c r="K31" i="72" s="1"/>
  <c r="K31" i="73" s="1"/>
  <c r="K31" i="74" s="1"/>
  <c r="K31" i="75" s="1"/>
  <c r="K31" i="76" s="1"/>
  <c r="K31" i="77" s="1"/>
  <c r="K31" i="78" s="1"/>
  <c r="K30" i="79" s="1"/>
  <c r="H31" i="80"/>
  <c r="H31" i="81" s="1"/>
  <c r="H31" i="82" s="1"/>
  <c r="H31" i="84" s="1"/>
  <c r="H31" i="85" s="1"/>
  <c r="H31" i="86" s="1"/>
  <c r="H31" i="87" s="1"/>
  <c r="H31" i="88" s="1"/>
  <c r="H31" i="89" s="1"/>
  <c r="H31" i="90" s="1"/>
  <c r="H31" i="91" s="1"/>
  <c r="H31" i="92" s="1"/>
  <c r="H31" i="93" s="1"/>
  <c r="H31" i="94" s="1"/>
  <c r="H31" i="95" s="1"/>
  <c r="H31" i="96" s="1"/>
  <c r="H31" i="97" s="1"/>
  <c r="H31" i="98" s="1"/>
  <c r="H31" i="99" s="1"/>
  <c r="H31" i="42" s="1"/>
  <c r="H31" i="68" s="1"/>
  <c r="H31" i="69" s="1"/>
  <c r="H31" i="70" s="1"/>
  <c r="H31" i="72" s="1"/>
  <c r="H31" i="73" s="1"/>
  <c r="H31" i="74" s="1"/>
  <c r="H31" i="75" s="1"/>
  <c r="H31" i="76" s="1"/>
  <c r="H31" i="77" s="1"/>
  <c r="H31" i="78" s="1"/>
  <c r="H30" i="79" s="1"/>
  <c r="M30" i="80"/>
  <c r="L30" i="80"/>
  <c r="L30" i="81" s="1"/>
  <c r="L30" i="82" s="1"/>
  <c r="L30" i="84" s="1"/>
  <c r="L30" i="85" s="1"/>
  <c r="L30" i="86" s="1"/>
  <c r="L30" i="87" s="1"/>
  <c r="L30" i="88" s="1"/>
  <c r="L30" i="89" s="1"/>
  <c r="L30" i="90" s="1"/>
  <c r="L30" i="91" s="1"/>
  <c r="L30" i="92" s="1"/>
  <c r="L30" i="93" s="1"/>
  <c r="L30" i="94" s="1"/>
  <c r="L30" i="95" s="1"/>
  <c r="L30" i="96" s="1"/>
  <c r="L30" i="97" s="1"/>
  <c r="L30" i="98" s="1"/>
  <c r="L30" i="99" s="1"/>
  <c r="L30" i="42" s="1"/>
  <c r="L30" i="68" s="1"/>
  <c r="L30" i="69" s="1"/>
  <c r="L30" i="70" s="1"/>
  <c r="L30" i="72" s="1"/>
  <c r="L30" i="73" s="1"/>
  <c r="L30" i="74" s="1"/>
  <c r="L30" i="75" s="1"/>
  <c r="L30" i="76" s="1"/>
  <c r="L30" i="77" s="1"/>
  <c r="L30" i="78" s="1"/>
  <c r="L29" i="79" s="1"/>
  <c r="K30" i="80"/>
  <c r="K30" i="81" s="1"/>
  <c r="K30" i="82" s="1"/>
  <c r="K30" i="84" s="1"/>
  <c r="K30" i="85" s="1"/>
  <c r="K30" i="86" s="1"/>
  <c r="K30" i="87" s="1"/>
  <c r="K30" i="88" s="1"/>
  <c r="K30" i="89" s="1"/>
  <c r="K30" i="90" s="1"/>
  <c r="K30" i="91" s="1"/>
  <c r="K30" i="92" s="1"/>
  <c r="K30" i="93" s="1"/>
  <c r="K30" i="94" s="1"/>
  <c r="K30" i="95" s="1"/>
  <c r="K30" i="96" s="1"/>
  <c r="K30" i="97" s="1"/>
  <c r="K30" i="98" s="1"/>
  <c r="K30" i="99" s="1"/>
  <c r="K30" i="42" s="1"/>
  <c r="K30" i="68" s="1"/>
  <c r="K30" i="69" s="1"/>
  <c r="K30" i="70" s="1"/>
  <c r="K30" i="72" s="1"/>
  <c r="K30" i="73" s="1"/>
  <c r="K30" i="74" s="1"/>
  <c r="K30" i="75" s="1"/>
  <c r="K30" i="76" s="1"/>
  <c r="K30" i="77" s="1"/>
  <c r="K30" i="78" s="1"/>
  <c r="K29" i="79" s="1"/>
  <c r="H30" i="80"/>
  <c r="H30" i="81" s="1"/>
  <c r="H30" i="82" s="1"/>
  <c r="H30" i="84" s="1"/>
  <c r="H30" i="85" s="1"/>
  <c r="H30" i="86" s="1"/>
  <c r="H30" i="87" s="1"/>
  <c r="H30" i="88" s="1"/>
  <c r="H30" i="89" s="1"/>
  <c r="H30" i="90" s="1"/>
  <c r="H30" i="91" s="1"/>
  <c r="H30" i="92" s="1"/>
  <c r="H30" i="93" s="1"/>
  <c r="H30" i="94" s="1"/>
  <c r="H30" i="95" s="1"/>
  <c r="H30" i="96" s="1"/>
  <c r="H30" i="97" s="1"/>
  <c r="H30" i="98" s="1"/>
  <c r="H30" i="99" s="1"/>
  <c r="H30" i="42" s="1"/>
  <c r="H30" i="68" s="1"/>
  <c r="H30" i="69" s="1"/>
  <c r="H30" i="70" s="1"/>
  <c r="H30" i="72" s="1"/>
  <c r="H30" i="73" s="1"/>
  <c r="H30" i="74" s="1"/>
  <c r="H30" i="75" s="1"/>
  <c r="H30" i="76" s="1"/>
  <c r="H30" i="77" s="1"/>
  <c r="H30" i="78" s="1"/>
  <c r="H29" i="79" s="1"/>
  <c r="G29" i="80"/>
  <c r="H29" i="80" s="1"/>
  <c r="H29" i="81" s="1"/>
  <c r="F29" i="80"/>
  <c r="P27" i="80"/>
  <c r="O27" i="80"/>
  <c r="O54" i="80" s="1"/>
  <c r="N27" i="80"/>
  <c r="J26" i="80"/>
  <c r="L26" i="80" s="1"/>
  <c r="G26" i="80"/>
  <c r="I26" i="80" s="1"/>
  <c r="I26" i="81" s="1"/>
  <c r="F26" i="80"/>
  <c r="J25" i="80"/>
  <c r="G25" i="80"/>
  <c r="F25" i="80"/>
  <c r="J24" i="80"/>
  <c r="L24" i="80" s="1"/>
  <c r="L24" i="81" s="1"/>
  <c r="L24" i="82" s="1"/>
  <c r="L24" i="84" s="1"/>
  <c r="L24" i="85" s="1"/>
  <c r="L24" i="86" s="1"/>
  <c r="L24" i="87" s="1"/>
  <c r="L24" i="88" s="1"/>
  <c r="L24" i="89" s="1"/>
  <c r="L24" i="90" s="1"/>
  <c r="L24" i="91" s="1"/>
  <c r="L24" i="92" s="1"/>
  <c r="L24" i="93" s="1"/>
  <c r="L24" i="94" s="1"/>
  <c r="L24" i="95" s="1"/>
  <c r="L24" i="96" s="1"/>
  <c r="L24" i="97" s="1"/>
  <c r="L24" i="98" s="1"/>
  <c r="L24" i="99" s="1"/>
  <c r="L24" i="42" s="1"/>
  <c r="L24" i="68" s="1"/>
  <c r="L24" i="69" s="1"/>
  <c r="L24" i="70" s="1"/>
  <c r="L24" i="72" s="1"/>
  <c r="L24" i="73" s="1"/>
  <c r="L24" i="74" s="1"/>
  <c r="L24" i="75" s="1"/>
  <c r="L24" i="76" s="1"/>
  <c r="L24" i="77" s="1"/>
  <c r="L24" i="78" s="1"/>
  <c r="L24" i="79" s="1"/>
  <c r="G24" i="80"/>
  <c r="F24" i="80"/>
  <c r="J23" i="80"/>
  <c r="L23" i="80" s="1"/>
  <c r="G23" i="80"/>
  <c r="I23" i="80" s="1"/>
  <c r="I23" i="81" s="1"/>
  <c r="F23" i="80"/>
  <c r="J22" i="80"/>
  <c r="G22" i="80"/>
  <c r="F22" i="80"/>
  <c r="J21" i="80"/>
  <c r="L21" i="80" s="1"/>
  <c r="G21" i="80"/>
  <c r="F21" i="80"/>
  <c r="J20" i="80"/>
  <c r="L20" i="81" s="1"/>
  <c r="G20" i="80"/>
  <c r="I20" i="80" s="1"/>
  <c r="I20" i="81" s="1"/>
  <c r="F20" i="80"/>
  <c r="J19" i="80"/>
  <c r="L19" i="80" s="1"/>
  <c r="L19" i="81" s="1"/>
  <c r="G19" i="80"/>
  <c r="I19" i="80" s="1"/>
  <c r="F19" i="80"/>
  <c r="J18" i="80"/>
  <c r="L18" i="80" s="1"/>
  <c r="L18" i="81" s="1"/>
  <c r="L18" i="82" s="1"/>
  <c r="G18" i="80"/>
  <c r="F18" i="80"/>
  <c r="J17" i="80"/>
  <c r="L17" i="80" s="1"/>
  <c r="G17" i="80"/>
  <c r="I17" i="80" s="1"/>
  <c r="I17" i="81" s="1"/>
  <c r="F17" i="80"/>
  <c r="J16" i="80"/>
  <c r="L16" i="80" s="1"/>
  <c r="L16" i="81" s="1"/>
  <c r="L16" i="82" s="1"/>
  <c r="L16" i="84" s="1"/>
  <c r="L16" i="85" s="1"/>
  <c r="L16" i="86" s="1"/>
  <c r="L16" i="87" s="1"/>
  <c r="L16" i="88" s="1"/>
  <c r="L16" i="89" s="1"/>
  <c r="L16" i="90" s="1"/>
  <c r="L16" i="91" s="1"/>
  <c r="L16" i="92" s="1"/>
  <c r="L16" i="93" s="1"/>
  <c r="L16" i="94" s="1"/>
  <c r="L16" i="95" s="1"/>
  <c r="L16" i="96" s="1"/>
  <c r="L16" i="97" s="1"/>
  <c r="L16" i="98" s="1"/>
  <c r="L16" i="99" s="1"/>
  <c r="L16" i="42" s="1"/>
  <c r="L16" i="68" s="1"/>
  <c r="L16" i="69" s="1"/>
  <c r="L16" i="70" s="1"/>
  <c r="L16" i="72" s="1"/>
  <c r="L16" i="73" s="1"/>
  <c r="L16" i="74" s="1"/>
  <c r="L16" i="75" s="1"/>
  <c r="L16" i="76" s="1"/>
  <c r="L16" i="77" s="1"/>
  <c r="L16" i="78" s="1"/>
  <c r="L16" i="79" s="1"/>
  <c r="G16" i="80"/>
  <c r="F16" i="80"/>
  <c r="J15" i="80"/>
  <c r="L15" i="80" s="1"/>
  <c r="G15" i="80"/>
  <c r="F15" i="80"/>
  <c r="J14" i="80"/>
  <c r="G14" i="80"/>
  <c r="F14" i="80"/>
  <c r="J13" i="80"/>
  <c r="L13" i="80" s="1"/>
  <c r="L13" i="81" s="1"/>
  <c r="G13" i="80"/>
  <c r="I13" i="80" s="1"/>
  <c r="F13" i="80"/>
  <c r="J12" i="80"/>
  <c r="L12" i="80" s="1"/>
  <c r="G12" i="80"/>
  <c r="F12" i="80"/>
  <c r="J11" i="80"/>
  <c r="L11" i="80" s="1"/>
  <c r="L11" i="81" s="1"/>
  <c r="L11" i="82" s="1"/>
  <c r="L11" i="84" s="1"/>
  <c r="L11" i="85" s="1"/>
  <c r="G11" i="80"/>
  <c r="I11" i="80" s="1"/>
  <c r="F11" i="80"/>
  <c r="J10" i="80"/>
  <c r="L10" i="80" s="1"/>
  <c r="G10" i="80"/>
  <c r="F10" i="80"/>
  <c r="G8" i="80"/>
  <c r="H8" i="80" s="1"/>
  <c r="F8" i="80"/>
  <c r="G7" i="80"/>
  <c r="I7" i="80" s="1"/>
  <c r="F7" i="80"/>
  <c r="J6" i="80"/>
  <c r="L6" i="80" s="1"/>
  <c r="G6" i="80"/>
  <c r="I6" i="80" s="1"/>
  <c r="I6" i="81" s="1"/>
  <c r="F6" i="80"/>
  <c r="AA35" i="56"/>
  <c r="Z35" i="56"/>
  <c r="U35" i="56"/>
  <c r="T35" i="56"/>
  <c r="S35" i="56"/>
  <c r="R35" i="56"/>
  <c r="Q35" i="56"/>
  <c r="P35" i="56"/>
  <c r="O35" i="56"/>
  <c r="N35" i="56"/>
  <c r="K35" i="56"/>
  <c r="J35" i="56"/>
  <c r="I35" i="56"/>
  <c r="H35" i="56"/>
  <c r="G35" i="56"/>
  <c r="F35" i="56"/>
  <c r="E35" i="56"/>
  <c r="D35" i="56"/>
  <c r="C35" i="56"/>
  <c r="U34" i="56"/>
  <c r="T34" i="56"/>
  <c r="S34" i="56"/>
  <c r="R34" i="56"/>
  <c r="Q34" i="56"/>
  <c r="P34" i="56"/>
  <c r="O34" i="56"/>
  <c r="N34" i="56"/>
  <c r="J34" i="56"/>
  <c r="I34" i="56"/>
  <c r="H34" i="56"/>
  <c r="G34" i="56"/>
  <c r="F34" i="56"/>
  <c r="E34" i="56"/>
  <c r="D34" i="56"/>
  <c r="C34" i="56"/>
  <c r="V33" i="56"/>
  <c r="V32" i="56"/>
  <c r="V31" i="56"/>
  <c r="V30" i="56"/>
  <c r="V29" i="56"/>
  <c r="V28" i="56"/>
  <c r="V27" i="56"/>
  <c r="V26" i="56"/>
  <c r="V25" i="56"/>
  <c r="V24" i="56"/>
  <c r="V23" i="56"/>
  <c r="V22" i="56"/>
  <c r="V21" i="56"/>
  <c r="V20" i="56"/>
  <c r="V19" i="56"/>
  <c r="V18" i="56"/>
  <c r="V17" i="56"/>
  <c r="V16" i="56"/>
  <c r="V15" i="56"/>
  <c r="V14" i="56"/>
  <c r="V13" i="56"/>
  <c r="V12" i="56"/>
  <c r="V11" i="56"/>
  <c r="V10" i="56"/>
  <c r="V9" i="56"/>
  <c r="V8" i="56"/>
  <c r="V7" i="56"/>
  <c r="V6" i="56"/>
  <c r="V5" i="56"/>
  <c r="V4" i="56"/>
  <c r="AB3" i="56"/>
  <c r="Y4" i="56" s="1"/>
  <c r="V3" i="56"/>
  <c r="W3" i="56" s="1"/>
  <c r="F68" i="81" s="1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S53" i="101"/>
  <c r="Q53" i="101"/>
  <c r="C46" i="101"/>
  <c r="AM42" i="101"/>
  <c r="I41" i="101"/>
  <c r="H41" i="101"/>
  <c r="D41" i="101"/>
  <c r="C41" i="101"/>
  <c r="T40" i="101"/>
  <c r="S40" i="101"/>
  <c r="R40" i="101"/>
  <c r="Q40" i="101"/>
  <c r="AA40" i="101" s="1"/>
  <c r="N40" i="101"/>
  <c r="M40" i="101"/>
  <c r="T39" i="101"/>
  <c r="S39" i="101"/>
  <c r="R39" i="101"/>
  <c r="Q39" i="101"/>
  <c r="N39" i="101"/>
  <c r="M39" i="101"/>
  <c r="T38" i="101"/>
  <c r="S38" i="101"/>
  <c r="R38" i="101"/>
  <c r="Q38" i="101"/>
  <c r="N38" i="101"/>
  <c r="M38" i="101"/>
  <c r="T37" i="101"/>
  <c r="S37" i="101"/>
  <c r="R37" i="101"/>
  <c r="Q37" i="101"/>
  <c r="N37" i="101"/>
  <c r="M37" i="101"/>
  <c r="AU36" i="101"/>
  <c r="T36" i="101"/>
  <c r="S36" i="101"/>
  <c r="R36" i="101"/>
  <c r="Q36" i="101"/>
  <c r="N36" i="101"/>
  <c r="M36" i="101"/>
  <c r="AU35" i="101"/>
  <c r="T35" i="101"/>
  <c r="S35" i="101"/>
  <c r="R35" i="101"/>
  <c r="Q35" i="101"/>
  <c r="N35" i="101"/>
  <c r="M35" i="101"/>
  <c r="M41" i="101" s="1"/>
  <c r="N41" i="101"/>
  <c r="P41" i="101"/>
  <c r="T53" i="12"/>
  <c r="R53" i="12"/>
  <c r="C46" i="12"/>
  <c r="AN42" i="12"/>
  <c r="AV40" i="12"/>
  <c r="AU40" i="12"/>
  <c r="AP40" i="12"/>
  <c r="AO40" i="12"/>
  <c r="P40" i="12"/>
  <c r="K40" i="12"/>
  <c r="J40" i="12"/>
  <c r="I40" i="12"/>
  <c r="I41" i="12" s="1"/>
  <c r="H40" i="12"/>
  <c r="H41" i="12" s="1"/>
  <c r="F40" i="12"/>
  <c r="E40" i="12"/>
  <c r="D40" i="12"/>
  <c r="D41" i="12" s="1"/>
  <c r="C40" i="12"/>
  <c r="C41" i="12" s="1"/>
  <c r="U39" i="12"/>
  <c r="T39" i="12"/>
  <c r="S39" i="12"/>
  <c r="R39" i="12"/>
  <c r="N39" i="12"/>
  <c r="M39" i="12"/>
  <c r="U38" i="12"/>
  <c r="T38" i="12"/>
  <c r="S38" i="12"/>
  <c r="R38" i="12"/>
  <c r="N38" i="12"/>
  <c r="M38" i="12"/>
  <c r="U37" i="12"/>
  <c r="T37" i="12"/>
  <c r="S37" i="12"/>
  <c r="R37" i="12"/>
  <c r="N37" i="12"/>
  <c r="M37" i="12"/>
  <c r="AX36" i="12"/>
  <c r="U36" i="12"/>
  <c r="T36" i="12"/>
  <c r="S36" i="12"/>
  <c r="AI36" i="12" s="1"/>
  <c r="R36" i="12"/>
  <c r="AH36" i="12" s="1"/>
  <c r="N36" i="12"/>
  <c r="M36" i="12"/>
  <c r="AX35" i="12"/>
  <c r="AU35" i="12"/>
  <c r="U35" i="12"/>
  <c r="T35" i="12"/>
  <c r="S35" i="12"/>
  <c r="R35" i="12"/>
  <c r="P35" i="12"/>
  <c r="N35" i="12"/>
  <c r="M35" i="12"/>
  <c r="N41" i="12"/>
  <c r="M41" i="12"/>
  <c r="AW40" i="12"/>
  <c r="O40" i="12"/>
  <c r="N40" i="12"/>
  <c r="M40" i="12"/>
  <c r="Q35" i="4"/>
  <c r="P35" i="4"/>
  <c r="M35" i="4"/>
  <c r="L35" i="4"/>
  <c r="I35" i="4"/>
  <c r="H35" i="4"/>
  <c r="E35" i="4"/>
  <c r="D35" i="4"/>
  <c r="Q34" i="4"/>
  <c r="P34" i="4"/>
  <c r="M34" i="4"/>
  <c r="L34" i="4"/>
  <c r="I34" i="4"/>
  <c r="H34" i="4"/>
  <c r="E34" i="4"/>
  <c r="D34" i="4"/>
  <c r="R3" i="4"/>
  <c r="O4" i="4" s="1"/>
  <c r="R4" i="4" s="1"/>
  <c r="O5" i="4" s="1"/>
  <c r="N3" i="4"/>
  <c r="K4" i="4" s="1"/>
  <c r="J3" i="4"/>
  <c r="G4" i="4" s="1"/>
  <c r="J4" i="4" s="1"/>
  <c r="G5" i="4" s="1"/>
  <c r="F3" i="4"/>
  <c r="C4" i="4" s="1"/>
  <c r="L35" i="3"/>
  <c r="H35" i="3"/>
  <c r="D35" i="3"/>
  <c r="L34" i="3"/>
  <c r="H34" i="3"/>
  <c r="D34" i="3"/>
  <c r="M33" i="3"/>
  <c r="J64" i="79" s="1"/>
  <c r="M32" i="3"/>
  <c r="M31" i="3"/>
  <c r="M30" i="3"/>
  <c r="M29" i="3"/>
  <c r="M28" i="3"/>
  <c r="M27" i="3"/>
  <c r="J65" i="73" s="1"/>
  <c r="M26" i="3"/>
  <c r="J65" i="72" s="1"/>
  <c r="M25" i="3"/>
  <c r="M24" i="3"/>
  <c r="M23" i="3"/>
  <c r="M22" i="3"/>
  <c r="M21" i="3"/>
  <c r="J65" i="99" s="1"/>
  <c r="M20" i="3"/>
  <c r="J65" i="98" s="1"/>
  <c r="M19" i="3"/>
  <c r="J65" i="97" s="1"/>
  <c r="M18" i="3"/>
  <c r="J65" i="96" s="1"/>
  <c r="M17" i="3"/>
  <c r="J65" i="95" s="1"/>
  <c r="M16" i="3"/>
  <c r="M15" i="3"/>
  <c r="M14" i="3"/>
  <c r="M13" i="3"/>
  <c r="J65" i="91" s="1"/>
  <c r="M12" i="3"/>
  <c r="M11" i="3"/>
  <c r="M10" i="3"/>
  <c r="M9" i="3"/>
  <c r="M8" i="3"/>
  <c r="J65" i="86" s="1"/>
  <c r="M7" i="3"/>
  <c r="J65" i="85" s="1"/>
  <c r="M6" i="3"/>
  <c r="J65" i="84" s="1"/>
  <c r="M5" i="3"/>
  <c r="J65" i="82" s="1"/>
  <c r="M4" i="3"/>
  <c r="J65" i="81" s="1"/>
  <c r="M3" i="3"/>
  <c r="EC35" i="1"/>
  <c r="EB35" i="1"/>
  <c r="DX35" i="1"/>
  <c r="DW35" i="1"/>
  <c r="DS35" i="1"/>
  <c r="DR35" i="1"/>
  <c r="DN35" i="1"/>
  <c r="DM35" i="1"/>
  <c r="DI35" i="1"/>
  <c r="DH35" i="1"/>
  <c r="DD35" i="1"/>
  <c r="DC35" i="1"/>
  <c r="CY35" i="1"/>
  <c r="CX35" i="1"/>
  <c r="CT35" i="1"/>
  <c r="CS35" i="1"/>
  <c r="CO35" i="1"/>
  <c r="CN35" i="1"/>
  <c r="CJ35" i="1"/>
  <c r="CI35" i="1"/>
  <c r="CE35" i="1"/>
  <c r="CD35" i="1"/>
  <c r="CA35" i="1"/>
  <c r="BZ35" i="1"/>
  <c r="BY35" i="1"/>
  <c r="BU35" i="1"/>
  <c r="BT35" i="1"/>
  <c r="BP35" i="1"/>
  <c r="BO35" i="1"/>
  <c r="BK35" i="1"/>
  <c r="BJ35" i="1"/>
  <c r="BF35" i="1"/>
  <c r="BE35" i="1"/>
  <c r="BA35" i="1"/>
  <c r="AZ35" i="1"/>
  <c r="AV35" i="1"/>
  <c r="AU35" i="1"/>
  <c r="AQ35" i="1"/>
  <c r="AP35" i="1"/>
  <c r="AM35" i="1"/>
  <c r="AL35" i="1"/>
  <c r="AG35" i="1"/>
  <c r="AC35" i="1"/>
  <c r="Z35" i="1"/>
  <c r="X35" i="1"/>
  <c r="T35" i="1"/>
  <c r="R35" i="1"/>
  <c r="N35" i="1"/>
  <c r="L35" i="1"/>
  <c r="E35" i="1"/>
  <c r="D35" i="1"/>
  <c r="EN34" i="1"/>
  <c r="EM34" i="1"/>
  <c r="EC34" i="1"/>
  <c r="EB34" i="1"/>
  <c r="DR34" i="1"/>
  <c r="DM34" i="1"/>
  <c r="DD34" i="1"/>
  <c r="DC34" i="1"/>
  <c r="CT34" i="1"/>
  <c r="CS34" i="1"/>
  <c r="CO34" i="1"/>
  <c r="CN34" i="1"/>
  <c r="CJ34" i="1"/>
  <c r="CI34" i="1"/>
  <c r="CE34" i="1"/>
  <c r="CD34" i="1"/>
  <c r="CA34" i="1"/>
  <c r="BZ34" i="1"/>
  <c r="BY34" i="1"/>
  <c r="BU34" i="1"/>
  <c r="BT34" i="1"/>
  <c r="BP34" i="1"/>
  <c r="BO34" i="1"/>
  <c r="BK34" i="1"/>
  <c r="BJ34" i="1"/>
  <c r="BF34" i="1"/>
  <c r="BE34" i="1"/>
  <c r="BA34" i="1"/>
  <c r="AZ34" i="1"/>
  <c r="AV34" i="1"/>
  <c r="AU34" i="1"/>
  <c r="AQ34" i="1"/>
  <c r="AP34" i="1"/>
  <c r="AM34" i="1"/>
  <c r="AL34" i="1"/>
  <c r="AG34" i="1"/>
  <c r="AC34" i="1"/>
  <c r="Z34" i="1"/>
  <c r="X34" i="1"/>
  <c r="T34" i="1"/>
  <c r="R34" i="1"/>
  <c r="N34" i="1"/>
  <c r="L34" i="1"/>
  <c r="E34" i="1"/>
  <c r="D34" i="1"/>
  <c r="EK33" i="1"/>
  <c r="J8" i="79" s="1"/>
  <c r="G8" i="79"/>
  <c r="EF33" i="1"/>
  <c r="J31" i="79"/>
  <c r="DO33" i="1"/>
  <c r="J46" i="79" s="1"/>
  <c r="DJ33" i="1"/>
  <c r="J45" i="79" s="1"/>
  <c r="DE33" i="1"/>
  <c r="J44" i="79" s="1"/>
  <c r="CZ33" i="1"/>
  <c r="J43" i="79" s="1"/>
  <c r="CU33" i="1"/>
  <c r="J42" i="79" s="1"/>
  <c r="CP33" i="1"/>
  <c r="J47" i="79" s="1"/>
  <c r="CK33" i="1"/>
  <c r="J49" i="79" s="1"/>
  <c r="CF33" i="1"/>
  <c r="J48" i="79" s="1"/>
  <c r="BV33" i="1"/>
  <c r="J41" i="79" s="1"/>
  <c r="BQ33" i="1"/>
  <c r="J40" i="79" s="1"/>
  <c r="BL33" i="1"/>
  <c r="J39" i="79" s="1"/>
  <c r="BG33" i="1"/>
  <c r="J38" i="79" s="1"/>
  <c r="BB33" i="1"/>
  <c r="J37" i="79" s="1"/>
  <c r="J36" i="79"/>
  <c r="AR33" i="1"/>
  <c r="J35" i="79" s="1"/>
  <c r="AI33" i="1"/>
  <c r="J50" i="79" s="1"/>
  <c r="AD33" i="1"/>
  <c r="J51" i="79" s="1"/>
  <c r="Y33" i="1"/>
  <c r="J33" i="79" s="1"/>
  <c r="S33" i="1"/>
  <c r="M33" i="1"/>
  <c r="J34" i="79" s="1"/>
  <c r="I33" i="1"/>
  <c r="I35" i="1" s="1"/>
  <c r="H33" i="1"/>
  <c r="H34" i="1" s="1"/>
  <c r="EK32" i="1"/>
  <c r="J8" i="78" s="1"/>
  <c r="G8" i="78"/>
  <c r="EF32" i="1"/>
  <c r="J32" i="78"/>
  <c r="DO32" i="1"/>
  <c r="J47" i="78" s="1"/>
  <c r="DJ32" i="1"/>
  <c r="J46" i="78" s="1"/>
  <c r="DE32" i="1"/>
  <c r="J45" i="78" s="1"/>
  <c r="CZ32" i="1"/>
  <c r="J44" i="78" s="1"/>
  <c r="CU32" i="1"/>
  <c r="J43" i="78" s="1"/>
  <c r="CP32" i="1"/>
  <c r="J48" i="78" s="1"/>
  <c r="CK32" i="1"/>
  <c r="J50" i="78" s="1"/>
  <c r="CF32" i="1"/>
  <c r="J49" i="78" s="1"/>
  <c r="BV32" i="1"/>
  <c r="J42" i="78" s="1"/>
  <c r="BQ32" i="1"/>
  <c r="J41" i="78" s="1"/>
  <c r="BL32" i="1"/>
  <c r="J40" i="78" s="1"/>
  <c r="BG32" i="1"/>
  <c r="J39" i="78" s="1"/>
  <c r="BB32" i="1"/>
  <c r="J38" i="78" s="1"/>
  <c r="J37" i="78"/>
  <c r="AR32" i="1"/>
  <c r="J36" i="78" s="1"/>
  <c r="AI32" i="1"/>
  <c r="J51" i="78" s="1"/>
  <c r="AD32" i="1"/>
  <c r="J52" i="78" s="1"/>
  <c r="Y32" i="1"/>
  <c r="J34" i="78" s="1"/>
  <c r="S32" i="1"/>
  <c r="J29" i="78" s="1"/>
  <c r="M32" i="1"/>
  <c r="J35" i="78" s="1"/>
  <c r="G8" i="77"/>
  <c r="EF31" i="1"/>
  <c r="J32" i="77"/>
  <c r="DO31" i="1"/>
  <c r="J47" i="77" s="1"/>
  <c r="DJ31" i="1"/>
  <c r="J46" i="77" s="1"/>
  <c r="DE31" i="1"/>
  <c r="J45" i="77" s="1"/>
  <c r="CZ31" i="1"/>
  <c r="J44" i="77" s="1"/>
  <c r="CU31" i="1"/>
  <c r="J43" i="77" s="1"/>
  <c r="CP31" i="1"/>
  <c r="J48" i="77" s="1"/>
  <c r="CK31" i="1"/>
  <c r="CF31" i="1"/>
  <c r="J49" i="77" s="1"/>
  <c r="BV31" i="1"/>
  <c r="J42" i="77" s="1"/>
  <c r="BQ31" i="1"/>
  <c r="J41" i="77" s="1"/>
  <c r="BL31" i="1"/>
  <c r="J40" i="77" s="1"/>
  <c r="BG31" i="1"/>
  <c r="J39" i="77" s="1"/>
  <c r="BB31" i="1"/>
  <c r="J38" i="77" s="1"/>
  <c r="J37" i="77"/>
  <c r="AR31" i="1"/>
  <c r="J36" i="77" s="1"/>
  <c r="AI31" i="1"/>
  <c r="AD31" i="1"/>
  <c r="J52" i="77" s="1"/>
  <c r="Y31" i="1"/>
  <c r="J34" i="77" s="1"/>
  <c r="S31" i="1"/>
  <c r="M31" i="1"/>
  <c r="G8" i="76"/>
  <c r="EF30" i="1"/>
  <c r="J32" i="76"/>
  <c r="DO30" i="1"/>
  <c r="J47" i="76" s="1"/>
  <c r="DJ30" i="1"/>
  <c r="J46" i="76" s="1"/>
  <c r="DE30" i="1"/>
  <c r="J45" i="76" s="1"/>
  <c r="CZ30" i="1"/>
  <c r="J44" i="76" s="1"/>
  <c r="CU30" i="1"/>
  <c r="J43" i="76" s="1"/>
  <c r="CP30" i="1"/>
  <c r="J48" i="76" s="1"/>
  <c r="CK30" i="1"/>
  <c r="J50" i="76" s="1"/>
  <c r="CF30" i="1"/>
  <c r="J49" i="76" s="1"/>
  <c r="BV30" i="1"/>
  <c r="J42" i="76" s="1"/>
  <c r="BQ30" i="1"/>
  <c r="J41" i="76" s="1"/>
  <c r="BL30" i="1"/>
  <c r="J40" i="76" s="1"/>
  <c r="BG30" i="1"/>
  <c r="BB30" i="1"/>
  <c r="J38" i="76" s="1"/>
  <c r="J37" i="76"/>
  <c r="AR30" i="1"/>
  <c r="J36" i="76" s="1"/>
  <c r="AI30" i="1"/>
  <c r="J51" i="76" s="1"/>
  <c r="AD30" i="1"/>
  <c r="J52" i="76" s="1"/>
  <c r="Y30" i="1"/>
  <c r="J34" i="76" s="1"/>
  <c r="S30" i="1"/>
  <c r="J29" i="76" s="1"/>
  <c r="M30" i="1"/>
  <c r="J35" i="76" s="1"/>
  <c r="EF29" i="1"/>
  <c r="DO29" i="1"/>
  <c r="J47" i="75" s="1"/>
  <c r="DJ29" i="1"/>
  <c r="J46" i="75" s="1"/>
  <c r="DE29" i="1"/>
  <c r="J45" i="75" s="1"/>
  <c r="CZ29" i="1"/>
  <c r="J44" i="75" s="1"/>
  <c r="CU29" i="1"/>
  <c r="J43" i="75" s="1"/>
  <c r="CP29" i="1"/>
  <c r="J48" i="75" s="1"/>
  <c r="CK29" i="1"/>
  <c r="J50" i="75" s="1"/>
  <c r="CF29" i="1"/>
  <c r="J49" i="75" s="1"/>
  <c r="BV29" i="1"/>
  <c r="J42" i="75" s="1"/>
  <c r="BQ29" i="1"/>
  <c r="J41" i="75" s="1"/>
  <c r="BL29" i="1"/>
  <c r="J40" i="75" s="1"/>
  <c r="BG29" i="1"/>
  <c r="J39" i="75" s="1"/>
  <c r="BB29" i="1"/>
  <c r="J38" i="75" s="1"/>
  <c r="J37" i="75"/>
  <c r="AR29" i="1"/>
  <c r="J36" i="75" s="1"/>
  <c r="AI29" i="1"/>
  <c r="J51" i="75" s="1"/>
  <c r="AD29" i="1"/>
  <c r="J52" i="75" s="1"/>
  <c r="Y29" i="1"/>
  <c r="J34" i="75" s="1"/>
  <c r="S29" i="1"/>
  <c r="J29" i="75" s="1"/>
  <c r="M29" i="1"/>
  <c r="J35" i="75" s="1"/>
  <c r="EF28" i="1"/>
  <c r="DO28" i="1"/>
  <c r="J47" i="74" s="1"/>
  <c r="DJ28" i="1"/>
  <c r="J46" i="74" s="1"/>
  <c r="DE28" i="1"/>
  <c r="J45" i="74" s="1"/>
  <c r="CZ28" i="1"/>
  <c r="J44" i="74" s="1"/>
  <c r="CU28" i="1"/>
  <c r="J43" i="74" s="1"/>
  <c r="CP28" i="1"/>
  <c r="J48" i="74" s="1"/>
  <c r="CK28" i="1"/>
  <c r="CF28" i="1"/>
  <c r="J49" i="74" s="1"/>
  <c r="BV28" i="1"/>
  <c r="J42" i="74" s="1"/>
  <c r="BQ28" i="1"/>
  <c r="J41" i="74" s="1"/>
  <c r="BL28" i="1"/>
  <c r="J40" i="74" s="1"/>
  <c r="BG28" i="1"/>
  <c r="BB28" i="1"/>
  <c r="J38" i="74" s="1"/>
  <c r="AR28" i="1"/>
  <c r="J36" i="74" s="1"/>
  <c r="AI28" i="1"/>
  <c r="J51" i="74" s="1"/>
  <c r="AD28" i="1"/>
  <c r="J52" i="74" s="1"/>
  <c r="Y28" i="1"/>
  <c r="J34" i="74" s="1"/>
  <c r="S28" i="1"/>
  <c r="J29" i="74" s="1"/>
  <c r="M28" i="1"/>
  <c r="EF27" i="1"/>
  <c r="J32" i="73"/>
  <c r="DO27" i="1"/>
  <c r="J47" i="73" s="1"/>
  <c r="DJ27" i="1"/>
  <c r="J46" i="73" s="1"/>
  <c r="DE27" i="1"/>
  <c r="J45" i="73" s="1"/>
  <c r="CZ27" i="1"/>
  <c r="J44" i="73" s="1"/>
  <c r="CU27" i="1"/>
  <c r="J43" i="73" s="1"/>
  <c r="CP27" i="1"/>
  <c r="J48" i="73" s="1"/>
  <c r="CK27" i="1"/>
  <c r="CF27" i="1"/>
  <c r="J49" i="73" s="1"/>
  <c r="BV27" i="1"/>
  <c r="J42" i="73" s="1"/>
  <c r="BQ27" i="1"/>
  <c r="J41" i="73" s="1"/>
  <c r="BL27" i="1"/>
  <c r="J40" i="73" s="1"/>
  <c r="BG27" i="1"/>
  <c r="J39" i="73" s="1"/>
  <c r="BB27" i="1"/>
  <c r="J38" i="73" s="1"/>
  <c r="J37" i="73"/>
  <c r="AR27" i="1"/>
  <c r="J36" i="73" s="1"/>
  <c r="AI27" i="1"/>
  <c r="J51" i="73" s="1"/>
  <c r="AD27" i="1"/>
  <c r="J52" i="73" s="1"/>
  <c r="Y27" i="1"/>
  <c r="J34" i="73" s="1"/>
  <c r="S27" i="1"/>
  <c r="M27" i="1"/>
  <c r="J35" i="73" s="1"/>
  <c r="EF26" i="1"/>
  <c r="DO26" i="1"/>
  <c r="J47" i="72" s="1"/>
  <c r="DJ26" i="1"/>
  <c r="J46" i="72" s="1"/>
  <c r="DE26" i="1"/>
  <c r="J45" i="72" s="1"/>
  <c r="CZ26" i="1"/>
  <c r="J44" i="72" s="1"/>
  <c r="CU26" i="1"/>
  <c r="J43" i="72" s="1"/>
  <c r="CP26" i="1"/>
  <c r="J48" i="72" s="1"/>
  <c r="CK26" i="1"/>
  <c r="J50" i="72" s="1"/>
  <c r="CF26" i="1"/>
  <c r="J49" i="72" s="1"/>
  <c r="BV26" i="1"/>
  <c r="J42" i="72" s="1"/>
  <c r="BQ26" i="1"/>
  <c r="J41" i="72" s="1"/>
  <c r="BL26" i="1"/>
  <c r="J40" i="72" s="1"/>
  <c r="BG26" i="1"/>
  <c r="J39" i="72" s="1"/>
  <c r="BB26" i="1"/>
  <c r="J38" i="72" s="1"/>
  <c r="J37" i="72"/>
  <c r="AR26" i="1"/>
  <c r="J36" i="72" s="1"/>
  <c r="AI26" i="1"/>
  <c r="J51" i="72" s="1"/>
  <c r="AD26" i="1"/>
  <c r="J52" i="72" s="1"/>
  <c r="Y26" i="1"/>
  <c r="J34" i="72" s="1"/>
  <c r="S26" i="1"/>
  <c r="J29" i="72" s="1"/>
  <c r="M26" i="1"/>
  <c r="EF25" i="1"/>
  <c r="DY25" i="1"/>
  <c r="DY35" i="1" s="1"/>
  <c r="DO25" i="1"/>
  <c r="J47" i="70" s="1"/>
  <c r="DJ25" i="1"/>
  <c r="DE25" i="1"/>
  <c r="J45" i="70" s="1"/>
  <c r="CZ25" i="1"/>
  <c r="J44" i="70" s="1"/>
  <c r="CU25" i="1"/>
  <c r="J43" i="70" s="1"/>
  <c r="CP25" i="1"/>
  <c r="J48" i="70" s="1"/>
  <c r="CK25" i="1"/>
  <c r="J50" i="70" s="1"/>
  <c r="CF25" i="1"/>
  <c r="J49" i="70" s="1"/>
  <c r="BV25" i="1"/>
  <c r="J42" i="70" s="1"/>
  <c r="BQ25" i="1"/>
  <c r="J41" i="70" s="1"/>
  <c r="BL25" i="1"/>
  <c r="J39" i="70" s="1"/>
  <c r="BG25" i="1"/>
  <c r="J40" i="70" s="1"/>
  <c r="BB25" i="1"/>
  <c r="J38" i="70" s="1"/>
  <c r="J37" i="70"/>
  <c r="AR25" i="1"/>
  <c r="J36" i="70" s="1"/>
  <c r="AI25" i="1"/>
  <c r="J51" i="70" s="1"/>
  <c r="AD25" i="1"/>
  <c r="J52" i="70" s="1"/>
  <c r="Y25" i="1"/>
  <c r="J34" i="70" s="1"/>
  <c r="S25" i="1"/>
  <c r="J29" i="70" s="1"/>
  <c r="M25" i="1"/>
  <c r="J35" i="70" s="1"/>
  <c r="EF24" i="1"/>
  <c r="DO24" i="1"/>
  <c r="J47" i="69" s="1"/>
  <c r="DJ24" i="1"/>
  <c r="J46" i="69" s="1"/>
  <c r="DE24" i="1"/>
  <c r="J45" i="69" s="1"/>
  <c r="CZ24" i="1"/>
  <c r="J44" i="69" s="1"/>
  <c r="CU24" i="1"/>
  <c r="J43" i="69" s="1"/>
  <c r="CP24" i="1"/>
  <c r="J48" i="69" s="1"/>
  <c r="CK24" i="1"/>
  <c r="J50" i="69" s="1"/>
  <c r="CF24" i="1"/>
  <c r="J49" i="69" s="1"/>
  <c r="BV24" i="1"/>
  <c r="J42" i="69" s="1"/>
  <c r="BQ24" i="1"/>
  <c r="J41" i="69" s="1"/>
  <c r="BL24" i="1"/>
  <c r="J40" i="69" s="1"/>
  <c r="BG24" i="1"/>
  <c r="J39" i="69" s="1"/>
  <c r="BB24" i="1"/>
  <c r="J38" i="69" s="1"/>
  <c r="J37" i="69"/>
  <c r="AR24" i="1"/>
  <c r="J36" i="69" s="1"/>
  <c r="AI24" i="1"/>
  <c r="J51" i="69" s="1"/>
  <c r="AD24" i="1"/>
  <c r="J52" i="69" s="1"/>
  <c r="Y24" i="1"/>
  <c r="J34" i="69" s="1"/>
  <c r="S24" i="1"/>
  <c r="J29" i="69" s="1"/>
  <c r="M24" i="1"/>
  <c r="J35" i="69" s="1"/>
  <c r="EF23" i="1"/>
  <c r="DO23" i="1"/>
  <c r="J47" i="68" s="1"/>
  <c r="DJ23" i="1"/>
  <c r="J46" i="68" s="1"/>
  <c r="DE23" i="1"/>
  <c r="J45" i="68" s="1"/>
  <c r="CZ23" i="1"/>
  <c r="J44" i="68" s="1"/>
  <c r="CU23" i="1"/>
  <c r="J43" i="68" s="1"/>
  <c r="CP23" i="1"/>
  <c r="J48" i="68" s="1"/>
  <c r="CK23" i="1"/>
  <c r="J50" i="68" s="1"/>
  <c r="CF23" i="1"/>
  <c r="J49" i="68" s="1"/>
  <c r="BV23" i="1"/>
  <c r="J42" i="68" s="1"/>
  <c r="BQ23" i="1"/>
  <c r="J41" i="68" s="1"/>
  <c r="BL23" i="1"/>
  <c r="J40" i="68" s="1"/>
  <c r="BG23" i="1"/>
  <c r="J39" i="68" s="1"/>
  <c r="BB23" i="1"/>
  <c r="J38" i="68" s="1"/>
  <c r="J37" i="68"/>
  <c r="AR23" i="1"/>
  <c r="J36" i="68" s="1"/>
  <c r="AI23" i="1"/>
  <c r="J51" i="68" s="1"/>
  <c r="AD23" i="1"/>
  <c r="J52" i="68" s="1"/>
  <c r="Y23" i="1"/>
  <c r="J34" i="68" s="1"/>
  <c r="S23" i="1"/>
  <c r="J29" i="68" s="1"/>
  <c r="M23" i="1"/>
  <c r="J35" i="68" s="1"/>
  <c r="EF22" i="1"/>
  <c r="DO22" i="1"/>
  <c r="J47" i="42" s="1"/>
  <c r="DJ22" i="1"/>
  <c r="J46" i="42" s="1"/>
  <c r="DE22" i="1"/>
  <c r="J45" i="42" s="1"/>
  <c r="CZ22" i="1"/>
  <c r="J44" i="42" s="1"/>
  <c r="CU22" i="1"/>
  <c r="J42" i="42" s="1"/>
  <c r="CP22" i="1"/>
  <c r="J48" i="42" s="1"/>
  <c r="CK22" i="1"/>
  <c r="J50" i="42" s="1"/>
  <c r="CF22" i="1"/>
  <c r="J49" i="42" s="1"/>
  <c r="BV22" i="1"/>
  <c r="J43" i="42" s="1"/>
  <c r="BQ22" i="1"/>
  <c r="J41" i="42" s="1"/>
  <c r="BL22" i="1"/>
  <c r="J40" i="42" s="1"/>
  <c r="BG22" i="1"/>
  <c r="J39" i="42" s="1"/>
  <c r="BB22" i="1"/>
  <c r="J38" i="42" s="1"/>
  <c r="AR22" i="1"/>
  <c r="J36" i="42" s="1"/>
  <c r="AI22" i="1"/>
  <c r="J51" i="42" s="1"/>
  <c r="AD22" i="1"/>
  <c r="J52" i="42" s="1"/>
  <c r="Y22" i="1"/>
  <c r="J34" i="42" s="1"/>
  <c r="S22" i="1"/>
  <c r="J29" i="42" s="1"/>
  <c r="M22" i="1"/>
  <c r="J35" i="42" s="1"/>
  <c r="EF21" i="1"/>
  <c r="DO21" i="1"/>
  <c r="J47" i="99" s="1"/>
  <c r="DJ21" i="1"/>
  <c r="J46" i="99" s="1"/>
  <c r="DE21" i="1"/>
  <c r="J45" i="99" s="1"/>
  <c r="CZ21" i="1"/>
  <c r="J44" i="99" s="1"/>
  <c r="CU21" i="1"/>
  <c r="J43" i="99" s="1"/>
  <c r="CP21" i="1"/>
  <c r="J48" i="99" s="1"/>
  <c r="CK21" i="1"/>
  <c r="J50" i="99" s="1"/>
  <c r="CF21" i="1"/>
  <c r="J49" i="99" s="1"/>
  <c r="BV21" i="1"/>
  <c r="J42" i="99" s="1"/>
  <c r="BQ21" i="1"/>
  <c r="J41" i="99" s="1"/>
  <c r="BL21" i="1"/>
  <c r="J40" i="99" s="1"/>
  <c r="BG21" i="1"/>
  <c r="J39" i="99" s="1"/>
  <c r="BB21" i="1"/>
  <c r="J38" i="99" s="1"/>
  <c r="AR21" i="1"/>
  <c r="J36" i="99" s="1"/>
  <c r="AI21" i="1"/>
  <c r="J51" i="99" s="1"/>
  <c r="AD21" i="1"/>
  <c r="J52" i="99" s="1"/>
  <c r="Y21" i="1"/>
  <c r="J34" i="99" s="1"/>
  <c r="S21" i="1"/>
  <c r="J29" i="99" s="1"/>
  <c r="M21" i="1"/>
  <c r="J35" i="99" s="1"/>
  <c r="EF20" i="1"/>
  <c r="DO20" i="1"/>
  <c r="J47" i="98" s="1"/>
  <c r="DJ20" i="1"/>
  <c r="J46" i="98" s="1"/>
  <c r="DE20" i="1"/>
  <c r="J45" i="98" s="1"/>
  <c r="CZ20" i="1"/>
  <c r="J44" i="98" s="1"/>
  <c r="CU20" i="1"/>
  <c r="J43" i="98" s="1"/>
  <c r="CP20" i="1"/>
  <c r="J48" i="98" s="1"/>
  <c r="CK20" i="1"/>
  <c r="J50" i="98" s="1"/>
  <c r="CF20" i="1"/>
  <c r="J49" i="98" s="1"/>
  <c r="BV20" i="1"/>
  <c r="J42" i="98" s="1"/>
  <c r="BQ20" i="1"/>
  <c r="J41" i="98" s="1"/>
  <c r="BL20" i="1"/>
  <c r="J40" i="98" s="1"/>
  <c r="BG20" i="1"/>
  <c r="J39" i="98" s="1"/>
  <c r="BB20" i="1"/>
  <c r="J38" i="98" s="1"/>
  <c r="AR20" i="1"/>
  <c r="AI20" i="1"/>
  <c r="J51" i="98" s="1"/>
  <c r="AD20" i="1"/>
  <c r="J52" i="98" s="1"/>
  <c r="Y20" i="1"/>
  <c r="J34" i="98" s="1"/>
  <c r="S20" i="1"/>
  <c r="J29" i="98" s="1"/>
  <c r="M20" i="1"/>
  <c r="J35" i="98" s="1"/>
  <c r="EF19" i="1"/>
  <c r="DO19" i="1"/>
  <c r="J47" i="97" s="1"/>
  <c r="DJ19" i="1"/>
  <c r="J46" i="97" s="1"/>
  <c r="DE19" i="1"/>
  <c r="J45" i="97" s="1"/>
  <c r="CZ19" i="1"/>
  <c r="J44" i="97" s="1"/>
  <c r="CU19" i="1"/>
  <c r="J42" i="97" s="1"/>
  <c r="CP19" i="1"/>
  <c r="J48" i="97" s="1"/>
  <c r="CK19" i="1"/>
  <c r="J50" i="97" s="1"/>
  <c r="CF19" i="1"/>
  <c r="J49" i="97" s="1"/>
  <c r="BV19" i="1"/>
  <c r="J43" i="97" s="1"/>
  <c r="BQ19" i="1"/>
  <c r="J41" i="97" s="1"/>
  <c r="BL19" i="1"/>
  <c r="J40" i="97" s="1"/>
  <c r="BG19" i="1"/>
  <c r="J39" i="97" s="1"/>
  <c r="BB19" i="1"/>
  <c r="J38" i="97" s="1"/>
  <c r="AR19" i="1"/>
  <c r="AI19" i="1"/>
  <c r="J51" i="97" s="1"/>
  <c r="AD19" i="1"/>
  <c r="J52" i="97" s="1"/>
  <c r="Y19" i="1"/>
  <c r="J34" i="97" s="1"/>
  <c r="S19" i="1"/>
  <c r="J29" i="97" s="1"/>
  <c r="M19" i="1"/>
  <c r="J35" i="97" s="1"/>
  <c r="EF18" i="1"/>
  <c r="DO18" i="1"/>
  <c r="J47" i="96" s="1"/>
  <c r="DJ18" i="1"/>
  <c r="J46" i="96" s="1"/>
  <c r="DE18" i="1"/>
  <c r="J45" i="96" s="1"/>
  <c r="CZ18" i="1"/>
  <c r="J44" i="96" s="1"/>
  <c r="CU18" i="1"/>
  <c r="J43" i="96" s="1"/>
  <c r="CP18" i="1"/>
  <c r="J48" i="96" s="1"/>
  <c r="CK18" i="1"/>
  <c r="J50" i="96" s="1"/>
  <c r="CF18" i="1"/>
  <c r="J49" i="96" s="1"/>
  <c r="BV18" i="1"/>
  <c r="J42" i="96" s="1"/>
  <c r="BQ18" i="1"/>
  <c r="J41" i="96" s="1"/>
  <c r="BL18" i="1"/>
  <c r="J40" i="96" s="1"/>
  <c r="BG18" i="1"/>
  <c r="J39" i="96" s="1"/>
  <c r="BB18" i="1"/>
  <c r="AR18" i="1"/>
  <c r="J36" i="96" s="1"/>
  <c r="AI18" i="1"/>
  <c r="J51" i="96" s="1"/>
  <c r="AD18" i="1"/>
  <c r="J52" i="96" s="1"/>
  <c r="Y18" i="1"/>
  <c r="J34" i="96" s="1"/>
  <c r="S18" i="1"/>
  <c r="J29" i="96" s="1"/>
  <c r="M18" i="1"/>
  <c r="J35" i="96" s="1"/>
  <c r="EF17" i="1"/>
  <c r="DO17" i="1"/>
  <c r="J47" i="95" s="1"/>
  <c r="DJ17" i="1"/>
  <c r="J46" i="95" s="1"/>
  <c r="DE17" i="1"/>
  <c r="J45" i="95" s="1"/>
  <c r="CZ17" i="1"/>
  <c r="J44" i="95" s="1"/>
  <c r="CU17" i="1"/>
  <c r="J43" i="95" s="1"/>
  <c r="CP17" i="1"/>
  <c r="J48" i="95" s="1"/>
  <c r="CK17" i="1"/>
  <c r="J50" i="95" s="1"/>
  <c r="CF17" i="1"/>
  <c r="J49" i="95" s="1"/>
  <c r="BV17" i="1"/>
  <c r="J42" i="95" s="1"/>
  <c r="BQ17" i="1"/>
  <c r="J41" i="95" s="1"/>
  <c r="BL17" i="1"/>
  <c r="J40" i="95" s="1"/>
  <c r="BG17" i="1"/>
  <c r="J39" i="95" s="1"/>
  <c r="BB17" i="1"/>
  <c r="J38" i="95" s="1"/>
  <c r="AR17" i="1"/>
  <c r="J36" i="95" s="1"/>
  <c r="AI17" i="1"/>
  <c r="J51" i="95" s="1"/>
  <c r="AD17" i="1"/>
  <c r="J52" i="95" s="1"/>
  <c r="Y17" i="1"/>
  <c r="J34" i="95" s="1"/>
  <c r="S17" i="1"/>
  <c r="J29" i="95" s="1"/>
  <c r="M17" i="1"/>
  <c r="J35" i="95" s="1"/>
  <c r="EF16" i="1"/>
  <c r="DO16" i="1"/>
  <c r="J47" i="94" s="1"/>
  <c r="DJ16" i="1"/>
  <c r="J46" i="94" s="1"/>
  <c r="DE16" i="1"/>
  <c r="J45" i="94" s="1"/>
  <c r="CZ16" i="1"/>
  <c r="J44" i="94" s="1"/>
  <c r="CU16" i="1"/>
  <c r="J43" i="94" s="1"/>
  <c r="CP16" i="1"/>
  <c r="J48" i="94" s="1"/>
  <c r="CK16" i="1"/>
  <c r="J50" i="94" s="1"/>
  <c r="CF16" i="1"/>
  <c r="J49" i="94" s="1"/>
  <c r="BV16" i="1"/>
  <c r="J42" i="94" s="1"/>
  <c r="BQ16" i="1"/>
  <c r="J41" i="94" s="1"/>
  <c r="BL16" i="1"/>
  <c r="J40" i="94" s="1"/>
  <c r="BG16" i="1"/>
  <c r="J39" i="94" s="1"/>
  <c r="BB16" i="1"/>
  <c r="J38" i="94" s="1"/>
  <c r="AR16" i="1"/>
  <c r="J36" i="94" s="1"/>
  <c r="AI16" i="1"/>
  <c r="J51" i="94" s="1"/>
  <c r="AD16" i="1"/>
  <c r="J52" i="94" s="1"/>
  <c r="Y16" i="1"/>
  <c r="J34" i="94" s="1"/>
  <c r="S16" i="1"/>
  <c r="J29" i="94" s="1"/>
  <c r="M16" i="1"/>
  <c r="J35" i="94" s="1"/>
  <c r="EF15" i="1"/>
  <c r="DO15" i="1"/>
  <c r="J47" i="93" s="1"/>
  <c r="DJ15" i="1"/>
  <c r="J46" i="93" s="1"/>
  <c r="DE15" i="1"/>
  <c r="J45" i="93" s="1"/>
  <c r="CZ15" i="1"/>
  <c r="J44" i="93" s="1"/>
  <c r="CU15" i="1"/>
  <c r="J43" i="93" s="1"/>
  <c r="CP15" i="1"/>
  <c r="J48" i="93" s="1"/>
  <c r="CK15" i="1"/>
  <c r="J50" i="93" s="1"/>
  <c r="CF15" i="1"/>
  <c r="J49" i="93" s="1"/>
  <c r="BV15" i="1"/>
  <c r="J42" i="93" s="1"/>
  <c r="BQ15" i="1"/>
  <c r="J41" i="93" s="1"/>
  <c r="BL15" i="1"/>
  <c r="J40" i="93" s="1"/>
  <c r="BG15" i="1"/>
  <c r="J39" i="93" s="1"/>
  <c r="BB15" i="1"/>
  <c r="J38" i="93" s="1"/>
  <c r="AR15" i="1"/>
  <c r="J36" i="93" s="1"/>
  <c r="AI15" i="1"/>
  <c r="J51" i="93" s="1"/>
  <c r="AD15" i="1"/>
  <c r="J52" i="93" s="1"/>
  <c r="Y15" i="1"/>
  <c r="J34" i="93" s="1"/>
  <c r="S15" i="1"/>
  <c r="J29" i="93" s="1"/>
  <c r="M15" i="1"/>
  <c r="J35" i="93" s="1"/>
  <c r="EF14" i="1"/>
  <c r="DO14" i="1"/>
  <c r="J47" i="92" s="1"/>
  <c r="DJ14" i="1"/>
  <c r="J46" i="92" s="1"/>
  <c r="DE14" i="1"/>
  <c r="J45" i="92" s="1"/>
  <c r="CZ14" i="1"/>
  <c r="J44" i="92" s="1"/>
  <c r="CU14" i="1"/>
  <c r="J43" i="92" s="1"/>
  <c r="CP14" i="1"/>
  <c r="J48" i="92" s="1"/>
  <c r="CK14" i="1"/>
  <c r="J50" i="92" s="1"/>
  <c r="CF14" i="1"/>
  <c r="J49" i="92" s="1"/>
  <c r="BV14" i="1"/>
  <c r="J42" i="92" s="1"/>
  <c r="BQ14" i="1"/>
  <c r="J41" i="92" s="1"/>
  <c r="BL14" i="1"/>
  <c r="J40" i="92" s="1"/>
  <c r="BG14" i="1"/>
  <c r="J39" i="92" s="1"/>
  <c r="BB14" i="1"/>
  <c r="J38" i="92" s="1"/>
  <c r="AR14" i="1"/>
  <c r="J36" i="92" s="1"/>
  <c r="AI14" i="1"/>
  <c r="J51" i="92" s="1"/>
  <c r="AD14" i="1"/>
  <c r="J52" i="92" s="1"/>
  <c r="Y14" i="1"/>
  <c r="J34" i="92" s="1"/>
  <c r="S14" i="1"/>
  <c r="M14" i="1"/>
  <c r="J35" i="92" s="1"/>
  <c r="EF13" i="1"/>
  <c r="DO13" i="1"/>
  <c r="J47" i="91" s="1"/>
  <c r="DJ13" i="1"/>
  <c r="J46" i="91" s="1"/>
  <c r="DE13" i="1"/>
  <c r="J45" i="91" s="1"/>
  <c r="CZ13" i="1"/>
  <c r="J44" i="91" s="1"/>
  <c r="CU13" i="1"/>
  <c r="J43" i="91" s="1"/>
  <c r="CP13" i="1"/>
  <c r="J48" i="91" s="1"/>
  <c r="CK13" i="1"/>
  <c r="J50" i="91" s="1"/>
  <c r="CF13" i="1"/>
  <c r="J49" i="91" s="1"/>
  <c r="BV13" i="1"/>
  <c r="J42" i="91" s="1"/>
  <c r="BQ13" i="1"/>
  <c r="J41" i="91" s="1"/>
  <c r="BL13" i="1"/>
  <c r="J40" i="91" s="1"/>
  <c r="BG13" i="1"/>
  <c r="J39" i="91" s="1"/>
  <c r="BB13" i="1"/>
  <c r="J38" i="91" s="1"/>
  <c r="AR13" i="1"/>
  <c r="J36" i="91" s="1"/>
  <c r="AI13" i="1"/>
  <c r="J51" i="91" s="1"/>
  <c r="AD13" i="1"/>
  <c r="J52" i="91" s="1"/>
  <c r="Y13" i="1"/>
  <c r="J34" i="91" s="1"/>
  <c r="S13" i="1"/>
  <c r="J29" i="91" s="1"/>
  <c r="M13" i="1"/>
  <c r="J35" i="91" s="1"/>
  <c r="EF12" i="1"/>
  <c r="DO12" i="1"/>
  <c r="J47" i="90" s="1"/>
  <c r="DJ12" i="1"/>
  <c r="J46" i="90" s="1"/>
  <c r="DE12" i="1"/>
  <c r="J45" i="90" s="1"/>
  <c r="CZ12" i="1"/>
  <c r="J44" i="90" s="1"/>
  <c r="CU12" i="1"/>
  <c r="J43" i="90" s="1"/>
  <c r="CP12" i="1"/>
  <c r="J48" i="90" s="1"/>
  <c r="CK12" i="1"/>
  <c r="J50" i="90" s="1"/>
  <c r="CF12" i="1"/>
  <c r="J49" i="90" s="1"/>
  <c r="BV12" i="1"/>
  <c r="J42" i="90" s="1"/>
  <c r="BQ12" i="1"/>
  <c r="J41" i="90" s="1"/>
  <c r="BL12" i="1"/>
  <c r="J40" i="90" s="1"/>
  <c r="BG12" i="1"/>
  <c r="J39" i="90" s="1"/>
  <c r="BB12" i="1"/>
  <c r="J38" i="90" s="1"/>
  <c r="AR12" i="1"/>
  <c r="J36" i="90" s="1"/>
  <c r="AI12" i="1"/>
  <c r="J51" i="90" s="1"/>
  <c r="AD12" i="1"/>
  <c r="J52" i="90" s="1"/>
  <c r="Y12" i="1"/>
  <c r="J34" i="90" s="1"/>
  <c r="S12" i="1"/>
  <c r="J29" i="90" s="1"/>
  <c r="M12" i="1"/>
  <c r="J35" i="90" s="1"/>
  <c r="EF11" i="1"/>
  <c r="DO11" i="1"/>
  <c r="J47" i="89" s="1"/>
  <c r="DJ11" i="1"/>
  <c r="J46" i="89" s="1"/>
  <c r="DE11" i="1"/>
  <c r="J45" i="89" s="1"/>
  <c r="CZ11" i="1"/>
  <c r="J44" i="89" s="1"/>
  <c r="CU11" i="1"/>
  <c r="J43" i="89" s="1"/>
  <c r="CP11" i="1"/>
  <c r="J48" i="89" s="1"/>
  <c r="CK11" i="1"/>
  <c r="J50" i="89" s="1"/>
  <c r="CF11" i="1"/>
  <c r="J49" i="89" s="1"/>
  <c r="BV11" i="1"/>
  <c r="J42" i="89" s="1"/>
  <c r="BQ11" i="1"/>
  <c r="J41" i="89" s="1"/>
  <c r="BL11" i="1"/>
  <c r="J40" i="89" s="1"/>
  <c r="BG11" i="1"/>
  <c r="J39" i="89" s="1"/>
  <c r="BB11" i="1"/>
  <c r="J38" i="89" s="1"/>
  <c r="AR11" i="1"/>
  <c r="J36" i="89" s="1"/>
  <c r="AI11" i="1"/>
  <c r="J51" i="89" s="1"/>
  <c r="AD11" i="1"/>
  <c r="J52" i="89" s="1"/>
  <c r="Y11" i="1"/>
  <c r="J34" i="89" s="1"/>
  <c r="S11" i="1"/>
  <c r="J29" i="89" s="1"/>
  <c r="M11" i="1"/>
  <c r="J35" i="89" s="1"/>
  <c r="EF10" i="1"/>
  <c r="J32" i="88"/>
  <c r="DO10" i="1"/>
  <c r="J47" i="88" s="1"/>
  <c r="DJ10" i="1"/>
  <c r="J46" i="88" s="1"/>
  <c r="DE10" i="1"/>
  <c r="J45" i="88" s="1"/>
  <c r="CZ10" i="1"/>
  <c r="J44" i="88" s="1"/>
  <c r="CU10" i="1"/>
  <c r="J43" i="88" s="1"/>
  <c r="CP10" i="1"/>
  <c r="J48" i="88" s="1"/>
  <c r="CK10" i="1"/>
  <c r="J50" i="88" s="1"/>
  <c r="CF10" i="1"/>
  <c r="J49" i="88" s="1"/>
  <c r="BV10" i="1"/>
  <c r="J42" i="88" s="1"/>
  <c r="BQ10" i="1"/>
  <c r="J41" i="88" s="1"/>
  <c r="BL10" i="1"/>
  <c r="J40" i="88" s="1"/>
  <c r="BG10" i="1"/>
  <c r="J39" i="88" s="1"/>
  <c r="BB10" i="1"/>
  <c r="J38" i="88" s="1"/>
  <c r="J37" i="88"/>
  <c r="AR10" i="1"/>
  <c r="J36" i="88" s="1"/>
  <c r="AI10" i="1"/>
  <c r="J51" i="88" s="1"/>
  <c r="AD10" i="1"/>
  <c r="J52" i="88" s="1"/>
  <c r="Y10" i="1"/>
  <c r="J34" i="88" s="1"/>
  <c r="S10" i="1"/>
  <c r="J29" i="88" s="1"/>
  <c r="M10" i="1"/>
  <c r="J35" i="88" s="1"/>
  <c r="EF9" i="1"/>
  <c r="J32" i="87"/>
  <c r="DO9" i="1"/>
  <c r="J47" i="87" s="1"/>
  <c r="DJ9" i="1"/>
  <c r="J46" i="87" s="1"/>
  <c r="DE9" i="1"/>
  <c r="J45" i="87" s="1"/>
  <c r="CZ9" i="1"/>
  <c r="J44" i="87" s="1"/>
  <c r="CU9" i="1"/>
  <c r="J43" i="87" s="1"/>
  <c r="CP9" i="1"/>
  <c r="J48" i="87" s="1"/>
  <c r="CK9" i="1"/>
  <c r="J50" i="87" s="1"/>
  <c r="CF9" i="1"/>
  <c r="J49" i="87" s="1"/>
  <c r="BV9" i="1"/>
  <c r="J42" i="87" s="1"/>
  <c r="BQ9" i="1"/>
  <c r="J41" i="87" s="1"/>
  <c r="BL9" i="1"/>
  <c r="J40" i="87" s="1"/>
  <c r="BG9" i="1"/>
  <c r="J39" i="87" s="1"/>
  <c r="BB9" i="1"/>
  <c r="J38" i="87" s="1"/>
  <c r="J37" i="87"/>
  <c r="AR9" i="1"/>
  <c r="J36" i="87" s="1"/>
  <c r="AI9" i="1"/>
  <c r="J51" i="87" s="1"/>
  <c r="AD9" i="1"/>
  <c r="J52" i="87" s="1"/>
  <c r="Y9" i="1"/>
  <c r="J34" i="87" s="1"/>
  <c r="S9" i="1"/>
  <c r="J29" i="87" s="1"/>
  <c r="M9" i="1"/>
  <c r="J35" i="87" s="1"/>
  <c r="EF8" i="1"/>
  <c r="J32" i="86"/>
  <c r="DO8" i="1"/>
  <c r="J47" i="86" s="1"/>
  <c r="DJ8" i="1"/>
  <c r="J46" i="86" s="1"/>
  <c r="DE8" i="1"/>
  <c r="J45" i="86" s="1"/>
  <c r="CZ8" i="1"/>
  <c r="J44" i="86" s="1"/>
  <c r="CU8" i="1"/>
  <c r="J43" i="86" s="1"/>
  <c r="CP8" i="1"/>
  <c r="J48" i="86" s="1"/>
  <c r="CK8" i="1"/>
  <c r="J50" i="86" s="1"/>
  <c r="CF8" i="1"/>
  <c r="J49" i="86" s="1"/>
  <c r="BV8" i="1"/>
  <c r="J42" i="86" s="1"/>
  <c r="BQ8" i="1"/>
  <c r="J41" i="86" s="1"/>
  <c r="BL8" i="1"/>
  <c r="J40" i="86" s="1"/>
  <c r="BG8" i="1"/>
  <c r="J39" i="86" s="1"/>
  <c r="BB8" i="1"/>
  <c r="J38" i="86" s="1"/>
  <c r="J37" i="86"/>
  <c r="AR8" i="1"/>
  <c r="J36" i="86" s="1"/>
  <c r="AI8" i="1"/>
  <c r="J51" i="86" s="1"/>
  <c r="AD8" i="1"/>
  <c r="J52" i="86" s="1"/>
  <c r="Y8" i="1"/>
  <c r="J34" i="86" s="1"/>
  <c r="S8" i="1"/>
  <c r="J29" i="86" s="1"/>
  <c r="M8" i="1"/>
  <c r="J35" i="86" s="1"/>
  <c r="EF7" i="1"/>
  <c r="J32" i="85"/>
  <c r="DO7" i="1"/>
  <c r="J47" i="85" s="1"/>
  <c r="DJ7" i="1"/>
  <c r="J46" i="85" s="1"/>
  <c r="DE7" i="1"/>
  <c r="J45" i="85" s="1"/>
  <c r="CZ7" i="1"/>
  <c r="J44" i="85" s="1"/>
  <c r="CU7" i="1"/>
  <c r="J43" i="85" s="1"/>
  <c r="CP7" i="1"/>
  <c r="J48" i="85" s="1"/>
  <c r="CK7" i="1"/>
  <c r="J50" i="85" s="1"/>
  <c r="CF7" i="1"/>
  <c r="J49" i="85" s="1"/>
  <c r="BV7" i="1"/>
  <c r="J42" i="85" s="1"/>
  <c r="BQ7" i="1"/>
  <c r="J41" i="85" s="1"/>
  <c r="BL7" i="1"/>
  <c r="J40" i="85" s="1"/>
  <c r="BG7" i="1"/>
  <c r="J39" i="85" s="1"/>
  <c r="BB7" i="1"/>
  <c r="J38" i="85" s="1"/>
  <c r="J37" i="85"/>
  <c r="AR7" i="1"/>
  <c r="J36" i="85" s="1"/>
  <c r="AI7" i="1"/>
  <c r="J51" i="85" s="1"/>
  <c r="AD7" i="1"/>
  <c r="J52" i="85" s="1"/>
  <c r="Y7" i="1"/>
  <c r="J34" i="85" s="1"/>
  <c r="S7" i="1"/>
  <c r="J29" i="85" s="1"/>
  <c r="M7" i="1"/>
  <c r="J35" i="85" s="1"/>
  <c r="EF6" i="1"/>
  <c r="J32" i="84"/>
  <c r="DO6" i="1"/>
  <c r="J47" i="84" s="1"/>
  <c r="DJ6" i="1"/>
  <c r="J46" i="84" s="1"/>
  <c r="DE6" i="1"/>
  <c r="J45" i="84" s="1"/>
  <c r="CZ6" i="1"/>
  <c r="J44" i="84" s="1"/>
  <c r="CU6" i="1"/>
  <c r="J43" i="84" s="1"/>
  <c r="CP6" i="1"/>
  <c r="J48" i="84" s="1"/>
  <c r="CK6" i="1"/>
  <c r="CF6" i="1"/>
  <c r="J49" i="84" s="1"/>
  <c r="BV6" i="1"/>
  <c r="J42" i="84" s="1"/>
  <c r="BQ6" i="1"/>
  <c r="J41" i="84" s="1"/>
  <c r="BL6" i="1"/>
  <c r="J40" i="84" s="1"/>
  <c r="BG6" i="1"/>
  <c r="J39" i="84" s="1"/>
  <c r="BB6" i="1"/>
  <c r="J38" i="84" s="1"/>
  <c r="J37" i="84"/>
  <c r="AR6" i="1"/>
  <c r="J36" i="84" s="1"/>
  <c r="AI6" i="1"/>
  <c r="J51" i="84" s="1"/>
  <c r="AD6" i="1"/>
  <c r="J52" i="84" s="1"/>
  <c r="Y6" i="1"/>
  <c r="J34" i="84" s="1"/>
  <c r="S6" i="1"/>
  <c r="J29" i="84" s="1"/>
  <c r="M6" i="1"/>
  <c r="J35" i="84" s="1"/>
  <c r="EF5" i="1"/>
  <c r="J32" i="82"/>
  <c r="DO5" i="1"/>
  <c r="J47" i="82" s="1"/>
  <c r="DJ5" i="1"/>
  <c r="J46" i="82" s="1"/>
  <c r="DE5" i="1"/>
  <c r="J45" i="82" s="1"/>
  <c r="CZ5" i="1"/>
  <c r="J44" i="82" s="1"/>
  <c r="CU5" i="1"/>
  <c r="J43" i="82" s="1"/>
  <c r="CP5" i="1"/>
  <c r="J48" i="82" s="1"/>
  <c r="CK5" i="1"/>
  <c r="CF5" i="1"/>
  <c r="J49" i="82" s="1"/>
  <c r="BV5" i="1"/>
  <c r="J42" i="82" s="1"/>
  <c r="BQ5" i="1"/>
  <c r="J41" i="82" s="1"/>
  <c r="BL5" i="1"/>
  <c r="J40" i="82" s="1"/>
  <c r="BG5" i="1"/>
  <c r="J39" i="82" s="1"/>
  <c r="BB5" i="1"/>
  <c r="J38" i="82" s="1"/>
  <c r="J37" i="82"/>
  <c r="AR5" i="1"/>
  <c r="J36" i="82" s="1"/>
  <c r="AI5" i="1"/>
  <c r="J51" i="82" s="1"/>
  <c r="AD5" i="1"/>
  <c r="Y5" i="1"/>
  <c r="J34" i="82" s="1"/>
  <c r="S5" i="1"/>
  <c r="M5" i="1"/>
  <c r="J35" i="82" s="1"/>
  <c r="EF4" i="1"/>
  <c r="J32" i="81"/>
  <c r="DO4" i="1"/>
  <c r="J47" i="81" s="1"/>
  <c r="DJ4" i="1"/>
  <c r="J46" i="81" s="1"/>
  <c r="DE4" i="1"/>
  <c r="J45" i="81" s="1"/>
  <c r="CZ4" i="1"/>
  <c r="J44" i="81" s="1"/>
  <c r="CU4" i="1"/>
  <c r="J43" i="81" s="1"/>
  <c r="CP4" i="1"/>
  <c r="J48" i="81" s="1"/>
  <c r="CK4" i="1"/>
  <c r="CF4" i="1"/>
  <c r="J49" i="81" s="1"/>
  <c r="BX4" i="1"/>
  <c r="CB4" i="1" s="1"/>
  <c r="BX5" i="1" s="1"/>
  <c r="F20" i="82" s="1"/>
  <c r="BV4" i="1"/>
  <c r="J42" i="81" s="1"/>
  <c r="BQ4" i="1"/>
  <c r="J41" i="81" s="1"/>
  <c r="BL4" i="1"/>
  <c r="J40" i="81" s="1"/>
  <c r="BG4" i="1"/>
  <c r="J39" i="81" s="1"/>
  <c r="BB4" i="1"/>
  <c r="J38" i="81" s="1"/>
  <c r="J37" i="81"/>
  <c r="AR4" i="1"/>
  <c r="J36" i="81" s="1"/>
  <c r="AI4" i="1"/>
  <c r="J51" i="81" s="1"/>
  <c r="AD4" i="1"/>
  <c r="J52" i="81" s="1"/>
  <c r="Y4" i="1"/>
  <c r="J34" i="81" s="1"/>
  <c r="S4" i="1"/>
  <c r="J29" i="81" s="1"/>
  <c r="M4" i="1"/>
  <c r="J35" i="81" s="1"/>
  <c r="EF3" i="1"/>
  <c r="DZ3" i="1"/>
  <c r="DV4" i="1" s="1"/>
  <c r="DU3" i="1"/>
  <c r="DQ4" i="1" s="1"/>
  <c r="DO3" i="1"/>
  <c r="J47" i="80" s="1"/>
  <c r="DJ3" i="1"/>
  <c r="DK3" i="1" s="1"/>
  <c r="DE3" i="1"/>
  <c r="DF3" i="1" s="1"/>
  <c r="CZ3" i="1"/>
  <c r="DA3" i="1" s="1"/>
  <c r="CU3" i="1"/>
  <c r="CV3" i="1" s="1"/>
  <c r="CP3" i="1"/>
  <c r="CQ3" i="1" s="1"/>
  <c r="CM4" i="1" s="1"/>
  <c r="CK3" i="1"/>
  <c r="CL3" i="1" s="1"/>
  <c r="CH4" i="1" s="1"/>
  <c r="F50" i="81" s="1"/>
  <c r="CF3" i="1"/>
  <c r="CG3" i="1" s="1"/>
  <c r="CC4" i="1" s="1"/>
  <c r="BV3" i="1"/>
  <c r="BQ3" i="1"/>
  <c r="BR3" i="1" s="1"/>
  <c r="BN4" i="1" s="1"/>
  <c r="BL3" i="1"/>
  <c r="BM3" i="1" s="1"/>
  <c r="BG3" i="1"/>
  <c r="EG3" i="1" s="1"/>
  <c r="BB3" i="1"/>
  <c r="BC3" i="1" s="1"/>
  <c r="AY4" i="1" s="1"/>
  <c r="AR3" i="1"/>
  <c r="AN3" i="1"/>
  <c r="AK4" i="1" s="1"/>
  <c r="AN4" i="1" s="1"/>
  <c r="AK5" i="1" s="1"/>
  <c r="AI3" i="1"/>
  <c r="J51" i="80" s="1"/>
  <c r="AD3" i="1"/>
  <c r="J52" i="80" s="1"/>
  <c r="Y3" i="1"/>
  <c r="S3" i="1"/>
  <c r="J29" i="80" s="1"/>
  <c r="M3" i="1"/>
  <c r="O3" i="1" s="1"/>
  <c r="J3" i="1"/>
  <c r="F3" i="1"/>
  <c r="C4" i="1" s="1"/>
  <c r="M20" i="82" l="1"/>
  <c r="I20" i="82"/>
  <c r="I20" i="84" s="1"/>
  <c r="I20" i="85" s="1"/>
  <c r="I20" i="86" s="1"/>
  <c r="I20" i="87" s="1"/>
  <c r="I20" i="88" s="1"/>
  <c r="I20" i="89" s="1"/>
  <c r="I20" i="90" s="1"/>
  <c r="I20" i="91" s="1"/>
  <c r="I20" i="92" s="1"/>
  <c r="I20" i="93" s="1"/>
  <c r="I20" i="94" s="1"/>
  <c r="I20" i="95" s="1"/>
  <c r="I20" i="96" s="1"/>
  <c r="I20" i="97" s="1"/>
  <c r="I20" i="98" s="1"/>
  <c r="I20" i="99" s="1"/>
  <c r="I20" i="42" s="1"/>
  <c r="I20" i="68" s="1"/>
  <c r="I20" i="69" s="1"/>
  <c r="I20" i="70" s="1"/>
  <c r="I20" i="72" s="1"/>
  <c r="I20" i="73" s="1"/>
  <c r="I20" i="74" s="1"/>
  <c r="I20" i="75" s="1"/>
  <c r="I20" i="76" s="1"/>
  <c r="I20" i="77" s="1"/>
  <c r="I20" i="78" s="1"/>
  <c r="I20" i="79" s="1"/>
  <c r="I26" i="82"/>
  <c r="I26" i="84" s="1"/>
  <c r="I26" i="85" s="1"/>
  <c r="I26" i="86" s="1"/>
  <c r="I26" i="87" s="1"/>
  <c r="I26" i="88" s="1"/>
  <c r="I26" i="89" s="1"/>
  <c r="I26" i="90" s="1"/>
  <c r="I26" i="91" s="1"/>
  <c r="I26" i="92" s="1"/>
  <c r="I26" i="93" s="1"/>
  <c r="I26" i="94" s="1"/>
  <c r="I26" i="95" s="1"/>
  <c r="I26" i="96" s="1"/>
  <c r="I26" i="97" s="1"/>
  <c r="I26" i="98" s="1"/>
  <c r="I26" i="99" s="1"/>
  <c r="I26" i="42" s="1"/>
  <c r="I26" i="68" s="1"/>
  <c r="I26" i="69" s="1"/>
  <c r="I26" i="70" s="1"/>
  <c r="I26" i="72" s="1"/>
  <c r="I26" i="73" s="1"/>
  <c r="I26" i="74" s="1"/>
  <c r="I26" i="75" s="1"/>
  <c r="I26" i="76" s="1"/>
  <c r="I26" i="77" s="1"/>
  <c r="I26" i="78" s="1"/>
  <c r="H29" i="82"/>
  <c r="H29" i="84" s="1"/>
  <c r="H29" i="85" s="1"/>
  <c r="H29" i="86" s="1"/>
  <c r="H29" i="87" s="1"/>
  <c r="H29" i="88" s="1"/>
  <c r="H29" i="89" s="1"/>
  <c r="H29" i="90" s="1"/>
  <c r="H29" i="91" s="1"/>
  <c r="H29" i="92" s="1"/>
  <c r="H29" i="93" s="1"/>
  <c r="H29" i="94" s="1"/>
  <c r="H29" i="95" s="1"/>
  <c r="H29" i="96" s="1"/>
  <c r="H29" i="97" s="1"/>
  <c r="H29" i="98" s="1"/>
  <c r="H29" i="99" s="1"/>
  <c r="H29" i="42" s="1"/>
  <c r="I17" i="82"/>
  <c r="I17" i="84" s="1"/>
  <c r="I17" i="85" s="1"/>
  <c r="I17" i="86" s="1"/>
  <c r="I17" i="87" s="1"/>
  <c r="I17" i="88" s="1"/>
  <c r="I17" i="89" s="1"/>
  <c r="I17" i="90" s="1"/>
  <c r="I17" i="91" s="1"/>
  <c r="I17" i="92" s="1"/>
  <c r="I17" i="93" s="1"/>
  <c r="I17" i="94" s="1"/>
  <c r="I17" i="95" s="1"/>
  <c r="I17" i="96" s="1"/>
  <c r="I17" i="97" s="1"/>
  <c r="I17" i="98" s="1"/>
  <c r="I17" i="99" s="1"/>
  <c r="I17" i="42" s="1"/>
  <c r="I17" i="68" s="1"/>
  <c r="I17" i="69" s="1"/>
  <c r="I17" i="70" s="1"/>
  <c r="I17" i="72" s="1"/>
  <c r="I17" i="73" s="1"/>
  <c r="I17" i="74" s="1"/>
  <c r="I17" i="75" s="1"/>
  <c r="I17" i="76" s="1"/>
  <c r="I17" i="77" s="1"/>
  <c r="I17" i="78" s="1"/>
  <c r="I17" i="79" s="1"/>
  <c r="I23" i="82"/>
  <c r="I23" i="84" s="1"/>
  <c r="I23" i="85" s="1"/>
  <c r="I23" i="86" s="1"/>
  <c r="I23" i="87" s="1"/>
  <c r="I23" i="88" s="1"/>
  <c r="I23" i="89" s="1"/>
  <c r="I23" i="90" s="1"/>
  <c r="I23" i="91" s="1"/>
  <c r="I23" i="92" s="1"/>
  <c r="I23" i="93" s="1"/>
  <c r="I23" i="94" s="1"/>
  <c r="I23" i="95" s="1"/>
  <c r="I23" i="96" s="1"/>
  <c r="I23" i="97" s="1"/>
  <c r="I23" i="98" s="1"/>
  <c r="I23" i="99" s="1"/>
  <c r="I23" i="42" s="1"/>
  <c r="I23" i="68" s="1"/>
  <c r="I23" i="69" s="1"/>
  <c r="I23" i="70" s="1"/>
  <c r="I23" i="72" s="1"/>
  <c r="I23" i="73" s="1"/>
  <c r="I23" i="74" s="1"/>
  <c r="I23" i="75" s="1"/>
  <c r="I23" i="76" s="1"/>
  <c r="I23" i="77" s="1"/>
  <c r="I23" i="78" s="1"/>
  <c r="I23" i="79" s="1"/>
  <c r="L11" i="86"/>
  <c r="L11" i="87" s="1"/>
  <c r="L11" i="88" s="1"/>
  <c r="L11" i="89" s="1"/>
  <c r="L11" i="90" s="1"/>
  <c r="L11" i="91" s="1"/>
  <c r="L11" i="92" s="1"/>
  <c r="L11" i="93" s="1"/>
  <c r="L11" i="94" s="1"/>
  <c r="L11" i="95" s="1"/>
  <c r="L11" i="96" s="1"/>
  <c r="L13" i="82"/>
  <c r="L13" i="84" s="1"/>
  <c r="L13" i="85" s="1"/>
  <c r="L13" i="86" s="1"/>
  <c r="L13" i="87" s="1"/>
  <c r="L13" i="88" s="1"/>
  <c r="L13" i="89" s="1"/>
  <c r="L13" i="90" s="1"/>
  <c r="L13" i="91" s="1"/>
  <c r="L13" i="92" s="1"/>
  <c r="L13" i="93" s="1"/>
  <c r="L13" i="94" s="1"/>
  <c r="L13" i="95" s="1"/>
  <c r="L13" i="96" s="1"/>
  <c r="L13" i="97" s="1"/>
  <c r="L13" i="98" s="1"/>
  <c r="L13" i="99" s="1"/>
  <c r="L13" i="42" s="1"/>
  <c r="L13" i="68" s="1"/>
  <c r="L13" i="69" s="1"/>
  <c r="L13" i="70" s="1"/>
  <c r="L13" i="72" s="1"/>
  <c r="L13" i="73" s="1"/>
  <c r="L13" i="74" s="1"/>
  <c r="L13" i="75" s="1"/>
  <c r="L13" i="76" s="1"/>
  <c r="L13" i="77" s="1"/>
  <c r="L13" i="78" s="1"/>
  <c r="L13" i="79" s="1"/>
  <c r="L15" i="81"/>
  <c r="L15" i="82" s="1"/>
  <c r="L15" i="84" s="1"/>
  <c r="L15" i="85" s="1"/>
  <c r="L15" i="86" s="1"/>
  <c r="L15" i="87" s="1"/>
  <c r="L15" i="88" s="1"/>
  <c r="L15" i="89" s="1"/>
  <c r="L15" i="90" s="1"/>
  <c r="L15" i="91" s="1"/>
  <c r="L15" i="92" s="1"/>
  <c r="L15" i="93" s="1"/>
  <c r="L15" i="94" s="1"/>
  <c r="L15" i="95" s="1"/>
  <c r="L15" i="96" s="1"/>
  <c r="L15" i="97" s="1"/>
  <c r="L15" i="98" s="1"/>
  <c r="L15" i="99" s="1"/>
  <c r="L15" i="42" s="1"/>
  <c r="L15" i="68" s="1"/>
  <c r="L15" i="69" s="1"/>
  <c r="L15" i="70" s="1"/>
  <c r="L15" i="72" s="1"/>
  <c r="L15" i="73" s="1"/>
  <c r="L15" i="74" s="1"/>
  <c r="L15" i="75" s="1"/>
  <c r="L15" i="76" s="1"/>
  <c r="L15" i="77" s="1"/>
  <c r="L15" i="78" s="1"/>
  <c r="L15" i="79" s="1"/>
  <c r="L19" i="82"/>
  <c r="L19" i="84" s="1"/>
  <c r="L19" i="85" s="1"/>
  <c r="L19" i="86" s="1"/>
  <c r="L19" i="87" s="1"/>
  <c r="L19" i="88" s="1"/>
  <c r="L19" i="89" s="1"/>
  <c r="L19" i="90" s="1"/>
  <c r="L19" i="91" s="1"/>
  <c r="L19" i="92" s="1"/>
  <c r="L19" i="93" s="1"/>
  <c r="L19" i="94" s="1"/>
  <c r="L19" i="95" s="1"/>
  <c r="L19" i="96" s="1"/>
  <c r="L19" i="97" s="1"/>
  <c r="L19" i="98" s="1"/>
  <c r="L19" i="99" s="1"/>
  <c r="L19" i="42" s="1"/>
  <c r="L19" i="68" s="1"/>
  <c r="L19" i="69" s="1"/>
  <c r="L19" i="70" s="1"/>
  <c r="L19" i="72" s="1"/>
  <c r="L19" i="73" s="1"/>
  <c r="L19" i="74" s="1"/>
  <c r="L19" i="75" s="1"/>
  <c r="L19" i="76" s="1"/>
  <c r="L19" i="77" s="1"/>
  <c r="L19" i="78" s="1"/>
  <c r="L19" i="79" s="1"/>
  <c r="L21" i="81"/>
  <c r="L21" i="82" s="1"/>
  <c r="L21" i="84" s="1"/>
  <c r="L21" i="85" s="1"/>
  <c r="L21" i="86" s="1"/>
  <c r="L21" i="87" s="1"/>
  <c r="L21" i="88" s="1"/>
  <c r="L21" i="89" s="1"/>
  <c r="L21" i="90" s="1"/>
  <c r="L21" i="91" s="1"/>
  <c r="L21" i="92" s="1"/>
  <c r="L21" i="93" s="1"/>
  <c r="L21" i="94" s="1"/>
  <c r="L21" i="95" s="1"/>
  <c r="L21" i="96" s="1"/>
  <c r="L21" i="97" s="1"/>
  <c r="L21" i="98" s="1"/>
  <c r="L21" i="99" s="1"/>
  <c r="L21" i="42" s="1"/>
  <c r="L21" i="68" s="1"/>
  <c r="L21" i="69" s="1"/>
  <c r="L21" i="70" s="1"/>
  <c r="L21" i="72" s="1"/>
  <c r="L21" i="73" s="1"/>
  <c r="L21" i="74" s="1"/>
  <c r="L21" i="75" s="1"/>
  <c r="L21" i="76" s="1"/>
  <c r="L21" i="77" s="1"/>
  <c r="L21" i="78" s="1"/>
  <c r="L21" i="79" s="1"/>
  <c r="I52" i="86"/>
  <c r="I52" i="87" s="1"/>
  <c r="I52" i="88" s="1"/>
  <c r="I52" i="89" s="1"/>
  <c r="I52" i="90" s="1"/>
  <c r="I52" i="91" s="1"/>
  <c r="I52" i="92" s="1"/>
  <c r="I52" i="93" s="1"/>
  <c r="I52" i="94" s="1"/>
  <c r="I52" i="95" s="1"/>
  <c r="I52" i="96" s="1"/>
  <c r="I52" i="97" s="1"/>
  <c r="I52" i="98" s="1"/>
  <c r="I52" i="99" s="1"/>
  <c r="I52" i="42" s="1"/>
  <c r="I52" i="68" s="1"/>
  <c r="I52" i="69" s="1"/>
  <c r="I52" i="70" s="1"/>
  <c r="I52" i="72" s="1"/>
  <c r="I52" i="73" s="1"/>
  <c r="I52" i="74" s="1"/>
  <c r="I52" i="75" s="1"/>
  <c r="I52" i="76" s="1"/>
  <c r="I52" i="77" s="1"/>
  <c r="I52" i="78" s="1"/>
  <c r="I51" i="79" s="1"/>
  <c r="I6" i="82"/>
  <c r="I6" i="84" s="1"/>
  <c r="I6" i="85" s="1"/>
  <c r="G53" i="87"/>
  <c r="H8" i="81"/>
  <c r="H8" i="82" s="1"/>
  <c r="H8" i="84" s="1"/>
  <c r="H8" i="85" s="1"/>
  <c r="H8" i="86" s="1"/>
  <c r="H8" i="87" s="1"/>
  <c r="H8" i="88" s="1"/>
  <c r="H8" i="89" s="1"/>
  <c r="H8" i="90" s="1"/>
  <c r="H8" i="91" s="1"/>
  <c r="H8" i="92" s="1"/>
  <c r="H8" i="93" s="1"/>
  <c r="H8" i="94" s="1"/>
  <c r="H8" i="95" s="1"/>
  <c r="H8" i="96" s="1"/>
  <c r="H8" i="97" s="1"/>
  <c r="H8" i="98" s="1"/>
  <c r="H8" i="99" s="1"/>
  <c r="AI35" i="12"/>
  <c r="AB36" i="101"/>
  <c r="AH37" i="101"/>
  <c r="AB37" i="101"/>
  <c r="AB41" i="101" s="1"/>
  <c r="AB39" i="101"/>
  <c r="AI37" i="12"/>
  <c r="AI38" i="12"/>
  <c r="AH35" i="12"/>
  <c r="AH36" i="101"/>
  <c r="AA36" i="101"/>
  <c r="AF36" i="101" s="1"/>
  <c r="AG36" i="101"/>
  <c r="AA35" i="101"/>
  <c r="AG35" i="101"/>
  <c r="AH35" i="101"/>
  <c r="AH38" i="101"/>
  <c r="AA38" i="101"/>
  <c r="AG38" i="101"/>
  <c r="AB35" i="101"/>
  <c r="AG37" i="101"/>
  <c r="AG39" i="101"/>
  <c r="AA37" i="101"/>
  <c r="AF37" i="101" s="1"/>
  <c r="AB38" i="101"/>
  <c r="AA39" i="101"/>
  <c r="AB40" i="101"/>
  <c r="G27" i="80"/>
  <c r="I10" i="80"/>
  <c r="I10" i="81" s="1"/>
  <c r="I10" i="82" s="1"/>
  <c r="I7" i="81"/>
  <c r="G76" i="68"/>
  <c r="L31" i="69"/>
  <c r="L31" i="70" s="1"/>
  <c r="L31" i="72" s="1"/>
  <c r="L31" i="73" s="1"/>
  <c r="L31" i="74" s="1"/>
  <c r="L31" i="75" s="1"/>
  <c r="L31" i="76" s="1"/>
  <c r="L31" i="77" s="1"/>
  <c r="L31" i="78" s="1"/>
  <c r="L30" i="79" s="1"/>
  <c r="L33" i="69"/>
  <c r="L33" i="70" s="1"/>
  <c r="L33" i="72" s="1"/>
  <c r="L33" i="73" s="1"/>
  <c r="L33" i="74" s="1"/>
  <c r="L33" i="75" s="1"/>
  <c r="L33" i="76" s="1"/>
  <c r="L33" i="77" s="1"/>
  <c r="L33" i="78" s="1"/>
  <c r="L32" i="79" s="1"/>
  <c r="I51" i="81"/>
  <c r="I51" i="82" s="1"/>
  <c r="I51" i="84" s="1"/>
  <c r="I51" i="85" s="1"/>
  <c r="I51" i="86" s="1"/>
  <c r="I51" i="87" s="1"/>
  <c r="I51" i="88" s="1"/>
  <c r="I51" i="89" s="1"/>
  <c r="I51" i="90" s="1"/>
  <c r="I51" i="91" s="1"/>
  <c r="I51" i="92" s="1"/>
  <c r="I51" i="93" s="1"/>
  <c r="I51" i="94" s="1"/>
  <c r="I51" i="95" s="1"/>
  <c r="I51" i="96" s="1"/>
  <c r="I51" i="97" s="1"/>
  <c r="I51" i="98" s="1"/>
  <c r="I51" i="99" s="1"/>
  <c r="I51" i="42" s="1"/>
  <c r="I51" i="68" s="1"/>
  <c r="I51" i="69" s="1"/>
  <c r="I51" i="70" s="1"/>
  <c r="I51" i="72" s="1"/>
  <c r="I51" i="73" s="1"/>
  <c r="I51" i="74" s="1"/>
  <c r="I51" i="75" s="1"/>
  <c r="I51" i="76" s="1"/>
  <c r="I51" i="77" s="1"/>
  <c r="G66" i="75"/>
  <c r="EH3" i="1"/>
  <c r="G53" i="86"/>
  <c r="G53" i="89"/>
  <c r="I6" i="86"/>
  <c r="I6" i="87" s="1"/>
  <c r="I6" i="88" s="1"/>
  <c r="I6" i="89" s="1"/>
  <c r="I6" i="90" s="1"/>
  <c r="I6" i="91" s="1"/>
  <c r="I6" i="92" s="1"/>
  <c r="I6" i="93" s="1"/>
  <c r="I6" i="94" s="1"/>
  <c r="I6" i="95" s="1"/>
  <c r="I6" i="96" s="1"/>
  <c r="I6" i="97" s="1"/>
  <c r="I6" i="98" s="1"/>
  <c r="I6" i="99" s="1"/>
  <c r="I6" i="42" s="1"/>
  <c r="I6" i="68" s="1"/>
  <c r="I6" i="69" s="1"/>
  <c r="I6" i="70" s="1"/>
  <c r="I6" i="72" s="1"/>
  <c r="I6" i="73" s="1"/>
  <c r="I6" i="74" s="1"/>
  <c r="I6" i="75" s="1"/>
  <c r="I6" i="76" s="1"/>
  <c r="I6" i="77" s="1"/>
  <c r="I6" i="78" s="1"/>
  <c r="I6" i="79" s="1"/>
  <c r="AC37" i="12"/>
  <c r="AI39" i="12"/>
  <c r="AC36" i="12"/>
  <c r="AH37" i="12"/>
  <c r="J29" i="92"/>
  <c r="J53" i="92" s="1"/>
  <c r="U14" i="1"/>
  <c r="J36" i="97"/>
  <c r="J36" i="98"/>
  <c r="J53" i="98" s="1"/>
  <c r="J38" i="96"/>
  <c r="J35" i="72"/>
  <c r="O26" i="1"/>
  <c r="J29" i="73"/>
  <c r="U27" i="1"/>
  <c r="J39" i="76"/>
  <c r="J53" i="76" s="1"/>
  <c r="EG30" i="1"/>
  <c r="J29" i="77"/>
  <c r="U31" i="1"/>
  <c r="K65" i="80"/>
  <c r="N3" i="3"/>
  <c r="K4" i="3" s="1"/>
  <c r="F65" i="81" s="1"/>
  <c r="M65" i="81" s="1"/>
  <c r="H12" i="80"/>
  <c r="H12" i="81" s="1"/>
  <c r="H12" i="82" s="1"/>
  <c r="H12" i="84" s="1"/>
  <c r="H12" i="85" s="1"/>
  <c r="H12" i="86" s="1"/>
  <c r="H12" i="87" s="1"/>
  <c r="H12" i="88" s="1"/>
  <c r="H12" i="89" s="1"/>
  <c r="H12" i="90" s="1"/>
  <c r="H12" i="91" s="1"/>
  <c r="H12" i="92" s="1"/>
  <c r="H12" i="93" s="1"/>
  <c r="H12" i="94" s="1"/>
  <c r="H12" i="95" s="1"/>
  <c r="H12" i="96" s="1"/>
  <c r="H12" i="97" s="1"/>
  <c r="H12" i="98" s="1"/>
  <c r="H12" i="99" s="1"/>
  <c r="H12" i="42" s="1"/>
  <c r="H12" i="68" s="1"/>
  <c r="H12" i="69" s="1"/>
  <c r="H12" i="70" s="1"/>
  <c r="H12" i="72" s="1"/>
  <c r="H12" i="73" s="1"/>
  <c r="H12" i="74" s="1"/>
  <c r="H12" i="75" s="1"/>
  <c r="H12" i="76" s="1"/>
  <c r="I12" i="80"/>
  <c r="I12" i="81" s="1"/>
  <c r="I12" i="82" s="1"/>
  <c r="I12" i="84" s="1"/>
  <c r="I12" i="85" s="1"/>
  <c r="I12" i="86" s="1"/>
  <c r="I12" i="87" s="1"/>
  <c r="I12" i="88" s="1"/>
  <c r="I12" i="89" s="1"/>
  <c r="I12" i="90" s="1"/>
  <c r="I12" i="91" s="1"/>
  <c r="I12" i="92" s="1"/>
  <c r="I12" i="93" s="1"/>
  <c r="I12" i="94" s="1"/>
  <c r="I12" i="95" s="1"/>
  <c r="I12" i="96" s="1"/>
  <c r="I12" i="97" s="1"/>
  <c r="I12" i="98" s="1"/>
  <c r="I12" i="99" s="1"/>
  <c r="I12" i="42" s="1"/>
  <c r="I12" i="68" s="1"/>
  <c r="I12" i="69" s="1"/>
  <c r="I12" i="70" s="1"/>
  <c r="I12" i="72" s="1"/>
  <c r="I12" i="73" s="1"/>
  <c r="I12" i="74" s="1"/>
  <c r="I12" i="75" s="1"/>
  <c r="I12" i="76" s="1"/>
  <c r="I12" i="77" s="1"/>
  <c r="I12" i="78" s="1"/>
  <c r="I12" i="79" s="1"/>
  <c r="I14" i="80"/>
  <c r="I14" i="81" s="1"/>
  <c r="I14" i="82" s="1"/>
  <c r="H14" i="80"/>
  <c r="H14" i="81" s="1"/>
  <c r="H14" i="82" s="1"/>
  <c r="H14" i="84" s="1"/>
  <c r="H14" i="85" s="1"/>
  <c r="H14" i="86" s="1"/>
  <c r="H14" i="87" s="1"/>
  <c r="H14" i="88" s="1"/>
  <c r="H14" i="89" s="1"/>
  <c r="H14" i="90" s="1"/>
  <c r="H14" i="91" s="1"/>
  <c r="H14" i="92" s="1"/>
  <c r="H14" i="93" s="1"/>
  <c r="H14" i="94" s="1"/>
  <c r="H14" i="95" s="1"/>
  <c r="H14" i="96" s="1"/>
  <c r="H14" i="97" s="1"/>
  <c r="H14" i="98" s="1"/>
  <c r="H14" i="99" s="1"/>
  <c r="H14" i="42" s="1"/>
  <c r="H14" i="68" s="1"/>
  <c r="H14" i="69" s="1"/>
  <c r="H14" i="70" s="1"/>
  <c r="H14" i="72" s="1"/>
  <c r="H14" i="73" s="1"/>
  <c r="H14" i="74" s="1"/>
  <c r="H14" i="75" s="1"/>
  <c r="H14" i="76" s="1"/>
  <c r="H14" i="77" s="1"/>
  <c r="H14" i="78" s="1"/>
  <c r="H14" i="79" s="1"/>
  <c r="I15" i="80"/>
  <c r="I15" i="81" s="1"/>
  <c r="I15" i="82" s="1"/>
  <c r="I15" i="84" s="1"/>
  <c r="I15" i="85" s="1"/>
  <c r="I15" i="86" s="1"/>
  <c r="I15" i="87" s="1"/>
  <c r="I15" i="88" s="1"/>
  <c r="I15" i="89" s="1"/>
  <c r="I15" i="90" s="1"/>
  <c r="I15" i="91" s="1"/>
  <c r="I15" i="92" s="1"/>
  <c r="I15" i="93" s="1"/>
  <c r="I15" i="94" s="1"/>
  <c r="I15" i="95" s="1"/>
  <c r="I15" i="96" s="1"/>
  <c r="I15" i="97" s="1"/>
  <c r="I15" i="98" s="1"/>
  <c r="I15" i="99" s="1"/>
  <c r="I15" i="42" s="1"/>
  <c r="I15" i="68" s="1"/>
  <c r="I15" i="69" s="1"/>
  <c r="I15" i="70" s="1"/>
  <c r="I15" i="72" s="1"/>
  <c r="I15" i="73" s="1"/>
  <c r="I15" i="74" s="1"/>
  <c r="I15" i="75" s="1"/>
  <c r="I15" i="76" s="1"/>
  <c r="I15" i="77" s="1"/>
  <c r="I15" i="78" s="1"/>
  <c r="I15" i="79" s="1"/>
  <c r="H15" i="80"/>
  <c r="I16" i="80"/>
  <c r="I16" i="81" s="1"/>
  <c r="I16" i="82" s="1"/>
  <c r="I16" i="84" s="1"/>
  <c r="I16" i="85" s="1"/>
  <c r="I16" i="86" s="1"/>
  <c r="I16" i="87" s="1"/>
  <c r="I16" i="88" s="1"/>
  <c r="I16" i="89" s="1"/>
  <c r="I16" i="90" s="1"/>
  <c r="I16" i="91" s="1"/>
  <c r="I16" i="92" s="1"/>
  <c r="I16" i="93" s="1"/>
  <c r="I16" i="94" s="1"/>
  <c r="I16" i="95" s="1"/>
  <c r="I16" i="96" s="1"/>
  <c r="I16" i="97" s="1"/>
  <c r="I16" i="98" s="1"/>
  <c r="I16" i="99" s="1"/>
  <c r="I16" i="42" s="1"/>
  <c r="I16" i="68" s="1"/>
  <c r="I16" i="69" s="1"/>
  <c r="I16" i="70" s="1"/>
  <c r="I16" i="72" s="1"/>
  <c r="I16" i="73" s="1"/>
  <c r="I16" i="74" s="1"/>
  <c r="I16" i="75" s="1"/>
  <c r="I16" i="76" s="1"/>
  <c r="I16" i="77" s="1"/>
  <c r="I16" i="78" s="1"/>
  <c r="I16" i="79" s="1"/>
  <c r="H16" i="80"/>
  <c r="H16" i="81" s="1"/>
  <c r="H16" i="82" s="1"/>
  <c r="H21" i="80"/>
  <c r="H21" i="81" s="1"/>
  <c r="H21" i="82" s="1"/>
  <c r="H21" i="84" s="1"/>
  <c r="H21" i="85" s="1"/>
  <c r="H21" i="86" s="1"/>
  <c r="H21" i="87" s="1"/>
  <c r="H21" i="88" s="1"/>
  <c r="H21" i="89" s="1"/>
  <c r="H21" i="90" s="1"/>
  <c r="H21" i="91" s="1"/>
  <c r="H21" i="92" s="1"/>
  <c r="H21" i="93" s="1"/>
  <c r="H21" i="94" s="1"/>
  <c r="H21" i="95" s="1"/>
  <c r="H21" i="96" s="1"/>
  <c r="H21" i="97" s="1"/>
  <c r="H21" i="98" s="1"/>
  <c r="H21" i="99" s="1"/>
  <c r="H21" i="42" s="1"/>
  <c r="H21" i="68" s="1"/>
  <c r="H21" i="69" s="1"/>
  <c r="H21" i="70" s="1"/>
  <c r="H21" i="72" s="1"/>
  <c r="H21" i="73" s="1"/>
  <c r="H21" i="74" s="1"/>
  <c r="H21" i="75" s="1"/>
  <c r="H21" i="76" s="1"/>
  <c r="H21" i="77" s="1"/>
  <c r="H21" i="78" s="1"/>
  <c r="H21" i="79" s="1"/>
  <c r="I21" i="80"/>
  <c r="I21" i="81" s="1"/>
  <c r="I21" i="82" s="1"/>
  <c r="I21" i="84" s="1"/>
  <c r="I21" i="85" s="1"/>
  <c r="I21" i="86" s="1"/>
  <c r="I21" i="87" s="1"/>
  <c r="I21" i="88" s="1"/>
  <c r="I21" i="89" s="1"/>
  <c r="I21" i="90" s="1"/>
  <c r="I21" i="91" s="1"/>
  <c r="I21" i="92" s="1"/>
  <c r="I21" i="93" s="1"/>
  <c r="I21" i="94" s="1"/>
  <c r="I21" i="95" s="1"/>
  <c r="I21" i="96" s="1"/>
  <c r="I21" i="97" s="1"/>
  <c r="I21" i="98" s="1"/>
  <c r="I21" i="99" s="1"/>
  <c r="I21" i="42" s="1"/>
  <c r="I21" i="68" s="1"/>
  <c r="I21" i="69" s="1"/>
  <c r="I21" i="70" s="1"/>
  <c r="I21" i="72" s="1"/>
  <c r="I21" i="73" s="1"/>
  <c r="I21" i="74" s="1"/>
  <c r="I21" i="75" s="1"/>
  <c r="I21" i="76" s="1"/>
  <c r="I21" i="77" s="1"/>
  <c r="I21" i="78" s="1"/>
  <c r="I21" i="79" s="1"/>
  <c r="K22" i="80"/>
  <c r="K22" i="81" s="1"/>
  <c r="K22" i="82" s="1"/>
  <c r="K22" i="84" s="1"/>
  <c r="K22" i="85" s="1"/>
  <c r="K22" i="86" s="1"/>
  <c r="K22" i="87" s="1"/>
  <c r="K22" i="88" s="1"/>
  <c r="K22" i="89" s="1"/>
  <c r="K22" i="90" s="1"/>
  <c r="K22" i="91" s="1"/>
  <c r="K22" i="92" s="1"/>
  <c r="K22" i="93" s="1"/>
  <c r="K22" i="94" s="1"/>
  <c r="K22" i="95" s="1"/>
  <c r="K22" i="96" s="1"/>
  <c r="K22" i="97" s="1"/>
  <c r="K22" i="98" s="1"/>
  <c r="K22" i="99" s="1"/>
  <c r="K22" i="42" s="1"/>
  <c r="K22" i="68" s="1"/>
  <c r="K22" i="69" s="1"/>
  <c r="K22" i="70" s="1"/>
  <c r="K22" i="72" s="1"/>
  <c r="K22" i="73" s="1"/>
  <c r="K22" i="74" s="1"/>
  <c r="K22" i="75" s="1"/>
  <c r="K22" i="76" s="1"/>
  <c r="K22" i="77" s="1"/>
  <c r="K22" i="78" s="1"/>
  <c r="K22" i="79" s="1"/>
  <c r="L22" i="80"/>
  <c r="L22" i="81" s="1"/>
  <c r="L22" i="82" s="1"/>
  <c r="L22" i="84" s="1"/>
  <c r="L22" i="85" s="1"/>
  <c r="L22" i="86" s="1"/>
  <c r="L22" i="87" s="1"/>
  <c r="L22" i="88" s="1"/>
  <c r="L22" i="89" s="1"/>
  <c r="L22" i="90" s="1"/>
  <c r="L22" i="91" s="1"/>
  <c r="L22" i="92" s="1"/>
  <c r="L22" i="93" s="1"/>
  <c r="L22" i="94" s="1"/>
  <c r="L22" i="95" s="1"/>
  <c r="L22" i="96" s="1"/>
  <c r="L22" i="97" s="1"/>
  <c r="L22" i="98" s="1"/>
  <c r="L22" i="99" s="1"/>
  <c r="L22" i="42" s="1"/>
  <c r="L22" i="68" s="1"/>
  <c r="L22" i="69" s="1"/>
  <c r="L22" i="70" s="1"/>
  <c r="L22" i="72" s="1"/>
  <c r="L22" i="73" s="1"/>
  <c r="L22" i="74" s="1"/>
  <c r="L22" i="75" s="1"/>
  <c r="L22" i="76" s="1"/>
  <c r="L22" i="77" s="1"/>
  <c r="L22" i="78" s="1"/>
  <c r="L22" i="79" s="1"/>
  <c r="M24" i="80"/>
  <c r="K25" i="80"/>
  <c r="L25" i="80"/>
  <c r="L25" i="81" s="1"/>
  <c r="L25" i="82" s="1"/>
  <c r="L25" i="84" s="1"/>
  <c r="L25" i="85" s="1"/>
  <c r="L25" i="86" s="1"/>
  <c r="L25" i="87" s="1"/>
  <c r="L25" i="88" s="1"/>
  <c r="L25" i="89" s="1"/>
  <c r="L25" i="90" s="1"/>
  <c r="L25" i="91" s="1"/>
  <c r="L25" i="92" s="1"/>
  <c r="L25" i="93" s="1"/>
  <c r="L25" i="94" s="1"/>
  <c r="L25" i="95" s="1"/>
  <c r="L25" i="96" s="1"/>
  <c r="L25" i="97" s="1"/>
  <c r="L25" i="98" s="1"/>
  <c r="L25" i="99" s="1"/>
  <c r="L25" i="42" s="1"/>
  <c r="L25" i="68" s="1"/>
  <c r="L25" i="69" s="1"/>
  <c r="L25" i="70" s="1"/>
  <c r="L25" i="72" s="1"/>
  <c r="L25" i="73" s="1"/>
  <c r="L25" i="74" s="1"/>
  <c r="L25" i="75" s="1"/>
  <c r="H48" i="80"/>
  <c r="I48" i="80"/>
  <c r="I48" i="81" s="1"/>
  <c r="I48" i="82" s="1"/>
  <c r="I48" i="84" s="1"/>
  <c r="I48" i="85" s="1"/>
  <c r="I48" i="86" s="1"/>
  <c r="I48" i="87" s="1"/>
  <c r="I48" i="88" s="1"/>
  <c r="I48" i="89" s="1"/>
  <c r="I48" i="90" s="1"/>
  <c r="I48" i="91" s="1"/>
  <c r="I48" i="92" s="1"/>
  <c r="I48" i="93" s="1"/>
  <c r="I48" i="94" s="1"/>
  <c r="I48" i="95" s="1"/>
  <c r="I48" i="96" s="1"/>
  <c r="I48" i="97" s="1"/>
  <c r="I48" i="98" s="1"/>
  <c r="I48" i="99" s="1"/>
  <c r="I48" i="42" s="1"/>
  <c r="I48" i="68" s="1"/>
  <c r="I48" i="69" s="1"/>
  <c r="I48" i="70" s="1"/>
  <c r="I48" i="72" s="1"/>
  <c r="I48" i="73" s="1"/>
  <c r="I48" i="74" s="1"/>
  <c r="I48" i="75" s="1"/>
  <c r="I48" i="76" s="1"/>
  <c r="I48" i="77" s="1"/>
  <c r="I48" i="78" s="1"/>
  <c r="I47" i="79" s="1"/>
  <c r="I49" i="80"/>
  <c r="I49" i="81" s="1"/>
  <c r="I49" i="82" s="1"/>
  <c r="I49" i="84" s="1"/>
  <c r="I49" i="85" s="1"/>
  <c r="I49" i="86" s="1"/>
  <c r="I49" i="87" s="1"/>
  <c r="I49" i="88" s="1"/>
  <c r="I49" i="89" s="1"/>
  <c r="I49" i="90" s="1"/>
  <c r="I49" i="91" s="1"/>
  <c r="I49" i="92" s="1"/>
  <c r="I49" i="93" s="1"/>
  <c r="I49" i="94" s="1"/>
  <c r="I49" i="95" s="1"/>
  <c r="I49" i="96" s="1"/>
  <c r="I49" i="97" s="1"/>
  <c r="I49" i="98" s="1"/>
  <c r="I49" i="99" s="1"/>
  <c r="I49" i="42" s="1"/>
  <c r="I49" i="68" s="1"/>
  <c r="I49" i="69" s="1"/>
  <c r="I49" i="70" s="1"/>
  <c r="I49" i="72" s="1"/>
  <c r="I49" i="73" s="1"/>
  <c r="I49" i="74" s="1"/>
  <c r="I49" i="75" s="1"/>
  <c r="I49" i="76" s="1"/>
  <c r="I49" i="77" s="1"/>
  <c r="I49" i="78" s="1"/>
  <c r="I48" i="79" s="1"/>
  <c r="H49" i="80"/>
  <c r="H49" i="81" s="1"/>
  <c r="H50" i="80"/>
  <c r="I50" i="80"/>
  <c r="I50" i="81" s="1"/>
  <c r="I50" i="82" s="1"/>
  <c r="I50" i="84" s="1"/>
  <c r="I50" i="85" s="1"/>
  <c r="I50" i="86" s="1"/>
  <c r="I50" i="87" s="1"/>
  <c r="I50" i="88" s="1"/>
  <c r="I50" i="89" s="1"/>
  <c r="I50" i="90" s="1"/>
  <c r="I50" i="91" s="1"/>
  <c r="I50" i="92" s="1"/>
  <c r="I50" i="93" s="1"/>
  <c r="I50" i="94" s="1"/>
  <c r="I50" i="95" s="1"/>
  <c r="I50" i="96" s="1"/>
  <c r="I50" i="97" s="1"/>
  <c r="I50" i="98" s="1"/>
  <c r="I50" i="99" s="1"/>
  <c r="I50" i="42" s="1"/>
  <c r="I50" i="68" s="1"/>
  <c r="I50" i="69" s="1"/>
  <c r="I50" i="70" s="1"/>
  <c r="I50" i="72" s="1"/>
  <c r="I50" i="73" s="1"/>
  <c r="I50" i="74" s="1"/>
  <c r="I50" i="75" s="1"/>
  <c r="I50" i="76" s="1"/>
  <c r="I50" i="77" s="1"/>
  <c r="I50" i="78" s="1"/>
  <c r="I49" i="79" s="1"/>
  <c r="I64" i="80"/>
  <c r="I64" i="81" s="1"/>
  <c r="H64" i="80"/>
  <c r="K73" i="80"/>
  <c r="L73" i="80"/>
  <c r="L73" i="81" s="1"/>
  <c r="L73" i="82" s="1"/>
  <c r="L73" i="84" s="1"/>
  <c r="L73" i="85" s="1"/>
  <c r="L73" i="86" s="1"/>
  <c r="L73" i="87" s="1"/>
  <c r="L73" i="88" s="1"/>
  <c r="L73" i="89" s="1"/>
  <c r="L73" i="90" s="1"/>
  <c r="L73" i="91" s="1"/>
  <c r="L73" i="92" s="1"/>
  <c r="L73" i="93" s="1"/>
  <c r="L73" i="94" s="1"/>
  <c r="L73" i="95" s="1"/>
  <c r="L73" i="96" s="1"/>
  <c r="L73" i="97" s="1"/>
  <c r="L73" i="98" s="1"/>
  <c r="L73" i="99" s="1"/>
  <c r="L73" i="42" s="1"/>
  <c r="L73" i="68" s="1"/>
  <c r="L73" i="69" s="1"/>
  <c r="L73" i="70" s="1"/>
  <c r="L73" i="72" s="1"/>
  <c r="L73" i="73" s="1"/>
  <c r="L73" i="74" s="1"/>
  <c r="L73" i="75" s="1"/>
  <c r="L73" i="76" s="1"/>
  <c r="L73" i="77" s="1"/>
  <c r="L73" i="78" s="1"/>
  <c r="L72" i="79" s="1"/>
  <c r="J27" i="84"/>
  <c r="J27" i="42"/>
  <c r="G66" i="74"/>
  <c r="G66" i="77"/>
  <c r="G75" i="79"/>
  <c r="L11" i="97"/>
  <c r="L11" i="98" s="1"/>
  <c r="L11" i="99" s="1"/>
  <c r="L11" i="42" s="1"/>
  <c r="L11" i="68" s="1"/>
  <c r="L11" i="69" s="1"/>
  <c r="L11" i="70" s="1"/>
  <c r="L11" i="72" s="1"/>
  <c r="L11" i="73" s="1"/>
  <c r="L11" i="74" s="1"/>
  <c r="L11" i="75" s="1"/>
  <c r="L11" i="76" s="1"/>
  <c r="L11" i="77" s="1"/>
  <c r="L11" i="78" s="1"/>
  <c r="L11" i="79" s="1"/>
  <c r="G53" i="91"/>
  <c r="K56" i="81"/>
  <c r="K56" i="82" s="1"/>
  <c r="U4" i="1"/>
  <c r="O17" i="1"/>
  <c r="U29" i="1"/>
  <c r="K13" i="80"/>
  <c r="K13" i="81" s="1"/>
  <c r="K13" i="82" s="1"/>
  <c r="K19" i="80"/>
  <c r="K19" i="81" s="1"/>
  <c r="I29" i="80"/>
  <c r="I29" i="81" s="1"/>
  <c r="K69" i="80"/>
  <c r="G66" i="91"/>
  <c r="G62" i="92"/>
  <c r="G53" i="93"/>
  <c r="G53" i="96"/>
  <c r="G66" i="98"/>
  <c r="G66" i="99"/>
  <c r="G66" i="76"/>
  <c r="O8" i="1"/>
  <c r="H35" i="1"/>
  <c r="N54" i="87"/>
  <c r="O54" i="90"/>
  <c r="G53" i="97"/>
  <c r="O54" i="70"/>
  <c r="P54" i="72"/>
  <c r="O54" i="73"/>
  <c r="G76" i="73"/>
  <c r="O54" i="74"/>
  <c r="G76" i="74"/>
  <c r="N54" i="77"/>
  <c r="N54" i="78"/>
  <c r="EG5" i="1"/>
  <c r="O11" i="1"/>
  <c r="U12" i="1"/>
  <c r="U16" i="1"/>
  <c r="EG32" i="1"/>
  <c r="O33" i="1"/>
  <c r="I24" i="80"/>
  <c r="I24" i="81" s="1"/>
  <c r="I24" i="82" s="1"/>
  <c r="I24" i="84" s="1"/>
  <c r="I24" i="85" s="1"/>
  <c r="I24" i="86" s="1"/>
  <c r="I24" i="87" s="1"/>
  <c r="I24" i="88" s="1"/>
  <c r="I24" i="89" s="1"/>
  <c r="I24" i="90" s="1"/>
  <c r="I24" i="91" s="1"/>
  <c r="I24" i="92" s="1"/>
  <c r="I24" i="93" s="1"/>
  <c r="I24" i="94" s="1"/>
  <c r="I24" i="95" s="1"/>
  <c r="I24" i="96" s="1"/>
  <c r="I24" i="97" s="1"/>
  <c r="I24" i="98" s="1"/>
  <c r="I24" i="99" s="1"/>
  <c r="I24" i="42" s="1"/>
  <c r="I24" i="68" s="1"/>
  <c r="I24" i="69" s="1"/>
  <c r="I24" i="70" s="1"/>
  <c r="I24" i="72" s="1"/>
  <c r="I24" i="73" s="1"/>
  <c r="I24" i="74" s="1"/>
  <c r="I24" i="75" s="1"/>
  <c r="I24" i="76" s="1"/>
  <c r="I24" i="77" s="1"/>
  <c r="I24" i="78" s="1"/>
  <c r="I24" i="79" s="1"/>
  <c r="H52" i="80"/>
  <c r="EG23" i="1"/>
  <c r="O32" i="1"/>
  <c r="AG40" i="101"/>
  <c r="K11" i="80"/>
  <c r="K11" i="81" s="1"/>
  <c r="K11" i="82" s="1"/>
  <c r="H17" i="80"/>
  <c r="H17" i="81" s="1"/>
  <c r="M22" i="80"/>
  <c r="N53" i="79"/>
  <c r="EG7" i="1"/>
  <c r="K23" i="80"/>
  <c r="K26" i="80"/>
  <c r="O54" i="81"/>
  <c r="G66" i="42"/>
  <c r="G76" i="69"/>
  <c r="G27" i="97"/>
  <c r="G54" i="97" s="1"/>
  <c r="L71" i="81"/>
  <c r="L71" i="82" s="1"/>
  <c r="L71" i="84" s="1"/>
  <c r="L71" i="85" s="1"/>
  <c r="L71" i="86" s="1"/>
  <c r="L71" i="87" s="1"/>
  <c r="L71" i="88" s="1"/>
  <c r="L71" i="89" s="1"/>
  <c r="L71" i="90" s="1"/>
  <c r="L71" i="91" s="1"/>
  <c r="L71" i="92" s="1"/>
  <c r="L71" i="93" s="1"/>
  <c r="L71" i="94" s="1"/>
  <c r="L71" i="95" s="1"/>
  <c r="L71" i="96" s="1"/>
  <c r="L71" i="97" s="1"/>
  <c r="L71" i="98" s="1"/>
  <c r="L71" i="99" s="1"/>
  <c r="L71" i="42" s="1"/>
  <c r="L71" i="68" s="1"/>
  <c r="L71" i="69" s="1"/>
  <c r="L71" i="70" s="1"/>
  <c r="L71" i="72" s="1"/>
  <c r="L71" i="73" s="1"/>
  <c r="L71" i="74" s="1"/>
  <c r="L71" i="75" s="1"/>
  <c r="L71" i="76" s="1"/>
  <c r="L71" i="77" s="1"/>
  <c r="L71" i="78" s="1"/>
  <c r="L70" i="79" s="1"/>
  <c r="K71" i="80"/>
  <c r="K71" i="81" s="1"/>
  <c r="EG22" i="1"/>
  <c r="H58" i="80"/>
  <c r="H58" i="81" s="1"/>
  <c r="L57" i="82"/>
  <c r="L57" i="84" s="1"/>
  <c r="L57" i="85" s="1"/>
  <c r="L57" i="86" s="1"/>
  <c r="L57" i="87" s="1"/>
  <c r="L57" i="88" s="1"/>
  <c r="L57" i="89" s="1"/>
  <c r="L57" i="90" s="1"/>
  <c r="L57" i="91" s="1"/>
  <c r="L57" i="92" s="1"/>
  <c r="L57" i="93" s="1"/>
  <c r="L57" i="94" s="1"/>
  <c r="L57" i="95" s="1"/>
  <c r="L57" i="96" s="1"/>
  <c r="L57" i="97" s="1"/>
  <c r="L57" i="98" s="1"/>
  <c r="L57" i="99" s="1"/>
  <c r="L57" i="42" s="1"/>
  <c r="L57" i="68" s="1"/>
  <c r="L57" i="69" s="1"/>
  <c r="L57" i="70" s="1"/>
  <c r="L57" i="72" s="1"/>
  <c r="L57" i="73" s="1"/>
  <c r="L57" i="74" s="1"/>
  <c r="L57" i="75" s="1"/>
  <c r="L57" i="76" s="1"/>
  <c r="L57" i="77" s="1"/>
  <c r="L57" i="78" s="1"/>
  <c r="L56" i="79" s="1"/>
  <c r="J76" i="74"/>
  <c r="G53" i="73"/>
  <c r="J76" i="72"/>
  <c r="N54" i="70"/>
  <c r="N54" i="69"/>
  <c r="G53" i="70"/>
  <c r="N54" i="42"/>
  <c r="N54" i="99"/>
  <c r="J76" i="99"/>
  <c r="J27" i="98"/>
  <c r="L67" i="79"/>
  <c r="L68" i="80"/>
  <c r="L68" i="81" s="1"/>
  <c r="L68" i="82" s="1"/>
  <c r="L68" i="84" s="1"/>
  <c r="L68" i="85" s="1"/>
  <c r="L68" i="86" s="1"/>
  <c r="L68" i="87" s="1"/>
  <c r="L68" i="88" s="1"/>
  <c r="L68" i="89" s="1"/>
  <c r="L68" i="90" s="1"/>
  <c r="L68" i="91" s="1"/>
  <c r="L68" i="92" s="1"/>
  <c r="L68" i="93" s="1"/>
  <c r="L68" i="94" s="1"/>
  <c r="L68" i="95" s="1"/>
  <c r="L68" i="96" s="1"/>
  <c r="L68" i="97" s="1"/>
  <c r="L68" i="98" s="1"/>
  <c r="L68" i="99" s="1"/>
  <c r="L59" i="79"/>
  <c r="L60" i="80"/>
  <c r="L60" i="81" s="1"/>
  <c r="L60" i="82" s="1"/>
  <c r="L60" i="84" s="1"/>
  <c r="L60" i="85" s="1"/>
  <c r="L60" i="86" s="1"/>
  <c r="L60" i="87" s="1"/>
  <c r="L60" i="88" s="1"/>
  <c r="L60" i="89" s="1"/>
  <c r="L60" i="90" s="1"/>
  <c r="L60" i="91" s="1"/>
  <c r="L60" i="92" s="1"/>
  <c r="L60" i="93" s="1"/>
  <c r="L60" i="94" s="1"/>
  <c r="L60" i="95" s="1"/>
  <c r="L60" i="96" s="1"/>
  <c r="L60" i="97" s="1"/>
  <c r="L60" i="98" s="1"/>
  <c r="L60" i="99" s="1"/>
  <c r="L60" i="42" s="1"/>
  <c r="U8" i="1"/>
  <c r="EG17" i="1"/>
  <c r="O20" i="1"/>
  <c r="AN38" i="12"/>
  <c r="I32" i="81"/>
  <c r="I32" i="82" s="1"/>
  <c r="I32" i="84" s="1"/>
  <c r="I32" i="85" s="1"/>
  <c r="I32" i="86" s="1"/>
  <c r="I32" i="87" s="1"/>
  <c r="I32" i="88" s="1"/>
  <c r="I32" i="89" s="1"/>
  <c r="I32" i="90" s="1"/>
  <c r="I32" i="91" s="1"/>
  <c r="I32" i="92" s="1"/>
  <c r="I32" i="93" s="1"/>
  <c r="I32" i="94" s="1"/>
  <c r="I32" i="95" s="1"/>
  <c r="I32" i="96" s="1"/>
  <c r="I32" i="97" s="1"/>
  <c r="I32" i="98" s="1"/>
  <c r="I32" i="99" s="1"/>
  <c r="I32" i="42" s="1"/>
  <c r="I32" i="68" s="1"/>
  <c r="I32" i="69" s="1"/>
  <c r="I32" i="70" s="1"/>
  <c r="I32" i="72" s="1"/>
  <c r="I32" i="73" s="1"/>
  <c r="I32" i="74" s="1"/>
  <c r="I32" i="75" s="1"/>
  <c r="I32" i="76" s="1"/>
  <c r="I32" i="77" s="1"/>
  <c r="I32" i="78" s="1"/>
  <c r="I31" i="79" s="1"/>
  <c r="O54" i="68"/>
  <c r="O54" i="69"/>
  <c r="N54" i="73"/>
  <c r="N54" i="74"/>
  <c r="J76" i="75"/>
  <c r="U6" i="1"/>
  <c r="AC35" i="12"/>
  <c r="AC39" i="12"/>
  <c r="AM38" i="101"/>
  <c r="K20" i="80"/>
  <c r="M23" i="80"/>
  <c r="H24" i="80"/>
  <c r="H24" i="81" s="1"/>
  <c r="H24" i="82" s="1"/>
  <c r="H24" i="84" s="1"/>
  <c r="H24" i="85" s="1"/>
  <c r="H24" i="86" s="1"/>
  <c r="H24" i="87" s="1"/>
  <c r="H24" i="88" s="1"/>
  <c r="H24" i="89" s="1"/>
  <c r="H24" i="90" s="1"/>
  <c r="H24" i="91" s="1"/>
  <c r="H24" i="92" s="1"/>
  <c r="H24" i="93" s="1"/>
  <c r="H24" i="94" s="1"/>
  <c r="H24" i="95" s="1"/>
  <c r="H24" i="96" s="1"/>
  <c r="H24" i="97" s="1"/>
  <c r="H24" i="98" s="1"/>
  <c r="H24" i="99" s="1"/>
  <c r="H24" i="42" s="1"/>
  <c r="H24" i="68" s="1"/>
  <c r="H24" i="69" s="1"/>
  <c r="H24" i="70" s="1"/>
  <c r="H24" i="72" s="1"/>
  <c r="H24" i="73" s="1"/>
  <c r="H24" i="74" s="1"/>
  <c r="H24" i="75" s="1"/>
  <c r="H24" i="76" s="1"/>
  <c r="H24" i="77" s="1"/>
  <c r="H24" i="78" s="1"/>
  <c r="H24" i="79" s="1"/>
  <c r="M65" i="80"/>
  <c r="H52" i="81"/>
  <c r="H52" i="82" s="1"/>
  <c r="P54" i="68"/>
  <c r="J27" i="99"/>
  <c r="J27" i="69"/>
  <c r="U10" i="1"/>
  <c r="EG13" i="1"/>
  <c r="U18" i="1"/>
  <c r="O23" i="1"/>
  <c r="O29" i="1"/>
  <c r="O30" i="1"/>
  <c r="AN37" i="12"/>
  <c r="AC38" i="12"/>
  <c r="AH39" i="12"/>
  <c r="H10" i="80"/>
  <c r="H10" i="81" s="1"/>
  <c r="H10" i="82" s="1"/>
  <c r="H10" i="84" s="1"/>
  <c r="H10" i="85" s="1"/>
  <c r="H10" i="86" s="1"/>
  <c r="H10" i="87" s="1"/>
  <c r="H10" i="88" s="1"/>
  <c r="H10" i="89" s="1"/>
  <c r="H10" i="90" s="1"/>
  <c r="H10" i="91" s="1"/>
  <c r="H10" i="92" s="1"/>
  <c r="H10" i="93" s="1"/>
  <c r="H10" i="94" s="1"/>
  <c r="H10" i="95" s="1"/>
  <c r="H10" i="96" s="1"/>
  <c r="H10" i="97" s="1"/>
  <c r="H10" i="98" s="1"/>
  <c r="H10" i="99" s="1"/>
  <c r="H10" i="42" s="1"/>
  <c r="K18" i="80"/>
  <c r="K18" i="81" s="1"/>
  <c r="M26" i="80"/>
  <c r="P54" i="80"/>
  <c r="H51" i="80"/>
  <c r="H51" i="81" s="1"/>
  <c r="H51" i="82" s="1"/>
  <c r="I56" i="80"/>
  <c r="I56" i="81" s="1"/>
  <c r="G66" i="80"/>
  <c r="H48" i="81"/>
  <c r="H48" i="82" s="1"/>
  <c r="H48" i="84" s="1"/>
  <c r="H48" i="85" s="1"/>
  <c r="H48" i="86" s="1"/>
  <c r="H48" i="87" s="1"/>
  <c r="H48" i="88" s="1"/>
  <c r="H48" i="89" s="1"/>
  <c r="H48" i="90" s="1"/>
  <c r="H48" i="91" s="1"/>
  <c r="H48" i="92" s="1"/>
  <c r="H48" i="93" s="1"/>
  <c r="H48" i="94" s="1"/>
  <c r="H48" i="95" s="1"/>
  <c r="H48" i="96" s="1"/>
  <c r="H48" i="97" s="1"/>
  <c r="H48" i="98" s="1"/>
  <c r="H48" i="99" s="1"/>
  <c r="H48" i="42" s="1"/>
  <c r="H48" i="68" s="1"/>
  <c r="H48" i="69" s="1"/>
  <c r="H48" i="70" s="1"/>
  <c r="H48" i="72" s="1"/>
  <c r="H48" i="73" s="1"/>
  <c r="H48" i="74" s="1"/>
  <c r="H48" i="75" s="1"/>
  <c r="H48" i="76" s="1"/>
  <c r="H48" i="77" s="1"/>
  <c r="H48" i="78" s="1"/>
  <c r="H47" i="79" s="1"/>
  <c r="J76" i="89"/>
  <c r="J76" i="68"/>
  <c r="G53" i="77"/>
  <c r="EG19" i="1"/>
  <c r="EG20" i="1"/>
  <c r="AB35" i="12"/>
  <c r="AH40" i="101"/>
  <c r="M20" i="80"/>
  <c r="L72" i="80"/>
  <c r="L72" i="81" s="1"/>
  <c r="L72" i="82" s="1"/>
  <c r="L72" i="84" s="1"/>
  <c r="L72" i="85" s="1"/>
  <c r="L72" i="86" s="1"/>
  <c r="L72" i="87" s="1"/>
  <c r="L72" i="88" s="1"/>
  <c r="L72" i="89" s="1"/>
  <c r="L72" i="90" s="1"/>
  <c r="L72" i="91" s="1"/>
  <c r="L72" i="92" s="1"/>
  <c r="L72" i="93" s="1"/>
  <c r="L72" i="94" s="1"/>
  <c r="L72" i="95" s="1"/>
  <c r="L72" i="96" s="1"/>
  <c r="L72" i="97" s="1"/>
  <c r="L72" i="98" s="1"/>
  <c r="L72" i="99" s="1"/>
  <c r="L72" i="42" s="1"/>
  <c r="L72" i="68" s="1"/>
  <c r="L72" i="69" s="1"/>
  <c r="L72" i="70" s="1"/>
  <c r="L72" i="72" s="1"/>
  <c r="L72" i="73" s="1"/>
  <c r="L72" i="74" s="1"/>
  <c r="L72" i="75" s="1"/>
  <c r="L72" i="76" s="1"/>
  <c r="L72" i="77" s="1"/>
  <c r="L72" i="78" s="1"/>
  <c r="J76" i="95"/>
  <c r="G62" i="97"/>
  <c r="J27" i="77"/>
  <c r="DP3" i="1"/>
  <c r="DL4" i="1" s="1"/>
  <c r="F25" i="81" s="1"/>
  <c r="M25" i="81" s="1"/>
  <c r="O4" i="1"/>
  <c r="O5" i="1"/>
  <c r="EG11" i="1"/>
  <c r="O14" i="1"/>
  <c r="O27" i="1"/>
  <c r="AH39" i="101"/>
  <c r="G53" i="80"/>
  <c r="H53" i="80" s="1"/>
  <c r="K25" i="81"/>
  <c r="H50" i="81"/>
  <c r="H50" i="82" s="1"/>
  <c r="H50" i="84" s="1"/>
  <c r="H50" i="85" s="1"/>
  <c r="H50" i="86" s="1"/>
  <c r="H50" i="87" s="1"/>
  <c r="H50" i="88" s="1"/>
  <c r="H50" i="89" s="1"/>
  <c r="H50" i="90" s="1"/>
  <c r="H50" i="91" s="1"/>
  <c r="H50" i="92" s="1"/>
  <c r="H50" i="93" s="1"/>
  <c r="H50" i="94" s="1"/>
  <c r="H50" i="95" s="1"/>
  <c r="H50" i="96" s="1"/>
  <c r="H50" i="97" s="1"/>
  <c r="H50" i="98" s="1"/>
  <c r="H50" i="99" s="1"/>
  <c r="H50" i="42" s="1"/>
  <c r="H50" i="68" s="1"/>
  <c r="H50" i="69" s="1"/>
  <c r="H50" i="70" s="1"/>
  <c r="H50" i="72" s="1"/>
  <c r="H50" i="73" s="1"/>
  <c r="H50" i="74" s="1"/>
  <c r="H50" i="75" s="1"/>
  <c r="H50" i="76" s="1"/>
  <c r="H50" i="77" s="1"/>
  <c r="H50" i="78" s="1"/>
  <c r="H49" i="79" s="1"/>
  <c r="G76" i="81"/>
  <c r="N54" i="97"/>
  <c r="J76" i="97"/>
  <c r="G27" i="94"/>
  <c r="N54" i="96"/>
  <c r="J76" i="96"/>
  <c r="N54" i="94"/>
  <c r="J62" i="94"/>
  <c r="J76" i="92"/>
  <c r="G62" i="91"/>
  <c r="N54" i="90"/>
  <c r="N54" i="86"/>
  <c r="G62" i="85"/>
  <c r="J76" i="85"/>
  <c r="N54" i="84"/>
  <c r="J76" i="82"/>
  <c r="F48" i="81"/>
  <c r="M48" i="81" s="1"/>
  <c r="CQ4" i="1"/>
  <c r="CM5" i="1" s="1"/>
  <c r="F32" i="81"/>
  <c r="M32" i="81" s="1"/>
  <c r="DU4" i="1"/>
  <c r="DQ5" i="1" s="1"/>
  <c r="F26" i="81"/>
  <c r="M26" i="81" s="1"/>
  <c r="DZ4" i="1"/>
  <c r="DV5" i="1" s="1"/>
  <c r="L52" i="80"/>
  <c r="L52" i="81" s="1"/>
  <c r="K52" i="80"/>
  <c r="K52" i="81" s="1"/>
  <c r="F14" i="82"/>
  <c r="M14" i="82" s="1"/>
  <c r="AN5" i="1"/>
  <c r="AK6" i="1" s="1"/>
  <c r="L29" i="80"/>
  <c r="K29" i="80"/>
  <c r="K29" i="81" s="1"/>
  <c r="AD35" i="1"/>
  <c r="J35" i="80"/>
  <c r="M10" i="80" s="1"/>
  <c r="Q10" i="80" s="1"/>
  <c r="M35" i="1"/>
  <c r="J48" i="80"/>
  <c r="CP34" i="1"/>
  <c r="J45" i="80"/>
  <c r="DE34" i="1"/>
  <c r="J32" i="80"/>
  <c r="DT35" i="1"/>
  <c r="S34" i="1"/>
  <c r="I61" i="68"/>
  <c r="I61" i="69"/>
  <c r="I61" i="70" s="1"/>
  <c r="I61" i="72" s="1"/>
  <c r="I61" i="73" s="1"/>
  <c r="I61" i="74" s="1"/>
  <c r="I61" i="75" s="1"/>
  <c r="I61" i="76" s="1"/>
  <c r="I61" i="77" s="1"/>
  <c r="I61" i="78" s="1"/>
  <c r="I60" i="79" s="1"/>
  <c r="P3" i="1"/>
  <c r="AE3" i="1"/>
  <c r="AB4" i="1" s="1"/>
  <c r="J43" i="80"/>
  <c r="M21" i="80" s="1"/>
  <c r="CU34" i="1"/>
  <c r="CU35" i="1"/>
  <c r="J46" i="80"/>
  <c r="DJ35" i="1"/>
  <c r="F14" i="81"/>
  <c r="M14" i="81" s="1"/>
  <c r="CR4" i="1"/>
  <c r="DB4" i="1"/>
  <c r="O6" i="1"/>
  <c r="O9" i="1"/>
  <c r="O12" i="1"/>
  <c r="O15" i="1"/>
  <c r="O18" i="1"/>
  <c r="O21" i="1"/>
  <c r="O24" i="1"/>
  <c r="EG25" i="1"/>
  <c r="I34" i="1"/>
  <c r="CP35" i="1"/>
  <c r="F64" i="81"/>
  <c r="T40" i="12"/>
  <c r="T41" i="12" s="1"/>
  <c r="M25" i="80"/>
  <c r="L75" i="81"/>
  <c r="L75" i="82" s="1"/>
  <c r="L75" i="84" s="1"/>
  <c r="L75" i="85" s="1"/>
  <c r="L75" i="86" s="1"/>
  <c r="L75" i="87" s="1"/>
  <c r="L75" i="88" s="1"/>
  <c r="L75" i="89" s="1"/>
  <c r="L75" i="90" s="1"/>
  <c r="L75" i="91" s="1"/>
  <c r="L75" i="92" s="1"/>
  <c r="L75" i="93" s="1"/>
  <c r="L75" i="94" s="1"/>
  <c r="L75" i="95" s="1"/>
  <c r="L75" i="96" s="1"/>
  <c r="L75" i="97" s="1"/>
  <c r="L75" i="98" s="1"/>
  <c r="L75" i="99" s="1"/>
  <c r="L75" i="42" s="1"/>
  <c r="L75" i="68" s="1"/>
  <c r="L75" i="69" s="1"/>
  <c r="L75" i="70" s="1"/>
  <c r="L75" i="72" s="1"/>
  <c r="L75" i="73" s="1"/>
  <c r="L75" i="74" s="1"/>
  <c r="L75" i="75" s="1"/>
  <c r="L75" i="76" s="1"/>
  <c r="L75" i="77" s="1"/>
  <c r="L75" i="78" s="1"/>
  <c r="L74" i="79" s="1"/>
  <c r="L14" i="80"/>
  <c r="L14" i="81" s="1"/>
  <c r="L14" i="82" s="1"/>
  <c r="L14" i="84" s="1"/>
  <c r="L14" i="85" s="1"/>
  <c r="L14" i="86" s="1"/>
  <c r="L14" i="87" s="1"/>
  <c r="L14" i="88" s="1"/>
  <c r="L14" i="89" s="1"/>
  <c r="L14" i="90" s="1"/>
  <c r="L14" i="91" s="1"/>
  <c r="L14" i="92" s="1"/>
  <c r="L14" i="93" s="1"/>
  <c r="L14" i="94" s="1"/>
  <c r="L14" i="95" s="1"/>
  <c r="L14" i="96" s="1"/>
  <c r="L14" i="97" s="1"/>
  <c r="L14" i="98" s="1"/>
  <c r="L14" i="99" s="1"/>
  <c r="L14" i="42" s="1"/>
  <c r="L14" i="68" s="1"/>
  <c r="L14" i="69" s="1"/>
  <c r="L14" i="70" s="1"/>
  <c r="L14" i="72" s="1"/>
  <c r="L14" i="73" s="1"/>
  <c r="L14" i="74" s="1"/>
  <c r="L14" i="75" s="1"/>
  <c r="L14" i="76" s="1"/>
  <c r="L14" i="77" s="1"/>
  <c r="L14" i="78" s="1"/>
  <c r="L14" i="79" s="1"/>
  <c r="K14" i="80"/>
  <c r="K14" i="81" s="1"/>
  <c r="DO35" i="1"/>
  <c r="AR40" i="12"/>
  <c r="AT35" i="12"/>
  <c r="J50" i="73"/>
  <c r="J53" i="73" s="1"/>
  <c r="J50" i="74"/>
  <c r="J53" i="74" s="1"/>
  <c r="U3" i="1"/>
  <c r="V3" i="1" s="1"/>
  <c r="Q4" i="1" s="1"/>
  <c r="AJ3" i="1"/>
  <c r="AF4" i="1" s="1"/>
  <c r="F51" i="81" s="1"/>
  <c r="M51" i="81" s="1"/>
  <c r="J50" i="77"/>
  <c r="J50" i="84"/>
  <c r="J50" i="81"/>
  <c r="J50" i="82"/>
  <c r="CK35" i="1"/>
  <c r="J50" i="80"/>
  <c r="M50" i="80" s="1"/>
  <c r="CK34" i="1"/>
  <c r="J44" i="80"/>
  <c r="CZ35" i="1"/>
  <c r="CZ34" i="1"/>
  <c r="L47" i="80"/>
  <c r="L47" i="81" s="1"/>
  <c r="L47" i="82" s="1"/>
  <c r="L47" i="84" s="1"/>
  <c r="L47" i="85" s="1"/>
  <c r="L47" i="86" s="1"/>
  <c r="L47" i="87" s="1"/>
  <c r="L47" i="88" s="1"/>
  <c r="L47" i="89" s="1"/>
  <c r="L47" i="90" s="1"/>
  <c r="L47" i="91" s="1"/>
  <c r="L47" i="92" s="1"/>
  <c r="L47" i="93" s="1"/>
  <c r="L47" i="94" s="1"/>
  <c r="L47" i="95" s="1"/>
  <c r="L47" i="96" s="1"/>
  <c r="L47" i="97" s="1"/>
  <c r="L47" i="98" s="1"/>
  <c r="L47" i="99" s="1"/>
  <c r="L47" i="42" s="1"/>
  <c r="L47" i="68" s="1"/>
  <c r="L47" i="69" s="1"/>
  <c r="L47" i="70" s="1"/>
  <c r="L47" i="72" s="1"/>
  <c r="L47" i="73" s="1"/>
  <c r="L47" i="74" s="1"/>
  <c r="L47" i="75" s="1"/>
  <c r="L47" i="76" s="1"/>
  <c r="L47" i="77" s="1"/>
  <c r="L47" i="78" s="1"/>
  <c r="L46" i="79" s="1"/>
  <c r="K47" i="80"/>
  <c r="K47" i="81" s="1"/>
  <c r="K47" i="82" s="1"/>
  <c r="K47" i="84" s="1"/>
  <c r="K47" i="85" s="1"/>
  <c r="K47" i="86" s="1"/>
  <c r="K47" i="87" s="1"/>
  <c r="K47" i="88" s="1"/>
  <c r="K47" i="89" s="1"/>
  <c r="K47" i="90" s="1"/>
  <c r="K47" i="91" s="1"/>
  <c r="K47" i="92" s="1"/>
  <c r="K47" i="93" s="1"/>
  <c r="K47" i="94" s="1"/>
  <c r="K47" i="95" s="1"/>
  <c r="K47" i="96" s="1"/>
  <c r="K47" i="97" s="1"/>
  <c r="K47" i="98" s="1"/>
  <c r="K47" i="99" s="1"/>
  <c r="K47" i="42" s="1"/>
  <c r="K47" i="68" s="1"/>
  <c r="K47" i="69" s="1"/>
  <c r="K47" i="70" s="1"/>
  <c r="K47" i="72" s="1"/>
  <c r="K47" i="73" s="1"/>
  <c r="K47" i="74" s="1"/>
  <c r="K47" i="75" s="1"/>
  <c r="K47" i="76" s="1"/>
  <c r="K47" i="77" s="1"/>
  <c r="K47" i="78" s="1"/>
  <c r="K46" i="79" s="1"/>
  <c r="CL4" i="1"/>
  <c r="CH5" i="1" s="1"/>
  <c r="CL5" i="1" s="1"/>
  <c r="CH6" i="1" s="1"/>
  <c r="CB5" i="1"/>
  <c r="BX6" i="1" s="1"/>
  <c r="O7" i="1"/>
  <c r="O10" i="1"/>
  <c r="O13" i="1"/>
  <c r="O16" i="1"/>
  <c r="O19" i="1"/>
  <c r="O22" i="1"/>
  <c r="O25" i="1"/>
  <c r="EG26" i="1"/>
  <c r="J35" i="74"/>
  <c r="J37" i="74"/>
  <c r="J39" i="74"/>
  <c r="EG28" i="1"/>
  <c r="M34" i="1"/>
  <c r="DE35" i="1"/>
  <c r="M34" i="3"/>
  <c r="M35" i="3"/>
  <c r="G4" i="1"/>
  <c r="F20" i="81"/>
  <c r="M20" i="81" s="1"/>
  <c r="CW4" i="1"/>
  <c r="DG4" i="1"/>
  <c r="EG9" i="1"/>
  <c r="EG15" i="1"/>
  <c r="EG21" i="1"/>
  <c r="EG24" i="1"/>
  <c r="O28" i="1"/>
  <c r="J35" i="77"/>
  <c r="O31" i="1"/>
  <c r="J28" i="79"/>
  <c r="J52" i="79" s="1"/>
  <c r="U33" i="1"/>
  <c r="AH38" i="12"/>
  <c r="J65" i="68"/>
  <c r="J66" i="68" s="1"/>
  <c r="J65" i="42"/>
  <c r="J66" i="42" s="1"/>
  <c r="AN35" i="12"/>
  <c r="AB36" i="12"/>
  <c r="AG36" i="12" s="1"/>
  <c r="AB37" i="12"/>
  <c r="AG37" i="12" s="1"/>
  <c r="AL37" i="12" s="1"/>
  <c r="AM35" i="101"/>
  <c r="AM36" i="101"/>
  <c r="AM37" i="101"/>
  <c r="K20" i="81"/>
  <c r="K20" i="82" s="1"/>
  <c r="K20" i="84" s="1"/>
  <c r="K20" i="85" s="1"/>
  <c r="K20" i="86" s="1"/>
  <c r="K20" i="87" s="1"/>
  <c r="K20" i="88" s="1"/>
  <c r="K20" i="89" s="1"/>
  <c r="K20" i="90" s="1"/>
  <c r="K20" i="91" s="1"/>
  <c r="K20" i="92" s="1"/>
  <c r="K20" i="93" s="1"/>
  <c r="K20" i="94" s="1"/>
  <c r="K20" i="95" s="1"/>
  <c r="K20" i="96" s="1"/>
  <c r="K20" i="97" s="1"/>
  <c r="K20" i="98" s="1"/>
  <c r="K20" i="99" s="1"/>
  <c r="K20" i="42" s="1"/>
  <c r="K20" i="68" s="1"/>
  <c r="K20" i="69" s="1"/>
  <c r="K20" i="70" s="1"/>
  <c r="K20" i="72" s="1"/>
  <c r="K20" i="73" s="1"/>
  <c r="K20" i="74" s="1"/>
  <c r="K20" i="75" s="1"/>
  <c r="K20" i="76" s="1"/>
  <c r="K20" i="77" s="1"/>
  <c r="K20" i="78" s="1"/>
  <c r="K20" i="79" s="1"/>
  <c r="L74" i="81"/>
  <c r="L74" i="82" s="1"/>
  <c r="L74" i="84" s="1"/>
  <c r="L74" i="85" s="1"/>
  <c r="L74" i="86" s="1"/>
  <c r="L74" i="87" s="1"/>
  <c r="L74" i="88" s="1"/>
  <c r="L74" i="89" s="1"/>
  <c r="L74" i="90" s="1"/>
  <c r="L74" i="91" s="1"/>
  <c r="L74" i="92" s="1"/>
  <c r="L74" i="93" s="1"/>
  <c r="L74" i="94" s="1"/>
  <c r="L74" i="95" s="1"/>
  <c r="L74" i="96" s="1"/>
  <c r="L74" i="97" s="1"/>
  <c r="L74" i="98" s="1"/>
  <c r="L74" i="99" s="1"/>
  <c r="L74" i="42" s="1"/>
  <c r="L74" i="68" s="1"/>
  <c r="L74" i="69" s="1"/>
  <c r="L74" i="70" s="1"/>
  <c r="L74" i="72" s="1"/>
  <c r="L74" i="73" s="1"/>
  <c r="L74" i="74" s="1"/>
  <c r="L74" i="75" s="1"/>
  <c r="L74" i="76" s="1"/>
  <c r="L74" i="77" s="1"/>
  <c r="L74" i="78" s="1"/>
  <c r="L73" i="79" s="1"/>
  <c r="K19" i="82"/>
  <c r="K19" i="84" s="1"/>
  <c r="K19" i="85" s="1"/>
  <c r="K19" i="86" s="1"/>
  <c r="H49" i="82"/>
  <c r="H49" i="84" s="1"/>
  <c r="H49" i="85" s="1"/>
  <c r="H49" i="86" s="1"/>
  <c r="H49" i="87" s="1"/>
  <c r="H49" i="88" s="1"/>
  <c r="H49" i="89" s="1"/>
  <c r="H49" i="90" s="1"/>
  <c r="H49" i="91" s="1"/>
  <c r="H49" i="92" s="1"/>
  <c r="H49" i="93" s="1"/>
  <c r="H49" i="94" s="1"/>
  <c r="H49" i="95" s="1"/>
  <c r="H49" i="96" s="1"/>
  <c r="H49" i="97" s="1"/>
  <c r="H49" i="98" s="1"/>
  <c r="H49" i="99" s="1"/>
  <c r="H49" i="42" s="1"/>
  <c r="H49" i="68" s="1"/>
  <c r="H49" i="69" s="1"/>
  <c r="H49" i="70" s="1"/>
  <c r="H49" i="72" s="1"/>
  <c r="H49" i="73" s="1"/>
  <c r="H49" i="74" s="1"/>
  <c r="H49" i="75" s="1"/>
  <c r="H49" i="76" s="1"/>
  <c r="H49" i="77" s="1"/>
  <c r="H49" i="78" s="1"/>
  <c r="H48" i="79" s="1"/>
  <c r="AN36" i="12"/>
  <c r="AB39" i="12"/>
  <c r="AG39" i="12" s="1"/>
  <c r="AL39" i="12" s="1"/>
  <c r="T41" i="101"/>
  <c r="I25" i="80"/>
  <c r="I25" i="81" s="1"/>
  <c r="H25" i="80"/>
  <c r="H25" i="81" s="1"/>
  <c r="H25" i="82" s="1"/>
  <c r="H25" i="84" s="1"/>
  <c r="H25" i="85" s="1"/>
  <c r="H25" i="86" s="1"/>
  <c r="H25" i="87" s="1"/>
  <c r="H25" i="88" s="1"/>
  <c r="H25" i="89" s="1"/>
  <c r="H25" i="90" s="1"/>
  <c r="H25" i="91" s="1"/>
  <c r="H25" i="92" s="1"/>
  <c r="H25" i="93" s="1"/>
  <c r="H25" i="94" s="1"/>
  <c r="H25" i="95" s="1"/>
  <c r="H25" i="96" s="1"/>
  <c r="H25" i="97" s="1"/>
  <c r="H25" i="98" s="1"/>
  <c r="H25" i="99" s="1"/>
  <c r="H25" i="42" s="1"/>
  <c r="H25" i="68" s="1"/>
  <c r="H25" i="69" s="1"/>
  <c r="H25" i="70" s="1"/>
  <c r="H25" i="72" s="1"/>
  <c r="H25" i="73" s="1"/>
  <c r="H25" i="74" s="1"/>
  <c r="H25" i="75" s="1"/>
  <c r="H25" i="76" s="1"/>
  <c r="H25" i="77" s="1"/>
  <c r="H25" i="78" s="1"/>
  <c r="H25" i="79" s="1"/>
  <c r="M29" i="80"/>
  <c r="Q29" i="80" s="1"/>
  <c r="H61" i="68"/>
  <c r="H61" i="69"/>
  <c r="H61" i="70" s="1"/>
  <c r="H61" i="72" s="1"/>
  <c r="H61" i="73" s="1"/>
  <c r="H61" i="74" s="1"/>
  <c r="H61" i="75" s="1"/>
  <c r="H61" i="76" s="1"/>
  <c r="H61" i="77" s="1"/>
  <c r="H61" i="78" s="1"/>
  <c r="H60" i="79" s="1"/>
  <c r="F66" i="80"/>
  <c r="I19" i="81"/>
  <c r="I19" i="82" s="1"/>
  <c r="I19" i="84" s="1"/>
  <c r="I19" i="85" s="1"/>
  <c r="I19" i="86" s="1"/>
  <c r="I19" i="87" s="1"/>
  <c r="I19" i="88" s="1"/>
  <c r="I19" i="89" s="1"/>
  <c r="I19" i="90" s="1"/>
  <c r="I19" i="91" s="1"/>
  <c r="I19" i="92" s="1"/>
  <c r="I19" i="93" s="1"/>
  <c r="I19" i="94" s="1"/>
  <c r="I19" i="95" s="1"/>
  <c r="I19" i="96" s="1"/>
  <c r="I19" i="97" s="1"/>
  <c r="I19" i="98" s="1"/>
  <c r="I19" i="99" s="1"/>
  <c r="I19" i="42" s="1"/>
  <c r="I19" i="68" s="1"/>
  <c r="I19" i="69" s="1"/>
  <c r="I19" i="70" s="1"/>
  <c r="I19" i="72" s="1"/>
  <c r="I19" i="73" s="1"/>
  <c r="I19" i="74" s="1"/>
  <c r="I19" i="75" s="1"/>
  <c r="I19" i="76" s="1"/>
  <c r="I19" i="77" s="1"/>
  <c r="I19" i="78" s="1"/>
  <c r="I19" i="79" s="1"/>
  <c r="L23" i="81"/>
  <c r="L23" i="82" s="1"/>
  <c r="L23" i="84" s="1"/>
  <c r="L23" i="85" s="1"/>
  <c r="L23" i="86" s="1"/>
  <c r="L23" i="87" s="1"/>
  <c r="L23" i="88" s="1"/>
  <c r="L23" i="89" s="1"/>
  <c r="L23" i="90" s="1"/>
  <c r="L23" i="91" s="1"/>
  <c r="L23" i="92" s="1"/>
  <c r="L23" i="93" s="1"/>
  <c r="L23" i="94" s="1"/>
  <c r="L23" i="95" s="1"/>
  <c r="L23" i="96" s="1"/>
  <c r="L23" i="97" s="1"/>
  <c r="L23" i="98" s="1"/>
  <c r="L23" i="99" s="1"/>
  <c r="L23" i="42" s="1"/>
  <c r="L23" i="68" s="1"/>
  <c r="L23" i="69" s="1"/>
  <c r="L23" i="70" s="1"/>
  <c r="L23" i="72" s="1"/>
  <c r="L23" i="73" s="1"/>
  <c r="L23" i="74" s="1"/>
  <c r="L23" i="75" s="1"/>
  <c r="L23" i="76" s="1"/>
  <c r="L23" i="77" s="1"/>
  <c r="L23" i="78" s="1"/>
  <c r="L23" i="79" s="1"/>
  <c r="K23" i="81"/>
  <c r="K23" i="82" s="1"/>
  <c r="K23" i="84" s="1"/>
  <c r="K23" i="85" s="1"/>
  <c r="K23" i="86" s="1"/>
  <c r="K23" i="87" s="1"/>
  <c r="K23" i="88" s="1"/>
  <c r="K23" i="89" s="1"/>
  <c r="K23" i="90" s="1"/>
  <c r="K23" i="91" s="1"/>
  <c r="K23" i="92" s="1"/>
  <c r="K23" i="93" s="1"/>
  <c r="K23" i="94" s="1"/>
  <c r="K23" i="95" s="1"/>
  <c r="K23" i="96" s="1"/>
  <c r="K23" i="97" s="1"/>
  <c r="K23" i="98" s="1"/>
  <c r="K23" i="99" s="1"/>
  <c r="K23" i="42" s="1"/>
  <c r="K23" i="68" s="1"/>
  <c r="K23" i="69" s="1"/>
  <c r="K23" i="70" s="1"/>
  <c r="K23" i="72" s="1"/>
  <c r="K23" i="73" s="1"/>
  <c r="K23" i="74" s="1"/>
  <c r="K23" i="75" s="1"/>
  <c r="K23" i="76" s="1"/>
  <c r="K23" i="77" s="1"/>
  <c r="K23" i="78" s="1"/>
  <c r="K23" i="79" s="1"/>
  <c r="L20" i="82"/>
  <c r="L20" i="84" s="1"/>
  <c r="L20" i="85" s="1"/>
  <c r="L20" i="86" s="1"/>
  <c r="L20" i="87" s="1"/>
  <c r="L20" i="88" s="1"/>
  <c r="L20" i="89" s="1"/>
  <c r="L20" i="90" s="1"/>
  <c r="L20" i="91" s="1"/>
  <c r="L20" i="92" s="1"/>
  <c r="L20" i="93" s="1"/>
  <c r="L20" i="94" s="1"/>
  <c r="L20" i="95" s="1"/>
  <c r="L20" i="96" s="1"/>
  <c r="L20" i="97" s="1"/>
  <c r="L20" i="98" s="1"/>
  <c r="L20" i="99" s="1"/>
  <c r="L20" i="42" s="1"/>
  <c r="L20" i="68" s="1"/>
  <c r="L20" i="69" s="1"/>
  <c r="L20" i="70" s="1"/>
  <c r="L20" i="72" s="1"/>
  <c r="L20" i="73" s="1"/>
  <c r="L20" i="74" s="1"/>
  <c r="L20" i="75" s="1"/>
  <c r="L20" i="76" s="1"/>
  <c r="L20" i="77" s="1"/>
  <c r="L20" i="78" s="1"/>
  <c r="L20" i="79" s="1"/>
  <c r="N54" i="82"/>
  <c r="J66" i="70"/>
  <c r="AN39" i="12"/>
  <c r="M14" i="80"/>
  <c r="M52" i="80"/>
  <c r="Q52" i="80" s="1"/>
  <c r="L65" i="80"/>
  <c r="L65" i="81" s="1"/>
  <c r="L65" i="82" s="1"/>
  <c r="L65" i="84" s="1"/>
  <c r="L65" i="85" s="1"/>
  <c r="L65" i="86" s="1"/>
  <c r="L65" i="87" s="1"/>
  <c r="L65" i="88" s="1"/>
  <c r="L65" i="89" s="1"/>
  <c r="L65" i="90" s="1"/>
  <c r="L65" i="91" s="1"/>
  <c r="L65" i="92" s="1"/>
  <c r="L65" i="93" s="1"/>
  <c r="L65" i="94" s="1"/>
  <c r="L65" i="95" s="1"/>
  <c r="L65" i="96" s="1"/>
  <c r="L65" i="97" s="1"/>
  <c r="L65" i="98" s="1"/>
  <c r="L65" i="99" s="1"/>
  <c r="H64" i="81"/>
  <c r="H64" i="82" s="1"/>
  <c r="K18" i="82"/>
  <c r="K18" i="84" s="1"/>
  <c r="K18" i="85" s="1"/>
  <c r="K18" i="86" s="1"/>
  <c r="K18" i="87" s="1"/>
  <c r="K18" i="88" s="1"/>
  <c r="K18" i="89" s="1"/>
  <c r="K18" i="90" s="1"/>
  <c r="K18" i="91" s="1"/>
  <c r="K18" i="92" s="1"/>
  <c r="K18" i="93" s="1"/>
  <c r="K18" i="94" s="1"/>
  <c r="K18" i="95" s="1"/>
  <c r="K18" i="96" s="1"/>
  <c r="K18" i="97" s="1"/>
  <c r="K18" i="98" s="1"/>
  <c r="K18" i="99" s="1"/>
  <c r="K18" i="42" s="1"/>
  <c r="K18" i="68" s="1"/>
  <c r="K18" i="69" s="1"/>
  <c r="K18" i="70" s="1"/>
  <c r="K18" i="72" s="1"/>
  <c r="K18" i="73" s="1"/>
  <c r="K18" i="74" s="1"/>
  <c r="K18" i="75" s="1"/>
  <c r="K18" i="76" s="1"/>
  <c r="K18" i="77" s="1"/>
  <c r="K18" i="78" s="1"/>
  <c r="K18" i="79" s="1"/>
  <c r="K25" i="82"/>
  <c r="K25" i="84" s="1"/>
  <c r="K25" i="85" s="1"/>
  <c r="K25" i="86" s="1"/>
  <c r="K25" i="87" s="1"/>
  <c r="K25" i="88" s="1"/>
  <c r="K25" i="89" s="1"/>
  <c r="K25" i="90" s="1"/>
  <c r="K25" i="91" s="1"/>
  <c r="K25" i="92" s="1"/>
  <c r="K25" i="93" s="1"/>
  <c r="K25" i="94" s="1"/>
  <c r="K25" i="95" s="1"/>
  <c r="K25" i="96" s="1"/>
  <c r="K25" i="97" s="1"/>
  <c r="K25" i="98" s="1"/>
  <c r="K25" i="99" s="1"/>
  <c r="K25" i="42" s="1"/>
  <c r="K25" i="68" s="1"/>
  <c r="K25" i="69" s="1"/>
  <c r="K25" i="70" s="1"/>
  <c r="K25" i="72" s="1"/>
  <c r="K25" i="73" s="1"/>
  <c r="K25" i="74" s="1"/>
  <c r="K25" i="75" s="1"/>
  <c r="K13" i="84"/>
  <c r="H16" i="84"/>
  <c r="H16" i="85" s="1"/>
  <c r="H16" i="86" s="1"/>
  <c r="H16" i="87" s="1"/>
  <c r="H16" i="88" s="1"/>
  <c r="H16" i="89" s="1"/>
  <c r="H16" i="90" s="1"/>
  <c r="H16" i="91" s="1"/>
  <c r="H16" i="92" s="1"/>
  <c r="H16" i="93" s="1"/>
  <c r="H16" i="94" s="1"/>
  <c r="H16" i="95" s="1"/>
  <c r="H16" i="96" s="1"/>
  <c r="H16" i="97" s="1"/>
  <c r="H16" i="98" s="1"/>
  <c r="H16" i="99" s="1"/>
  <c r="H16" i="42" s="1"/>
  <c r="H16" i="68" s="1"/>
  <c r="H16" i="69" s="1"/>
  <c r="H16" i="70" s="1"/>
  <c r="H16" i="72" s="1"/>
  <c r="H16" i="73" s="1"/>
  <c r="H16" i="74" s="1"/>
  <c r="H16" i="75" s="1"/>
  <c r="H16" i="76" s="1"/>
  <c r="H16" i="77" s="1"/>
  <c r="H16" i="78" s="1"/>
  <c r="H16" i="79" s="1"/>
  <c r="AB38" i="12"/>
  <c r="I18" i="80"/>
  <c r="I18" i="81" s="1"/>
  <c r="I18" i="82" s="1"/>
  <c r="I18" i="84" s="1"/>
  <c r="I18" i="85" s="1"/>
  <c r="I18" i="86" s="1"/>
  <c r="I18" i="87" s="1"/>
  <c r="I18" i="88" s="1"/>
  <c r="I18" i="89" s="1"/>
  <c r="I18" i="90" s="1"/>
  <c r="I18" i="91" s="1"/>
  <c r="I18" i="92" s="1"/>
  <c r="I18" i="93" s="1"/>
  <c r="I18" i="94" s="1"/>
  <c r="I18" i="95" s="1"/>
  <c r="I18" i="96" s="1"/>
  <c r="I18" i="97" s="1"/>
  <c r="I18" i="98" s="1"/>
  <c r="I18" i="99" s="1"/>
  <c r="I18" i="42" s="1"/>
  <c r="I18" i="68" s="1"/>
  <c r="I18" i="69" s="1"/>
  <c r="I18" i="70" s="1"/>
  <c r="I18" i="72" s="1"/>
  <c r="I18" i="73" s="1"/>
  <c r="I18" i="74" s="1"/>
  <c r="I18" i="75" s="1"/>
  <c r="I18" i="76" s="1"/>
  <c r="I18" i="77" s="1"/>
  <c r="I18" i="78" s="1"/>
  <c r="I18" i="79" s="1"/>
  <c r="H18" i="80"/>
  <c r="H18" i="81" s="1"/>
  <c r="H18" i="82" s="1"/>
  <c r="H18" i="84" s="1"/>
  <c r="H18" i="85" s="1"/>
  <c r="H18" i="86" s="1"/>
  <c r="H18" i="87" s="1"/>
  <c r="H18" i="88" s="1"/>
  <c r="H18" i="89" s="1"/>
  <c r="H18" i="90" s="1"/>
  <c r="H18" i="91" s="1"/>
  <c r="H18" i="92" s="1"/>
  <c r="H18" i="93" s="1"/>
  <c r="H18" i="94" s="1"/>
  <c r="H18" i="95" s="1"/>
  <c r="H18" i="96" s="1"/>
  <c r="H18" i="97" s="1"/>
  <c r="H18" i="98" s="1"/>
  <c r="H18" i="99" s="1"/>
  <c r="H18" i="42" s="1"/>
  <c r="H18" i="68" s="1"/>
  <c r="H18" i="69" s="1"/>
  <c r="H18" i="70" s="1"/>
  <c r="H18" i="72" s="1"/>
  <c r="H18" i="73" s="1"/>
  <c r="H18" i="74" s="1"/>
  <c r="H18" i="75" s="1"/>
  <c r="H18" i="76" s="1"/>
  <c r="H18" i="77" s="1"/>
  <c r="H18" i="78" s="1"/>
  <c r="H18" i="79" s="1"/>
  <c r="M48" i="80"/>
  <c r="J66" i="80"/>
  <c r="I13" i="81"/>
  <c r="I13" i="82" s="1"/>
  <c r="I13" i="84" s="1"/>
  <c r="I13" i="85" s="1"/>
  <c r="I13" i="86" s="1"/>
  <c r="I13" i="87" s="1"/>
  <c r="I13" i="88" s="1"/>
  <c r="I13" i="89" s="1"/>
  <c r="I13" i="90" s="1"/>
  <c r="I13" i="91" s="1"/>
  <c r="I13" i="92" s="1"/>
  <c r="I13" i="93" s="1"/>
  <c r="I13" i="94" s="1"/>
  <c r="I13" i="95" s="1"/>
  <c r="I13" i="96" s="1"/>
  <c r="I13" i="97" s="1"/>
  <c r="I13" i="98" s="1"/>
  <c r="I13" i="99" s="1"/>
  <c r="I13" i="42" s="1"/>
  <c r="I13" i="68" s="1"/>
  <c r="I13" i="69" s="1"/>
  <c r="I13" i="70" s="1"/>
  <c r="I13" i="72" s="1"/>
  <c r="I13" i="73" s="1"/>
  <c r="I13" i="74" s="1"/>
  <c r="I13" i="75" s="1"/>
  <c r="I13" i="76" s="1"/>
  <c r="I13" i="77" s="1"/>
  <c r="I13" i="78" s="1"/>
  <c r="I13" i="79" s="1"/>
  <c r="H15" i="81"/>
  <c r="H15" i="82" s="1"/>
  <c r="H15" i="84" s="1"/>
  <c r="H15" i="85" s="1"/>
  <c r="H15" i="86" s="1"/>
  <c r="H15" i="87" s="1"/>
  <c r="H15" i="88" s="1"/>
  <c r="H15" i="89" s="1"/>
  <c r="H15" i="90" s="1"/>
  <c r="H15" i="91" s="1"/>
  <c r="H15" i="92" s="1"/>
  <c r="H15" i="93" s="1"/>
  <c r="H15" i="94" s="1"/>
  <c r="H15" i="95" s="1"/>
  <c r="H15" i="96" s="1"/>
  <c r="H15" i="97" s="1"/>
  <c r="H15" i="98" s="1"/>
  <c r="H15" i="99" s="1"/>
  <c r="H15" i="42" s="1"/>
  <c r="H15" i="68" s="1"/>
  <c r="H15" i="69" s="1"/>
  <c r="H15" i="70" s="1"/>
  <c r="H15" i="72" s="1"/>
  <c r="H15" i="73" s="1"/>
  <c r="H15" i="74" s="1"/>
  <c r="H15" i="75" s="1"/>
  <c r="H15" i="76" s="1"/>
  <c r="H15" i="77" s="1"/>
  <c r="H15" i="78" s="1"/>
  <c r="H15" i="79" s="1"/>
  <c r="L17" i="81"/>
  <c r="L17" i="82" s="1"/>
  <c r="L17" i="84" s="1"/>
  <c r="L17" i="85" s="1"/>
  <c r="L17" i="86" s="1"/>
  <c r="L17" i="87" s="1"/>
  <c r="L17" i="88" s="1"/>
  <c r="L17" i="89" s="1"/>
  <c r="L17" i="90" s="1"/>
  <c r="L17" i="91" s="1"/>
  <c r="L17" i="92" s="1"/>
  <c r="L17" i="93" s="1"/>
  <c r="L17" i="94" s="1"/>
  <c r="L17" i="95" s="1"/>
  <c r="L17" i="96" s="1"/>
  <c r="L17" i="97" s="1"/>
  <c r="L17" i="98" s="1"/>
  <c r="L17" i="99" s="1"/>
  <c r="L17" i="42" s="1"/>
  <c r="L17" i="68" s="1"/>
  <c r="L17" i="69" s="1"/>
  <c r="L17" i="70" s="1"/>
  <c r="L17" i="72" s="1"/>
  <c r="L17" i="73" s="1"/>
  <c r="L17" i="74" s="1"/>
  <c r="L17" i="75" s="1"/>
  <c r="L17" i="76" s="1"/>
  <c r="L17" i="77" s="1"/>
  <c r="L17" i="78" s="1"/>
  <c r="L17" i="79" s="1"/>
  <c r="L26" i="81"/>
  <c r="L26" i="82" s="1"/>
  <c r="L26" i="84" s="1"/>
  <c r="L26" i="85" s="1"/>
  <c r="L26" i="86" s="1"/>
  <c r="L26" i="87" s="1"/>
  <c r="L26" i="88" s="1"/>
  <c r="L26" i="89" s="1"/>
  <c r="L26" i="90" s="1"/>
  <c r="L26" i="91" s="1"/>
  <c r="L26" i="92" s="1"/>
  <c r="L26" i="93" s="1"/>
  <c r="L26" i="77" s="1"/>
  <c r="L69" i="81"/>
  <c r="L69" i="82" s="1"/>
  <c r="L69" i="84" s="1"/>
  <c r="K69" i="81"/>
  <c r="K69" i="82" s="1"/>
  <c r="K69" i="84" s="1"/>
  <c r="K69" i="85" s="1"/>
  <c r="H32" i="82"/>
  <c r="H32" i="84" s="1"/>
  <c r="H32" i="85" s="1"/>
  <c r="H32" i="86" s="1"/>
  <c r="H32" i="87" s="1"/>
  <c r="H32" i="88" s="1"/>
  <c r="H32" i="89" s="1"/>
  <c r="H32" i="90" s="1"/>
  <c r="H32" i="91" s="1"/>
  <c r="G76" i="82"/>
  <c r="K65" i="81"/>
  <c r="K65" i="82" s="1"/>
  <c r="K65" i="84" s="1"/>
  <c r="K65" i="85" s="1"/>
  <c r="K65" i="86" s="1"/>
  <c r="K65" i="87" s="1"/>
  <c r="K65" i="88" s="1"/>
  <c r="K65" i="89" s="1"/>
  <c r="K65" i="90" s="1"/>
  <c r="K65" i="91" s="1"/>
  <c r="K65" i="92" s="1"/>
  <c r="K65" i="93" s="1"/>
  <c r="K65" i="94" s="1"/>
  <c r="K65" i="95" s="1"/>
  <c r="K65" i="96" s="1"/>
  <c r="K65" i="97" s="1"/>
  <c r="K65" i="98" s="1"/>
  <c r="K65" i="99" s="1"/>
  <c r="AM39" i="101"/>
  <c r="F69" i="81"/>
  <c r="AB4" i="56"/>
  <c r="I22" i="80"/>
  <c r="I22" i="81" s="1"/>
  <c r="I22" i="82" s="1"/>
  <c r="I22" i="84" s="1"/>
  <c r="I22" i="85" s="1"/>
  <c r="I22" i="86" s="1"/>
  <c r="I22" i="87" s="1"/>
  <c r="I22" i="88" s="1"/>
  <c r="I22" i="89" s="1"/>
  <c r="I22" i="90" s="1"/>
  <c r="I22" i="91" s="1"/>
  <c r="I22" i="92" s="1"/>
  <c r="I22" i="93" s="1"/>
  <c r="I22" i="94" s="1"/>
  <c r="I22" i="95" s="1"/>
  <c r="I22" i="96" s="1"/>
  <c r="I22" i="97" s="1"/>
  <c r="I22" i="98" s="1"/>
  <c r="I22" i="99" s="1"/>
  <c r="I22" i="42" s="1"/>
  <c r="I22" i="68" s="1"/>
  <c r="I22" i="69" s="1"/>
  <c r="I22" i="70" s="1"/>
  <c r="I22" i="72" s="1"/>
  <c r="I22" i="73" s="1"/>
  <c r="I22" i="74" s="1"/>
  <c r="I22" i="75" s="1"/>
  <c r="I22" i="76" s="1"/>
  <c r="I22" i="77" s="1"/>
  <c r="I22" i="78" s="1"/>
  <c r="I22" i="79" s="1"/>
  <c r="H22" i="80"/>
  <c r="H22" i="81" s="1"/>
  <c r="H22" i="82" s="1"/>
  <c r="H22" i="84" s="1"/>
  <c r="H22" i="85" s="1"/>
  <c r="H22" i="86" s="1"/>
  <c r="H22" i="87" s="1"/>
  <c r="H22" i="88" s="1"/>
  <c r="H22" i="89" s="1"/>
  <c r="H22" i="90" s="1"/>
  <c r="H22" i="91" s="1"/>
  <c r="H22" i="92" s="1"/>
  <c r="H22" i="93" s="1"/>
  <c r="H22" i="94" s="1"/>
  <c r="H22" i="95" s="1"/>
  <c r="H22" i="96" s="1"/>
  <c r="H22" i="97" s="1"/>
  <c r="H22" i="98" s="1"/>
  <c r="H22" i="99" s="1"/>
  <c r="H22" i="42" s="1"/>
  <c r="H22" i="68" s="1"/>
  <c r="H22" i="69" s="1"/>
  <c r="H22" i="70" s="1"/>
  <c r="H22" i="72" s="1"/>
  <c r="H22" i="73" s="1"/>
  <c r="H22" i="74" s="1"/>
  <c r="H22" i="75" s="1"/>
  <c r="H22" i="76" s="1"/>
  <c r="H22" i="77" s="1"/>
  <c r="H22" i="78" s="1"/>
  <c r="H22" i="79" s="1"/>
  <c r="K14" i="82"/>
  <c r="K14" i="84" s="1"/>
  <c r="K14" i="85" s="1"/>
  <c r="K14" i="86" s="1"/>
  <c r="K14" i="87" s="1"/>
  <c r="K14" i="88" s="1"/>
  <c r="H17" i="82"/>
  <c r="J66" i="82"/>
  <c r="K11" i="84"/>
  <c r="K11" i="85" s="1"/>
  <c r="K11" i="86" s="1"/>
  <c r="K11" i="87" s="1"/>
  <c r="K11" i="88" s="1"/>
  <c r="K11" i="89" s="1"/>
  <c r="K11" i="90" s="1"/>
  <c r="K11" i="91" s="1"/>
  <c r="K11" i="92" s="1"/>
  <c r="K11" i="93" s="1"/>
  <c r="K11" i="94" s="1"/>
  <c r="K11" i="95" s="1"/>
  <c r="K11" i="96" s="1"/>
  <c r="K11" i="97" s="1"/>
  <c r="K11" i="98" s="1"/>
  <c r="K11" i="99" s="1"/>
  <c r="K11" i="42" s="1"/>
  <c r="K11" i="68" s="1"/>
  <c r="K11" i="69" s="1"/>
  <c r="K11" i="70" s="1"/>
  <c r="K11" i="72" s="1"/>
  <c r="K11" i="73" s="1"/>
  <c r="K11" i="74" s="1"/>
  <c r="K11" i="75" s="1"/>
  <c r="K11" i="76" s="1"/>
  <c r="K11" i="77" s="1"/>
  <c r="K11" i="78" s="1"/>
  <c r="K11" i="79" s="1"/>
  <c r="H17" i="84"/>
  <c r="H17" i="85" s="1"/>
  <c r="H17" i="86" s="1"/>
  <c r="H17" i="87" s="1"/>
  <c r="H17" i="88" s="1"/>
  <c r="H17" i="89" s="1"/>
  <c r="H17" i="90" s="1"/>
  <c r="H17" i="91" s="1"/>
  <c r="H17" i="92" s="1"/>
  <c r="H17" i="93" s="1"/>
  <c r="H17" i="94" s="1"/>
  <c r="H17" i="95" s="1"/>
  <c r="H17" i="96" s="1"/>
  <c r="H17" i="97" s="1"/>
  <c r="H17" i="98" s="1"/>
  <c r="H17" i="99" s="1"/>
  <c r="H17" i="42" s="1"/>
  <c r="H17" i="68" s="1"/>
  <c r="H17" i="69" s="1"/>
  <c r="H17" i="70" s="1"/>
  <c r="H17" i="72" s="1"/>
  <c r="H17" i="73" s="1"/>
  <c r="H17" i="74" s="1"/>
  <c r="H17" i="75" s="1"/>
  <c r="H17" i="76" s="1"/>
  <c r="H17" i="77" s="1"/>
  <c r="H17" i="78" s="1"/>
  <c r="H17" i="79" s="1"/>
  <c r="J66" i="84"/>
  <c r="I14" i="84"/>
  <c r="I14" i="85" s="1"/>
  <c r="I14" i="86" s="1"/>
  <c r="I14" i="87" s="1"/>
  <c r="I14" i="88" s="1"/>
  <c r="I14" i="89" s="1"/>
  <c r="I14" i="90" s="1"/>
  <c r="I14" i="91" s="1"/>
  <c r="I14" i="92" s="1"/>
  <c r="I14" i="93" s="1"/>
  <c r="I14" i="94" s="1"/>
  <c r="I14" i="95" s="1"/>
  <c r="I14" i="96" s="1"/>
  <c r="I14" i="97" s="1"/>
  <c r="I14" i="98" s="1"/>
  <c r="I14" i="99" s="1"/>
  <c r="I14" i="42" s="1"/>
  <c r="I14" i="68" s="1"/>
  <c r="I14" i="69" s="1"/>
  <c r="I14" i="70" s="1"/>
  <c r="I14" i="72" s="1"/>
  <c r="I14" i="73" s="1"/>
  <c r="I14" i="74" s="1"/>
  <c r="I14" i="75" s="1"/>
  <c r="I14" i="76" s="1"/>
  <c r="I14" i="77" s="1"/>
  <c r="I14" i="78" s="1"/>
  <c r="I14" i="79" s="1"/>
  <c r="L18" i="84"/>
  <c r="L18" i="85" s="1"/>
  <c r="L18" i="86" s="1"/>
  <c r="L18" i="87" s="1"/>
  <c r="L18" i="88" s="1"/>
  <c r="L18" i="89" s="1"/>
  <c r="L18" i="90" s="1"/>
  <c r="L18" i="91" s="1"/>
  <c r="L18" i="92" s="1"/>
  <c r="L18" i="93" s="1"/>
  <c r="L18" i="94" s="1"/>
  <c r="L18" i="95" s="1"/>
  <c r="L18" i="96" s="1"/>
  <c r="L18" i="97" s="1"/>
  <c r="L18" i="98" s="1"/>
  <c r="L18" i="99" s="1"/>
  <c r="L18" i="42" s="1"/>
  <c r="L18" i="68" s="1"/>
  <c r="L18" i="69" s="1"/>
  <c r="L18" i="70" s="1"/>
  <c r="L18" i="72" s="1"/>
  <c r="L18" i="73" s="1"/>
  <c r="L18" i="74" s="1"/>
  <c r="L18" i="75" s="1"/>
  <c r="L18" i="76" s="1"/>
  <c r="L18" i="77" s="1"/>
  <c r="L18" i="78" s="1"/>
  <c r="L18" i="79" s="1"/>
  <c r="M64" i="80"/>
  <c r="I66" i="80"/>
  <c r="J76" i="81"/>
  <c r="M68" i="81" s="1"/>
  <c r="K72" i="81"/>
  <c r="K72" i="82" s="1"/>
  <c r="K72" i="84" s="1"/>
  <c r="K72" i="85" s="1"/>
  <c r="K72" i="86" s="1"/>
  <c r="K72" i="87" s="1"/>
  <c r="K72" i="88" s="1"/>
  <c r="K72" i="89" s="1"/>
  <c r="K72" i="90" s="1"/>
  <c r="K72" i="91" s="1"/>
  <c r="K72" i="92" s="1"/>
  <c r="K72" i="93" s="1"/>
  <c r="K72" i="94" s="1"/>
  <c r="K72" i="95" s="1"/>
  <c r="K72" i="96" s="1"/>
  <c r="K72" i="97" s="1"/>
  <c r="K72" i="98" s="1"/>
  <c r="K72" i="99" s="1"/>
  <c r="K72" i="42" s="1"/>
  <c r="K72" i="68" s="1"/>
  <c r="K72" i="69" s="1"/>
  <c r="K72" i="70" s="1"/>
  <c r="K72" i="72" s="1"/>
  <c r="K72" i="73" s="1"/>
  <c r="K72" i="74" s="1"/>
  <c r="K72" i="75" s="1"/>
  <c r="K72" i="76" s="1"/>
  <c r="K72" i="77" s="1"/>
  <c r="K13" i="85"/>
  <c r="K13" i="86" s="1"/>
  <c r="K13" i="87" s="1"/>
  <c r="K13" i="88" s="1"/>
  <c r="K13" i="89" s="1"/>
  <c r="K13" i="90" s="1"/>
  <c r="K13" i="91" s="1"/>
  <c r="K13" i="92" s="1"/>
  <c r="K13" i="93" s="1"/>
  <c r="K13" i="94" s="1"/>
  <c r="K13" i="95" s="1"/>
  <c r="K13" i="96" s="1"/>
  <c r="K13" i="97" s="1"/>
  <c r="K13" i="98" s="1"/>
  <c r="K13" i="99" s="1"/>
  <c r="K13" i="42" s="1"/>
  <c r="K13" i="68" s="1"/>
  <c r="K13" i="69" s="1"/>
  <c r="K13" i="70" s="1"/>
  <c r="K13" i="72" s="1"/>
  <c r="K13" i="73" s="1"/>
  <c r="K13" i="74" s="1"/>
  <c r="K13" i="75" s="1"/>
  <c r="K13" i="76" s="1"/>
  <c r="K13" i="77" s="1"/>
  <c r="K13" i="78" s="1"/>
  <c r="K13" i="79" s="1"/>
  <c r="J66" i="86"/>
  <c r="J66" i="88"/>
  <c r="Q41" i="101"/>
  <c r="AM41" i="101" s="1"/>
  <c r="S41" i="101"/>
  <c r="I7" i="82"/>
  <c r="I7" i="84" s="1"/>
  <c r="I7" i="85" s="1"/>
  <c r="I7" i="86" s="1"/>
  <c r="I7" i="87" s="1"/>
  <c r="I7" i="88" s="1"/>
  <c r="I7" i="89" s="1"/>
  <c r="I7" i="90" s="1"/>
  <c r="I7" i="91" s="1"/>
  <c r="I7" i="92" s="1"/>
  <c r="I7" i="93" s="1"/>
  <c r="I7" i="94" s="1"/>
  <c r="I7" i="95" s="1"/>
  <c r="I7" i="96" s="1"/>
  <c r="I7" i="97" s="1"/>
  <c r="I7" i="98" s="1"/>
  <c r="I7" i="99" s="1"/>
  <c r="I7" i="42" s="1"/>
  <c r="I7" i="68" s="1"/>
  <c r="I7" i="69" s="1"/>
  <c r="I7" i="70" s="1"/>
  <c r="I7" i="72" s="1"/>
  <c r="I7" i="73" s="1"/>
  <c r="I7" i="74" s="1"/>
  <c r="I7" i="75" s="1"/>
  <c r="I7" i="76" s="1"/>
  <c r="I7" i="77" s="1"/>
  <c r="I7" i="78" s="1"/>
  <c r="I7" i="79" s="1"/>
  <c r="I57" i="81"/>
  <c r="I57" i="82" s="1"/>
  <c r="I57" i="84" s="1"/>
  <c r="I57" i="85" s="1"/>
  <c r="I57" i="86" s="1"/>
  <c r="I57" i="87" s="1"/>
  <c r="I57" i="88" s="1"/>
  <c r="I57" i="89" s="1"/>
  <c r="I57" i="90" s="1"/>
  <c r="I57" i="91" s="1"/>
  <c r="I57" i="92" s="1"/>
  <c r="I57" i="93" s="1"/>
  <c r="I57" i="94" s="1"/>
  <c r="I57" i="95" s="1"/>
  <c r="I57" i="96" s="1"/>
  <c r="I57" i="97" s="1"/>
  <c r="I57" i="98" s="1"/>
  <c r="I57" i="99" s="1"/>
  <c r="I57" i="42" s="1"/>
  <c r="I57" i="68" s="1"/>
  <c r="I57" i="69" s="1"/>
  <c r="I57" i="70" s="1"/>
  <c r="I57" i="72" s="1"/>
  <c r="I57" i="73" s="1"/>
  <c r="I57" i="74" s="1"/>
  <c r="I57" i="75" s="1"/>
  <c r="I57" i="76" s="1"/>
  <c r="I57" i="77" s="1"/>
  <c r="I57" i="78" s="1"/>
  <c r="I56" i="79" s="1"/>
  <c r="J27" i="81"/>
  <c r="G66" i="81"/>
  <c r="G53" i="85"/>
  <c r="J66" i="91"/>
  <c r="AM40" i="101"/>
  <c r="K16" i="80"/>
  <c r="K16" i="81" s="1"/>
  <c r="K16" i="82" s="1"/>
  <c r="K16" i="84" s="1"/>
  <c r="K16" i="85" s="1"/>
  <c r="K16" i="86" s="1"/>
  <c r="K16" i="87" s="1"/>
  <c r="K16" i="88" s="1"/>
  <c r="K16" i="89" s="1"/>
  <c r="K16" i="90" s="1"/>
  <c r="K16" i="91" s="1"/>
  <c r="K16" i="92" s="1"/>
  <c r="K16" i="93" s="1"/>
  <c r="K16" i="94" s="1"/>
  <c r="K16" i="95" s="1"/>
  <c r="K16" i="96" s="1"/>
  <c r="K16" i="97" s="1"/>
  <c r="K16" i="98" s="1"/>
  <c r="K16" i="99" s="1"/>
  <c r="K16" i="42" s="1"/>
  <c r="K16" i="68" s="1"/>
  <c r="K16" i="69" s="1"/>
  <c r="K16" i="70" s="1"/>
  <c r="K16" i="72" s="1"/>
  <c r="K16" i="73" s="1"/>
  <c r="K16" i="74" s="1"/>
  <c r="K16" i="75" s="1"/>
  <c r="K16" i="76" s="1"/>
  <c r="K16" i="77" s="1"/>
  <c r="K16" i="78" s="1"/>
  <c r="K16" i="79" s="1"/>
  <c r="H19" i="80"/>
  <c r="H19" i="81" s="1"/>
  <c r="H19" i="82" s="1"/>
  <c r="H19" i="84" s="1"/>
  <c r="H19" i="85" s="1"/>
  <c r="H19" i="86" s="1"/>
  <c r="H19" i="87" s="1"/>
  <c r="H19" i="88" s="1"/>
  <c r="H19" i="89" s="1"/>
  <c r="H19" i="90" s="1"/>
  <c r="H19" i="91" s="1"/>
  <c r="H19" i="92" s="1"/>
  <c r="H19" i="93" s="1"/>
  <c r="H19" i="94" s="1"/>
  <c r="H19" i="95" s="1"/>
  <c r="H19" i="96" s="1"/>
  <c r="H19" i="97" s="1"/>
  <c r="H19" i="98" s="1"/>
  <c r="H19" i="99" s="1"/>
  <c r="H19" i="42" s="1"/>
  <c r="H19" i="68" s="1"/>
  <c r="H19" i="69" s="1"/>
  <c r="H19" i="70" s="1"/>
  <c r="H19" i="72" s="1"/>
  <c r="H19" i="73" s="1"/>
  <c r="H19" i="74" s="1"/>
  <c r="H19" i="75" s="1"/>
  <c r="H19" i="76" s="1"/>
  <c r="H19" i="77" s="1"/>
  <c r="H19" i="78" s="1"/>
  <c r="H19" i="79" s="1"/>
  <c r="K21" i="80"/>
  <c r="K21" i="81" s="1"/>
  <c r="K21" i="82" s="1"/>
  <c r="K21" i="84" s="1"/>
  <c r="K21" i="85" s="1"/>
  <c r="K21" i="86" s="1"/>
  <c r="K21" i="87" s="1"/>
  <c r="K21" i="88" s="1"/>
  <c r="K21" i="89" s="1"/>
  <c r="K21" i="90" s="1"/>
  <c r="K21" i="91" s="1"/>
  <c r="K21" i="92" s="1"/>
  <c r="K21" i="93" s="1"/>
  <c r="K21" i="94" s="1"/>
  <c r="K21" i="95" s="1"/>
  <c r="K21" i="96" s="1"/>
  <c r="K21" i="97" s="1"/>
  <c r="K21" i="98" s="1"/>
  <c r="K21" i="99" s="1"/>
  <c r="K21" i="42" s="1"/>
  <c r="K21" i="68" s="1"/>
  <c r="K21" i="69" s="1"/>
  <c r="K21" i="70" s="1"/>
  <c r="K21" i="72" s="1"/>
  <c r="K21" i="73" s="1"/>
  <c r="K21" i="74" s="1"/>
  <c r="K21" i="75" s="1"/>
  <c r="K21" i="76" s="1"/>
  <c r="K21" i="77" s="1"/>
  <c r="K21" i="78" s="1"/>
  <c r="K21" i="79" s="1"/>
  <c r="K24" i="80"/>
  <c r="K24" i="81" s="1"/>
  <c r="K24" i="82" s="1"/>
  <c r="K24" i="84" s="1"/>
  <c r="K24" i="85" s="1"/>
  <c r="K24" i="86" s="1"/>
  <c r="K24" i="87" s="1"/>
  <c r="K24" i="88" s="1"/>
  <c r="K24" i="89" s="1"/>
  <c r="K24" i="90" s="1"/>
  <c r="H65" i="80"/>
  <c r="H65" i="81" s="1"/>
  <c r="H65" i="82" s="1"/>
  <c r="H65" i="84" s="1"/>
  <c r="H65" i="85" s="1"/>
  <c r="H65" i="86" s="1"/>
  <c r="H65" i="87" s="1"/>
  <c r="H65" i="88" s="1"/>
  <c r="H65" i="89" s="1"/>
  <c r="H65" i="90" s="1"/>
  <c r="H65" i="91" s="1"/>
  <c r="H65" i="92" s="1"/>
  <c r="H65" i="93" s="1"/>
  <c r="H65" i="94" s="1"/>
  <c r="H65" i="95" s="1"/>
  <c r="H65" i="96" s="1"/>
  <c r="H65" i="97" s="1"/>
  <c r="H65" i="98" s="1"/>
  <c r="H65" i="99" s="1"/>
  <c r="H65" i="42" s="1"/>
  <c r="H65" i="68" s="1"/>
  <c r="H65" i="69" s="1"/>
  <c r="H65" i="70" s="1"/>
  <c r="H65" i="72" s="1"/>
  <c r="H65" i="73" s="1"/>
  <c r="H65" i="74" s="1"/>
  <c r="H65" i="75" s="1"/>
  <c r="H65" i="76" s="1"/>
  <c r="H65" i="77" s="1"/>
  <c r="H65" i="78" s="1"/>
  <c r="H64" i="79" s="1"/>
  <c r="K75" i="80"/>
  <c r="K75" i="81" s="1"/>
  <c r="K75" i="82" s="1"/>
  <c r="K75" i="84" s="1"/>
  <c r="K75" i="85" s="1"/>
  <c r="K75" i="86" s="1"/>
  <c r="K75" i="87" s="1"/>
  <c r="K75" i="88" s="1"/>
  <c r="K75" i="89" s="1"/>
  <c r="K75" i="90" s="1"/>
  <c r="K75" i="91" s="1"/>
  <c r="K75" i="92" s="1"/>
  <c r="K75" i="93" s="1"/>
  <c r="K75" i="94" s="1"/>
  <c r="K75" i="95" s="1"/>
  <c r="K75" i="96" s="1"/>
  <c r="K75" i="97" s="1"/>
  <c r="G53" i="82"/>
  <c r="G27" i="84"/>
  <c r="H6" i="80"/>
  <c r="H6" i="81" s="1"/>
  <c r="K10" i="80"/>
  <c r="K10" i="81" s="1"/>
  <c r="K10" i="82" s="1"/>
  <c r="K10" i="84" s="1"/>
  <c r="K10" i="85" s="1"/>
  <c r="K10" i="86" s="1"/>
  <c r="K10" i="87" s="1"/>
  <c r="K10" i="88" s="1"/>
  <c r="K10" i="89" s="1"/>
  <c r="K10" i="90" s="1"/>
  <c r="K10" i="91" s="1"/>
  <c r="K10" i="92" s="1"/>
  <c r="K10" i="93" s="1"/>
  <c r="K10" i="94" s="1"/>
  <c r="K10" i="95" s="1"/>
  <c r="K10" i="96" s="1"/>
  <c r="K10" i="97" s="1"/>
  <c r="K10" i="98" s="1"/>
  <c r="K10" i="99" s="1"/>
  <c r="K10" i="42" s="1"/>
  <c r="K10" i="68" s="1"/>
  <c r="K10" i="69" s="1"/>
  <c r="K10" i="70" s="1"/>
  <c r="K10" i="72" s="1"/>
  <c r="K10" i="73" s="1"/>
  <c r="K10" i="74" s="1"/>
  <c r="K10" i="75" s="1"/>
  <c r="K10" i="76" s="1"/>
  <c r="K10" i="77" s="1"/>
  <c r="K10" i="78" s="1"/>
  <c r="K10" i="79" s="1"/>
  <c r="H11" i="80"/>
  <c r="H11" i="81" s="1"/>
  <c r="H13" i="80"/>
  <c r="H13" i="81" s="1"/>
  <c r="H13" i="82" s="1"/>
  <c r="H13" i="84" s="1"/>
  <c r="H13" i="85" s="1"/>
  <c r="H13" i="86" s="1"/>
  <c r="H13" i="87" s="1"/>
  <c r="H13" i="88" s="1"/>
  <c r="H13" i="89" s="1"/>
  <c r="H13" i="90" s="1"/>
  <c r="H13" i="91" s="1"/>
  <c r="H13" i="92" s="1"/>
  <c r="H13" i="93" s="1"/>
  <c r="H13" i="94" s="1"/>
  <c r="H13" i="95" s="1"/>
  <c r="H13" i="96" s="1"/>
  <c r="H13" i="97" s="1"/>
  <c r="H13" i="98" s="1"/>
  <c r="H13" i="99" s="1"/>
  <c r="H13" i="42" s="1"/>
  <c r="H13" i="68" s="1"/>
  <c r="H13" i="69" s="1"/>
  <c r="H13" i="70" s="1"/>
  <c r="H13" i="72" s="1"/>
  <c r="H13" i="73" s="1"/>
  <c r="H13" i="74" s="1"/>
  <c r="H13" i="75" s="1"/>
  <c r="H13" i="76" s="1"/>
  <c r="H13" i="77" s="1"/>
  <c r="H13" i="78" s="1"/>
  <c r="H13" i="79" s="1"/>
  <c r="K17" i="80"/>
  <c r="K17" i="81" s="1"/>
  <c r="K17" i="82" s="1"/>
  <c r="K17" i="84" s="1"/>
  <c r="K17" i="85" s="1"/>
  <c r="K17" i="86" s="1"/>
  <c r="K17" i="87" s="1"/>
  <c r="K17" i="88" s="1"/>
  <c r="K17" i="89" s="1"/>
  <c r="K17" i="90" s="1"/>
  <c r="K17" i="91" s="1"/>
  <c r="K17" i="92" s="1"/>
  <c r="K17" i="93" s="1"/>
  <c r="K17" i="94" s="1"/>
  <c r="K17" i="95" s="1"/>
  <c r="K17" i="96" s="1"/>
  <c r="K17" i="97" s="1"/>
  <c r="K17" i="98" s="1"/>
  <c r="K17" i="99" s="1"/>
  <c r="K17" i="42" s="1"/>
  <c r="K17" i="68" s="1"/>
  <c r="K17" i="69" s="1"/>
  <c r="K17" i="70" s="1"/>
  <c r="K17" i="72" s="1"/>
  <c r="K17" i="73" s="1"/>
  <c r="K17" i="74" s="1"/>
  <c r="K17" i="75" s="1"/>
  <c r="K17" i="76" s="1"/>
  <c r="K17" i="77" s="1"/>
  <c r="K17" i="78" s="1"/>
  <c r="K17" i="79" s="1"/>
  <c r="H20" i="80"/>
  <c r="H20" i="81" s="1"/>
  <c r="H20" i="82" s="1"/>
  <c r="H20" i="84" s="1"/>
  <c r="H20" i="85" s="1"/>
  <c r="H20" i="86" s="1"/>
  <c r="H20" i="87" s="1"/>
  <c r="H20" i="88" s="1"/>
  <c r="H20" i="89" s="1"/>
  <c r="H20" i="90" s="1"/>
  <c r="H20" i="91" s="1"/>
  <c r="H20" i="92" s="1"/>
  <c r="H20" i="93" s="1"/>
  <c r="H20" i="94" s="1"/>
  <c r="H20" i="95" s="1"/>
  <c r="H20" i="96" s="1"/>
  <c r="H20" i="97" s="1"/>
  <c r="H20" i="98" s="1"/>
  <c r="H20" i="99" s="1"/>
  <c r="H20" i="42" s="1"/>
  <c r="H23" i="80"/>
  <c r="H23" i="81" s="1"/>
  <c r="H23" i="82" s="1"/>
  <c r="H23" i="84" s="1"/>
  <c r="H23" i="85" s="1"/>
  <c r="H23" i="86" s="1"/>
  <c r="H23" i="87" s="1"/>
  <c r="H23" i="88" s="1"/>
  <c r="H23" i="89" s="1"/>
  <c r="H23" i="90" s="1"/>
  <c r="H23" i="91" s="1"/>
  <c r="H23" i="92" s="1"/>
  <c r="H23" i="93" s="1"/>
  <c r="H23" i="94" s="1"/>
  <c r="H26" i="80"/>
  <c r="H26" i="81" s="1"/>
  <c r="H26" i="82" s="1"/>
  <c r="H26" i="84" s="1"/>
  <c r="H26" i="85" s="1"/>
  <c r="H26" i="86" s="1"/>
  <c r="H26" i="87" s="1"/>
  <c r="H26" i="88" s="1"/>
  <c r="H26" i="89" s="1"/>
  <c r="H26" i="90" s="1"/>
  <c r="H26" i="91" s="1"/>
  <c r="H26" i="92" s="1"/>
  <c r="H26" i="93" s="1"/>
  <c r="H26" i="94" s="1"/>
  <c r="H26" i="95" s="1"/>
  <c r="H26" i="96" s="1"/>
  <c r="H26" i="97" s="1"/>
  <c r="H26" i="98" s="1"/>
  <c r="H26" i="99" s="1"/>
  <c r="H26" i="42" s="1"/>
  <c r="H26" i="68" s="1"/>
  <c r="H26" i="69" s="1"/>
  <c r="H26" i="70" s="1"/>
  <c r="H26" i="72" s="1"/>
  <c r="H26" i="73" s="1"/>
  <c r="H26" i="74" s="1"/>
  <c r="H26" i="75" s="1"/>
  <c r="H26" i="76" s="1"/>
  <c r="H26" i="77" s="1"/>
  <c r="H26" i="78" s="1"/>
  <c r="K57" i="80"/>
  <c r="K57" i="81" s="1"/>
  <c r="K57" i="82" s="1"/>
  <c r="K57" i="84" s="1"/>
  <c r="K57" i="85" s="1"/>
  <c r="K57" i="86" s="1"/>
  <c r="K57" i="87" s="1"/>
  <c r="K57" i="88" s="1"/>
  <c r="K57" i="89" s="1"/>
  <c r="K57" i="90" s="1"/>
  <c r="K57" i="91" s="1"/>
  <c r="K57" i="92" s="1"/>
  <c r="K57" i="93" s="1"/>
  <c r="K57" i="94" s="1"/>
  <c r="K57" i="95" s="1"/>
  <c r="K57" i="96" s="1"/>
  <c r="K57" i="97" s="1"/>
  <c r="K57" i="98" s="1"/>
  <c r="K57" i="99" s="1"/>
  <c r="K57" i="42" s="1"/>
  <c r="K57" i="68" s="1"/>
  <c r="K57" i="69" s="1"/>
  <c r="K57" i="70" s="1"/>
  <c r="K57" i="72" s="1"/>
  <c r="K57" i="73" s="1"/>
  <c r="K57" i="74" s="1"/>
  <c r="K57" i="75" s="1"/>
  <c r="K57" i="76" s="1"/>
  <c r="K57" i="77" s="1"/>
  <c r="K57" i="78" s="1"/>
  <c r="K56" i="79" s="1"/>
  <c r="K64" i="80"/>
  <c r="K66" i="80" s="1"/>
  <c r="H69" i="80"/>
  <c r="H69" i="81" s="1"/>
  <c r="H69" i="82" s="1"/>
  <c r="H69" i="84" s="1"/>
  <c r="H69" i="85" s="1"/>
  <c r="H69" i="86" s="1"/>
  <c r="H69" i="87" s="1"/>
  <c r="H69" i="88" s="1"/>
  <c r="H69" i="89" s="1"/>
  <c r="H69" i="90" s="1"/>
  <c r="H69" i="91" s="1"/>
  <c r="H69" i="92" s="1"/>
  <c r="H69" i="93" s="1"/>
  <c r="H69" i="94" s="1"/>
  <c r="H69" i="95" s="1"/>
  <c r="H69" i="96" s="1"/>
  <c r="H69" i="97" s="1"/>
  <c r="H69" i="98" s="1"/>
  <c r="H69" i="99" s="1"/>
  <c r="H69" i="42" s="1"/>
  <c r="H69" i="68" s="1"/>
  <c r="K74" i="80"/>
  <c r="K74" i="81" s="1"/>
  <c r="K74" i="82" s="1"/>
  <c r="K74" i="84" s="1"/>
  <c r="K74" i="85" s="1"/>
  <c r="K74" i="86" s="1"/>
  <c r="K74" i="87" s="1"/>
  <c r="K74" i="88" s="1"/>
  <c r="K74" i="89" s="1"/>
  <c r="K74" i="90" s="1"/>
  <c r="K74" i="91" s="1"/>
  <c r="K74" i="92" s="1"/>
  <c r="K26" i="81"/>
  <c r="K26" i="82" s="1"/>
  <c r="K26" i="84" s="1"/>
  <c r="K26" i="85" s="1"/>
  <c r="K26" i="86" s="1"/>
  <c r="K26" i="87" s="1"/>
  <c r="K26" i="88" s="1"/>
  <c r="K26" i="89" s="1"/>
  <c r="K26" i="90" s="1"/>
  <c r="K26" i="91" s="1"/>
  <c r="K26" i="92" s="1"/>
  <c r="K26" i="93" s="1"/>
  <c r="J66" i="81"/>
  <c r="K73" i="81"/>
  <c r="K73" i="82" s="1"/>
  <c r="K73" i="84" s="1"/>
  <c r="K73" i="85" s="1"/>
  <c r="K73" i="86" s="1"/>
  <c r="K73" i="87" s="1"/>
  <c r="K73" i="88" s="1"/>
  <c r="K73" i="89" s="1"/>
  <c r="K73" i="90" s="1"/>
  <c r="K73" i="91" s="1"/>
  <c r="K73" i="92" s="1"/>
  <c r="K73" i="93" s="1"/>
  <c r="K73" i="94" s="1"/>
  <c r="K73" i="95" s="1"/>
  <c r="K73" i="96" s="1"/>
  <c r="K73" i="97" s="1"/>
  <c r="K73" i="98" s="1"/>
  <c r="K73" i="99" s="1"/>
  <c r="K73" i="42" s="1"/>
  <c r="K73" i="68" s="1"/>
  <c r="K73" i="69" s="1"/>
  <c r="K73" i="70" s="1"/>
  <c r="K73" i="72" s="1"/>
  <c r="K73" i="73" s="1"/>
  <c r="K73" i="74" s="1"/>
  <c r="K73" i="75" s="1"/>
  <c r="K73" i="76" s="1"/>
  <c r="K73" i="77" s="1"/>
  <c r="K73" i="78" s="1"/>
  <c r="K72" i="79" s="1"/>
  <c r="G66" i="82"/>
  <c r="K71" i="82"/>
  <c r="K71" i="84" s="1"/>
  <c r="K71" i="85" s="1"/>
  <c r="K71" i="86" s="1"/>
  <c r="K71" i="87" s="1"/>
  <c r="K71" i="88" s="1"/>
  <c r="K71" i="89" s="1"/>
  <c r="K71" i="90" s="1"/>
  <c r="K71" i="91" s="1"/>
  <c r="K71" i="92" s="1"/>
  <c r="K71" i="93" s="1"/>
  <c r="K71" i="94" s="1"/>
  <c r="K71" i="95" s="1"/>
  <c r="K71" i="96" s="1"/>
  <c r="K71" i="97" s="1"/>
  <c r="K71" i="98" s="1"/>
  <c r="K71" i="99" s="1"/>
  <c r="K71" i="42" s="1"/>
  <c r="K71" i="68" s="1"/>
  <c r="K71" i="69" s="1"/>
  <c r="K71" i="70" s="1"/>
  <c r="K71" i="72" s="1"/>
  <c r="K71" i="73" s="1"/>
  <c r="K71" i="74" s="1"/>
  <c r="K71" i="75" s="1"/>
  <c r="K71" i="76" s="1"/>
  <c r="K71" i="77" s="1"/>
  <c r="K71" i="78" s="1"/>
  <c r="K70" i="79" s="1"/>
  <c r="P54" i="84"/>
  <c r="M50" i="85"/>
  <c r="G76" i="86"/>
  <c r="J27" i="88"/>
  <c r="F53" i="80"/>
  <c r="I59" i="82"/>
  <c r="I59" i="84" s="1"/>
  <c r="I59" i="85" s="1"/>
  <c r="I59" i="86" s="1"/>
  <c r="I59" i="87" s="1"/>
  <c r="I59" i="88" s="1"/>
  <c r="I59" i="89" s="1"/>
  <c r="I59" i="90" s="1"/>
  <c r="I59" i="91" s="1"/>
  <c r="I59" i="92" s="1"/>
  <c r="I59" i="93" s="1"/>
  <c r="I59" i="94" s="1"/>
  <c r="I59" i="95" s="1"/>
  <c r="I59" i="96" s="1"/>
  <c r="I59" i="97" s="1"/>
  <c r="I59" i="98" s="1"/>
  <c r="I59" i="99" s="1"/>
  <c r="I59" i="42" s="1"/>
  <c r="I59" i="68" s="1"/>
  <c r="I59" i="69" s="1"/>
  <c r="I59" i="70" s="1"/>
  <c r="I59" i="72" s="1"/>
  <c r="I59" i="73" s="1"/>
  <c r="I59" i="74" s="1"/>
  <c r="I59" i="75" s="1"/>
  <c r="I59" i="76" s="1"/>
  <c r="J76" i="80"/>
  <c r="M68" i="80" s="1"/>
  <c r="M76" i="80" s="1"/>
  <c r="G53" i="84"/>
  <c r="H52" i="84"/>
  <c r="H52" i="85" s="1"/>
  <c r="H52" i="86" s="1"/>
  <c r="H52" i="87" s="1"/>
  <c r="H52" i="88" s="1"/>
  <c r="H52" i="89" s="1"/>
  <c r="H52" i="90" s="1"/>
  <c r="H52" i="91" s="1"/>
  <c r="H52" i="92" s="1"/>
  <c r="H52" i="93" s="1"/>
  <c r="H52" i="94" s="1"/>
  <c r="H52" i="95" s="1"/>
  <c r="H52" i="96" s="1"/>
  <c r="H52" i="97" s="1"/>
  <c r="H52" i="98" s="1"/>
  <c r="H52" i="99" s="1"/>
  <c r="H52" i="42" s="1"/>
  <c r="H52" i="68" s="1"/>
  <c r="H52" i="69" s="1"/>
  <c r="H52" i="70" s="1"/>
  <c r="H52" i="72" s="1"/>
  <c r="H52" i="73" s="1"/>
  <c r="H52" i="74" s="1"/>
  <c r="H52" i="75" s="1"/>
  <c r="H52" i="76" s="1"/>
  <c r="H52" i="77" s="1"/>
  <c r="H52" i="78" s="1"/>
  <c r="H51" i="79" s="1"/>
  <c r="G66" i="85"/>
  <c r="O54" i="86"/>
  <c r="K19" i="87"/>
  <c r="K19" i="88" s="1"/>
  <c r="K19" i="89" s="1"/>
  <c r="K19" i="90" s="1"/>
  <c r="K19" i="91" s="1"/>
  <c r="K19" i="92" s="1"/>
  <c r="K19" i="93" s="1"/>
  <c r="K19" i="94" s="1"/>
  <c r="K19" i="95" s="1"/>
  <c r="K19" i="96" s="1"/>
  <c r="K19" i="97" s="1"/>
  <c r="K19" i="98" s="1"/>
  <c r="K19" i="99" s="1"/>
  <c r="K19" i="42" s="1"/>
  <c r="K19" i="68" s="1"/>
  <c r="K19" i="69" s="1"/>
  <c r="K19" i="70" s="1"/>
  <c r="K19" i="72" s="1"/>
  <c r="K19" i="73" s="1"/>
  <c r="K19" i="74" s="1"/>
  <c r="K19" i="75" s="1"/>
  <c r="K19" i="76" s="1"/>
  <c r="K19" i="77" s="1"/>
  <c r="K19" i="78" s="1"/>
  <c r="K19" i="79" s="1"/>
  <c r="K24" i="91"/>
  <c r="K24" i="92" s="1"/>
  <c r="K24" i="93" s="1"/>
  <c r="K24" i="94" s="1"/>
  <c r="K24" i="95" s="1"/>
  <c r="K24" i="96" s="1"/>
  <c r="K24" i="97" s="1"/>
  <c r="K24" i="98" s="1"/>
  <c r="K24" i="99" s="1"/>
  <c r="K24" i="42" s="1"/>
  <c r="K24" i="68" s="1"/>
  <c r="K24" i="69" s="1"/>
  <c r="K24" i="70" s="1"/>
  <c r="K24" i="72" s="1"/>
  <c r="K24" i="73" s="1"/>
  <c r="K24" i="74" s="1"/>
  <c r="K24" i="75" s="1"/>
  <c r="K24" i="76" s="1"/>
  <c r="K24" i="77" s="1"/>
  <c r="K24" i="78" s="1"/>
  <c r="K24" i="79" s="1"/>
  <c r="J66" i="95"/>
  <c r="J76" i="84"/>
  <c r="J27" i="87"/>
  <c r="G53" i="92"/>
  <c r="J27" i="93"/>
  <c r="G66" i="84"/>
  <c r="G27" i="85"/>
  <c r="J27" i="86"/>
  <c r="G62" i="87"/>
  <c r="G66" i="87"/>
  <c r="J27" i="92"/>
  <c r="J66" i="85"/>
  <c r="J76" i="86"/>
  <c r="G27" i="89"/>
  <c r="N54" i="91"/>
  <c r="J76" i="91"/>
  <c r="N54" i="92"/>
  <c r="G27" i="87"/>
  <c r="G54" i="87" s="1"/>
  <c r="J66" i="87"/>
  <c r="J76" i="88"/>
  <c r="K14" i="89"/>
  <c r="K14" i="90" s="1"/>
  <c r="K14" i="91" s="1"/>
  <c r="K14" i="92" s="1"/>
  <c r="K14" i="93" s="1"/>
  <c r="K14" i="94" s="1"/>
  <c r="K14" i="95" s="1"/>
  <c r="K14" i="96" s="1"/>
  <c r="K14" i="97" s="1"/>
  <c r="K14" i="98" s="1"/>
  <c r="K14" i="99" s="1"/>
  <c r="K14" i="42" s="1"/>
  <c r="K14" i="68" s="1"/>
  <c r="K14" i="69" s="1"/>
  <c r="K14" i="70" s="1"/>
  <c r="K14" i="72" s="1"/>
  <c r="K14" i="73" s="1"/>
  <c r="K14" i="74" s="1"/>
  <c r="K14" i="75" s="1"/>
  <c r="K14" i="76" s="1"/>
  <c r="K14" i="77" s="1"/>
  <c r="K14" i="78" s="1"/>
  <c r="K14" i="79" s="1"/>
  <c r="J66" i="89"/>
  <c r="G53" i="90"/>
  <c r="O54" i="91"/>
  <c r="J27" i="90"/>
  <c r="H23" i="95"/>
  <c r="H23" i="96" s="1"/>
  <c r="H23" i="97" s="1"/>
  <c r="H23" i="98" s="1"/>
  <c r="H23" i="99" s="1"/>
  <c r="H23" i="42" s="1"/>
  <c r="H23" i="68" s="1"/>
  <c r="H23" i="69" s="1"/>
  <c r="H23" i="70" s="1"/>
  <c r="H23" i="72" s="1"/>
  <c r="H23" i="73" s="1"/>
  <c r="H23" i="74" s="1"/>
  <c r="H23" i="75" s="1"/>
  <c r="H23" i="76" s="1"/>
  <c r="H23" i="77" s="1"/>
  <c r="H23" i="78" s="1"/>
  <c r="H23" i="79" s="1"/>
  <c r="K75" i="98"/>
  <c r="K75" i="99" s="1"/>
  <c r="K75" i="42" s="1"/>
  <c r="J66" i="92"/>
  <c r="K74" i="93"/>
  <c r="K74" i="94" s="1"/>
  <c r="K74" i="95" s="1"/>
  <c r="K74" i="96" s="1"/>
  <c r="K74" i="97" s="1"/>
  <c r="K74" i="98" s="1"/>
  <c r="K74" i="99" s="1"/>
  <c r="K74" i="42" s="1"/>
  <c r="K74" i="68" s="1"/>
  <c r="K74" i="69" s="1"/>
  <c r="K74" i="70" s="1"/>
  <c r="K74" i="72" s="1"/>
  <c r="K74" i="73" s="1"/>
  <c r="K74" i="74" s="1"/>
  <c r="K74" i="75" s="1"/>
  <c r="K74" i="76" s="1"/>
  <c r="K74" i="77" s="1"/>
  <c r="K74" i="78" s="1"/>
  <c r="K73" i="79" s="1"/>
  <c r="G53" i="98"/>
  <c r="J27" i="91"/>
  <c r="H32" i="92"/>
  <c r="H32" i="93" s="1"/>
  <c r="H32" i="94" s="1"/>
  <c r="H32" i="95" s="1"/>
  <c r="H32" i="96" s="1"/>
  <c r="H32" i="97" s="1"/>
  <c r="H32" i="98" s="1"/>
  <c r="H32" i="99" s="1"/>
  <c r="H32" i="42" s="1"/>
  <c r="H32" i="68" s="1"/>
  <c r="H32" i="69" s="1"/>
  <c r="H32" i="70" s="1"/>
  <c r="H32" i="72" s="1"/>
  <c r="H32" i="73" s="1"/>
  <c r="H32" i="74" s="1"/>
  <c r="H32" i="75" s="1"/>
  <c r="H32" i="76" s="1"/>
  <c r="H32" i="77" s="1"/>
  <c r="H32" i="78" s="1"/>
  <c r="H31" i="79" s="1"/>
  <c r="K26" i="94"/>
  <c r="K26" i="95" s="1"/>
  <c r="K26" i="96" s="1"/>
  <c r="K26" i="97" s="1"/>
  <c r="K26" i="98" s="1"/>
  <c r="K26" i="99" s="1"/>
  <c r="K26" i="42" s="1"/>
  <c r="K26" i="68" s="1"/>
  <c r="K26" i="69" s="1"/>
  <c r="K26" i="70" s="1"/>
  <c r="K26" i="72" s="1"/>
  <c r="K26" i="73" s="1"/>
  <c r="G27" i="96"/>
  <c r="G66" i="96"/>
  <c r="J66" i="90"/>
  <c r="J27" i="97"/>
  <c r="G27" i="91"/>
  <c r="G54" i="91" s="1"/>
  <c r="J66" i="93"/>
  <c r="G53" i="95"/>
  <c r="J66" i="97"/>
  <c r="J76" i="93"/>
  <c r="J27" i="94"/>
  <c r="G27" i="99"/>
  <c r="G53" i="99"/>
  <c r="G53" i="42"/>
  <c r="H20" i="68"/>
  <c r="H20" i="69" s="1"/>
  <c r="H20" i="70" s="1"/>
  <c r="G66" i="94"/>
  <c r="G27" i="95"/>
  <c r="G27" i="98"/>
  <c r="J66" i="98"/>
  <c r="J66" i="99"/>
  <c r="G66" i="93"/>
  <c r="G53" i="94"/>
  <c r="G54" i="94" s="1"/>
  <c r="J27" i="95"/>
  <c r="G76" i="95"/>
  <c r="J66" i="96"/>
  <c r="J76" i="98"/>
  <c r="J62" i="93"/>
  <c r="J66" i="94"/>
  <c r="G66" i="95"/>
  <c r="K75" i="68"/>
  <c r="K75" i="69" s="1"/>
  <c r="K75" i="70" s="1"/>
  <c r="K75" i="72" s="1"/>
  <c r="K75" i="73" s="1"/>
  <c r="K75" i="74" s="1"/>
  <c r="K75" i="75" s="1"/>
  <c r="K75" i="76" s="1"/>
  <c r="K75" i="77" s="1"/>
  <c r="K75" i="78" s="1"/>
  <c r="K74" i="79" s="1"/>
  <c r="J76" i="94"/>
  <c r="G62" i="95"/>
  <c r="J27" i="96"/>
  <c r="G76" i="97"/>
  <c r="G53" i="68"/>
  <c r="G53" i="69"/>
  <c r="J62" i="99"/>
  <c r="G62" i="42"/>
  <c r="G76" i="42"/>
  <c r="K26" i="75"/>
  <c r="J27" i="68"/>
  <c r="H69" i="69"/>
  <c r="H69" i="70" s="1"/>
  <c r="H69" i="72" s="1"/>
  <c r="H69" i="73" s="1"/>
  <c r="H69" i="74" s="1"/>
  <c r="H69" i="75" s="1"/>
  <c r="H69" i="76" s="1"/>
  <c r="H69" i="77" s="1"/>
  <c r="H69" i="78" s="1"/>
  <c r="H68" i="79" s="1"/>
  <c r="H20" i="72"/>
  <c r="H20" i="73" s="1"/>
  <c r="H20" i="74" s="1"/>
  <c r="H20" i="75" s="1"/>
  <c r="H20" i="76" s="1"/>
  <c r="H20" i="77" s="1"/>
  <c r="H20" i="78" s="1"/>
  <c r="H20" i="79" s="1"/>
  <c r="G66" i="68"/>
  <c r="G62" i="68"/>
  <c r="J27" i="72"/>
  <c r="J27" i="70"/>
  <c r="J66" i="72"/>
  <c r="M74" i="73"/>
  <c r="J66" i="69"/>
  <c r="G62" i="70"/>
  <c r="K26" i="77"/>
  <c r="J76" i="69"/>
  <c r="J27" i="74"/>
  <c r="G76" i="70"/>
  <c r="J66" i="73"/>
  <c r="G53" i="74"/>
  <c r="J76" i="70"/>
  <c r="G27" i="72"/>
  <c r="N54" i="72"/>
  <c r="M75" i="72"/>
  <c r="J27" i="73"/>
  <c r="J76" i="73"/>
  <c r="G27" i="74"/>
  <c r="K26" i="76"/>
  <c r="G76" i="72"/>
  <c r="G66" i="73"/>
  <c r="J66" i="74"/>
  <c r="J27" i="75"/>
  <c r="G66" i="72"/>
  <c r="G27" i="73"/>
  <c r="G53" i="78"/>
  <c r="J66" i="75"/>
  <c r="G61" i="79"/>
  <c r="G27" i="76"/>
  <c r="G27" i="78"/>
  <c r="J65" i="79"/>
  <c r="G27" i="75"/>
  <c r="J27" i="76"/>
  <c r="J27" i="78"/>
  <c r="J66" i="76"/>
  <c r="J66" i="78"/>
  <c r="J26" i="79"/>
  <c r="J53" i="79" s="1"/>
  <c r="G26" i="79"/>
  <c r="G52" i="79"/>
  <c r="J66" i="77"/>
  <c r="J61" i="79"/>
  <c r="G65" i="79"/>
  <c r="G62" i="77"/>
  <c r="J76" i="76"/>
  <c r="L59" i="80"/>
  <c r="L59" i="78" s="1"/>
  <c r="H59" i="77"/>
  <c r="M59" i="80"/>
  <c r="K59" i="80"/>
  <c r="H59" i="78"/>
  <c r="J62" i="82"/>
  <c r="G62" i="81"/>
  <c r="L12" i="81"/>
  <c r="L12" i="82" s="1"/>
  <c r="L12" i="84" s="1"/>
  <c r="L12" i="85" s="1"/>
  <c r="L12" i="86" s="1"/>
  <c r="L12" i="87" s="1"/>
  <c r="L12" i="88" s="1"/>
  <c r="L12" i="89" s="1"/>
  <c r="L12" i="90" s="1"/>
  <c r="L12" i="91" s="1"/>
  <c r="L12" i="92" s="1"/>
  <c r="L12" i="93" s="1"/>
  <c r="L12" i="94" s="1"/>
  <c r="L12" i="95" s="1"/>
  <c r="L12" i="96" s="1"/>
  <c r="L12" i="97" s="1"/>
  <c r="L12" i="98" s="1"/>
  <c r="L12" i="99" s="1"/>
  <c r="L12" i="42" s="1"/>
  <c r="L12" i="68" s="1"/>
  <c r="L12" i="69" s="1"/>
  <c r="L12" i="70" s="1"/>
  <c r="L12" i="72" s="1"/>
  <c r="L12" i="73" s="1"/>
  <c r="L12" i="74" s="1"/>
  <c r="L12" i="75" s="1"/>
  <c r="L12" i="76" s="1"/>
  <c r="L12" i="77" s="1"/>
  <c r="L12" i="78" s="1"/>
  <c r="L12" i="79" s="1"/>
  <c r="L6" i="81"/>
  <c r="L6" i="82" s="1"/>
  <c r="L6" i="84" s="1"/>
  <c r="L6" i="85" s="1"/>
  <c r="L6" i="86" s="1"/>
  <c r="L6" i="87" s="1"/>
  <c r="L6" i="88" s="1"/>
  <c r="L6" i="89" s="1"/>
  <c r="L6" i="90" s="1"/>
  <c r="L6" i="91" s="1"/>
  <c r="L6" i="92" s="1"/>
  <c r="L6" i="93" s="1"/>
  <c r="L6" i="94" s="1"/>
  <c r="L6" i="95" s="1"/>
  <c r="L6" i="96" s="1"/>
  <c r="L6" i="97" s="1"/>
  <c r="L6" i="98" s="1"/>
  <c r="L6" i="99" s="1"/>
  <c r="L6" i="42" s="1"/>
  <c r="L6" i="68" s="1"/>
  <c r="L6" i="69" s="1"/>
  <c r="L6" i="70" s="1"/>
  <c r="L6" i="72" s="1"/>
  <c r="L6" i="73" s="1"/>
  <c r="L6" i="74" s="1"/>
  <c r="L6" i="75" s="1"/>
  <c r="L6" i="76" s="1"/>
  <c r="L6" i="77" s="1"/>
  <c r="L6" i="78" s="1"/>
  <c r="L6" i="79" s="1"/>
  <c r="N54" i="81"/>
  <c r="G27" i="82"/>
  <c r="K6" i="80"/>
  <c r="K6" i="81" s="1"/>
  <c r="K6" i="82" s="1"/>
  <c r="K6" i="84" s="1"/>
  <c r="K6" i="85" s="1"/>
  <c r="K6" i="86" s="1"/>
  <c r="K6" i="87" s="1"/>
  <c r="K6" i="88" s="1"/>
  <c r="K6" i="89" s="1"/>
  <c r="K6" i="90" s="1"/>
  <c r="K6" i="91" s="1"/>
  <c r="K6" i="92" s="1"/>
  <c r="K6" i="93" s="1"/>
  <c r="K6" i="94" s="1"/>
  <c r="K6" i="95" s="1"/>
  <c r="K6" i="96" s="1"/>
  <c r="K6" i="97" s="1"/>
  <c r="K6" i="98" s="1"/>
  <c r="K6" i="99" s="1"/>
  <c r="K6" i="42" s="1"/>
  <c r="K6" i="68" s="1"/>
  <c r="K6" i="69" s="1"/>
  <c r="K6" i="70" s="1"/>
  <c r="K6" i="72" s="1"/>
  <c r="K6" i="73" s="1"/>
  <c r="K6" i="74" s="1"/>
  <c r="K6" i="75" s="1"/>
  <c r="K6" i="76" s="1"/>
  <c r="K6" i="77" s="1"/>
  <c r="K6" i="78" s="1"/>
  <c r="K6" i="79" s="1"/>
  <c r="K12" i="80"/>
  <c r="N54" i="80"/>
  <c r="J27" i="85"/>
  <c r="J27" i="82"/>
  <c r="J27" i="80"/>
  <c r="K15" i="80"/>
  <c r="K15" i="81" s="1"/>
  <c r="K15" i="82" s="1"/>
  <c r="K15" i="84" s="1"/>
  <c r="K15" i="85" s="1"/>
  <c r="K15" i="86" s="1"/>
  <c r="K15" i="87" s="1"/>
  <c r="K15" i="88" s="1"/>
  <c r="K15" i="89" s="1"/>
  <c r="K15" i="90" s="1"/>
  <c r="K15" i="91" s="1"/>
  <c r="K15" i="92" s="1"/>
  <c r="K15" i="93" s="1"/>
  <c r="K15" i="94" s="1"/>
  <c r="K15" i="95" s="1"/>
  <c r="K15" i="96" s="1"/>
  <c r="K15" i="97" s="1"/>
  <c r="K15" i="98" s="1"/>
  <c r="K15" i="99" s="1"/>
  <c r="K15" i="42" s="1"/>
  <c r="K15" i="68" s="1"/>
  <c r="K15" i="69" s="1"/>
  <c r="K15" i="70" s="1"/>
  <c r="K15" i="72" s="1"/>
  <c r="K15" i="73" s="1"/>
  <c r="K15" i="74" s="1"/>
  <c r="K15" i="75" s="1"/>
  <c r="K15" i="76" s="1"/>
  <c r="K15" i="77" s="1"/>
  <c r="K15" i="78" s="1"/>
  <c r="K15" i="79" s="1"/>
  <c r="J27" i="89"/>
  <c r="G27" i="90"/>
  <c r="G27" i="42"/>
  <c r="G27" i="68"/>
  <c r="G27" i="69"/>
  <c r="G27" i="70"/>
  <c r="G54" i="70" s="1"/>
  <c r="G27" i="86"/>
  <c r="G54" i="86" s="1"/>
  <c r="G27" i="88"/>
  <c r="G27" i="92"/>
  <c r="G27" i="81"/>
  <c r="G53" i="88"/>
  <c r="G53" i="81"/>
  <c r="H53" i="81" s="1"/>
  <c r="G53" i="72"/>
  <c r="G53" i="75"/>
  <c r="I11" i="81"/>
  <c r="I11" i="82" s="1"/>
  <c r="I11" i="84" s="1"/>
  <c r="I11" i="85" s="1"/>
  <c r="I11" i="86" s="1"/>
  <c r="I11" i="87" s="1"/>
  <c r="I11" i="88" s="1"/>
  <c r="I11" i="89" s="1"/>
  <c r="I11" i="90" s="1"/>
  <c r="I11" i="91" s="1"/>
  <c r="I11" i="92" s="1"/>
  <c r="I11" i="93" s="1"/>
  <c r="M6" i="80"/>
  <c r="Q6" i="80" s="1"/>
  <c r="H6" i="82"/>
  <c r="H6" i="84" s="1"/>
  <c r="H6" i="85" s="1"/>
  <c r="H6" i="86" s="1"/>
  <c r="H6" i="87" s="1"/>
  <c r="H6" i="88" s="1"/>
  <c r="H6" i="89" s="1"/>
  <c r="H6" i="90" s="1"/>
  <c r="H6" i="91" s="1"/>
  <c r="H6" i="92" s="1"/>
  <c r="H6" i="93" s="1"/>
  <c r="H6" i="94" s="1"/>
  <c r="H6" i="95" s="1"/>
  <c r="H6" i="96" s="1"/>
  <c r="H6" i="97" s="1"/>
  <c r="H6" i="98" s="1"/>
  <c r="H6" i="99" s="1"/>
  <c r="H6" i="42" s="1"/>
  <c r="H6" i="68" s="1"/>
  <c r="H6" i="69" s="1"/>
  <c r="H6" i="70" s="1"/>
  <c r="H6" i="72" s="1"/>
  <c r="H6" i="73" s="1"/>
  <c r="H6" i="74" s="1"/>
  <c r="H6" i="75" s="1"/>
  <c r="H6" i="76" s="1"/>
  <c r="H6" i="77" s="1"/>
  <c r="H6" i="78" s="1"/>
  <c r="H6" i="79" s="1"/>
  <c r="I8" i="80"/>
  <c r="I8" i="81" s="1"/>
  <c r="I8" i="82" s="1"/>
  <c r="I8" i="84" s="1"/>
  <c r="I8" i="85" s="1"/>
  <c r="I8" i="86" s="1"/>
  <c r="I8" i="87" s="1"/>
  <c r="I8" i="88" s="1"/>
  <c r="I8" i="89" s="1"/>
  <c r="I8" i="90" s="1"/>
  <c r="I8" i="91" s="1"/>
  <c r="I8" i="92" s="1"/>
  <c r="I8" i="93" s="1"/>
  <c r="I8" i="94" s="1"/>
  <c r="I8" i="95" s="1"/>
  <c r="I8" i="96" s="1"/>
  <c r="I8" i="97" s="1"/>
  <c r="I8" i="98" s="1"/>
  <c r="I8" i="99" s="1"/>
  <c r="H59" i="82"/>
  <c r="H59" i="84" s="1"/>
  <c r="H59" i="85" s="1"/>
  <c r="H59" i="86" s="1"/>
  <c r="H59" i="87" s="1"/>
  <c r="H59" i="88" s="1"/>
  <c r="H59" i="89" s="1"/>
  <c r="H59" i="90" s="1"/>
  <c r="H59" i="91" s="1"/>
  <c r="H59" i="92" s="1"/>
  <c r="H59" i="93" s="1"/>
  <c r="H59" i="94" s="1"/>
  <c r="H59" i="95" s="1"/>
  <c r="H59" i="96" s="1"/>
  <c r="H59" i="97" s="1"/>
  <c r="H59" i="98" s="1"/>
  <c r="H59" i="99" s="1"/>
  <c r="H59" i="42" s="1"/>
  <c r="H59" i="68" s="1"/>
  <c r="H59" i="69" s="1"/>
  <c r="H59" i="70" s="1"/>
  <c r="H59" i="72" s="1"/>
  <c r="H59" i="73" s="1"/>
  <c r="H59" i="74" s="1"/>
  <c r="H59" i="75" s="1"/>
  <c r="H59" i="76" s="1"/>
  <c r="J62" i="42"/>
  <c r="M58" i="79"/>
  <c r="H59" i="80"/>
  <c r="G62" i="93"/>
  <c r="G62" i="88"/>
  <c r="H58" i="82"/>
  <c r="J62" i="89"/>
  <c r="J62" i="69"/>
  <c r="G62" i="72"/>
  <c r="G62" i="76"/>
  <c r="G62" i="82"/>
  <c r="G62" i="96"/>
  <c r="G62" i="89"/>
  <c r="J62" i="96"/>
  <c r="G62" i="75"/>
  <c r="M57" i="80"/>
  <c r="Q57" i="80" s="1"/>
  <c r="H57" i="80"/>
  <c r="H57" i="81" s="1"/>
  <c r="H57" i="82" s="1"/>
  <c r="H57" i="84" s="1"/>
  <c r="H57" i="85" s="1"/>
  <c r="H57" i="86" s="1"/>
  <c r="H57" i="87" s="1"/>
  <c r="H57" i="88" s="1"/>
  <c r="H57" i="89" s="1"/>
  <c r="H57" i="90" s="1"/>
  <c r="H57" i="91" s="1"/>
  <c r="H57" i="92" s="1"/>
  <c r="H57" i="93" s="1"/>
  <c r="H57" i="94" s="1"/>
  <c r="H57" i="95" s="1"/>
  <c r="H57" i="96" s="1"/>
  <c r="H57" i="97" s="1"/>
  <c r="H57" i="98" s="1"/>
  <c r="H57" i="99" s="1"/>
  <c r="H57" i="42" s="1"/>
  <c r="H57" i="68" s="1"/>
  <c r="H57" i="69" s="1"/>
  <c r="H57" i="70" s="1"/>
  <c r="H57" i="72" s="1"/>
  <c r="H57" i="73" s="1"/>
  <c r="H57" i="74" s="1"/>
  <c r="H57" i="75" s="1"/>
  <c r="H57" i="76" s="1"/>
  <c r="H57" i="77" s="1"/>
  <c r="H57" i="78" s="1"/>
  <c r="H56" i="79" s="1"/>
  <c r="J62" i="85"/>
  <c r="G62" i="94"/>
  <c r="G62" i="78"/>
  <c r="G62" i="69"/>
  <c r="J62" i="77"/>
  <c r="J62" i="91"/>
  <c r="G62" i="86"/>
  <c r="G62" i="90"/>
  <c r="G62" i="98"/>
  <c r="G62" i="73"/>
  <c r="G62" i="84"/>
  <c r="J62" i="95"/>
  <c r="J62" i="84"/>
  <c r="K56" i="84"/>
  <c r="K56" i="85" s="1"/>
  <c r="K56" i="86" s="1"/>
  <c r="K56" i="87" s="1"/>
  <c r="K56" i="88" s="1"/>
  <c r="K56" i="89" s="1"/>
  <c r="K56" i="90" s="1"/>
  <c r="K56" i="91" s="1"/>
  <c r="K56" i="92" s="1"/>
  <c r="K56" i="93" s="1"/>
  <c r="K56" i="94" s="1"/>
  <c r="K56" i="95" s="1"/>
  <c r="K56" i="96" s="1"/>
  <c r="K56" i="97" s="1"/>
  <c r="K56" i="98" s="1"/>
  <c r="K56" i="99" s="1"/>
  <c r="K56" i="42" s="1"/>
  <c r="K56" i="68" s="1"/>
  <c r="K56" i="69" s="1"/>
  <c r="K56" i="70" s="1"/>
  <c r="J62" i="88"/>
  <c r="J62" i="90"/>
  <c r="J62" i="68"/>
  <c r="J62" i="87"/>
  <c r="J62" i="92"/>
  <c r="G62" i="99"/>
  <c r="L56" i="80"/>
  <c r="L56" i="81" s="1"/>
  <c r="L56" i="82" s="1"/>
  <c r="L56" i="84" s="1"/>
  <c r="L56" i="85" s="1"/>
  <c r="L56" i="86" s="1"/>
  <c r="L56" i="87" s="1"/>
  <c r="L56" i="88" s="1"/>
  <c r="L56" i="89" s="1"/>
  <c r="L56" i="90" s="1"/>
  <c r="L56" i="91" s="1"/>
  <c r="L56" i="92" s="1"/>
  <c r="L56" i="93" s="1"/>
  <c r="L56" i="94" s="1"/>
  <c r="L56" i="95" s="1"/>
  <c r="L56" i="96" s="1"/>
  <c r="L56" i="97" s="1"/>
  <c r="L56" i="98" s="1"/>
  <c r="L56" i="99" s="1"/>
  <c r="L56" i="42" s="1"/>
  <c r="L56" i="68" s="1"/>
  <c r="L56" i="69" s="1"/>
  <c r="L56" i="70" s="1"/>
  <c r="H56" i="81"/>
  <c r="M56" i="80"/>
  <c r="Q56" i="80" s="1"/>
  <c r="G62" i="80"/>
  <c r="W40" i="12"/>
  <c r="AX40" i="12"/>
  <c r="AB40" i="12"/>
  <c r="AB41" i="12" s="1"/>
  <c r="U40" i="12"/>
  <c r="U41" i="12" s="1"/>
  <c r="Y40" i="12"/>
  <c r="R40" i="12"/>
  <c r="R41" i="12" s="1"/>
  <c r="AN41" i="12" s="1"/>
  <c r="AS40" i="12"/>
  <c r="V40" i="12"/>
  <c r="S40" i="12"/>
  <c r="S41" i="12" s="1"/>
  <c r="AN40" i="12"/>
  <c r="AE40" i="12"/>
  <c r="R41" i="101"/>
  <c r="E3" i="3"/>
  <c r="I3" i="3" s="1"/>
  <c r="J53" i="84"/>
  <c r="J54" i="84" s="1"/>
  <c r="J53" i="86"/>
  <c r="J53" i="89"/>
  <c r="J53" i="85"/>
  <c r="J53" i="88"/>
  <c r="J53" i="87"/>
  <c r="J53" i="90"/>
  <c r="J54" i="90" s="1"/>
  <c r="U5" i="1"/>
  <c r="U7" i="1"/>
  <c r="U9" i="1"/>
  <c r="U11" i="1"/>
  <c r="U13" i="1"/>
  <c r="U15" i="1"/>
  <c r="U17" i="1"/>
  <c r="U19" i="1"/>
  <c r="U21" i="1"/>
  <c r="U23" i="1"/>
  <c r="U25" i="1"/>
  <c r="J53" i="75"/>
  <c r="EG33" i="1"/>
  <c r="J29" i="82"/>
  <c r="EG6" i="1"/>
  <c r="EG8" i="1"/>
  <c r="EG10" i="1"/>
  <c r="EG12" i="1"/>
  <c r="EG14" i="1"/>
  <c r="EG16" i="1"/>
  <c r="EG18" i="1"/>
  <c r="AD34" i="1"/>
  <c r="J53" i="94"/>
  <c r="J53" i="96"/>
  <c r="J53" i="42"/>
  <c r="J53" i="69"/>
  <c r="J52" i="82"/>
  <c r="U20" i="1"/>
  <c r="U22" i="1"/>
  <c r="U24" i="1"/>
  <c r="J53" i="72"/>
  <c r="U32" i="1"/>
  <c r="J53" i="78"/>
  <c r="U26" i="1"/>
  <c r="U28" i="1"/>
  <c r="U30" i="1"/>
  <c r="S35" i="1"/>
  <c r="J53" i="91"/>
  <c r="J54" i="91" s="1"/>
  <c r="J53" i="93"/>
  <c r="J53" i="95"/>
  <c r="J53" i="97"/>
  <c r="J53" i="99"/>
  <c r="J53" i="68"/>
  <c r="J53" i="70"/>
  <c r="EG27" i="1"/>
  <c r="EG29" i="1"/>
  <c r="EG31" i="1"/>
  <c r="F49" i="81"/>
  <c r="M49" i="81" s="1"/>
  <c r="CG4" i="1"/>
  <c r="CC5" i="1" s="1"/>
  <c r="BI4" i="1"/>
  <c r="F18" i="81"/>
  <c r="M18" i="81" s="1"/>
  <c r="BR4" i="1"/>
  <c r="BN5" i="1" s="1"/>
  <c r="J34" i="80"/>
  <c r="M11" i="80" s="1"/>
  <c r="Y35" i="1"/>
  <c r="Y34" i="1"/>
  <c r="J36" i="80"/>
  <c r="AR35" i="1"/>
  <c r="AR34" i="1"/>
  <c r="AS3" i="1"/>
  <c r="AW34" i="1"/>
  <c r="J37" i="80"/>
  <c r="AW35" i="1"/>
  <c r="L51" i="80"/>
  <c r="L51" i="81" s="1"/>
  <c r="L51" i="82" s="1"/>
  <c r="L51" i="84" s="1"/>
  <c r="L51" i="85" s="1"/>
  <c r="L51" i="86" s="1"/>
  <c r="L51" i="87" s="1"/>
  <c r="L51" i="88" s="1"/>
  <c r="L51" i="89" s="1"/>
  <c r="L51" i="90" s="1"/>
  <c r="L51" i="91" s="1"/>
  <c r="L51" i="92" s="1"/>
  <c r="L51" i="93" s="1"/>
  <c r="L51" i="94" s="1"/>
  <c r="L51" i="95" s="1"/>
  <c r="L51" i="96" s="1"/>
  <c r="L51" i="97" s="1"/>
  <c r="L51" i="98" s="1"/>
  <c r="L51" i="99" s="1"/>
  <c r="L51" i="42" s="1"/>
  <c r="L51" i="68" s="1"/>
  <c r="L51" i="69" s="1"/>
  <c r="L51" i="70" s="1"/>
  <c r="L51" i="72" s="1"/>
  <c r="L51" i="73" s="1"/>
  <c r="L51" i="74" s="1"/>
  <c r="L51" i="75" s="1"/>
  <c r="L51" i="76" s="1"/>
  <c r="K51" i="80"/>
  <c r="K51" i="81" s="1"/>
  <c r="K51" i="82" s="1"/>
  <c r="K51" i="84" s="1"/>
  <c r="K51" i="85" s="1"/>
  <c r="K51" i="86" s="1"/>
  <c r="K51" i="87" s="1"/>
  <c r="K51" i="88" s="1"/>
  <c r="K51" i="89" s="1"/>
  <c r="K51" i="90" s="1"/>
  <c r="K51" i="91" s="1"/>
  <c r="K51" i="92" s="1"/>
  <c r="K51" i="93" s="1"/>
  <c r="K51" i="94" s="1"/>
  <c r="K51" i="95" s="1"/>
  <c r="K51" i="96" s="1"/>
  <c r="K51" i="97" s="1"/>
  <c r="K51" i="98" s="1"/>
  <c r="K51" i="99" s="1"/>
  <c r="K51" i="42" s="1"/>
  <c r="K51" i="68" s="1"/>
  <c r="K51" i="69" s="1"/>
  <c r="K51" i="70" s="1"/>
  <c r="K51" i="72" s="1"/>
  <c r="K51" i="73" s="1"/>
  <c r="K51" i="74" s="1"/>
  <c r="K51" i="75" s="1"/>
  <c r="K51" i="76" s="1"/>
  <c r="M51" i="80"/>
  <c r="Q51" i="80" s="1"/>
  <c r="Q53" i="80" s="1"/>
  <c r="AX3" i="1"/>
  <c r="AT4" i="1" s="1"/>
  <c r="F12" i="81" s="1"/>
  <c r="M12" i="81" s="1"/>
  <c r="J38" i="80"/>
  <c r="BB35" i="1"/>
  <c r="BB34" i="1"/>
  <c r="BQ34" i="1"/>
  <c r="BQ35" i="1"/>
  <c r="J41" i="80"/>
  <c r="J42" i="80"/>
  <c r="BV34" i="1"/>
  <c r="BV35" i="1"/>
  <c r="EG4" i="1"/>
  <c r="J39" i="80"/>
  <c r="BG35" i="1"/>
  <c r="BG34" i="1"/>
  <c r="BW3" i="1"/>
  <c r="AA3" i="1"/>
  <c r="W4" i="1" s="1"/>
  <c r="F11" i="81" s="1"/>
  <c r="M11" i="81" s="1"/>
  <c r="BH3" i="1"/>
  <c r="J40" i="80"/>
  <c r="BL34" i="1"/>
  <c r="BL35" i="1"/>
  <c r="J49" i="80"/>
  <c r="CF35" i="1"/>
  <c r="CF34" i="1"/>
  <c r="J53" i="81"/>
  <c r="AI34" i="1"/>
  <c r="R5" i="4"/>
  <c r="O6" i="4" s="1"/>
  <c r="F59" i="82"/>
  <c r="M59" i="82" s="1"/>
  <c r="F59" i="81"/>
  <c r="M59" i="81" s="1"/>
  <c r="F62" i="80"/>
  <c r="F57" i="82"/>
  <c r="M57" i="82" s="1"/>
  <c r="Q57" i="82" s="1"/>
  <c r="J5" i="4"/>
  <c r="G6" i="4" s="1"/>
  <c r="F57" i="81"/>
  <c r="M57" i="81" s="1"/>
  <c r="Q57" i="81" s="1"/>
  <c r="F4" i="4"/>
  <c r="C5" i="4" s="1"/>
  <c r="F56" i="81"/>
  <c r="M56" i="81" s="1"/>
  <c r="Q56" i="81" s="1"/>
  <c r="F15" i="81"/>
  <c r="M15" i="81" s="1"/>
  <c r="BC4" i="1"/>
  <c r="AY5" i="1" s="1"/>
  <c r="F27" i="80"/>
  <c r="F54" i="80" s="1"/>
  <c r="F6" i="81"/>
  <c r="M6" i="81" s="1"/>
  <c r="Q6" i="81" s="1"/>
  <c r="F4" i="1"/>
  <c r="C5" i="1" s="1"/>
  <c r="K69" i="86"/>
  <c r="K69" i="87" s="1"/>
  <c r="K69" i="88" s="1"/>
  <c r="K69" i="89" s="1"/>
  <c r="K69" i="90" s="1"/>
  <c r="K69" i="91" s="1"/>
  <c r="K69" i="92" s="1"/>
  <c r="K69" i="93" s="1"/>
  <c r="K69" i="94" s="1"/>
  <c r="K69" i="95" s="1"/>
  <c r="K69" i="96" s="1"/>
  <c r="K69" i="97" s="1"/>
  <c r="K69" i="98" s="1"/>
  <c r="K69" i="99" s="1"/>
  <c r="K69" i="42" s="1"/>
  <c r="K69" i="68" s="1"/>
  <c r="K69" i="69" s="1"/>
  <c r="K69" i="70" s="1"/>
  <c r="K69" i="72" s="1"/>
  <c r="K69" i="73" s="1"/>
  <c r="K69" i="74" s="1"/>
  <c r="K69" i="75" s="1"/>
  <c r="K69" i="76" s="1"/>
  <c r="K69" i="77" s="1"/>
  <c r="K69" i="78" s="1"/>
  <c r="K68" i="79" s="1"/>
  <c r="M70" i="69"/>
  <c r="J76" i="87"/>
  <c r="J76" i="90"/>
  <c r="J76" i="42"/>
  <c r="K70" i="80"/>
  <c r="K76" i="80" s="1"/>
  <c r="L70" i="80"/>
  <c r="L70" i="81" s="1"/>
  <c r="L70" i="82" s="1"/>
  <c r="L70" i="84" s="1"/>
  <c r="L70" i="85" s="1"/>
  <c r="L70" i="86" s="1"/>
  <c r="L70" i="87" s="1"/>
  <c r="L70" i="88" s="1"/>
  <c r="L70" i="89" s="1"/>
  <c r="L70" i="90" s="1"/>
  <c r="L70" i="91" s="1"/>
  <c r="L70" i="92" s="1"/>
  <c r="L70" i="93" s="1"/>
  <c r="L70" i="94" s="1"/>
  <c r="L70" i="95" s="1"/>
  <c r="L70" i="96" s="1"/>
  <c r="L70" i="97" s="1"/>
  <c r="L70" i="98" s="1"/>
  <c r="L70" i="99" s="1"/>
  <c r="L70" i="42" s="1"/>
  <c r="L70" i="68" s="1"/>
  <c r="L70" i="69" s="1"/>
  <c r="L70" i="70" s="1"/>
  <c r="L70" i="72" s="1"/>
  <c r="L70" i="73" s="1"/>
  <c r="L70" i="74" s="1"/>
  <c r="L70" i="75" s="1"/>
  <c r="L70" i="76" s="1"/>
  <c r="L70" i="77" s="1"/>
  <c r="L70" i="78" s="1"/>
  <c r="L69" i="79" s="1"/>
  <c r="I68" i="81"/>
  <c r="I76" i="80"/>
  <c r="H68" i="80"/>
  <c r="H68" i="81" s="1"/>
  <c r="F76" i="81"/>
  <c r="W4" i="56"/>
  <c r="B5" i="56" s="1"/>
  <c r="F76" i="80"/>
  <c r="I58" i="81"/>
  <c r="I58" i="82" s="1"/>
  <c r="I58" i="84" s="1"/>
  <c r="I59" i="78"/>
  <c r="I59" i="77"/>
  <c r="I64" i="82"/>
  <c r="I66" i="81"/>
  <c r="L66" i="80"/>
  <c r="I29" i="82"/>
  <c r="L25" i="77"/>
  <c r="L25" i="78" s="1"/>
  <c r="L25" i="79" s="1"/>
  <c r="L25" i="76"/>
  <c r="L10" i="81"/>
  <c r="L29" i="81"/>
  <c r="J75" i="79"/>
  <c r="J62" i="78"/>
  <c r="G27" i="93"/>
  <c r="G54" i="93" s="1"/>
  <c r="G8" i="42"/>
  <c r="G53" i="79"/>
  <c r="V35" i="56"/>
  <c r="J76" i="78"/>
  <c r="EJ34" i="1"/>
  <c r="EJ35" i="1"/>
  <c r="EK31" i="1"/>
  <c r="AI35" i="1"/>
  <c r="J51" i="77"/>
  <c r="J62" i="76"/>
  <c r="F58" i="81"/>
  <c r="N4" i="4"/>
  <c r="K5" i="4" s="1"/>
  <c r="K62" i="80"/>
  <c r="K58" i="79"/>
  <c r="J62" i="81"/>
  <c r="J62" i="86"/>
  <c r="J62" i="97"/>
  <c r="J62" i="98"/>
  <c r="J62" i="80"/>
  <c r="L58" i="80"/>
  <c r="H58" i="79"/>
  <c r="M58" i="80"/>
  <c r="K58" i="81"/>
  <c r="H58" i="84"/>
  <c r="J62" i="73"/>
  <c r="J62" i="72"/>
  <c r="J62" i="75"/>
  <c r="J62" i="74"/>
  <c r="J62" i="70"/>
  <c r="G62" i="74"/>
  <c r="V34" i="56"/>
  <c r="J76" i="77"/>
  <c r="G53" i="76"/>
  <c r="EF34" i="1"/>
  <c r="EF35" i="1"/>
  <c r="G27" i="77"/>
  <c r="G54" i="77" s="1"/>
  <c r="H7" i="80"/>
  <c r="H7" i="81" s="1"/>
  <c r="H7" i="82" s="1"/>
  <c r="H7" i="84" s="1"/>
  <c r="H7" i="85" s="1"/>
  <c r="H7" i="86" s="1"/>
  <c r="H7" i="87" s="1"/>
  <c r="H7" i="88" s="1"/>
  <c r="H7" i="89" s="1"/>
  <c r="H7" i="90" s="1"/>
  <c r="H7" i="91" s="1"/>
  <c r="H7" i="92" s="1"/>
  <c r="H7" i="93" s="1"/>
  <c r="H7" i="94" s="1"/>
  <c r="H7" i="95" s="1"/>
  <c r="H7" i="96" s="1"/>
  <c r="H7" i="97" s="1"/>
  <c r="H7" i="98" s="1"/>
  <c r="H7" i="99" s="1"/>
  <c r="H7" i="42" s="1"/>
  <c r="H7" i="68" s="1"/>
  <c r="H7" i="69" s="1"/>
  <c r="H7" i="70" s="1"/>
  <c r="H7" i="72" s="1"/>
  <c r="H7" i="73" s="1"/>
  <c r="H7" i="74" s="1"/>
  <c r="H7" i="75" s="1"/>
  <c r="H7" i="76" s="1"/>
  <c r="H7" i="77" s="1"/>
  <c r="H7" i="78" s="1"/>
  <c r="H7" i="79" s="1"/>
  <c r="G54" i="96" l="1"/>
  <c r="L26" i="94"/>
  <c r="L26" i="95" s="1"/>
  <c r="L26" i="96" s="1"/>
  <c r="L26" i="97" s="1"/>
  <c r="L26" i="98" s="1"/>
  <c r="L26" i="99" s="1"/>
  <c r="L26" i="42" s="1"/>
  <c r="L26" i="68" s="1"/>
  <c r="L26" i="69" s="1"/>
  <c r="L26" i="70" s="1"/>
  <c r="L26" i="72" s="1"/>
  <c r="L26" i="73" s="1"/>
  <c r="N4" i="3"/>
  <c r="K5" i="3" s="1"/>
  <c r="N5" i="3" s="1"/>
  <c r="G54" i="76"/>
  <c r="I53" i="81"/>
  <c r="L7" i="80"/>
  <c r="L7" i="81" s="1"/>
  <c r="L7" i="82" s="1"/>
  <c r="L7" i="84" s="1"/>
  <c r="L7" i="85" s="1"/>
  <c r="L7" i="86" s="1"/>
  <c r="L7" i="87" s="1"/>
  <c r="L7" i="88" s="1"/>
  <c r="L7" i="89" s="1"/>
  <c r="L7" i="90" s="1"/>
  <c r="L7" i="91" s="1"/>
  <c r="L7" i="92" s="1"/>
  <c r="L7" i="93" s="1"/>
  <c r="L7" i="94" s="1"/>
  <c r="L7" i="95" s="1"/>
  <c r="L7" i="96" s="1"/>
  <c r="L7" i="97" s="1"/>
  <c r="L7" i="98" s="1"/>
  <c r="L7" i="99" s="1"/>
  <c r="L7" i="42" s="1"/>
  <c r="L7" i="68" s="1"/>
  <c r="L7" i="69" s="1"/>
  <c r="L7" i="70" s="1"/>
  <c r="L7" i="72" s="1"/>
  <c r="L7" i="73" s="1"/>
  <c r="L7" i="74" s="1"/>
  <c r="I62" i="80"/>
  <c r="J54" i="95"/>
  <c r="I27" i="80"/>
  <c r="G54" i="89"/>
  <c r="L26" i="76"/>
  <c r="L27" i="80"/>
  <c r="L26" i="74"/>
  <c r="J54" i="75"/>
  <c r="J54" i="86"/>
  <c r="L26" i="78"/>
  <c r="I53" i="80"/>
  <c r="L26" i="75"/>
  <c r="G54" i="92"/>
  <c r="J54" i="70"/>
  <c r="EE4" i="1"/>
  <c r="EH4" i="1" s="1"/>
  <c r="J54" i="72"/>
  <c r="L65" i="42"/>
  <c r="L65" i="68" s="1"/>
  <c r="L65" i="72" s="1"/>
  <c r="L65" i="73" s="1"/>
  <c r="L65" i="74" s="1"/>
  <c r="L65" i="75" s="1"/>
  <c r="L65" i="76" s="1"/>
  <c r="L65" i="77" s="1"/>
  <c r="L65" i="78" s="1"/>
  <c r="L64" i="79" s="1"/>
  <c r="AF38" i="101"/>
  <c r="H53" i="82"/>
  <c r="AF35" i="101"/>
  <c r="J54" i="96"/>
  <c r="J54" i="88"/>
  <c r="AJ4" i="1"/>
  <c r="AF5" i="1" s="1"/>
  <c r="F51" i="82" s="1"/>
  <c r="AA41" i="101"/>
  <c r="AG35" i="12"/>
  <c r="DP4" i="1"/>
  <c r="DL5" i="1" s="1"/>
  <c r="DP5" i="1" s="1"/>
  <c r="DL6" i="1" s="1"/>
  <c r="AL37" i="101"/>
  <c r="AK38" i="101"/>
  <c r="AL38" i="101"/>
  <c r="J54" i="78"/>
  <c r="G54" i="82"/>
  <c r="G54" i="73"/>
  <c r="AG38" i="12"/>
  <c r="AL38" i="12" s="1"/>
  <c r="H29" i="68"/>
  <c r="H29" i="69" s="1"/>
  <c r="H29" i="70" s="1"/>
  <c r="H29" i="72" s="1"/>
  <c r="H29" i="73" s="1"/>
  <c r="H29" i="74" s="1"/>
  <c r="H29" i="75" s="1"/>
  <c r="H29" i="76" s="1"/>
  <c r="H29" i="77" s="1"/>
  <c r="H29" i="78" s="1"/>
  <c r="H28" i="79" s="1"/>
  <c r="H10" i="68"/>
  <c r="H10" i="69" s="1"/>
  <c r="H10" i="70" s="1"/>
  <c r="H10" i="72" s="1"/>
  <c r="H10" i="73" s="1"/>
  <c r="H10" i="74" s="1"/>
  <c r="H10" i="75" s="1"/>
  <c r="H10" i="76" s="1"/>
  <c r="H10" i="77" s="1"/>
  <c r="H10" i="78" s="1"/>
  <c r="H10" i="79" s="1"/>
  <c r="J54" i="42"/>
  <c r="J54" i="98"/>
  <c r="J54" i="97"/>
  <c r="J54" i="85"/>
  <c r="AG41" i="101"/>
  <c r="AF40" i="101"/>
  <c r="AK40" i="101" s="1"/>
  <c r="AF39" i="101"/>
  <c r="AL36" i="101"/>
  <c r="G54" i="95"/>
  <c r="J54" i="76"/>
  <c r="J54" i="73"/>
  <c r="G54" i="69"/>
  <c r="M66" i="80"/>
  <c r="L59" i="81"/>
  <c r="L59" i="82" s="1"/>
  <c r="L59" i="84" s="1"/>
  <c r="L59" i="85" s="1"/>
  <c r="L59" i="86" s="1"/>
  <c r="L59" i="87" s="1"/>
  <c r="L59" i="88" s="1"/>
  <c r="L59" i="89" s="1"/>
  <c r="L59" i="90" s="1"/>
  <c r="L59" i="91" s="1"/>
  <c r="L59" i="92" s="1"/>
  <c r="L59" i="93" s="1"/>
  <c r="L59" i="94" s="1"/>
  <c r="L59" i="95" s="1"/>
  <c r="L59" i="96" s="1"/>
  <c r="L59" i="97" s="1"/>
  <c r="L59" i="98" s="1"/>
  <c r="L59" i="99" s="1"/>
  <c r="L59" i="42" s="1"/>
  <c r="L59" i="68" s="1"/>
  <c r="L59" i="69" s="1"/>
  <c r="L59" i="70" s="1"/>
  <c r="L59" i="72" s="1"/>
  <c r="L59" i="73" s="1"/>
  <c r="L59" i="74" s="1"/>
  <c r="L59" i="75" s="1"/>
  <c r="L59" i="76" s="1"/>
  <c r="J54" i="93"/>
  <c r="J54" i="92"/>
  <c r="J54" i="99"/>
  <c r="J54" i="74"/>
  <c r="J54" i="87"/>
  <c r="G54" i="99"/>
  <c r="L59" i="77"/>
  <c r="L66" i="81"/>
  <c r="G54" i="75"/>
  <c r="G54" i="72"/>
  <c r="G54" i="68"/>
  <c r="G54" i="42"/>
  <c r="J54" i="68"/>
  <c r="J54" i="69"/>
  <c r="I25" i="82"/>
  <c r="I25" i="84" s="1"/>
  <c r="I25" i="85" s="1"/>
  <c r="I25" i="86" s="1"/>
  <c r="I25" i="87" s="1"/>
  <c r="I25" i="88" s="1"/>
  <c r="I25" i="89" s="1"/>
  <c r="I25" i="90" s="1"/>
  <c r="I25" i="91" s="1"/>
  <c r="I25" i="92" s="1"/>
  <c r="I25" i="93" s="1"/>
  <c r="I25" i="94" s="1"/>
  <c r="I25" i="95" s="1"/>
  <c r="I25" i="96" s="1"/>
  <c r="I25" i="97" s="1"/>
  <c r="I25" i="98" s="1"/>
  <c r="I25" i="99" s="1"/>
  <c r="I25" i="42" s="1"/>
  <c r="I25" i="68" s="1"/>
  <c r="I25" i="69" s="1"/>
  <c r="I25" i="70" s="1"/>
  <c r="I25" i="72" s="1"/>
  <c r="I25" i="73" s="1"/>
  <c r="I25" i="74" s="1"/>
  <c r="I25" i="75" s="1"/>
  <c r="I25" i="76" s="1"/>
  <c r="I25" i="77" s="1"/>
  <c r="I25" i="78" s="1"/>
  <c r="I25" i="79" s="1"/>
  <c r="I27" i="81"/>
  <c r="I54" i="81" s="1"/>
  <c r="L76" i="80"/>
  <c r="G54" i="78"/>
  <c r="H27" i="80"/>
  <c r="H54" i="80" s="1"/>
  <c r="K27" i="80"/>
  <c r="G54" i="80"/>
  <c r="O35" i="1"/>
  <c r="G54" i="98"/>
  <c r="J54" i="94"/>
  <c r="G54" i="90"/>
  <c r="G54" i="85"/>
  <c r="K25" i="76"/>
  <c r="K25" i="77"/>
  <c r="K25" i="78" s="1"/>
  <c r="K25" i="79" s="1"/>
  <c r="K12" i="81"/>
  <c r="K27" i="81" s="1"/>
  <c r="G54" i="74"/>
  <c r="L76" i="81"/>
  <c r="L76" i="82"/>
  <c r="K70" i="81"/>
  <c r="AI40" i="12"/>
  <c r="AI41" i="12" s="1"/>
  <c r="K26" i="78"/>
  <c r="K26" i="74"/>
  <c r="H66" i="81"/>
  <c r="AK37" i="101"/>
  <c r="AL35" i="101"/>
  <c r="M50" i="82"/>
  <c r="F65" i="82"/>
  <c r="M65" i="82" s="1"/>
  <c r="F21" i="81"/>
  <c r="M21" i="81" s="1"/>
  <c r="CV4" i="1"/>
  <c r="K4" i="1"/>
  <c r="L48" i="80"/>
  <c r="L48" i="81" s="1"/>
  <c r="L48" i="82" s="1"/>
  <c r="L48" i="84" s="1"/>
  <c r="L48" i="85" s="1"/>
  <c r="L48" i="86" s="1"/>
  <c r="L48" i="87" s="1"/>
  <c r="L48" i="88" s="1"/>
  <c r="L48" i="89" s="1"/>
  <c r="L48" i="90" s="1"/>
  <c r="L48" i="91" s="1"/>
  <c r="L48" i="92" s="1"/>
  <c r="L48" i="93" s="1"/>
  <c r="L48" i="94" s="1"/>
  <c r="L48" i="95" s="1"/>
  <c r="L48" i="96" s="1"/>
  <c r="L48" i="97" s="1"/>
  <c r="L48" i="98" s="1"/>
  <c r="L48" i="99" s="1"/>
  <c r="L48" i="42" s="1"/>
  <c r="L48" i="68" s="1"/>
  <c r="L48" i="69" s="1"/>
  <c r="L48" i="70" s="1"/>
  <c r="L48" i="72" s="1"/>
  <c r="L48" i="73" s="1"/>
  <c r="L48" i="74" s="1"/>
  <c r="L48" i="75" s="1"/>
  <c r="L48" i="76" s="1"/>
  <c r="L48" i="77" s="1"/>
  <c r="L48" i="78" s="1"/>
  <c r="L47" i="79" s="1"/>
  <c r="K48" i="80"/>
  <c r="K48" i="81" s="1"/>
  <c r="K48" i="82" s="1"/>
  <c r="K48" i="84" s="1"/>
  <c r="K48" i="85" s="1"/>
  <c r="K48" i="86" s="1"/>
  <c r="K48" i="87" s="1"/>
  <c r="K48" i="88" s="1"/>
  <c r="K48" i="89" s="1"/>
  <c r="K48" i="90" s="1"/>
  <c r="K48" i="91" s="1"/>
  <c r="K48" i="92" s="1"/>
  <c r="K48" i="93" s="1"/>
  <c r="K48" i="94" s="1"/>
  <c r="K48" i="95" s="1"/>
  <c r="K48" i="96" s="1"/>
  <c r="K48" i="97" s="1"/>
  <c r="K48" i="98" s="1"/>
  <c r="K48" i="99" s="1"/>
  <c r="K48" i="42" s="1"/>
  <c r="K48" i="68" s="1"/>
  <c r="K48" i="69" s="1"/>
  <c r="K48" i="70" s="1"/>
  <c r="K48" i="72" s="1"/>
  <c r="K48" i="73" s="1"/>
  <c r="K48" i="74" s="1"/>
  <c r="K48" i="75" s="1"/>
  <c r="K48" i="76" s="1"/>
  <c r="K48" i="77" s="1"/>
  <c r="K48" i="78" s="1"/>
  <c r="K47" i="79" s="1"/>
  <c r="H66" i="82"/>
  <c r="K65" i="42"/>
  <c r="K65" i="68" s="1"/>
  <c r="K65" i="72" s="1"/>
  <c r="K65" i="73" s="1"/>
  <c r="K65" i="74" s="1"/>
  <c r="K65" i="75" s="1"/>
  <c r="K65" i="76" s="1"/>
  <c r="K65" i="77" s="1"/>
  <c r="K65" i="78" s="1"/>
  <c r="K64" i="79" s="1"/>
  <c r="F20" i="84"/>
  <c r="M20" i="84" s="1"/>
  <c r="CB6" i="1"/>
  <c r="BX7" i="1" s="1"/>
  <c r="M50" i="81"/>
  <c r="L46" i="80"/>
  <c r="L46" i="81" s="1"/>
  <c r="L46" i="82" s="1"/>
  <c r="L46" i="84" s="1"/>
  <c r="L46" i="85" s="1"/>
  <c r="L46" i="86" s="1"/>
  <c r="L46" i="87" s="1"/>
  <c r="L46" i="88" s="1"/>
  <c r="L46" i="89" s="1"/>
  <c r="L46" i="90" s="1"/>
  <c r="L46" i="91" s="1"/>
  <c r="L46" i="92" s="1"/>
  <c r="L46" i="93" s="1"/>
  <c r="L46" i="94" s="1"/>
  <c r="L46" i="95" s="1"/>
  <c r="L46" i="96" s="1"/>
  <c r="L46" i="97" s="1"/>
  <c r="L46" i="98" s="1"/>
  <c r="L46" i="99" s="1"/>
  <c r="L46" i="42" s="1"/>
  <c r="L46" i="68" s="1"/>
  <c r="L46" i="69" s="1"/>
  <c r="L46" i="70" s="1"/>
  <c r="L46" i="72" s="1"/>
  <c r="L46" i="73" s="1"/>
  <c r="L46" i="74" s="1"/>
  <c r="L46" i="75" s="1"/>
  <c r="L46" i="76" s="1"/>
  <c r="L46" i="77" s="1"/>
  <c r="L46" i="78" s="1"/>
  <c r="L45" i="79" s="1"/>
  <c r="K46" i="80"/>
  <c r="K46" i="81" s="1"/>
  <c r="K46" i="82" s="1"/>
  <c r="K46" i="84" s="1"/>
  <c r="K46" i="85" s="1"/>
  <c r="K46" i="86" s="1"/>
  <c r="K46" i="87" s="1"/>
  <c r="K46" i="88" s="1"/>
  <c r="K46" i="89" s="1"/>
  <c r="K46" i="90" s="1"/>
  <c r="K46" i="91" s="1"/>
  <c r="K46" i="92" s="1"/>
  <c r="K46" i="93" s="1"/>
  <c r="K46" i="94" s="1"/>
  <c r="K46" i="95" s="1"/>
  <c r="K46" i="96" s="1"/>
  <c r="K46" i="97" s="1"/>
  <c r="K46" i="98" s="1"/>
  <c r="K46" i="99" s="1"/>
  <c r="K46" i="42" s="1"/>
  <c r="K46" i="68" s="1"/>
  <c r="K46" i="69" s="1"/>
  <c r="K46" i="70" s="1"/>
  <c r="K46" i="72" s="1"/>
  <c r="K46" i="73" s="1"/>
  <c r="K46" i="74" s="1"/>
  <c r="K46" i="75" s="1"/>
  <c r="K46" i="76" s="1"/>
  <c r="K46" i="77" s="1"/>
  <c r="K46" i="78" s="1"/>
  <c r="K45" i="79" s="1"/>
  <c r="F14" i="84"/>
  <c r="M14" i="84" s="1"/>
  <c r="AN6" i="1"/>
  <c r="K64" i="81"/>
  <c r="J4" i="1"/>
  <c r="F25" i="82"/>
  <c r="M25" i="82" s="1"/>
  <c r="L44" i="80"/>
  <c r="L44" i="81" s="1"/>
  <c r="L44" i="82" s="1"/>
  <c r="L44" i="84" s="1"/>
  <c r="L44" i="85" s="1"/>
  <c r="L44" i="86" s="1"/>
  <c r="L44" i="87" s="1"/>
  <c r="L44" i="88" s="1"/>
  <c r="L44" i="89" s="1"/>
  <c r="L44" i="90" s="1"/>
  <c r="L44" i="91" s="1"/>
  <c r="L44" i="92" s="1"/>
  <c r="L44" i="93" s="1"/>
  <c r="L44" i="94" s="1"/>
  <c r="L44" i="95" s="1"/>
  <c r="L44" i="96" s="1"/>
  <c r="L44" i="97" s="1"/>
  <c r="L44" i="98" s="1"/>
  <c r="L44" i="99" s="1"/>
  <c r="L44" i="42" s="1"/>
  <c r="L44" i="68" s="1"/>
  <c r="L44" i="69" s="1"/>
  <c r="L44" i="70" s="1"/>
  <c r="L44" i="72" s="1"/>
  <c r="L44" i="73" s="1"/>
  <c r="L44" i="74" s="1"/>
  <c r="L44" i="75" s="1"/>
  <c r="L44" i="76" s="1"/>
  <c r="L44" i="77" s="1"/>
  <c r="L44" i="78" s="1"/>
  <c r="L43" i="79" s="1"/>
  <c r="K44" i="80"/>
  <c r="K44" i="81" s="1"/>
  <c r="K44" i="82" s="1"/>
  <c r="K44" i="84" s="1"/>
  <c r="K44" i="85" s="1"/>
  <c r="K44" i="86" s="1"/>
  <c r="K44" i="87" s="1"/>
  <c r="K44" i="88" s="1"/>
  <c r="K44" i="89" s="1"/>
  <c r="K44" i="90" s="1"/>
  <c r="K44" i="91" s="1"/>
  <c r="K44" i="92" s="1"/>
  <c r="K44" i="93" s="1"/>
  <c r="K44" i="94" s="1"/>
  <c r="K44" i="95" s="1"/>
  <c r="K44" i="96" s="1"/>
  <c r="K44" i="97" s="1"/>
  <c r="K44" i="98" s="1"/>
  <c r="K44" i="99" s="1"/>
  <c r="K44" i="42" s="1"/>
  <c r="K44" i="68" s="1"/>
  <c r="K44" i="69" s="1"/>
  <c r="K44" i="70" s="1"/>
  <c r="K44" i="72" s="1"/>
  <c r="K44" i="73" s="1"/>
  <c r="K44" i="74" s="1"/>
  <c r="K44" i="75" s="1"/>
  <c r="K44" i="76" s="1"/>
  <c r="K44" i="77" s="1"/>
  <c r="K44" i="78" s="1"/>
  <c r="K43" i="79" s="1"/>
  <c r="M64" i="81"/>
  <c r="M66" i="81" s="1"/>
  <c r="F66" i="81"/>
  <c r="L32" i="80"/>
  <c r="L32" i="81" s="1"/>
  <c r="L32" i="82" s="1"/>
  <c r="L32" i="84" s="1"/>
  <c r="L32" i="85" s="1"/>
  <c r="L32" i="86" s="1"/>
  <c r="L32" i="87" s="1"/>
  <c r="L32" i="88" s="1"/>
  <c r="L32" i="89" s="1"/>
  <c r="L32" i="90" s="1"/>
  <c r="L32" i="91" s="1"/>
  <c r="L32" i="92" s="1"/>
  <c r="L32" i="93" s="1"/>
  <c r="L32" i="94" s="1"/>
  <c r="L32" i="95" s="1"/>
  <c r="L32" i="96" s="1"/>
  <c r="L32" i="97" s="1"/>
  <c r="L32" i="98" s="1"/>
  <c r="L32" i="99" s="1"/>
  <c r="L32" i="42" s="1"/>
  <c r="L32" i="68" s="1"/>
  <c r="K32" i="80"/>
  <c r="K32" i="81" s="1"/>
  <c r="K32" i="82" s="1"/>
  <c r="K32" i="84" s="1"/>
  <c r="K32" i="85" s="1"/>
  <c r="K32" i="86" s="1"/>
  <c r="K32" i="87" s="1"/>
  <c r="K32" i="88" s="1"/>
  <c r="K32" i="89" s="1"/>
  <c r="K32" i="90" s="1"/>
  <c r="K32" i="91" s="1"/>
  <c r="K32" i="92" s="1"/>
  <c r="K32" i="93" s="1"/>
  <c r="K32" i="94" s="1"/>
  <c r="K32" i="95" s="1"/>
  <c r="K32" i="96" s="1"/>
  <c r="K32" i="97" s="1"/>
  <c r="K32" i="98" s="1"/>
  <c r="K32" i="99" s="1"/>
  <c r="L35" i="80"/>
  <c r="L35" i="81" s="1"/>
  <c r="L35" i="82" s="1"/>
  <c r="L35" i="84" s="1"/>
  <c r="L35" i="85" s="1"/>
  <c r="L35" i="86" s="1"/>
  <c r="L35" i="87" s="1"/>
  <c r="L35" i="88" s="1"/>
  <c r="L35" i="89" s="1"/>
  <c r="L35" i="90" s="1"/>
  <c r="L35" i="91" s="1"/>
  <c r="L35" i="92" s="1"/>
  <c r="L35" i="93" s="1"/>
  <c r="L35" i="94" s="1"/>
  <c r="L35" i="95" s="1"/>
  <c r="L35" i="96" s="1"/>
  <c r="L35" i="97" s="1"/>
  <c r="L35" i="98" s="1"/>
  <c r="L35" i="99" s="1"/>
  <c r="L35" i="42" s="1"/>
  <c r="L35" i="68" s="1"/>
  <c r="L35" i="69" s="1"/>
  <c r="L35" i="70" s="1"/>
  <c r="L35" i="72" s="1"/>
  <c r="L35" i="73" s="1"/>
  <c r="L35" i="74" s="1"/>
  <c r="L35" i="75" s="1"/>
  <c r="L35" i="76" s="1"/>
  <c r="L35" i="77" s="1"/>
  <c r="L35" i="78" s="1"/>
  <c r="L34" i="79" s="1"/>
  <c r="K35" i="80"/>
  <c r="K35" i="81" s="1"/>
  <c r="K35" i="82" s="1"/>
  <c r="K35" i="84" s="1"/>
  <c r="K35" i="85" s="1"/>
  <c r="K35" i="86" s="1"/>
  <c r="K35" i="87" s="1"/>
  <c r="K35" i="88" s="1"/>
  <c r="K35" i="89" s="1"/>
  <c r="K35" i="90" s="1"/>
  <c r="K35" i="91" s="1"/>
  <c r="K35" i="92" s="1"/>
  <c r="K35" i="93" s="1"/>
  <c r="K35" i="94" s="1"/>
  <c r="K35" i="95" s="1"/>
  <c r="K35" i="96" s="1"/>
  <c r="K35" i="97" s="1"/>
  <c r="K35" i="98" s="1"/>
  <c r="K35" i="99" s="1"/>
  <c r="K35" i="42" s="1"/>
  <c r="K35" i="68" s="1"/>
  <c r="K35" i="69" s="1"/>
  <c r="K35" i="70" s="1"/>
  <c r="K35" i="72" s="1"/>
  <c r="K35" i="73" s="1"/>
  <c r="F32" i="82"/>
  <c r="M32" i="82" s="1"/>
  <c r="DU5" i="1"/>
  <c r="DQ6" i="1" s="1"/>
  <c r="G54" i="84"/>
  <c r="AH41" i="101"/>
  <c r="H66" i="80"/>
  <c r="F50" i="84"/>
  <c r="M50" i="84" s="1"/>
  <c r="CL6" i="1"/>
  <c r="CH7" i="1" s="1"/>
  <c r="CL7" i="1" s="1"/>
  <c r="CH8" i="1" s="1"/>
  <c r="O34" i="1"/>
  <c r="H64" i="84"/>
  <c r="AL36" i="12"/>
  <c r="AM36" i="12"/>
  <c r="F24" i="81"/>
  <c r="M24" i="81" s="1"/>
  <c r="DK4" i="1"/>
  <c r="L50" i="80"/>
  <c r="L50" i="81" s="1"/>
  <c r="L50" i="82" s="1"/>
  <c r="L50" i="84" s="1"/>
  <c r="L50" i="85" s="1"/>
  <c r="L50" i="86" s="1"/>
  <c r="L50" i="87" s="1"/>
  <c r="L50" i="88" s="1"/>
  <c r="L50" i="89" s="1"/>
  <c r="L50" i="90" s="1"/>
  <c r="L50" i="91" s="1"/>
  <c r="L50" i="92" s="1"/>
  <c r="L50" i="93" s="1"/>
  <c r="L50" i="94" s="1"/>
  <c r="L50" i="95" s="1"/>
  <c r="L50" i="96" s="1"/>
  <c r="L50" i="97" s="1"/>
  <c r="L50" i="98" s="1"/>
  <c r="L50" i="99" s="1"/>
  <c r="L50" i="42" s="1"/>
  <c r="L50" i="68" s="1"/>
  <c r="L50" i="69" s="1"/>
  <c r="L50" i="70" s="1"/>
  <c r="L50" i="72" s="1"/>
  <c r="L50" i="73" s="1"/>
  <c r="L50" i="74" s="1"/>
  <c r="L50" i="75" s="1"/>
  <c r="L50" i="76" s="1"/>
  <c r="L50" i="77" s="1"/>
  <c r="L50" i="78" s="1"/>
  <c r="L49" i="79" s="1"/>
  <c r="K50" i="80"/>
  <c r="K50" i="81" s="1"/>
  <c r="K50" i="82" s="1"/>
  <c r="K50" i="84" s="1"/>
  <c r="K50" i="85" s="1"/>
  <c r="K50" i="86" s="1"/>
  <c r="K50" i="87" s="1"/>
  <c r="K50" i="88" s="1"/>
  <c r="K50" i="89" s="1"/>
  <c r="K50" i="90" s="1"/>
  <c r="K50" i="91" s="1"/>
  <c r="K50" i="92" s="1"/>
  <c r="K50" i="93" s="1"/>
  <c r="K50" i="94" s="1"/>
  <c r="K50" i="95" s="1"/>
  <c r="K50" i="96" s="1"/>
  <c r="K50" i="97" s="1"/>
  <c r="K50" i="98" s="1"/>
  <c r="K50" i="99" s="1"/>
  <c r="K50" i="42" s="1"/>
  <c r="K50" i="68" s="1"/>
  <c r="K50" i="69" s="1"/>
  <c r="K50" i="70" s="1"/>
  <c r="K50" i="72" s="1"/>
  <c r="K50" i="73" s="1"/>
  <c r="K50" i="74" s="1"/>
  <c r="K50" i="75" s="1"/>
  <c r="K50" i="76" s="1"/>
  <c r="K50" i="77" s="1"/>
  <c r="K50" i="78" s="1"/>
  <c r="K49" i="79" s="1"/>
  <c r="L43" i="80"/>
  <c r="L43" i="81" s="1"/>
  <c r="L43" i="82" s="1"/>
  <c r="L43" i="84" s="1"/>
  <c r="L43" i="85" s="1"/>
  <c r="L43" i="86" s="1"/>
  <c r="L43" i="87" s="1"/>
  <c r="L43" i="88" s="1"/>
  <c r="L43" i="89" s="1"/>
  <c r="L43" i="90" s="1"/>
  <c r="L43" i="91" s="1"/>
  <c r="L43" i="92" s="1"/>
  <c r="L43" i="93" s="1"/>
  <c r="L43" i="94" s="1"/>
  <c r="L43" i="95" s="1"/>
  <c r="L43" i="96" s="1"/>
  <c r="L43" i="97" s="1"/>
  <c r="L43" i="98" s="1"/>
  <c r="L43" i="99" s="1"/>
  <c r="L43" i="42" s="1"/>
  <c r="L43" i="68" s="1"/>
  <c r="L43" i="69" s="1"/>
  <c r="L43" i="70" s="1"/>
  <c r="L43" i="72" s="1"/>
  <c r="L43" i="73" s="1"/>
  <c r="L43" i="74" s="1"/>
  <c r="L43" i="75" s="1"/>
  <c r="L43" i="76" s="1"/>
  <c r="L43" i="77" s="1"/>
  <c r="L43" i="78" s="1"/>
  <c r="L42" i="79" s="1"/>
  <c r="K43" i="80"/>
  <c r="K43" i="81" s="1"/>
  <c r="K43" i="82" s="1"/>
  <c r="K43" i="84" s="1"/>
  <c r="K43" i="85" s="1"/>
  <c r="K43" i="86" s="1"/>
  <c r="K43" i="87" s="1"/>
  <c r="K43" i="88" s="1"/>
  <c r="K43" i="89" s="1"/>
  <c r="K43" i="90" s="1"/>
  <c r="K43" i="91" s="1"/>
  <c r="K43" i="92" s="1"/>
  <c r="K43" i="93" s="1"/>
  <c r="K43" i="94" s="1"/>
  <c r="K43" i="95" s="1"/>
  <c r="K43" i="96" s="1"/>
  <c r="K43" i="97" s="1"/>
  <c r="K43" i="98" s="1"/>
  <c r="K43" i="99" s="1"/>
  <c r="K43" i="42" s="1"/>
  <c r="K43" i="68" s="1"/>
  <c r="K43" i="69" s="1"/>
  <c r="K43" i="70" s="1"/>
  <c r="K43" i="72" s="1"/>
  <c r="K43" i="73" s="1"/>
  <c r="K43" i="74" s="1"/>
  <c r="K43" i="75" s="1"/>
  <c r="K43" i="76" s="1"/>
  <c r="K43" i="77" s="1"/>
  <c r="K43" i="78" s="1"/>
  <c r="K42" i="79" s="1"/>
  <c r="L45" i="80"/>
  <c r="L45" i="81" s="1"/>
  <c r="L45" i="82" s="1"/>
  <c r="L45" i="84" s="1"/>
  <c r="L45" i="85" s="1"/>
  <c r="L45" i="86" s="1"/>
  <c r="L45" i="87" s="1"/>
  <c r="L45" i="88" s="1"/>
  <c r="L45" i="89" s="1"/>
  <c r="L45" i="90" s="1"/>
  <c r="L45" i="91" s="1"/>
  <c r="L45" i="92" s="1"/>
  <c r="L45" i="93" s="1"/>
  <c r="L45" i="94" s="1"/>
  <c r="L45" i="95" s="1"/>
  <c r="L45" i="96" s="1"/>
  <c r="L45" i="97" s="1"/>
  <c r="L45" i="98" s="1"/>
  <c r="L45" i="99" s="1"/>
  <c r="L45" i="42" s="1"/>
  <c r="L45" i="68" s="1"/>
  <c r="L45" i="69" s="1"/>
  <c r="L45" i="70" s="1"/>
  <c r="L45" i="72" s="1"/>
  <c r="L45" i="73" s="1"/>
  <c r="L45" i="74" s="1"/>
  <c r="L45" i="75" s="1"/>
  <c r="L45" i="76" s="1"/>
  <c r="L45" i="77" s="1"/>
  <c r="L45" i="78" s="1"/>
  <c r="L44" i="79" s="1"/>
  <c r="K45" i="80"/>
  <c r="K45" i="81" s="1"/>
  <c r="K45" i="82" s="1"/>
  <c r="K45" i="84" s="1"/>
  <c r="K45" i="85" s="1"/>
  <c r="K45" i="86" s="1"/>
  <c r="K45" i="87" s="1"/>
  <c r="K45" i="88" s="1"/>
  <c r="K45" i="89" s="1"/>
  <c r="K45" i="90" s="1"/>
  <c r="K45" i="91" s="1"/>
  <c r="K45" i="92" s="1"/>
  <c r="K45" i="93" s="1"/>
  <c r="K45" i="94" s="1"/>
  <c r="K45" i="95" s="1"/>
  <c r="K45" i="96" s="1"/>
  <c r="K45" i="97" s="1"/>
  <c r="K45" i="98" s="1"/>
  <c r="K45" i="99" s="1"/>
  <c r="K45" i="42" s="1"/>
  <c r="K45" i="68" s="1"/>
  <c r="K45" i="69" s="1"/>
  <c r="K45" i="70" s="1"/>
  <c r="K45" i="72" s="1"/>
  <c r="K45" i="73" s="1"/>
  <c r="K45" i="74" s="1"/>
  <c r="K45" i="75" s="1"/>
  <c r="K45" i="76" s="1"/>
  <c r="K45" i="77" s="1"/>
  <c r="K45" i="78" s="1"/>
  <c r="K44" i="79" s="1"/>
  <c r="F26" i="82"/>
  <c r="M26" i="82" s="1"/>
  <c r="DZ5" i="1"/>
  <c r="DV6" i="1" s="1"/>
  <c r="F48" i="82"/>
  <c r="M48" i="82" s="1"/>
  <c r="CQ5" i="1"/>
  <c r="CM6" i="1" s="1"/>
  <c r="Y5" i="56"/>
  <c r="F22" i="81"/>
  <c r="M22" i="81" s="1"/>
  <c r="DA4" i="1"/>
  <c r="K35" i="74"/>
  <c r="K35" i="75" s="1"/>
  <c r="K35" i="76" s="1"/>
  <c r="K35" i="77" s="1"/>
  <c r="K35" i="78" s="1"/>
  <c r="K34" i="79" s="1"/>
  <c r="F29" i="81"/>
  <c r="V4" i="1"/>
  <c r="Q5" i="1" s="1"/>
  <c r="F29" i="82" s="1"/>
  <c r="M29" i="82" s="1"/>
  <c r="Q29" i="82" s="1"/>
  <c r="F23" i="81"/>
  <c r="M23" i="81" s="1"/>
  <c r="DF4" i="1"/>
  <c r="F52" i="81"/>
  <c r="M52" i="81" s="1"/>
  <c r="Q52" i="81" s="1"/>
  <c r="AE4" i="1"/>
  <c r="AB5" i="1" s="1"/>
  <c r="EE5" i="1" s="1"/>
  <c r="EH5" i="1" s="1"/>
  <c r="K59" i="77"/>
  <c r="K59" i="78"/>
  <c r="K59" i="81"/>
  <c r="K59" i="82" s="1"/>
  <c r="K59" i="84" s="1"/>
  <c r="K59" i="85" s="1"/>
  <c r="K59" i="86" s="1"/>
  <c r="K59" i="87" s="1"/>
  <c r="K59" i="88" s="1"/>
  <c r="K59" i="89" s="1"/>
  <c r="K59" i="90" s="1"/>
  <c r="K59" i="91" s="1"/>
  <c r="K59" i="92" s="1"/>
  <c r="K59" i="93" s="1"/>
  <c r="K59" i="94" s="1"/>
  <c r="K59" i="95" s="1"/>
  <c r="K59" i="96" s="1"/>
  <c r="K59" i="97" s="1"/>
  <c r="K59" i="98" s="1"/>
  <c r="K59" i="99" s="1"/>
  <c r="K59" i="42" s="1"/>
  <c r="K59" i="68" s="1"/>
  <c r="K59" i="69" s="1"/>
  <c r="K59" i="70" s="1"/>
  <c r="K59" i="72" s="1"/>
  <c r="K59" i="73" s="1"/>
  <c r="K59" i="74" s="1"/>
  <c r="K59" i="75" s="1"/>
  <c r="K59" i="76" s="1"/>
  <c r="EG34" i="1"/>
  <c r="J54" i="89"/>
  <c r="AX4" i="1"/>
  <c r="AT5" i="1" s="1"/>
  <c r="AX5" i="1" s="1"/>
  <c r="AT6" i="1" s="1"/>
  <c r="G54" i="88"/>
  <c r="G54" i="81"/>
  <c r="H51" i="84"/>
  <c r="H11" i="82"/>
  <c r="H27" i="81"/>
  <c r="H54" i="81" s="1"/>
  <c r="H62" i="80"/>
  <c r="H56" i="82"/>
  <c r="H62" i="81"/>
  <c r="AQ40" i="12"/>
  <c r="AC40" i="12"/>
  <c r="AC41" i="12" s="1"/>
  <c r="EK5" i="1"/>
  <c r="J8" i="82" s="1"/>
  <c r="AH40" i="12"/>
  <c r="AH41" i="12" s="1"/>
  <c r="AD40" i="12"/>
  <c r="AT40" i="12"/>
  <c r="EK28" i="1"/>
  <c r="J8" i="74" s="1"/>
  <c r="EK19" i="1"/>
  <c r="J8" i="97" s="1"/>
  <c r="EK14" i="1"/>
  <c r="J8" i="92" s="1"/>
  <c r="EK25" i="1"/>
  <c r="J8" i="70" s="1"/>
  <c r="EK26" i="1"/>
  <c r="J8" i="72" s="1"/>
  <c r="K52" i="82"/>
  <c r="K52" i="84" s="1"/>
  <c r="K52" i="85" s="1"/>
  <c r="K52" i="86" s="1"/>
  <c r="K52" i="87" s="1"/>
  <c r="K52" i="88" s="1"/>
  <c r="K52" i="89" s="1"/>
  <c r="K52" i="90" s="1"/>
  <c r="K52" i="91" s="1"/>
  <c r="K52" i="92" s="1"/>
  <c r="K52" i="93" s="1"/>
  <c r="K52" i="94" s="1"/>
  <c r="K52" i="95" s="1"/>
  <c r="K52" i="96" s="1"/>
  <c r="K52" i="97" s="1"/>
  <c r="K52" i="98" s="1"/>
  <c r="K52" i="99" s="1"/>
  <c r="K52" i="42" s="1"/>
  <c r="K52" i="68" s="1"/>
  <c r="K52" i="69" s="1"/>
  <c r="K52" i="70" s="1"/>
  <c r="K52" i="72" s="1"/>
  <c r="K52" i="73" s="1"/>
  <c r="K52" i="74" s="1"/>
  <c r="K52" i="75" s="1"/>
  <c r="K52" i="76" s="1"/>
  <c r="K52" i="77" s="1"/>
  <c r="K52" i="78" s="1"/>
  <c r="K51" i="79" s="1"/>
  <c r="L52" i="82"/>
  <c r="L52" i="84" s="1"/>
  <c r="L52" i="85" s="1"/>
  <c r="L52" i="86" s="1"/>
  <c r="L52" i="87" s="1"/>
  <c r="L52" i="88" s="1"/>
  <c r="L52" i="89" s="1"/>
  <c r="L52" i="90" s="1"/>
  <c r="L52" i="91" s="1"/>
  <c r="L52" i="92" s="1"/>
  <c r="L52" i="93" s="1"/>
  <c r="L52" i="94" s="1"/>
  <c r="L52" i="95" s="1"/>
  <c r="L52" i="96" s="1"/>
  <c r="L52" i="97" s="1"/>
  <c r="L52" i="98" s="1"/>
  <c r="L52" i="99" s="1"/>
  <c r="L52" i="42" s="1"/>
  <c r="L52" i="68" s="1"/>
  <c r="L52" i="69" s="1"/>
  <c r="L52" i="70" s="1"/>
  <c r="L52" i="72" s="1"/>
  <c r="L52" i="73" s="1"/>
  <c r="L52" i="74" s="1"/>
  <c r="L52" i="75" s="1"/>
  <c r="L52" i="76" s="1"/>
  <c r="L52" i="77" s="1"/>
  <c r="L52" i="78" s="1"/>
  <c r="L51" i="79" s="1"/>
  <c r="J53" i="82"/>
  <c r="J54" i="82" s="1"/>
  <c r="K29" i="82"/>
  <c r="K29" i="84" s="1"/>
  <c r="K29" i="85" s="1"/>
  <c r="K29" i="86" s="1"/>
  <c r="K29" i="87" s="1"/>
  <c r="K29" i="88" s="1"/>
  <c r="K29" i="89" s="1"/>
  <c r="K29" i="90" s="1"/>
  <c r="K29" i="91" s="1"/>
  <c r="K29" i="92" s="1"/>
  <c r="K29" i="93" s="1"/>
  <c r="K29" i="94" s="1"/>
  <c r="K29" i="95" s="1"/>
  <c r="K29" i="96" s="1"/>
  <c r="K29" i="97" s="1"/>
  <c r="K29" i="98" s="1"/>
  <c r="K29" i="99" s="1"/>
  <c r="K29" i="42" s="1"/>
  <c r="K29" i="68" s="1"/>
  <c r="K29" i="69" s="1"/>
  <c r="K29" i="70" s="1"/>
  <c r="K29" i="72" s="1"/>
  <c r="K29" i="73" s="1"/>
  <c r="K29" i="74" s="1"/>
  <c r="K29" i="75" s="1"/>
  <c r="K29" i="76" s="1"/>
  <c r="K29" i="77" s="1"/>
  <c r="K29" i="78" s="1"/>
  <c r="K28" i="79" s="1"/>
  <c r="EG35" i="1"/>
  <c r="U34" i="1"/>
  <c r="V5" i="1"/>
  <c r="U35" i="1"/>
  <c r="L38" i="80"/>
  <c r="L38" i="81" s="1"/>
  <c r="L38" i="82" s="1"/>
  <c r="L38" i="84" s="1"/>
  <c r="L38" i="85" s="1"/>
  <c r="L38" i="86" s="1"/>
  <c r="L38" i="87" s="1"/>
  <c r="L38" i="88" s="1"/>
  <c r="L38" i="89" s="1"/>
  <c r="L38" i="90" s="1"/>
  <c r="L38" i="91" s="1"/>
  <c r="L38" i="92" s="1"/>
  <c r="L38" i="93" s="1"/>
  <c r="L38" i="94" s="1"/>
  <c r="L38" i="95" s="1"/>
  <c r="L38" i="96" s="1"/>
  <c r="L38" i="97" s="1"/>
  <c r="L38" i="98" s="1"/>
  <c r="L38" i="99" s="1"/>
  <c r="L38" i="42" s="1"/>
  <c r="L38" i="68" s="1"/>
  <c r="L38" i="69" s="1"/>
  <c r="L38" i="70" s="1"/>
  <c r="L38" i="72" s="1"/>
  <c r="L38" i="73" s="1"/>
  <c r="L38" i="74" s="1"/>
  <c r="L38" i="75" s="1"/>
  <c r="L38" i="76" s="1"/>
  <c r="L38" i="77" s="1"/>
  <c r="L38" i="78" s="1"/>
  <c r="L37" i="79" s="1"/>
  <c r="K38" i="80"/>
  <c r="K38" i="81" s="1"/>
  <c r="K38" i="82" s="1"/>
  <c r="K38" i="84" s="1"/>
  <c r="K38" i="85" s="1"/>
  <c r="K38" i="86" s="1"/>
  <c r="K38" i="87" s="1"/>
  <c r="K38" i="88" s="1"/>
  <c r="K38" i="89" s="1"/>
  <c r="K38" i="90" s="1"/>
  <c r="K38" i="91" s="1"/>
  <c r="K38" i="92" s="1"/>
  <c r="K38" i="93" s="1"/>
  <c r="K38" i="94" s="1"/>
  <c r="K38" i="95" s="1"/>
  <c r="K38" i="96" s="1"/>
  <c r="K38" i="97" s="1"/>
  <c r="K38" i="98" s="1"/>
  <c r="K38" i="99" s="1"/>
  <c r="K38" i="42" s="1"/>
  <c r="K38" i="68" s="1"/>
  <c r="K38" i="69" s="1"/>
  <c r="K38" i="70" s="1"/>
  <c r="K38" i="72" s="1"/>
  <c r="K38" i="73" s="1"/>
  <c r="K38" i="74" s="1"/>
  <c r="K38" i="75" s="1"/>
  <c r="K38" i="76" s="1"/>
  <c r="K38" i="77" s="1"/>
  <c r="K38" i="78" s="1"/>
  <c r="K37" i="79" s="1"/>
  <c r="M15" i="80"/>
  <c r="J54" i="81"/>
  <c r="L39" i="80"/>
  <c r="L39" i="81" s="1"/>
  <c r="L39" i="82" s="1"/>
  <c r="L39" i="84" s="1"/>
  <c r="L39" i="85" s="1"/>
  <c r="L39" i="86" s="1"/>
  <c r="L39" i="87" s="1"/>
  <c r="L39" i="88" s="1"/>
  <c r="L39" i="89" s="1"/>
  <c r="L39" i="90" s="1"/>
  <c r="L39" i="91" s="1"/>
  <c r="L39" i="92" s="1"/>
  <c r="L39" i="93" s="1"/>
  <c r="L39" i="94" s="1"/>
  <c r="L39" i="95" s="1"/>
  <c r="L39" i="96" s="1"/>
  <c r="L39" i="97" s="1"/>
  <c r="L39" i="98" s="1"/>
  <c r="L39" i="99" s="1"/>
  <c r="L39" i="42" s="1"/>
  <c r="L39" i="68" s="1"/>
  <c r="L39" i="69" s="1"/>
  <c r="L39" i="70" s="1"/>
  <c r="L39" i="72" s="1"/>
  <c r="L39" i="73" s="1"/>
  <c r="L39" i="74" s="1"/>
  <c r="L39" i="75" s="1"/>
  <c r="L39" i="76" s="1"/>
  <c r="L39" i="77" s="1"/>
  <c r="L39" i="78" s="1"/>
  <c r="L38" i="79" s="1"/>
  <c r="K39" i="80"/>
  <c r="K39" i="81" s="1"/>
  <c r="K39" i="82" s="1"/>
  <c r="K39" i="84" s="1"/>
  <c r="K39" i="85" s="1"/>
  <c r="K39" i="86" s="1"/>
  <c r="K39" i="87" s="1"/>
  <c r="K39" i="88" s="1"/>
  <c r="K39" i="89" s="1"/>
  <c r="K39" i="90" s="1"/>
  <c r="K39" i="91" s="1"/>
  <c r="K39" i="92" s="1"/>
  <c r="K39" i="93" s="1"/>
  <c r="K39" i="94" s="1"/>
  <c r="K39" i="95" s="1"/>
  <c r="K39" i="96" s="1"/>
  <c r="K39" i="97" s="1"/>
  <c r="K39" i="98" s="1"/>
  <c r="K39" i="99" s="1"/>
  <c r="K39" i="42" s="1"/>
  <c r="K39" i="68" s="1"/>
  <c r="K39" i="69" s="1"/>
  <c r="K39" i="70" s="1"/>
  <c r="K39" i="72" s="1"/>
  <c r="K39" i="73" s="1"/>
  <c r="K39" i="74" s="1"/>
  <c r="K39" i="75" s="1"/>
  <c r="K39" i="76" s="1"/>
  <c r="K39" i="77" s="1"/>
  <c r="K39" i="78" s="1"/>
  <c r="K38" i="79" s="1"/>
  <c r="M16" i="80"/>
  <c r="M17" i="80"/>
  <c r="L40" i="80"/>
  <c r="L40" i="81" s="1"/>
  <c r="L40" i="82" s="1"/>
  <c r="L40" i="84" s="1"/>
  <c r="L40" i="85" s="1"/>
  <c r="L40" i="86" s="1"/>
  <c r="L40" i="87" s="1"/>
  <c r="L40" i="88" s="1"/>
  <c r="L40" i="89" s="1"/>
  <c r="L40" i="90" s="1"/>
  <c r="L40" i="91" s="1"/>
  <c r="L40" i="92" s="1"/>
  <c r="L40" i="93" s="1"/>
  <c r="L40" i="94" s="1"/>
  <c r="L40" i="95" s="1"/>
  <c r="L40" i="96" s="1"/>
  <c r="L40" i="97" s="1"/>
  <c r="L40" i="98" s="1"/>
  <c r="L40" i="99" s="1"/>
  <c r="L40" i="42" s="1"/>
  <c r="L40" i="68" s="1"/>
  <c r="L40" i="69" s="1"/>
  <c r="L40" i="70" s="1"/>
  <c r="L40" i="72" s="1"/>
  <c r="L40" i="73" s="1"/>
  <c r="L40" i="74" s="1"/>
  <c r="L40" i="75" s="1"/>
  <c r="L40" i="76" s="1"/>
  <c r="L40" i="77" s="1"/>
  <c r="L40" i="78" s="1"/>
  <c r="L39" i="79" s="1"/>
  <c r="K40" i="80"/>
  <c r="K40" i="81" s="1"/>
  <c r="K40" i="82" s="1"/>
  <c r="K40" i="84" s="1"/>
  <c r="K40" i="85" s="1"/>
  <c r="K40" i="86" s="1"/>
  <c r="K40" i="87" s="1"/>
  <c r="K40" i="88" s="1"/>
  <c r="K40" i="89" s="1"/>
  <c r="K40" i="90" s="1"/>
  <c r="K40" i="91" s="1"/>
  <c r="K40" i="92" s="1"/>
  <c r="K40" i="93" s="1"/>
  <c r="K40" i="94" s="1"/>
  <c r="K40" i="95" s="1"/>
  <c r="K40" i="96" s="1"/>
  <c r="K40" i="97" s="1"/>
  <c r="K40" i="98" s="1"/>
  <c r="K40" i="99" s="1"/>
  <c r="K40" i="42" s="1"/>
  <c r="K40" i="68" s="1"/>
  <c r="K40" i="69" s="1"/>
  <c r="K40" i="70" s="1"/>
  <c r="K40" i="72" s="1"/>
  <c r="K40" i="73" s="1"/>
  <c r="K40" i="74" s="1"/>
  <c r="K40" i="75" s="1"/>
  <c r="K40" i="76" s="1"/>
  <c r="K40" i="77" s="1"/>
  <c r="K40" i="78" s="1"/>
  <c r="K39" i="79" s="1"/>
  <c r="M13" i="80"/>
  <c r="L36" i="80"/>
  <c r="L36" i="81" s="1"/>
  <c r="L36" i="82" s="1"/>
  <c r="L36" i="84" s="1"/>
  <c r="L36" i="85" s="1"/>
  <c r="L36" i="86" s="1"/>
  <c r="L36" i="87" s="1"/>
  <c r="L36" i="88" s="1"/>
  <c r="L36" i="89" s="1"/>
  <c r="L36" i="90" s="1"/>
  <c r="L36" i="91" s="1"/>
  <c r="L36" i="92" s="1"/>
  <c r="L36" i="93" s="1"/>
  <c r="L36" i="94" s="1"/>
  <c r="L36" i="95" s="1"/>
  <c r="L36" i="96" s="1"/>
  <c r="L36" i="97" s="1"/>
  <c r="L36" i="98" s="1"/>
  <c r="L36" i="99" s="1"/>
  <c r="L36" i="42" s="1"/>
  <c r="L36" i="68" s="1"/>
  <c r="L36" i="69" s="1"/>
  <c r="L36" i="70" s="1"/>
  <c r="L36" i="72" s="1"/>
  <c r="L36" i="73" s="1"/>
  <c r="L36" i="74" s="1"/>
  <c r="L36" i="75" s="1"/>
  <c r="L36" i="76" s="1"/>
  <c r="L36" i="77" s="1"/>
  <c r="L36" i="78" s="1"/>
  <c r="L35" i="79" s="1"/>
  <c r="K36" i="80"/>
  <c r="K36" i="81" s="1"/>
  <c r="K36" i="82" s="1"/>
  <c r="K36" i="84" s="1"/>
  <c r="K36" i="85" s="1"/>
  <c r="K36" i="86" s="1"/>
  <c r="K36" i="87" s="1"/>
  <c r="K36" i="88" s="1"/>
  <c r="K36" i="89" s="1"/>
  <c r="K36" i="90" s="1"/>
  <c r="K36" i="91" s="1"/>
  <c r="K36" i="92" s="1"/>
  <c r="K36" i="93" s="1"/>
  <c r="K36" i="94" s="1"/>
  <c r="K36" i="95" s="1"/>
  <c r="K36" i="96" s="1"/>
  <c r="K36" i="97" s="1"/>
  <c r="K36" i="98" s="1"/>
  <c r="K36" i="99" s="1"/>
  <c r="K36" i="42" s="1"/>
  <c r="K36" i="68" s="1"/>
  <c r="K36" i="69" s="1"/>
  <c r="K36" i="70" s="1"/>
  <c r="K36" i="72" s="1"/>
  <c r="K36" i="73" s="1"/>
  <c r="K36" i="74" s="1"/>
  <c r="K36" i="75" s="1"/>
  <c r="K36" i="76" s="1"/>
  <c r="K36" i="77" s="1"/>
  <c r="K36" i="78" s="1"/>
  <c r="K35" i="79" s="1"/>
  <c r="BD4" i="1"/>
  <c r="BS4" i="1"/>
  <c r="AO4" i="1"/>
  <c r="J53" i="80"/>
  <c r="L34" i="80"/>
  <c r="K34" i="80"/>
  <c r="K34" i="81" s="1"/>
  <c r="K34" i="82" s="1"/>
  <c r="F49" i="82"/>
  <c r="M49" i="82" s="1"/>
  <c r="CG5" i="1"/>
  <c r="CC6" i="1" s="1"/>
  <c r="M18" i="80"/>
  <c r="L41" i="80"/>
  <c r="L41" i="81" s="1"/>
  <c r="L41" i="82" s="1"/>
  <c r="L41" i="84" s="1"/>
  <c r="L41" i="85" s="1"/>
  <c r="L41" i="86" s="1"/>
  <c r="L41" i="87" s="1"/>
  <c r="L41" i="88" s="1"/>
  <c r="L41" i="89" s="1"/>
  <c r="L41" i="90" s="1"/>
  <c r="L41" i="91" s="1"/>
  <c r="L41" i="92" s="1"/>
  <c r="L41" i="93" s="1"/>
  <c r="L41" i="94" s="1"/>
  <c r="L41" i="95" s="1"/>
  <c r="L41" i="96" s="1"/>
  <c r="L41" i="97" s="1"/>
  <c r="L41" i="98" s="1"/>
  <c r="L41" i="99" s="1"/>
  <c r="L41" i="42" s="1"/>
  <c r="L41" i="68" s="1"/>
  <c r="L41" i="69" s="1"/>
  <c r="L41" i="70" s="1"/>
  <c r="L41" i="72" s="1"/>
  <c r="L41" i="73" s="1"/>
  <c r="L41" i="74" s="1"/>
  <c r="L41" i="75" s="1"/>
  <c r="L41" i="76" s="1"/>
  <c r="L41" i="77" s="1"/>
  <c r="L41" i="78" s="1"/>
  <c r="L40" i="79" s="1"/>
  <c r="K41" i="80"/>
  <c r="K41" i="81" s="1"/>
  <c r="K41" i="82" s="1"/>
  <c r="K41" i="84" s="1"/>
  <c r="K41" i="85" s="1"/>
  <c r="K41" i="86" s="1"/>
  <c r="K41" i="87" s="1"/>
  <c r="K41" i="88" s="1"/>
  <c r="K41" i="89" s="1"/>
  <c r="K41" i="90" s="1"/>
  <c r="K41" i="91" s="1"/>
  <c r="K41" i="92" s="1"/>
  <c r="K41" i="93" s="1"/>
  <c r="K41" i="94" s="1"/>
  <c r="K41" i="95" s="1"/>
  <c r="K41" i="96" s="1"/>
  <c r="K41" i="97" s="1"/>
  <c r="K41" i="98" s="1"/>
  <c r="K41" i="99" s="1"/>
  <c r="K41" i="42" s="1"/>
  <c r="K41" i="68" s="1"/>
  <c r="K41" i="69" s="1"/>
  <c r="K41" i="70" s="1"/>
  <c r="K41" i="72" s="1"/>
  <c r="K41" i="73" s="1"/>
  <c r="K41" i="74" s="1"/>
  <c r="K41" i="75" s="1"/>
  <c r="K41" i="76" s="1"/>
  <c r="K41" i="77" s="1"/>
  <c r="K41" i="78" s="1"/>
  <c r="K40" i="79" s="1"/>
  <c r="L37" i="80"/>
  <c r="L37" i="81" s="1"/>
  <c r="L37" i="82" s="1"/>
  <c r="L37" i="84" s="1"/>
  <c r="L37" i="85" s="1"/>
  <c r="L37" i="86" s="1"/>
  <c r="L37" i="87" s="1"/>
  <c r="L37" i="88" s="1"/>
  <c r="L37" i="89" s="1"/>
  <c r="L37" i="90" s="1"/>
  <c r="L37" i="91" s="1"/>
  <c r="L37" i="92" s="1"/>
  <c r="L37" i="93" s="1"/>
  <c r="L37" i="94" s="1"/>
  <c r="L37" i="95" s="1"/>
  <c r="L37" i="96" s="1"/>
  <c r="L37" i="97" s="1"/>
  <c r="L37" i="98" s="1"/>
  <c r="L37" i="99" s="1"/>
  <c r="L37" i="42" s="1"/>
  <c r="L37" i="68" s="1"/>
  <c r="L37" i="69" s="1"/>
  <c r="L37" i="70" s="1"/>
  <c r="L37" i="72" s="1"/>
  <c r="L37" i="73" s="1"/>
  <c r="L37" i="74" s="1"/>
  <c r="L37" i="75" s="1"/>
  <c r="L37" i="76" s="1"/>
  <c r="L37" i="77" s="1"/>
  <c r="L37" i="78" s="1"/>
  <c r="L36" i="79" s="1"/>
  <c r="K37" i="80"/>
  <c r="K37" i="81" s="1"/>
  <c r="K37" i="82" s="1"/>
  <c r="K37" i="84" s="1"/>
  <c r="K37" i="85" s="1"/>
  <c r="K37" i="86" s="1"/>
  <c r="K37" i="87" s="1"/>
  <c r="K37" i="88" s="1"/>
  <c r="K37" i="89" s="1"/>
  <c r="K37" i="90" s="1"/>
  <c r="K37" i="91" s="1"/>
  <c r="K37" i="92" s="1"/>
  <c r="K37" i="93" s="1"/>
  <c r="K37" i="94" s="1"/>
  <c r="K37" i="95" s="1"/>
  <c r="K37" i="96" s="1"/>
  <c r="K37" i="97" s="1"/>
  <c r="K37" i="98" s="1"/>
  <c r="M12" i="80"/>
  <c r="F17" i="81"/>
  <c r="M17" i="81" s="1"/>
  <c r="BM4" i="1"/>
  <c r="M49" i="80"/>
  <c r="M53" i="80" s="1"/>
  <c r="L49" i="80"/>
  <c r="L49" i="81" s="1"/>
  <c r="L49" i="82" s="1"/>
  <c r="L49" i="84" s="1"/>
  <c r="L49" i="85" s="1"/>
  <c r="L49" i="86" s="1"/>
  <c r="L49" i="87" s="1"/>
  <c r="L49" i="88" s="1"/>
  <c r="L49" i="89" s="1"/>
  <c r="L49" i="90" s="1"/>
  <c r="L49" i="91" s="1"/>
  <c r="L49" i="92" s="1"/>
  <c r="L49" i="93" s="1"/>
  <c r="L49" i="94" s="1"/>
  <c r="L49" i="95" s="1"/>
  <c r="L49" i="96" s="1"/>
  <c r="L49" i="97" s="1"/>
  <c r="L49" i="98" s="1"/>
  <c r="L49" i="99" s="1"/>
  <c r="L49" i="42" s="1"/>
  <c r="L49" i="68" s="1"/>
  <c r="L49" i="69" s="1"/>
  <c r="L49" i="70" s="1"/>
  <c r="L49" i="72" s="1"/>
  <c r="L49" i="73" s="1"/>
  <c r="L49" i="74" s="1"/>
  <c r="L49" i="75" s="1"/>
  <c r="L49" i="76" s="1"/>
  <c r="L49" i="77" s="1"/>
  <c r="L49" i="78" s="1"/>
  <c r="L48" i="79" s="1"/>
  <c r="K49" i="80"/>
  <c r="K49" i="81" s="1"/>
  <c r="K49" i="82" s="1"/>
  <c r="K49" i="84" s="1"/>
  <c r="K49" i="85" s="1"/>
  <c r="K49" i="86" s="1"/>
  <c r="K49" i="87" s="1"/>
  <c r="K49" i="88" s="1"/>
  <c r="K49" i="89" s="1"/>
  <c r="K49" i="90" s="1"/>
  <c r="K49" i="91" s="1"/>
  <c r="K49" i="92" s="1"/>
  <c r="K49" i="93" s="1"/>
  <c r="K49" i="94" s="1"/>
  <c r="K49" i="95" s="1"/>
  <c r="K49" i="96" s="1"/>
  <c r="K49" i="97" s="1"/>
  <c r="K49" i="98" s="1"/>
  <c r="K49" i="99" s="1"/>
  <c r="K49" i="42" s="1"/>
  <c r="K49" i="68" s="1"/>
  <c r="K49" i="69" s="1"/>
  <c r="K49" i="70" s="1"/>
  <c r="K49" i="72" s="1"/>
  <c r="K49" i="73" s="1"/>
  <c r="K49" i="74" s="1"/>
  <c r="K49" i="75" s="1"/>
  <c r="K49" i="76" s="1"/>
  <c r="K49" i="77" s="1"/>
  <c r="K49" i="78" s="1"/>
  <c r="K48" i="79" s="1"/>
  <c r="AA4" i="1"/>
  <c r="W5" i="1" s="1"/>
  <c r="F11" i="82" s="1"/>
  <c r="L42" i="80"/>
  <c r="L42" i="81" s="1"/>
  <c r="L42" i="82" s="1"/>
  <c r="L42" i="84" s="1"/>
  <c r="L42" i="85" s="1"/>
  <c r="L42" i="86" s="1"/>
  <c r="L42" i="87" s="1"/>
  <c r="L42" i="88" s="1"/>
  <c r="L42" i="89" s="1"/>
  <c r="L42" i="90" s="1"/>
  <c r="L42" i="91" s="1"/>
  <c r="L42" i="92" s="1"/>
  <c r="L42" i="93" s="1"/>
  <c r="L42" i="94" s="1"/>
  <c r="L42" i="95" s="1"/>
  <c r="L42" i="96" s="1"/>
  <c r="L42" i="97" s="1"/>
  <c r="L42" i="98" s="1"/>
  <c r="L42" i="99" s="1"/>
  <c r="L42" i="42" s="1"/>
  <c r="L42" i="68" s="1"/>
  <c r="L42" i="69" s="1"/>
  <c r="L42" i="70" s="1"/>
  <c r="L42" i="72" s="1"/>
  <c r="L42" i="73" s="1"/>
  <c r="L42" i="74" s="1"/>
  <c r="L42" i="75" s="1"/>
  <c r="L42" i="76" s="1"/>
  <c r="L42" i="77" s="1"/>
  <c r="L42" i="78" s="1"/>
  <c r="L41" i="79" s="1"/>
  <c r="M19" i="80"/>
  <c r="K42" i="80"/>
  <c r="K42" i="81" s="1"/>
  <c r="K42" i="82" s="1"/>
  <c r="K42" i="84" s="1"/>
  <c r="K42" i="85" s="1"/>
  <c r="K42" i="86" s="1"/>
  <c r="K42" i="87" s="1"/>
  <c r="K42" i="88" s="1"/>
  <c r="K42" i="89" s="1"/>
  <c r="K42" i="90" s="1"/>
  <c r="K42" i="91" s="1"/>
  <c r="K42" i="92" s="1"/>
  <c r="K42" i="93" s="1"/>
  <c r="K42" i="94" s="1"/>
  <c r="K42" i="95" s="1"/>
  <c r="K42" i="96" s="1"/>
  <c r="K42" i="97" s="1"/>
  <c r="K42" i="98" s="1"/>
  <c r="K42" i="99" s="1"/>
  <c r="K42" i="42" s="1"/>
  <c r="K42" i="68" s="1"/>
  <c r="K42" i="69" s="1"/>
  <c r="K42" i="70" s="1"/>
  <c r="K42" i="72" s="1"/>
  <c r="K42" i="73" s="1"/>
  <c r="K42" i="74" s="1"/>
  <c r="K42" i="75" s="1"/>
  <c r="K42" i="76" s="1"/>
  <c r="K42" i="77" s="1"/>
  <c r="K42" i="78" s="1"/>
  <c r="K41" i="79" s="1"/>
  <c r="F18" i="82"/>
  <c r="M18" i="82" s="1"/>
  <c r="BR5" i="1"/>
  <c r="F59" i="84"/>
  <c r="M59" i="84" s="1"/>
  <c r="R6" i="4"/>
  <c r="O7" i="4" s="1"/>
  <c r="F57" i="84"/>
  <c r="M57" i="84" s="1"/>
  <c r="Q57" i="84" s="1"/>
  <c r="J6" i="4"/>
  <c r="G7" i="4" s="1"/>
  <c r="F5" i="4"/>
  <c r="C6" i="4" s="1"/>
  <c r="F56" i="82"/>
  <c r="M56" i="82" s="1"/>
  <c r="Q56" i="82" s="1"/>
  <c r="BC5" i="1"/>
  <c r="AY6" i="1" s="1"/>
  <c r="F15" i="82"/>
  <c r="M15" i="82" s="1"/>
  <c r="Q51" i="81"/>
  <c r="Q11" i="81"/>
  <c r="Q11" i="80"/>
  <c r="Q27" i="80" s="1"/>
  <c r="Q54" i="80" s="1"/>
  <c r="F5" i="1"/>
  <c r="C6" i="1" s="1"/>
  <c r="F6" i="82"/>
  <c r="M6" i="82" s="1"/>
  <c r="Q6" i="82" s="1"/>
  <c r="H76" i="81"/>
  <c r="H68" i="82"/>
  <c r="Q68" i="80"/>
  <c r="I68" i="82"/>
  <c r="I76" i="81"/>
  <c r="Q68" i="81"/>
  <c r="M76" i="81"/>
  <c r="W5" i="56"/>
  <c r="B6" i="56" s="1"/>
  <c r="F68" i="82"/>
  <c r="L69" i="85"/>
  <c r="L76" i="84"/>
  <c r="I56" i="82"/>
  <c r="I62" i="81"/>
  <c r="L64" i="84"/>
  <c r="L66" i="82"/>
  <c r="I66" i="82"/>
  <c r="I64" i="84"/>
  <c r="L29" i="82"/>
  <c r="I29" i="84"/>
  <c r="I53" i="82"/>
  <c r="I10" i="84"/>
  <c r="L10" i="82"/>
  <c r="L27" i="81"/>
  <c r="I11" i="94"/>
  <c r="I8" i="42"/>
  <c r="I8" i="68" s="1"/>
  <c r="I8" i="69" s="1"/>
  <c r="I8" i="70" s="1"/>
  <c r="I8" i="72" s="1"/>
  <c r="I8" i="73" s="1"/>
  <c r="I8" i="74" s="1"/>
  <c r="I8" i="75" s="1"/>
  <c r="I8" i="76" s="1"/>
  <c r="I8" i="77" s="1"/>
  <c r="I8" i="78" s="1"/>
  <c r="I8" i="79" s="1"/>
  <c r="H8" i="42"/>
  <c r="H8" i="68" s="1"/>
  <c r="H8" i="69" s="1"/>
  <c r="H8" i="70" s="1"/>
  <c r="H8" i="72" s="1"/>
  <c r="H8" i="73" s="1"/>
  <c r="H8" i="74" s="1"/>
  <c r="H8" i="75" s="1"/>
  <c r="H8" i="76" s="1"/>
  <c r="H8" i="77" s="1"/>
  <c r="H8" i="78" s="1"/>
  <c r="H8" i="79" s="1"/>
  <c r="H12" i="77"/>
  <c r="H12" i="78" s="1"/>
  <c r="H12" i="79" s="1"/>
  <c r="J8" i="77"/>
  <c r="L51" i="77"/>
  <c r="K51" i="77"/>
  <c r="J53" i="77"/>
  <c r="J54" i="77" s="1"/>
  <c r="F58" i="82"/>
  <c r="N5" i="4"/>
  <c r="K6" i="4" s="1"/>
  <c r="L62" i="80"/>
  <c r="L58" i="79"/>
  <c r="F62" i="81"/>
  <c r="M58" i="81"/>
  <c r="L58" i="81"/>
  <c r="M62" i="80"/>
  <c r="Q58" i="80"/>
  <c r="Q62" i="80" s="1"/>
  <c r="K58" i="82"/>
  <c r="I58" i="85"/>
  <c r="H58" i="85"/>
  <c r="L56" i="72"/>
  <c r="K56" i="72"/>
  <c r="K72" i="78"/>
  <c r="L71" i="79"/>
  <c r="I51" i="78"/>
  <c r="I27" i="82" l="1"/>
  <c r="AJ5" i="1"/>
  <c r="AF6" i="1" s="1"/>
  <c r="AJ6" i="1" s="1"/>
  <c r="AF7" i="1" s="1"/>
  <c r="M7" i="80"/>
  <c r="Q7" i="80" s="1"/>
  <c r="K7" i="80"/>
  <c r="K7" i="81" s="1"/>
  <c r="K7" i="82" s="1"/>
  <c r="K7" i="84" s="1"/>
  <c r="K7" i="85" s="1"/>
  <c r="K7" i="86" s="1"/>
  <c r="K7" i="87" s="1"/>
  <c r="K7" i="88" s="1"/>
  <c r="K7" i="89" s="1"/>
  <c r="K7" i="90" s="1"/>
  <c r="K7" i="91" s="1"/>
  <c r="K7" i="92" s="1"/>
  <c r="K7" i="93" s="1"/>
  <c r="K7" i="94" s="1"/>
  <c r="K7" i="95" s="1"/>
  <c r="K7" i="96" s="1"/>
  <c r="K7" i="97" s="1"/>
  <c r="I54" i="80"/>
  <c r="F3" i="3"/>
  <c r="C4" i="3" s="1"/>
  <c r="F7" i="81" s="1"/>
  <c r="M7" i="81" s="1"/>
  <c r="Q7" i="81" s="1"/>
  <c r="I34" i="3"/>
  <c r="I35" i="3"/>
  <c r="AK36" i="101"/>
  <c r="AK39" i="101"/>
  <c r="AL39" i="101"/>
  <c r="AL35" i="12"/>
  <c r="AM35" i="12"/>
  <c r="L32" i="69"/>
  <c r="L32" i="70" s="1"/>
  <c r="L32" i="72" s="1"/>
  <c r="L32" i="73" s="1"/>
  <c r="L32" i="74" s="1"/>
  <c r="L32" i="75" s="1"/>
  <c r="L32" i="76" s="1"/>
  <c r="L32" i="77" s="1"/>
  <c r="L32" i="78" s="1"/>
  <c r="L31" i="79" s="1"/>
  <c r="K37" i="99"/>
  <c r="K37" i="42" s="1"/>
  <c r="K37" i="68" s="1"/>
  <c r="K37" i="69" s="1"/>
  <c r="K37" i="70" s="1"/>
  <c r="K37" i="72" s="1"/>
  <c r="K37" i="73" s="1"/>
  <c r="K37" i="74" s="1"/>
  <c r="K37" i="75" s="1"/>
  <c r="K37" i="76" s="1"/>
  <c r="K37" i="77" s="1"/>
  <c r="K37" i="78" s="1"/>
  <c r="K36" i="79" s="1"/>
  <c r="K32" i="42"/>
  <c r="K32" i="68" s="1"/>
  <c r="K32" i="69" s="1"/>
  <c r="K32" i="70" s="1"/>
  <c r="K32" i="72" s="1"/>
  <c r="K32" i="73" s="1"/>
  <c r="K32" i="74" s="1"/>
  <c r="K32" i="75" s="1"/>
  <c r="K32" i="76" s="1"/>
  <c r="K32" i="77" s="1"/>
  <c r="K32" i="78" s="1"/>
  <c r="K31" i="79" s="1"/>
  <c r="K12" i="82"/>
  <c r="K27" i="82" s="1"/>
  <c r="E35" i="3"/>
  <c r="E34" i="3"/>
  <c r="L7" i="75"/>
  <c r="L7" i="76" s="1"/>
  <c r="L7" i="77" s="1"/>
  <c r="L7" i="78" s="1"/>
  <c r="L7" i="79" s="1"/>
  <c r="M27" i="80"/>
  <c r="M54" i="80" s="1"/>
  <c r="F52" i="82"/>
  <c r="M52" i="82" s="1"/>
  <c r="Q52" i="82" s="1"/>
  <c r="AE5" i="1"/>
  <c r="AB6" i="1" s="1"/>
  <c r="M29" i="81"/>
  <c r="F53" i="81"/>
  <c r="H66" i="84"/>
  <c r="H64" i="85"/>
  <c r="F32" i="84"/>
  <c r="M32" i="84" s="1"/>
  <c r="DU6" i="1"/>
  <c r="DQ7" i="1" s="1"/>
  <c r="F25" i="84"/>
  <c r="M25" i="84" s="1"/>
  <c r="DP6" i="1"/>
  <c r="DL7" i="1" s="1"/>
  <c r="K66" i="81"/>
  <c r="K64" i="82"/>
  <c r="AK35" i="101"/>
  <c r="F69" i="82"/>
  <c r="AB5" i="56"/>
  <c r="DG5" i="1"/>
  <c r="AK7" i="1"/>
  <c r="DB5" i="1"/>
  <c r="CW5" i="1"/>
  <c r="F48" i="84"/>
  <c r="M48" i="84" s="1"/>
  <c r="CQ6" i="1"/>
  <c r="CM7" i="1" s="1"/>
  <c r="F64" i="82"/>
  <c r="G5" i="1"/>
  <c r="F20" i="85"/>
  <c r="M20" i="85" s="1"/>
  <c r="CB7" i="1"/>
  <c r="F10" i="81"/>
  <c r="M10" i="81" s="1"/>
  <c r="Q10" i="81" s="1"/>
  <c r="Q27" i="81" s="1"/>
  <c r="P4" i="1"/>
  <c r="K6" i="3"/>
  <c r="F26" i="84"/>
  <c r="M26" i="84" s="1"/>
  <c r="DZ6" i="1"/>
  <c r="DV7" i="1" s="1"/>
  <c r="F50" i="86"/>
  <c r="M50" i="86" s="1"/>
  <c r="CL8" i="1"/>
  <c r="CH9" i="1" s="1"/>
  <c r="CR5" i="1"/>
  <c r="K76" i="81"/>
  <c r="K70" i="82"/>
  <c r="K62" i="81"/>
  <c r="F12" i="82"/>
  <c r="M12" i="82" s="1"/>
  <c r="H53" i="84"/>
  <c r="H51" i="85"/>
  <c r="H11" i="84"/>
  <c r="H27" i="82"/>
  <c r="H54" i="82" s="1"/>
  <c r="H62" i="82"/>
  <c r="H56" i="84"/>
  <c r="AG41" i="12"/>
  <c r="EK16" i="1"/>
  <c r="J8" i="94" s="1"/>
  <c r="AL40" i="12"/>
  <c r="AG40" i="12"/>
  <c r="EK10" i="1"/>
  <c r="J8" i="88" s="1"/>
  <c r="EK9" i="1"/>
  <c r="J8" i="87" s="1"/>
  <c r="EK30" i="1"/>
  <c r="J8" i="76" s="1"/>
  <c r="EK12" i="1"/>
  <c r="J8" i="90" s="1"/>
  <c r="EK24" i="1"/>
  <c r="J8" i="69" s="1"/>
  <c r="EK22" i="1"/>
  <c r="J8" i="42" s="1"/>
  <c r="EK11" i="1"/>
  <c r="J8" i="89" s="1"/>
  <c r="EK20" i="1"/>
  <c r="J8" i="98" s="1"/>
  <c r="EK13" i="1"/>
  <c r="J8" i="91" s="1"/>
  <c r="EK6" i="1"/>
  <c r="J8" i="84" s="1"/>
  <c r="EK27" i="1"/>
  <c r="J8" i="73" s="1"/>
  <c r="EK15" i="1"/>
  <c r="J8" i="93" s="1"/>
  <c r="EK8" i="1"/>
  <c r="J8" i="86" s="1"/>
  <c r="EK29" i="1"/>
  <c r="J8" i="75" s="1"/>
  <c r="EK17" i="1"/>
  <c r="J8" i="95" s="1"/>
  <c r="EK23" i="1"/>
  <c r="J8" i="68" s="1"/>
  <c r="EK18" i="1"/>
  <c r="J8" i="96" s="1"/>
  <c r="EK7" i="1"/>
  <c r="J8" i="85" s="1"/>
  <c r="EK21" i="1"/>
  <c r="J8" i="99" s="1"/>
  <c r="EK3" i="1"/>
  <c r="AF41" i="101"/>
  <c r="Q6" i="1"/>
  <c r="L34" i="81"/>
  <c r="L53" i="80"/>
  <c r="L54" i="80" s="1"/>
  <c r="AA5" i="1"/>
  <c r="W6" i="1" s="1"/>
  <c r="F11" i="84" s="1"/>
  <c r="BI5" i="1"/>
  <c r="K34" i="84"/>
  <c r="K53" i="82"/>
  <c r="BN6" i="1"/>
  <c r="J54" i="80"/>
  <c r="K53" i="80"/>
  <c r="F16" i="81"/>
  <c r="M16" i="81" s="1"/>
  <c r="BH4" i="1"/>
  <c r="F13" i="81"/>
  <c r="AS4" i="1"/>
  <c r="EA4" i="1"/>
  <c r="ED4" i="1" s="1"/>
  <c r="F49" i="84"/>
  <c r="M49" i="84" s="1"/>
  <c r="CG6" i="1"/>
  <c r="CC7" i="1" s="1"/>
  <c r="F19" i="81"/>
  <c r="M19" i="81" s="1"/>
  <c r="BW4" i="1"/>
  <c r="F59" i="85"/>
  <c r="M59" i="85" s="1"/>
  <c r="R7" i="4"/>
  <c r="O8" i="4" s="1"/>
  <c r="J7" i="4"/>
  <c r="G8" i="4" s="1"/>
  <c r="F57" i="85"/>
  <c r="M57" i="85" s="1"/>
  <c r="Q57" i="85" s="1"/>
  <c r="F6" i="4"/>
  <c r="C7" i="4" s="1"/>
  <c r="F56" i="84"/>
  <c r="M56" i="84" s="1"/>
  <c r="Q56" i="84" s="1"/>
  <c r="BC6" i="1"/>
  <c r="AY7" i="1" s="1"/>
  <c r="F15" i="84"/>
  <c r="M15" i="84" s="1"/>
  <c r="F12" i="84"/>
  <c r="M12" i="84" s="1"/>
  <c r="AX6" i="1"/>
  <c r="AT7" i="1" s="1"/>
  <c r="M51" i="82"/>
  <c r="F51" i="84"/>
  <c r="M11" i="82"/>
  <c r="F6" i="84"/>
  <c r="M6" i="84" s="1"/>
  <c r="Q6" i="84" s="1"/>
  <c r="F6" i="1"/>
  <c r="I68" i="84"/>
  <c r="I76" i="82"/>
  <c r="H76" i="82"/>
  <c r="H68" i="84"/>
  <c r="W6" i="56"/>
  <c r="B7" i="56" s="1"/>
  <c r="F68" i="84"/>
  <c r="M68" i="82"/>
  <c r="F76" i="82"/>
  <c r="L76" i="85"/>
  <c r="L69" i="86"/>
  <c r="I56" i="84"/>
  <c r="I62" i="82"/>
  <c r="I66" i="84"/>
  <c r="I64" i="85"/>
  <c r="L66" i="84"/>
  <c r="I10" i="85"/>
  <c r="I27" i="84"/>
  <c r="I53" i="84"/>
  <c r="I29" i="85"/>
  <c r="L27" i="82"/>
  <c r="L10" i="84"/>
  <c r="L29" i="84"/>
  <c r="I54" i="82"/>
  <c r="I11" i="95"/>
  <c r="K51" i="78"/>
  <c r="L51" i="78"/>
  <c r="K62" i="82"/>
  <c r="K58" i="84"/>
  <c r="F58" i="84"/>
  <c r="N6" i="4"/>
  <c r="K7" i="4" s="1"/>
  <c r="L62" i="81"/>
  <c r="L58" i="82"/>
  <c r="M58" i="82"/>
  <c r="F62" i="82"/>
  <c r="Q58" i="81"/>
  <c r="Q62" i="81" s="1"/>
  <c r="M62" i="81"/>
  <c r="H58" i="86"/>
  <c r="I58" i="86"/>
  <c r="K56" i="73"/>
  <c r="L56" i="73"/>
  <c r="K71" i="79"/>
  <c r="I50" i="79"/>
  <c r="K7" i="98" l="1"/>
  <c r="K7" i="99" s="1"/>
  <c r="K7" i="42" s="1"/>
  <c r="K7" i="68" s="1"/>
  <c r="K7" i="69" s="1"/>
  <c r="K7" i="70" s="1"/>
  <c r="K7" i="72" s="1"/>
  <c r="K7" i="73" s="1"/>
  <c r="K7" i="74" s="1"/>
  <c r="K7" i="75" s="1"/>
  <c r="K7" i="76" s="1"/>
  <c r="K7" i="77" s="1"/>
  <c r="K7" i="78" s="1"/>
  <c r="K7" i="79" s="1"/>
  <c r="F4" i="3"/>
  <c r="C5" i="3" s="1"/>
  <c r="F5" i="3" s="1"/>
  <c r="EE6" i="1"/>
  <c r="EH6" i="1" s="1"/>
  <c r="F53" i="82"/>
  <c r="K12" i="84"/>
  <c r="K12" i="85" s="1"/>
  <c r="F21" i="82"/>
  <c r="M21" i="82" s="1"/>
  <c r="CV5" i="1"/>
  <c r="F50" i="87"/>
  <c r="M50" i="87" s="1"/>
  <c r="CL9" i="1"/>
  <c r="CH10" i="1" s="1"/>
  <c r="BX8" i="1"/>
  <c r="F66" i="82"/>
  <c r="M64" i="82"/>
  <c r="M66" i="82" s="1"/>
  <c r="F23" i="82"/>
  <c r="M23" i="82" s="1"/>
  <c r="DF5" i="1"/>
  <c r="Y6" i="56"/>
  <c r="F25" i="85"/>
  <c r="M25" i="85" s="1"/>
  <c r="DP7" i="1"/>
  <c r="DL8" i="1" s="1"/>
  <c r="K76" i="82"/>
  <c r="K70" i="84"/>
  <c r="F65" i="84"/>
  <c r="M65" i="84" s="1"/>
  <c r="N6" i="3"/>
  <c r="F48" i="85"/>
  <c r="M48" i="85" s="1"/>
  <c r="CQ7" i="1"/>
  <c r="CM8" i="1" s="1"/>
  <c r="Q29" i="81"/>
  <c r="Q53" i="81" s="1"/>
  <c r="Q54" i="81" s="1"/>
  <c r="M53" i="81"/>
  <c r="F26" i="85"/>
  <c r="M26" i="85" s="1"/>
  <c r="DZ7" i="1"/>
  <c r="DV8" i="1" s="1"/>
  <c r="K5" i="1"/>
  <c r="F14" i="85"/>
  <c r="M14" i="85" s="1"/>
  <c r="AN7" i="1"/>
  <c r="F32" i="85"/>
  <c r="M32" i="85" s="1"/>
  <c r="DU7" i="1"/>
  <c r="DQ8" i="1" s="1"/>
  <c r="AE6" i="1"/>
  <c r="AB7" i="1" s="1"/>
  <c r="AE7" i="1" s="1"/>
  <c r="F52" i="84"/>
  <c r="M52" i="84" s="1"/>
  <c r="Q52" i="84" s="1"/>
  <c r="AM40" i="12"/>
  <c r="J5" i="1"/>
  <c r="F22" i="82"/>
  <c r="M22" i="82" s="1"/>
  <c r="DA5" i="1"/>
  <c r="F24" i="82"/>
  <c r="M24" i="82" s="1"/>
  <c r="DK5" i="1"/>
  <c r="K64" i="84"/>
  <c r="K66" i="82"/>
  <c r="H64" i="86"/>
  <c r="H66" i="85"/>
  <c r="K54" i="82"/>
  <c r="H53" i="85"/>
  <c r="H51" i="86"/>
  <c r="H11" i="85"/>
  <c r="H27" i="84"/>
  <c r="H54" i="84" s="1"/>
  <c r="H56" i="85"/>
  <c r="H62" i="84"/>
  <c r="F7" i="82"/>
  <c r="M7" i="82" s="1"/>
  <c r="Q7" i="82" s="1"/>
  <c r="C6" i="3"/>
  <c r="EL3" i="1"/>
  <c r="EI4" i="1" s="1"/>
  <c r="J8" i="80"/>
  <c r="EK35" i="1"/>
  <c r="EK34" i="1"/>
  <c r="F29" i="84"/>
  <c r="M29" i="84" s="1"/>
  <c r="Q29" i="84" s="1"/>
  <c r="V6" i="1"/>
  <c r="K53" i="84"/>
  <c r="K34" i="85"/>
  <c r="M13" i="81"/>
  <c r="M27" i="81" s="1"/>
  <c r="F27" i="81"/>
  <c r="F54" i="81" s="1"/>
  <c r="K54" i="80"/>
  <c r="K53" i="81"/>
  <c r="K54" i="81" s="1"/>
  <c r="AA6" i="1"/>
  <c r="W7" i="1" s="1"/>
  <c r="AA7" i="1" s="1"/>
  <c r="W8" i="1" s="1"/>
  <c r="F49" i="85"/>
  <c r="M49" i="85" s="1"/>
  <c r="CG7" i="1"/>
  <c r="CC8" i="1" s="1"/>
  <c r="F17" i="82"/>
  <c r="M17" i="82" s="1"/>
  <c r="BM5" i="1"/>
  <c r="BD5" i="1"/>
  <c r="F18" i="84"/>
  <c r="M18" i="84" s="1"/>
  <c r="BR6" i="1"/>
  <c r="BS5" i="1"/>
  <c r="AO5" i="1"/>
  <c r="L34" i="82"/>
  <c r="L53" i="81"/>
  <c r="L54" i="81" s="1"/>
  <c r="R8" i="4"/>
  <c r="O9" i="4" s="1"/>
  <c r="F59" i="86"/>
  <c r="M59" i="86" s="1"/>
  <c r="J8" i="4"/>
  <c r="G9" i="4" s="1"/>
  <c r="F57" i="86"/>
  <c r="M57" i="86" s="1"/>
  <c r="Q57" i="86" s="1"/>
  <c r="F7" i="4"/>
  <c r="C8" i="4" s="1"/>
  <c r="F56" i="85"/>
  <c r="M56" i="85" s="1"/>
  <c r="Q56" i="85" s="1"/>
  <c r="F15" i="85"/>
  <c r="M15" i="85" s="1"/>
  <c r="BC7" i="1"/>
  <c r="AY8" i="1" s="1"/>
  <c r="AX7" i="1"/>
  <c r="AT8" i="1" s="1"/>
  <c r="F12" i="85"/>
  <c r="M12" i="85" s="1"/>
  <c r="F51" i="85"/>
  <c r="AJ7" i="1"/>
  <c r="AF8" i="1" s="1"/>
  <c r="M51" i="84"/>
  <c r="M53" i="82"/>
  <c r="Q51" i="82"/>
  <c r="Q53" i="82" s="1"/>
  <c r="Q11" i="82"/>
  <c r="M11" i="84"/>
  <c r="C7" i="1"/>
  <c r="I76" i="84"/>
  <c r="I68" i="85"/>
  <c r="H68" i="85"/>
  <c r="H76" i="84"/>
  <c r="M76" i="82"/>
  <c r="Q68" i="82"/>
  <c r="M68" i="84"/>
  <c r="W7" i="56"/>
  <c r="B8" i="56" s="1"/>
  <c r="F68" i="85"/>
  <c r="L76" i="86"/>
  <c r="L69" i="87"/>
  <c r="I56" i="85"/>
  <c r="I62" i="84"/>
  <c r="I66" i="85"/>
  <c r="I64" i="86"/>
  <c r="L66" i="85"/>
  <c r="L10" i="85"/>
  <c r="L27" i="84"/>
  <c r="I54" i="84"/>
  <c r="I29" i="86"/>
  <c r="I53" i="85"/>
  <c r="L29" i="85"/>
  <c r="I27" i="85"/>
  <c r="I10" i="86"/>
  <c r="I11" i="96"/>
  <c r="L50" i="79"/>
  <c r="K50" i="79"/>
  <c r="F58" i="85"/>
  <c r="N7" i="4"/>
  <c r="K8" i="4" s="1"/>
  <c r="F62" i="84"/>
  <c r="M58" i="84"/>
  <c r="K62" i="84"/>
  <c r="K58" i="85"/>
  <c r="M62" i="82"/>
  <c r="Q58" i="82"/>
  <c r="Q62" i="82" s="1"/>
  <c r="L62" i="82"/>
  <c r="L58" i="84"/>
  <c r="I58" i="87"/>
  <c r="H58" i="87"/>
  <c r="K56" i="74"/>
  <c r="L56" i="74"/>
  <c r="K27" i="84" l="1"/>
  <c r="F7" i="84"/>
  <c r="M7" i="84" s="1"/>
  <c r="Q7" i="84" s="1"/>
  <c r="F6" i="3"/>
  <c r="F52" i="85"/>
  <c r="M52" i="85" s="1"/>
  <c r="Q52" i="85" s="1"/>
  <c r="M54" i="81"/>
  <c r="AK8" i="1"/>
  <c r="K7" i="3"/>
  <c r="H66" i="86"/>
  <c r="H64" i="87"/>
  <c r="CW6" i="1"/>
  <c r="F69" i="84"/>
  <c r="AB6" i="56"/>
  <c r="F64" i="84"/>
  <c r="F32" i="86"/>
  <c r="M32" i="86" s="1"/>
  <c r="DU8" i="1"/>
  <c r="DQ9" i="1" s="1"/>
  <c r="K70" i="85"/>
  <c r="K76" i="84"/>
  <c r="F20" i="86"/>
  <c r="M20" i="86" s="1"/>
  <c r="CB8" i="1"/>
  <c r="F53" i="84"/>
  <c r="K66" i="84"/>
  <c r="F48" i="86"/>
  <c r="M48" i="86" s="1"/>
  <c r="CQ8" i="1"/>
  <c r="CM9" i="1" s="1"/>
  <c r="DB6" i="1"/>
  <c r="CR6" i="1"/>
  <c r="G6" i="1"/>
  <c r="F10" i="82"/>
  <c r="M10" i="82" s="1"/>
  <c r="Q10" i="82" s="1"/>
  <c r="Q27" i="82" s="1"/>
  <c r="Q54" i="82" s="1"/>
  <c r="P5" i="1"/>
  <c r="F25" i="86"/>
  <c r="M25" i="86" s="1"/>
  <c r="DP8" i="1"/>
  <c r="DL9" i="1" s="1"/>
  <c r="F50" i="88"/>
  <c r="M50" i="88" s="1"/>
  <c r="CL10" i="1"/>
  <c r="CH11" i="1" s="1"/>
  <c r="DG6" i="1"/>
  <c r="F26" i="86"/>
  <c r="M26" i="86" s="1"/>
  <c r="DZ8" i="1"/>
  <c r="DV9" i="1" s="1"/>
  <c r="K54" i="84"/>
  <c r="K27" i="85"/>
  <c r="K12" i="86"/>
  <c r="I54" i="85"/>
  <c r="H51" i="87"/>
  <c r="H53" i="86"/>
  <c r="H11" i="86"/>
  <c r="H27" i="85"/>
  <c r="H54" i="85" s="1"/>
  <c r="F11" i="85"/>
  <c r="H56" i="86"/>
  <c r="H62" i="85"/>
  <c r="C7" i="3"/>
  <c r="F7" i="3" s="1"/>
  <c r="M8" i="80"/>
  <c r="L8" i="80"/>
  <c r="L8" i="81" s="1"/>
  <c r="L8" i="82" s="1"/>
  <c r="L8" i="84" s="1"/>
  <c r="L8" i="85" s="1"/>
  <c r="L8" i="86" s="1"/>
  <c r="L8" i="87" s="1"/>
  <c r="L8" i="88" s="1"/>
  <c r="L8" i="89" s="1"/>
  <c r="L8" i="90" s="1"/>
  <c r="L8" i="91" s="1"/>
  <c r="L8" i="92" s="1"/>
  <c r="L8" i="93" s="1"/>
  <c r="L8" i="94" s="1"/>
  <c r="L8" i="95" s="1"/>
  <c r="L8" i="96" s="1"/>
  <c r="L8" i="97" s="1"/>
  <c r="L8" i="98" s="1"/>
  <c r="L8" i="99" s="1"/>
  <c r="L8" i="42" s="1"/>
  <c r="L8" i="68" s="1"/>
  <c r="L8" i="69" s="1"/>
  <c r="L8" i="70" s="1"/>
  <c r="L8" i="72" s="1"/>
  <c r="L8" i="73" s="1"/>
  <c r="L8" i="74" s="1"/>
  <c r="L8" i="75" s="1"/>
  <c r="L8" i="76" s="1"/>
  <c r="L8" i="77" s="1"/>
  <c r="L8" i="78" s="1"/>
  <c r="L8" i="79" s="1"/>
  <c r="K8" i="80"/>
  <c r="EL4" i="1"/>
  <c r="EI5" i="1" s="1"/>
  <c r="F8" i="81"/>
  <c r="M8" i="81" s="1"/>
  <c r="Q7" i="1"/>
  <c r="AB8" i="1"/>
  <c r="BN7" i="1"/>
  <c r="F13" i="82"/>
  <c r="AS5" i="1"/>
  <c r="EA5" i="1"/>
  <c r="ED5" i="1" s="1"/>
  <c r="BI6" i="1"/>
  <c r="F49" i="86"/>
  <c r="M49" i="86" s="1"/>
  <c r="CG8" i="1"/>
  <c r="CC9" i="1" s="1"/>
  <c r="F16" i="82"/>
  <c r="M16" i="82" s="1"/>
  <c r="BH5" i="1"/>
  <c r="K53" i="85"/>
  <c r="K34" i="86"/>
  <c r="F19" i="82"/>
  <c r="M19" i="82" s="1"/>
  <c r="BW5" i="1"/>
  <c r="L34" i="84"/>
  <c r="L53" i="82"/>
  <c r="L54" i="82" s="1"/>
  <c r="F59" i="87"/>
  <c r="M59" i="87" s="1"/>
  <c r="R9" i="4"/>
  <c r="O10" i="4" s="1"/>
  <c r="F57" i="87"/>
  <c r="M57" i="87" s="1"/>
  <c r="Q57" i="87" s="1"/>
  <c r="J9" i="4"/>
  <c r="G10" i="4" s="1"/>
  <c r="F8" i="4"/>
  <c r="C9" i="4" s="1"/>
  <c r="F56" i="86"/>
  <c r="M56" i="86" s="1"/>
  <c r="Q56" i="86" s="1"/>
  <c r="F15" i="86"/>
  <c r="M15" i="86" s="1"/>
  <c r="BC8" i="1"/>
  <c r="AY9" i="1" s="1"/>
  <c r="F12" i="86"/>
  <c r="M12" i="86" s="1"/>
  <c r="AX8" i="1"/>
  <c r="AT9" i="1" s="1"/>
  <c r="Q51" i="84"/>
  <c r="Q53" i="84" s="1"/>
  <c r="M53" i="84"/>
  <c r="M51" i="85"/>
  <c r="F51" i="86"/>
  <c r="AJ8" i="1"/>
  <c r="AF9" i="1" s="1"/>
  <c r="Q11" i="84"/>
  <c r="M11" i="85"/>
  <c r="F11" i="86"/>
  <c r="AA8" i="1"/>
  <c r="W9" i="1" s="1"/>
  <c r="F7" i="1"/>
  <c r="F6" i="85"/>
  <c r="M6" i="85" s="1"/>
  <c r="Q6" i="85" s="1"/>
  <c r="H76" i="85"/>
  <c r="H68" i="86"/>
  <c r="I68" i="86"/>
  <c r="I76" i="85"/>
  <c r="Q68" i="84"/>
  <c r="M68" i="85"/>
  <c r="F68" i="86"/>
  <c r="W8" i="56"/>
  <c r="B9" i="56" s="1"/>
  <c r="L76" i="87"/>
  <c r="L69" i="88"/>
  <c r="I56" i="86"/>
  <c r="I62" i="85"/>
  <c r="L64" i="87"/>
  <c r="L66" i="86"/>
  <c r="I66" i="86"/>
  <c r="I64" i="87"/>
  <c r="I29" i="87"/>
  <c r="I53" i="86"/>
  <c r="I10" i="87"/>
  <c r="I27" i="86"/>
  <c r="L29" i="86"/>
  <c r="L10" i="86"/>
  <c r="L27" i="85"/>
  <c r="I11" i="97"/>
  <c r="L62" i="84"/>
  <c r="L58" i="85"/>
  <c r="Q58" i="84"/>
  <c r="Q62" i="84" s="1"/>
  <c r="M62" i="84"/>
  <c r="N8" i="4"/>
  <c r="K9" i="4" s="1"/>
  <c r="F58" i="86"/>
  <c r="F62" i="85"/>
  <c r="M58" i="85"/>
  <c r="K62" i="85"/>
  <c r="K58" i="86"/>
  <c r="I58" i="88"/>
  <c r="H58" i="88"/>
  <c r="K56" i="75"/>
  <c r="L56" i="75"/>
  <c r="K8" i="81" l="1"/>
  <c r="K8" i="82" s="1"/>
  <c r="K8" i="84" s="1"/>
  <c r="K8" i="85" s="1"/>
  <c r="K8" i="86" s="1"/>
  <c r="K8" i="87" s="1"/>
  <c r="K8" i="88" s="1"/>
  <c r="K8" i="89" s="1"/>
  <c r="K8" i="90" s="1"/>
  <c r="K8" i="91" s="1"/>
  <c r="K8" i="92" s="1"/>
  <c r="K8" i="93" s="1"/>
  <c r="K8" i="94" s="1"/>
  <c r="K8" i="95" s="1"/>
  <c r="K8" i="96" s="1"/>
  <c r="K8" i="97" s="1"/>
  <c r="K8" i="98" s="1"/>
  <c r="K8" i="99" s="1"/>
  <c r="K8" i="42" s="1"/>
  <c r="K8" i="68" s="1"/>
  <c r="K8" i="69" s="1"/>
  <c r="K8" i="70" s="1"/>
  <c r="K8" i="72" s="1"/>
  <c r="K8" i="73" s="1"/>
  <c r="K8" i="74" s="1"/>
  <c r="K8" i="75" s="1"/>
  <c r="K8" i="76" s="1"/>
  <c r="K8" i="77" s="1"/>
  <c r="K8" i="78" s="1"/>
  <c r="K8" i="79" s="1"/>
  <c r="F24" i="84"/>
  <c r="M24" i="84" s="1"/>
  <c r="DK6" i="1"/>
  <c r="F21" i="84"/>
  <c r="M21" i="84" s="1"/>
  <c r="CV6" i="1"/>
  <c r="K70" i="86"/>
  <c r="K76" i="85"/>
  <c r="F50" i="89"/>
  <c r="M50" i="89" s="1"/>
  <c r="CL11" i="1"/>
  <c r="CH12" i="1" s="1"/>
  <c r="K6" i="1"/>
  <c r="F32" i="87"/>
  <c r="M32" i="87" s="1"/>
  <c r="DU9" i="1"/>
  <c r="DQ10" i="1" s="1"/>
  <c r="Y7" i="56"/>
  <c r="F23" i="84"/>
  <c r="M23" i="84" s="1"/>
  <c r="DF6" i="1"/>
  <c r="M69" i="84"/>
  <c r="M76" i="84" s="1"/>
  <c r="F76" i="84"/>
  <c r="F65" i="85"/>
  <c r="M65" i="85" s="1"/>
  <c r="N7" i="3"/>
  <c r="F26" i="87"/>
  <c r="M26" i="87" s="1"/>
  <c r="DZ9" i="1"/>
  <c r="DV10" i="1" s="1"/>
  <c r="F25" i="87"/>
  <c r="M25" i="87" s="1"/>
  <c r="DP9" i="1"/>
  <c r="DL10" i="1" s="1"/>
  <c r="F48" i="87"/>
  <c r="M48" i="87" s="1"/>
  <c r="CQ9" i="1"/>
  <c r="CM10" i="1" s="1"/>
  <c r="BX9" i="1"/>
  <c r="J6" i="1"/>
  <c r="F22" i="84"/>
  <c r="M22" i="84" s="1"/>
  <c r="DA6" i="1"/>
  <c r="F14" i="86"/>
  <c r="M14" i="86" s="1"/>
  <c r="AN8" i="1"/>
  <c r="K66" i="85"/>
  <c r="K64" i="86"/>
  <c r="M64" i="84"/>
  <c r="M66" i="84" s="1"/>
  <c r="F66" i="84"/>
  <c r="H66" i="87"/>
  <c r="H64" i="88"/>
  <c r="I54" i="86"/>
  <c r="K54" i="85"/>
  <c r="K27" i="86"/>
  <c r="K12" i="87"/>
  <c r="H53" i="87"/>
  <c r="H51" i="88"/>
  <c r="H11" i="87"/>
  <c r="H27" i="86"/>
  <c r="H54" i="86" s="1"/>
  <c r="H56" i="87"/>
  <c r="H62" i="86"/>
  <c r="F8" i="82"/>
  <c r="M8" i="82" s="1"/>
  <c r="EL5" i="1"/>
  <c r="EI6" i="1" s="1"/>
  <c r="AE8" i="1"/>
  <c r="F52" i="86"/>
  <c r="M52" i="86" s="1"/>
  <c r="Q52" i="86" s="1"/>
  <c r="F29" i="85"/>
  <c r="V7" i="1"/>
  <c r="EE7" i="1"/>
  <c r="EH7" i="1" s="1"/>
  <c r="F49" i="87"/>
  <c r="M49" i="87" s="1"/>
  <c r="CG9" i="1"/>
  <c r="CC10" i="1" s="1"/>
  <c r="AO6" i="1"/>
  <c r="K34" i="87"/>
  <c r="K53" i="86"/>
  <c r="L34" i="85"/>
  <c r="L53" i="84"/>
  <c r="L54" i="84" s="1"/>
  <c r="M13" i="82"/>
  <c r="M27" i="82" s="1"/>
  <c r="M54" i="82" s="1"/>
  <c r="F27" i="82"/>
  <c r="F54" i="82" s="1"/>
  <c r="BS6" i="1"/>
  <c r="BD6" i="1"/>
  <c r="F17" i="84"/>
  <c r="M17" i="84" s="1"/>
  <c r="BM6" i="1"/>
  <c r="F18" i="85"/>
  <c r="M18" i="85" s="1"/>
  <c r="BR7" i="1"/>
  <c r="F59" i="88"/>
  <c r="M59" i="88" s="1"/>
  <c r="R10" i="4"/>
  <c r="O11" i="4" s="1"/>
  <c r="F57" i="88"/>
  <c r="M57" i="88" s="1"/>
  <c r="Q57" i="88" s="1"/>
  <c r="J10" i="4"/>
  <c r="G11" i="4" s="1"/>
  <c r="F9" i="4"/>
  <c r="C10" i="4" s="1"/>
  <c r="F56" i="87"/>
  <c r="M56" i="87" s="1"/>
  <c r="Q56" i="87" s="1"/>
  <c r="F15" i="87"/>
  <c r="M15" i="87" s="1"/>
  <c r="BC9" i="1"/>
  <c r="AY10" i="1" s="1"/>
  <c r="F12" i="87"/>
  <c r="M12" i="87" s="1"/>
  <c r="AX9" i="1"/>
  <c r="AT10" i="1" s="1"/>
  <c r="Q51" i="85"/>
  <c r="F51" i="87"/>
  <c r="AJ9" i="1"/>
  <c r="AF10" i="1" s="1"/>
  <c r="M51" i="86"/>
  <c r="M11" i="86"/>
  <c r="Q11" i="85"/>
  <c r="AA9" i="1"/>
  <c r="W10" i="1" s="1"/>
  <c r="F11" i="87"/>
  <c r="C8" i="1"/>
  <c r="I68" i="87"/>
  <c r="I76" i="86"/>
  <c r="H76" i="86"/>
  <c r="H68" i="87"/>
  <c r="M68" i="86"/>
  <c r="Q68" i="85"/>
  <c r="M76" i="85"/>
  <c r="F68" i="87"/>
  <c r="W9" i="56"/>
  <c r="B10" i="56" s="1"/>
  <c r="L69" i="89"/>
  <c r="L76" i="88"/>
  <c r="I56" i="87"/>
  <c r="I62" i="86"/>
  <c r="I66" i="87"/>
  <c r="I64" i="88"/>
  <c r="L66" i="87"/>
  <c r="L64" i="88"/>
  <c r="I27" i="87"/>
  <c r="I10" i="88"/>
  <c r="I53" i="87"/>
  <c r="I29" i="88"/>
  <c r="L27" i="86"/>
  <c r="L10" i="87"/>
  <c r="L29" i="87"/>
  <c r="I11" i="98"/>
  <c r="N9" i="4"/>
  <c r="K10" i="4" s="1"/>
  <c r="F58" i="87"/>
  <c r="K58" i="87"/>
  <c r="K62" i="86"/>
  <c r="M62" i="85"/>
  <c r="Q58" i="85"/>
  <c r="Q62" i="85" s="1"/>
  <c r="L62" i="85"/>
  <c r="L58" i="86"/>
  <c r="F62" i="86"/>
  <c r="M58" i="86"/>
  <c r="I58" i="89"/>
  <c r="H58" i="89"/>
  <c r="L56" i="76"/>
  <c r="K56" i="76"/>
  <c r="F7" i="85"/>
  <c r="M7" i="85" s="1"/>
  <c r="Q7" i="85" s="1"/>
  <c r="AK9" i="1" l="1"/>
  <c r="F25" i="88"/>
  <c r="M25" i="88" s="1"/>
  <c r="DP10" i="1"/>
  <c r="DL11" i="1" s="1"/>
  <c r="F10" i="84"/>
  <c r="M10" i="84" s="1"/>
  <c r="Q10" i="84" s="1"/>
  <c r="Q27" i="84" s="1"/>
  <c r="Q54" i="84" s="1"/>
  <c r="P6" i="1"/>
  <c r="K66" i="86"/>
  <c r="K64" i="87"/>
  <c r="G7" i="1"/>
  <c r="F69" i="85"/>
  <c r="F76" i="85" s="1"/>
  <c r="AB7" i="56"/>
  <c r="CR7" i="1"/>
  <c r="CW7" i="1"/>
  <c r="F26" i="88"/>
  <c r="M26" i="88" s="1"/>
  <c r="DZ10" i="1"/>
  <c r="DV11" i="1" s="1"/>
  <c r="F32" i="88"/>
  <c r="M32" i="88" s="1"/>
  <c r="DU10" i="1"/>
  <c r="DQ11" i="1" s="1"/>
  <c r="F50" i="90"/>
  <c r="M50" i="90" s="1"/>
  <c r="CL12" i="1"/>
  <c r="CH13" i="1" s="1"/>
  <c r="H64" i="89"/>
  <c r="H66" i="88"/>
  <c r="F20" i="87"/>
  <c r="M20" i="87" s="1"/>
  <c r="CB9" i="1"/>
  <c r="BX10" i="1" s="1"/>
  <c r="F48" i="88"/>
  <c r="M48" i="88" s="1"/>
  <c r="CQ10" i="1"/>
  <c r="CM11" i="1" s="1"/>
  <c r="DB7" i="1"/>
  <c r="DG7" i="1"/>
  <c r="F64" i="85"/>
  <c r="K8" i="3"/>
  <c r="K70" i="87"/>
  <c r="K76" i="86"/>
  <c r="K54" i="86"/>
  <c r="K12" i="88"/>
  <c r="K27" i="87"/>
  <c r="H53" i="88"/>
  <c r="H51" i="89"/>
  <c r="H11" i="88"/>
  <c r="H27" i="87"/>
  <c r="H54" i="87" s="1"/>
  <c r="H56" i="88"/>
  <c r="H62" i="87"/>
  <c r="EL6" i="1"/>
  <c r="EI7" i="1" s="1"/>
  <c r="F8" i="84"/>
  <c r="M8" i="84" s="1"/>
  <c r="M29" i="85"/>
  <c r="F53" i="85"/>
  <c r="Q8" i="1"/>
  <c r="AB9" i="1"/>
  <c r="BI7" i="1"/>
  <c r="F19" i="84"/>
  <c r="M19" i="84" s="1"/>
  <c r="BW6" i="1"/>
  <c r="K53" i="87"/>
  <c r="K34" i="88"/>
  <c r="BN8" i="1"/>
  <c r="F13" i="84"/>
  <c r="AS6" i="1"/>
  <c r="EA6" i="1"/>
  <c r="ED6" i="1" s="1"/>
  <c r="F16" i="84"/>
  <c r="M16" i="84" s="1"/>
  <c r="BH6" i="1"/>
  <c r="L34" i="86"/>
  <c r="L53" i="85"/>
  <c r="L54" i="85" s="1"/>
  <c r="F49" i="88"/>
  <c r="M49" i="88" s="1"/>
  <c r="CG10" i="1"/>
  <c r="CC11" i="1" s="1"/>
  <c r="F59" i="89"/>
  <c r="M59" i="89" s="1"/>
  <c r="R11" i="4"/>
  <c r="O12" i="4" s="1"/>
  <c r="J11" i="4"/>
  <c r="G12" i="4" s="1"/>
  <c r="F57" i="89"/>
  <c r="M57" i="89" s="1"/>
  <c r="Q57" i="89" s="1"/>
  <c r="F56" i="88"/>
  <c r="M56" i="88" s="1"/>
  <c r="Q56" i="88" s="1"/>
  <c r="F10" i="4"/>
  <c r="C11" i="4" s="1"/>
  <c r="BC10" i="1"/>
  <c r="AY11" i="1" s="1"/>
  <c r="F15" i="88"/>
  <c r="M15" i="88" s="1"/>
  <c r="F12" i="88"/>
  <c r="M12" i="88" s="1"/>
  <c r="AX10" i="1"/>
  <c r="AT11" i="1" s="1"/>
  <c r="F51" i="88"/>
  <c r="AJ10" i="1"/>
  <c r="AF11" i="1" s="1"/>
  <c r="M51" i="87"/>
  <c r="Q51" i="86"/>
  <c r="Q11" i="86"/>
  <c r="F11" i="88"/>
  <c r="AA10" i="1"/>
  <c r="W11" i="1" s="1"/>
  <c r="M11" i="87"/>
  <c r="F8" i="1"/>
  <c r="F6" i="86"/>
  <c r="M6" i="86" s="1"/>
  <c r="Q6" i="86" s="1"/>
  <c r="H68" i="88"/>
  <c r="H76" i="87"/>
  <c r="I76" i="87"/>
  <c r="I68" i="88"/>
  <c r="M68" i="87"/>
  <c r="Q68" i="86"/>
  <c r="M76" i="86"/>
  <c r="F68" i="88"/>
  <c r="W10" i="56"/>
  <c r="B11" i="56" s="1"/>
  <c r="L69" i="90"/>
  <c r="L76" i="89"/>
  <c r="I56" i="88"/>
  <c r="I62" i="87"/>
  <c r="I64" i="89"/>
  <c r="I66" i="88"/>
  <c r="L66" i="88"/>
  <c r="L64" i="89"/>
  <c r="L10" i="88"/>
  <c r="L27" i="87"/>
  <c r="I29" i="89"/>
  <c r="I53" i="88"/>
  <c r="I10" i="89"/>
  <c r="I27" i="88"/>
  <c r="L29" i="88"/>
  <c r="I54" i="87"/>
  <c r="I11" i="99"/>
  <c r="M62" i="86"/>
  <c r="Q58" i="86"/>
  <c r="Q62" i="86" s="1"/>
  <c r="K62" i="87"/>
  <c r="K58" i="88"/>
  <c r="L58" i="87"/>
  <c r="L62" i="86"/>
  <c r="M58" i="87"/>
  <c r="F62" i="87"/>
  <c r="F58" i="88"/>
  <c r="N10" i="4"/>
  <c r="K11" i="4" s="1"/>
  <c r="H58" i="90"/>
  <c r="I58" i="90"/>
  <c r="K56" i="77"/>
  <c r="L56" i="77"/>
  <c r="C8" i="3"/>
  <c r="F8" i="3" s="1"/>
  <c r="K70" i="88" l="1"/>
  <c r="K76" i="87"/>
  <c r="F22" i="85"/>
  <c r="M22" i="85" s="1"/>
  <c r="DA7" i="1"/>
  <c r="CW8" i="1" s="1"/>
  <c r="K7" i="1"/>
  <c r="F24" i="85"/>
  <c r="M24" i="85" s="1"/>
  <c r="DK7" i="1"/>
  <c r="DG8" i="1" s="1"/>
  <c r="F20" i="88"/>
  <c r="M20" i="88" s="1"/>
  <c r="CB10" i="1"/>
  <c r="BX11" i="1" s="1"/>
  <c r="F32" i="89"/>
  <c r="M32" i="89" s="1"/>
  <c r="DU11" i="1"/>
  <c r="DQ12" i="1" s="1"/>
  <c r="J7" i="1"/>
  <c r="G8" i="1" s="1"/>
  <c r="J8" i="1" s="1"/>
  <c r="G9" i="1" s="1"/>
  <c r="J9" i="1" s="1"/>
  <c r="G10" i="1" s="1"/>
  <c r="J10" i="1" s="1"/>
  <c r="G11" i="1" s="1"/>
  <c r="J11" i="1" s="1"/>
  <c r="G12" i="1" s="1"/>
  <c r="J12" i="1" s="1"/>
  <c r="G13" i="1" s="1"/>
  <c r="J13" i="1" s="1"/>
  <c r="G14" i="1" s="1"/>
  <c r="J14" i="1" s="1"/>
  <c r="G15" i="1" s="1"/>
  <c r="J15" i="1" s="1"/>
  <c r="G16" i="1" s="1"/>
  <c r="J16" i="1" s="1"/>
  <c r="G17" i="1" s="1"/>
  <c r="J17" i="1" s="1"/>
  <c r="G18" i="1" s="1"/>
  <c r="J18" i="1" s="1"/>
  <c r="G19" i="1" s="1"/>
  <c r="J19" i="1" s="1"/>
  <c r="G20" i="1" s="1"/>
  <c r="J20" i="1" s="1"/>
  <c r="G21" i="1" s="1"/>
  <c r="J21" i="1" s="1"/>
  <c r="G22" i="1" s="1"/>
  <c r="J22" i="1" s="1"/>
  <c r="G23" i="1" s="1"/>
  <c r="J23" i="1" s="1"/>
  <c r="G24" i="1" s="1"/>
  <c r="J24" i="1" s="1"/>
  <c r="G25" i="1" s="1"/>
  <c r="J25" i="1" s="1"/>
  <c r="G26" i="1" s="1"/>
  <c r="J26" i="1" s="1"/>
  <c r="G27" i="1" s="1"/>
  <c r="J27" i="1" s="1"/>
  <c r="G28" i="1" s="1"/>
  <c r="J28" i="1" s="1"/>
  <c r="G29" i="1" s="1"/>
  <c r="J29" i="1" s="1"/>
  <c r="G30" i="1" s="1"/>
  <c r="J30" i="1" s="1"/>
  <c r="G31" i="1" s="1"/>
  <c r="J31" i="1" s="1"/>
  <c r="G32" i="1" s="1"/>
  <c r="J32" i="1" s="1"/>
  <c r="F65" i="86"/>
  <c r="M65" i="86" s="1"/>
  <c r="N8" i="3"/>
  <c r="F21" i="85"/>
  <c r="M21" i="85" s="1"/>
  <c r="CV7" i="1"/>
  <c r="CR8" i="1" s="1"/>
  <c r="K66" i="87"/>
  <c r="K64" i="88"/>
  <c r="F25" i="89"/>
  <c r="M25" i="89" s="1"/>
  <c r="DP11" i="1"/>
  <c r="DL12" i="1" s="1"/>
  <c r="F23" i="85"/>
  <c r="M23" i="85" s="1"/>
  <c r="DF7" i="1"/>
  <c r="DB8" i="1" s="1"/>
  <c r="F26" i="89"/>
  <c r="M26" i="89" s="1"/>
  <c r="DZ11" i="1"/>
  <c r="DV12" i="1" s="1"/>
  <c r="F48" i="89"/>
  <c r="M48" i="89" s="1"/>
  <c r="CQ11" i="1"/>
  <c r="CM12" i="1" s="1"/>
  <c r="H66" i="89"/>
  <c r="H64" i="90"/>
  <c r="Y8" i="56"/>
  <c r="M64" i="85"/>
  <c r="M66" i="85" s="1"/>
  <c r="F66" i="85"/>
  <c r="F50" i="91"/>
  <c r="M50" i="91" s="1"/>
  <c r="CL13" i="1"/>
  <c r="CH14" i="1" s="1"/>
  <c r="F14" i="87"/>
  <c r="M14" i="87" s="1"/>
  <c r="AN9" i="1"/>
  <c r="AK10" i="1" s="1"/>
  <c r="K27" i="88"/>
  <c r="K12" i="89"/>
  <c r="K54" i="87"/>
  <c r="H51" i="90"/>
  <c r="H53" i="89"/>
  <c r="I54" i="88"/>
  <c r="H11" i="89"/>
  <c r="H27" i="88"/>
  <c r="H54" i="88" s="1"/>
  <c r="H56" i="89"/>
  <c r="H62" i="88"/>
  <c r="EL7" i="1"/>
  <c r="EI8" i="1" s="1"/>
  <c r="F8" i="85"/>
  <c r="M8" i="85" s="1"/>
  <c r="F29" i="86"/>
  <c r="V8" i="1"/>
  <c r="EE8" i="1"/>
  <c r="EH8" i="1" s="1"/>
  <c r="Q29" i="85"/>
  <c r="Q53" i="85" s="1"/>
  <c r="M53" i="85"/>
  <c r="AE9" i="1"/>
  <c r="AB10" i="1" s="1"/>
  <c r="F52" i="87"/>
  <c r="M52" i="87" s="1"/>
  <c r="Q52" i="87" s="1"/>
  <c r="F49" i="89"/>
  <c r="M49" i="89" s="1"/>
  <c r="CG11" i="1"/>
  <c r="CC12" i="1" s="1"/>
  <c r="BD7" i="1"/>
  <c r="AO7" i="1"/>
  <c r="M13" i="84"/>
  <c r="M27" i="84" s="1"/>
  <c r="M54" i="84" s="1"/>
  <c r="F27" i="84"/>
  <c r="F54" i="84" s="1"/>
  <c r="BS7" i="1"/>
  <c r="L34" i="87"/>
  <c r="L53" i="86"/>
  <c r="L54" i="86" s="1"/>
  <c r="F18" i="86"/>
  <c r="M18" i="86" s="1"/>
  <c r="BR8" i="1"/>
  <c r="BN9" i="1" s="1"/>
  <c r="K34" i="89"/>
  <c r="K53" i="88"/>
  <c r="F17" i="85"/>
  <c r="M17" i="85" s="1"/>
  <c r="BM7" i="1"/>
  <c r="F59" i="90"/>
  <c r="M59" i="90" s="1"/>
  <c r="R12" i="4"/>
  <c r="O13" i="4" s="1"/>
  <c r="J12" i="4"/>
  <c r="G13" i="4" s="1"/>
  <c r="F57" i="90"/>
  <c r="M57" i="90" s="1"/>
  <c r="Q57" i="90" s="1"/>
  <c r="F11" i="4"/>
  <c r="C12" i="4" s="1"/>
  <c r="F56" i="89"/>
  <c r="M56" i="89" s="1"/>
  <c r="Q56" i="89" s="1"/>
  <c r="F15" i="89"/>
  <c r="M15" i="89" s="1"/>
  <c r="BC11" i="1"/>
  <c r="AY12" i="1" s="1"/>
  <c r="AX11" i="1"/>
  <c r="AT12" i="1" s="1"/>
  <c r="F12" i="89"/>
  <c r="M12" i="89" s="1"/>
  <c r="F51" i="89"/>
  <c r="AJ11" i="1"/>
  <c r="AF12" i="1" s="1"/>
  <c r="M51" i="88"/>
  <c r="Q51" i="87"/>
  <c r="Q11" i="87"/>
  <c r="F11" i="89"/>
  <c r="AA11" i="1"/>
  <c r="W12" i="1" s="1"/>
  <c r="M11" i="88"/>
  <c r="C9" i="1"/>
  <c r="I76" i="88"/>
  <c r="I68" i="89"/>
  <c r="H76" i="88"/>
  <c r="H68" i="89"/>
  <c r="W11" i="56"/>
  <c r="B12" i="56" s="1"/>
  <c r="F68" i="89"/>
  <c r="M68" i="88"/>
  <c r="Q68" i="87"/>
  <c r="L69" i="91"/>
  <c r="L76" i="90"/>
  <c r="I56" i="89"/>
  <c r="I62" i="88"/>
  <c r="L64" i="90"/>
  <c r="L66" i="89"/>
  <c r="I64" i="90"/>
  <c r="I66" i="89"/>
  <c r="I29" i="90"/>
  <c r="I53" i="89"/>
  <c r="I27" i="89"/>
  <c r="I10" i="90"/>
  <c r="L29" i="89"/>
  <c r="L29" i="90" s="1"/>
  <c r="L27" i="88"/>
  <c r="L10" i="89"/>
  <c r="I11" i="42"/>
  <c r="L58" i="88"/>
  <c r="L62" i="87"/>
  <c r="N11" i="4"/>
  <c r="K12" i="4" s="1"/>
  <c r="F58" i="89"/>
  <c r="K62" i="88"/>
  <c r="K58" i="89"/>
  <c r="M58" i="88"/>
  <c r="F62" i="88"/>
  <c r="M62" i="87"/>
  <c r="Q58" i="87"/>
  <c r="Q62" i="87" s="1"/>
  <c r="I58" i="91"/>
  <c r="H58" i="91"/>
  <c r="L56" i="78"/>
  <c r="K56" i="78"/>
  <c r="F7" i="86"/>
  <c r="M7" i="86" s="1"/>
  <c r="Q7" i="86" s="1"/>
  <c r="C9" i="3"/>
  <c r="F9" i="3" s="1"/>
  <c r="F48" i="90" l="1"/>
  <c r="M48" i="90" s="1"/>
  <c r="CQ12" i="1"/>
  <c r="CM13" i="1" s="1"/>
  <c r="F20" i="89"/>
  <c r="M20" i="89" s="1"/>
  <c r="CB11" i="1"/>
  <c r="BX12" i="1" s="1"/>
  <c r="F14" i="88"/>
  <c r="M14" i="88" s="1"/>
  <c r="AN10" i="1"/>
  <c r="AK11" i="1" s="1"/>
  <c r="F23" i="86"/>
  <c r="M23" i="86" s="1"/>
  <c r="DF8" i="1"/>
  <c r="DB9" i="1" s="1"/>
  <c r="F10" i="85"/>
  <c r="M10" i="85" s="1"/>
  <c r="Q10" i="85" s="1"/>
  <c r="Q27" i="85" s="1"/>
  <c r="Q54" i="85" s="1"/>
  <c r="P7" i="1"/>
  <c r="F21" i="86"/>
  <c r="M21" i="86" s="1"/>
  <c r="CV8" i="1"/>
  <c r="CR9" i="1" s="1"/>
  <c r="G34" i="1"/>
  <c r="F22" i="86"/>
  <c r="M22" i="86" s="1"/>
  <c r="DA8" i="1"/>
  <c r="CW9" i="1" s="1"/>
  <c r="G33" i="1"/>
  <c r="J33" i="1" s="1"/>
  <c r="J34" i="1"/>
  <c r="F24" i="86"/>
  <c r="M24" i="86" s="1"/>
  <c r="DK8" i="1"/>
  <c r="DG9" i="1" s="1"/>
  <c r="F64" i="86"/>
  <c r="F25" i="90"/>
  <c r="M25" i="90" s="1"/>
  <c r="DP12" i="1"/>
  <c r="DL13" i="1" s="1"/>
  <c r="F50" i="92"/>
  <c r="M50" i="92" s="1"/>
  <c r="CL14" i="1"/>
  <c r="CH15" i="1" s="1"/>
  <c r="H66" i="90"/>
  <c r="H64" i="91"/>
  <c r="F26" i="90"/>
  <c r="M26" i="90" s="1"/>
  <c r="DZ12" i="1"/>
  <c r="DV13" i="1" s="1"/>
  <c r="F32" i="90"/>
  <c r="DU12" i="1"/>
  <c r="DQ13" i="1" s="1"/>
  <c r="F69" i="86"/>
  <c r="F76" i="86" s="1"/>
  <c r="AB8" i="56"/>
  <c r="K66" i="88"/>
  <c r="K64" i="89"/>
  <c r="K9" i="3"/>
  <c r="K70" i="89"/>
  <c r="K76" i="88"/>
  <c r="K54" i="88"/>
  <c r="K27" i="89"/>
  <c r="K12" i="90"/>
  <c r="I54" i="89"/>
  <c r="H53" i="90"/>
  <c r="H51" i="91"/>
  <c r="H27" i="89"/>
  <c r="H54" i="89" s="1"/>
  <c r="H11" i="90"/>
  <c r="H56" i="90"/>
  <c r="H62" i="89"/>
  <c r="EL8" i="1"/>
  <c r="EI9" i="1" s="1"/>
  <c r="F8" i="86"/>
  <c r="M8" i="86" s="1"/>
  <c r="AE10" i="1"/>
  <c r="AB11" i="1" s="1"/>
  <c r="F52" i="88"/>
  <c r="M52" i="88" s="1"/>
  <c r="Q52" i="88" s="1"/>
  <c r="Q9" i="1"/>
  <c r="M29" i="86"/>
  <c r="F53" i="86"/>
  <c r="F13" i="85"/>
  <c r="AS7" i="1"/>
  <c r="EA7" i="1"/>
  <c r="ED7" i="1" s="1"/>
  <c r="BI8" i="1"/>
  <c r="F18" i="87"/>
  <c r="M18" i="87" s="1"/>
  <c r="BR9" i="1"/>
  <c r="BN10" i="1" s="1"/>
  <c r="F19" i="85"/>
  <c r="M19" i="85" s="1"/>
  <c r="BW7" i="1"/>
  <c r="F16" i="85"/>
  <c r="M16" i="85" s="1"/>
  <c r="BH7" i="1"/>
  <c r="F49" i="90"/>
  <c r="M49" i="90" s="1"/>
  <c r="CG12" i="1"/>
  <c r="CC13" i="1" s="1"/>
  <c r="K34" i="90"/>
  <c r="K53" i="89"/>
  <c r="L34" i="88"/>
  <c r="L53" i="87"/>
  <c r="L54" i="87" s="1"/>
  <c r="F59" i="91"/>
  <c r="M59" i="91" s="1"/>
  <c r="R13" i="4"/>
  <c r="O14" i="4" s="1"/>
  <c r="F57" i="91"/>
  <c r="M57" i="91" s="1"/>
  <c r="Q57" i="91" s="1"/>
  <c r="J13" i="4"/>
  <c r="G14" i="4" s="1"/>
  <c r="F56" i="90"/>
  <c r="M56" i="90" s="1"/>
  <c r="Q56" i="90" s="1"/>
  <c r="F12" i="4"/>
  <c r="C13" i="4" s="1"/>
  <c r="BC12" i="1"/>
  <c r="AY13" i="1" s="1"/>
  <c r="F15" i="90"/>
  <c r="M15" i="90" s="1"/>
  <c r="F12" i="90"/>
  <c r="M12" i="90" s="1"/>
  <c r="AX12" i="1"/>
  <c r="AT13" i="1" s="1"/>
  <c r="F51" i="90"/>
  <c r="AJ12" i="1"/>
  <c r="AF13" i="1" s="1"/>
  <c r="Q51" i="88"/>
  <c r="M51" i="89"/>
  <c r="Q11" i="88"/>
  <c r="M11" i="89"/>
  <c r="F11" i="90"/>
  <c r="AA12" i="1"/>
  <c r="W13" i="1" s="1"/>
  <c r="F6" i="87"/>
  <c r="M6" i="87" s="1"/>
  <c r="Q6" i="87" s="1"/>
  <c r="F9" i="1"/>
  <c r="I76" i="89"/>
  <c r="I68" i="90"/>
  <c r="H76" i="89"/>
  <c r="H68" i="90"/>
  <c r="M76" i="88"/>
  <c r="Q68" i="88"/>
  <c r="M68" i="89"/>
  <c r="W12" i="56"/>
  <c r="B13" i="56" s="1"/>
  <c r="F68" i="90"/>
  <c r="L69" i="92"/>
  <c r="L76" i="91"/>
  <c r="I56" i="90"/>
  <c r="I62" i="89"/>
  <c r="I66" i="90"/>
  <c r="I64" i="91"/>
  <c r="L64" i="91"/>
  <c r="L66" i="90"/>
  <c r="I27" i="90"/>
  <c r="I10" i="91"/>
  <c r="L27" i="89"/>
  <c r="L10" i="90"/>
  <c r="L29" i="91"/>
  <c r="I29" i="91"/>
  <c r="I53" i="90"/>
  <c r="I11" i="68"/>
  <c r="K62" i="89"/>
  <c r="K58" i="90"/>
  <c r="F62" i="89"/>
  <c r="M58" i="89"/>
  <c r="F58" i="90"/>
  <c r="N12" i="4"/>
  <c r="K13" i="4" s="1"/>
  <c r="M62" i="88"/>
  <c r="Q58" i="88"/>
  <c r="Q62" i="88" s="1"/>
  <c r="L62" i="88"/>
  <c r="L58" i="89"/>
  <c r="H58" i="92"/>
  <c r="I58" i="92"/>
  <c r="L55" i="79"/>
  <c r="K55" i="79"/>
  <c r="F7" i="87"/>
  <c r="M7" i="87" s="1"/>
  <c r="Q7" i="87" s="1"/>
  <c r="C10" i="3"/>
  <c r="F10" i="3" s="1"/>
  <c r="F26" i="91" l="1"/>
  <c r="M26" i="91" s="1"/>
  <c r="DZ13" i="1"/>
  <c r="DV14" i="1" s="1"/>
  <c r="F24" i="87"/>
  <c r="M24" i="87" s="1"/>
  <c r="DK9" i="1"/>
  <c r="DG10" i="1" s="1"/>
  <c r="F20" i="90"/>
  <c r="M20" i="90" s="1"/>
  <c r="CB12" i="1"/>
  <c r="BX13" i="1" s="1"/>
  <c r="K70" i="90"/>
  <c r="K76" i="89"/>
  <c r="F25" i="91"/>
  <c r="M25" i="91" s="1"/>
  <c r="DP13" i="1"/>
  <c r="DL14" i="1" s="1"/>
  <c r="F21" i="87"/>
  <c r="M21" i="87" s="1"/>
  <c r="CV9" i="1"/>
  <c r="CR10" i="1" s="1"/>
  <c r="F23" i="87"/>
  <c r="M23" i="87" s="1"/>
  <c r="DF9" i="1"/>
  <c r="DB10" i="1" s="1"/>
  <c r="Y9" i="56"/>
  <c r="H66" i="91"/>
  <c r="H64" i="92"/>
  <c r="F48" i="91"/>
  <c r="M48" i="91" s="1"/>
  <c r="CQ13" i="1"/>
  <c r="CM14" i="1" s="1"/>
  <c r="F65" i="87"/>
  <c r="M65" i="87" s="1"/>
  <c r="N9" i="3"/>
  <c r="K10" i="3" s="1"/>
  <c r="F14" i="89"/>
  <c r="M14" i="89" s="1"/>
  <c r="AN11" i="1"/>
  <c r="AK12" i="1" s="1"/>
  <c r="K66" i="89"/>
  <c r="K64" i="90"/>
  <c r="F32" i="91"/>
  <c r="M32" i="91" s="1"/>
  <c r="DU13" i="1"/>
  <c r="DQ14" i="1" s="1"/>
  <c r="F50" i="93"/>
  <c r="M50" i="93" s="1"/>
  <c r="CL15" i="1"/>
  <c r="CH16" i="1" s="1"/>
  <c r="F22" i="87"/>
  <c r="M22" i="87" s="1"/>
  <c r="DA9" i="1"/>
  <c r="CW10" i="1" s="1"/>
  <c r="F66" i="86"/>
  <c r="M64" i="86"/>
  <c r="M66" i="86" s="1"/>
  <c r="K8" i="1"/>
  <c r="K54" i="89"/>
  <c r="K27" i="90"/>
  <c r="K12" i="91"/>
  <c r="H53" i="91"/>
  <c r="H51" i="92"/>
  <c r="H11" i="91"/>
  <c r="H27" i="90"/>
  <c r="H54" i="90" s="1"/>
  <c r="H56" i="91"/>
  <c r="H62" i="90"/>
  <c r="EL9" i="1"/>
  <c r="EI10" i="1" s="1"/>
  <c r="F8" i="87"/>
  <c r="M8" i="87" s="1"/>
  <c r="F29" i="87"/>
  <c r="V9" i="1"/>
  <c r="EE9" i="1"/>
  <c r="EH9" i="1" s="1"/>
  <c r="Q29" i="86"/>
  <c r="Q53" i="86" s="1"/>
  <c r="M53" i="86"/>
  <c r="AE11" i="1"/>
  <c r="AB12" i="1" s="1"/>
  <c r="F52" i="89"/>
  <c r="M52" i="89" s="1"/>
  <c r="Q52" i="89" s="1"/>
  <c r="F49" i="91"/>
  <c r="M49" i="91" s="1"/>
  <c r="CG13" i="1"/>
  <c r="CC14" i="1" s="1"/>
  <c r="F17" i="86"/>
  <c r="M17" i="86" s="1"/>
  <c r="BM8" i="1"/>
  <c r="BI9" i="1" s="1"/>
  <c r="BS8" i="1"/>
  <c r="L34" i="89"/>
  <c r="L34" i="90" s="1"/>
  <c r="L53" i="88"/>
  <c r="F18" i="88"/>
  <c r="M18" i="88" s="1"/>
  <c r="BR10" i="1"/>
  <c r="BN11" i="1" s="1"/>
  <c r="BD8" i="1"/>
  <c r="AO8" i="1"/>
  <c r="K53" i="90"/>
  <c r="K34" i="91"/>
  <c r="M13" i="85"/>
  <c r="M27" i="85" s="1"/>
  <c r="M54" i="85" s="1"/>
  <c r="F27" i="85"/>
  <c r="F54" i="85" s="1"/>
  <c r="R14" i="4"/>
  <c r="O15" i="4" s="1"/>
  <c r="F59" i="92"/>
  <c r="M59" i="92" s="1"/>
  <c r="J14" i="4"/>
  <c r="G15" i="4" s="1"/>
  <c r="F57" i="92"/>
  <c r="M57" i="92" s="1"/>
  <c r="Q57" i="92" s="1"/>
  <c r="F13" i="4"/>
  <c r="C14" i="4" s="1"/>
  <c r="F56" i="91"/>
  <c r="M56" i="91" s="1"/>
  <c r="Q56" i="91" s="1"/>
  <c r="F15" i="91"/>
  <c r="M15" i="91" s="1"/>
  <c r="BC13" i="1"/>
  <c r="AY14" i="1" s="1"/>
  <c r="AX13" i="1"/>
  <c r="AT14" i="1" s="1"/>
  <c r="F12" i="91"/>
  <c r="M12" i="91" s="1"/>
  <c r="M51" i="90"/>
  <c r="F51" i="91"/>
  <c r="AJ13" i="1"/>
  <c r="AF14" i="1" s="1"/>
  <c r="Q51" i="89"/>
  <c r="AA13" i="1"/>
  <c r="W14" i="1" s="1"/>
  <c r="F11" i="91"/>
  <c r="M11" i="90"/>
  <c r="Q11" i="89"/>
  <c r="C10" i="1"/>
  <c r="H68" i="91"/>
  <c r="H76" i="90"/>
  <c r="I76" i="90"/>
  <c r="I68" i="91"/>
  <c r="M68" i="90"/>
  <c r="W13" i="56"/>
  <c r="B14" i="56" s="1"/>
  <c r="F68" i="91"/>
  <c r="Q68" i="89"/>
  <c r="L69" i="93"/>
  <c r="L76" i="92"/>
  <c r="I56" i="91"/>
  <c r="I62" i="90"/>
  <c r="L64" i="92"/>
  <c r="L66" i="91"/>
  <c r="I66" i="91"/>
  <c r="I64" i="92"/>
  <c r="L29" i="92"/>
  <c r="I29" i="92"/>
  <c r="I53" i="91"/>
  <c r="I10" i="92"/>
  <c r="I27" i="91"/>
  <c r="L10" i="91"/>
  <c r="L27" i="90"/>
  <c r="I54" i="90"/>
  <c r="I11" i="69"/>
  <c r="L58" i="90"/>
  <c r="L62" i="89"/>
  <c r="N13" i="4"/>
  <c r="K14" i="4" s="1"/>
  <c r="F58" i="91"/>
  <c r="M58" i="90"/>
  <c r="F62" i="90"/>
  <c r="K62" i="90"/>
  <c r="K58" i="91"/>
  <c r="Q58" i="89"/>
  <c r="Q62" i="89" s="1"/>
  <c r="M62" i="89"/>
  <c r="I58" i="93"/>
  <c r="H58" i="93"/>
  <c r="C11" i="3"/>
  <c r="F11" i="3" s="1"/>
  <c r="C12" i="3" s="1"/>
  <c r="F7" i="88"/>
  <c r="M7" i="88" s="1"/>
  <c r="K54" i="90" l="1"/>
  <c r="F65" i="88"/>
  <c r="M65" i="88" s="1"/>
  <c r="N10" i="3"/>
  <c r="K11" i="3" s="1"/>
  <c r="F10" i="86"/>
  <c r="M10" i="86" s="1"/>
  <c r="Q10" i="86" s="1"/>
  <c r="Q27" i="86" s="1"/>
  <c r="Q54" i="86" s="1"/>
  <c r="P8" i="1"/>
  <c r="K9" i="1" s="1"/>
  <c r="K66" i="90"/>
  <c r="K64" i="91"/>
  <c r="F69" i="87"/>
  <c r="AB9" i="56"/>
  <c r="Y10" i="56" s="1"/>
  <c r="F25" i="92"/>
  <c r="M25" i="92" s="1"/>
  <c r="DP14" i="1"/>
  <c r="DL15" i="1" s="1"/>
  <c r="F64" i="87"/>
  <c r="F48" i="92"/>
  <c r="M48" i="92" s="1"/>
  <c r="CQ14" i="1"/>
  <c r="CM15" i="1" s="1"/>
  <c r="F23" i="88"/>
  <c r="M23" i="88" s="1"/>
  <c r="DF10" i="1"/>
  <c r="DB11" i="1" s="1"/>
  <c r="F24" i="88"/>
  <c r="M24" i="88" s="1"/>
  <c r="DK10" i="1"/>
  <c r="DG11" i="1" s="1"/>
  <c r="F50" i="94"/>
  <c r="M50" i="94" s="1"/>
  <c r="CL16" i="1"/>
  <c r="CH17" i="1" s="1"/>
  <c r="F14" i="90"/>
  <c r="M14" i="90" s="1"/>
  <c r="AN12" i="1"/>
  <c r="AK13" i="1" s="1"/>
  <c r="H66" i="92"/>
  <c r="H64" i="93"/>
  <c r="K76" i="90"/>
  <c r="K70" i="91"/>
  <c r="F26" i="92"/>
  <c r="M26" i="92" s="1"/>
  <c r="DZ14" i="1"/>
  <c r="DV15" i="1" s="1"/>
  <c r="F22" i="88"/>
  <c r="M22" i="88" s="1"/>
  <c r="DA10" i="1"/>
  <c r="CW11" i="1" s="1"/>
  <c r="DU14" i="1"/>
  <c r="DQ15" i="1" s="1"/>
  <c r="F21" i="88"/>
  <c r="M21" i="88" s="1"/>
  <c r="CV10" i="1"/>
  <c r="CR11" i="1" s="1"/>
  <c r="F20" i="91"/>
  <c r="M20" i="91" s="1"/>
  <c r="CB13" i="1"/>
  <c r="BX14" i="1" s="1"/>
  <c r="K12" i="92"/>
  <c r="K27" i="91"/>
  <c r="I54" i="91"/>
  <c r="H53" i="92"/>
  <c r="H51" i="93"/>
  <c r="H11" i="92"/>
  <c r="H27" i="91"/>
  <c r="H54" i="91" s="1"/>
  <c r="H56" i="92"/>
  <c r="H62" i="91"/>
  <c r="EL10" i="1"/>
  <c r="EI11" i="1" s="1"/>
  <c r="F8" i="88"/>
  <c r="M8" i="88" s="1"/>
  <c r="F52" i="90"/>
  <c r="M52" i="90" s="1"/>
  <c r="Q52" i="90" s="1"/>
  <c r="AE12" i="1"/>
  <c r="AB13" i="1" s="1"/>
  <c r="Q10" i="1"/>
  <c r="M29" i="87"/>
  <c r="F53" i="87"/>
  <c r="F18" i="89"/>
  <c r="M18" i="89" s="1"/>
  <c r="BR11" i="1"/>
  <c r="BN12" i="1" s="1"/>
  <c r="K34" i="92"/>
  <c r="K53" i="91"/>
  <c r="F16" i="86"/>
  <c r="M16" i="86" s="1"/>
  <c r="BH8" i="1"/>
  <c r="BD9" i="1" s="1"/>
  <c r="L53" i="89"/>
  <c r="L54" i="89" s="1"/>
  <c r="L54" i="88"/>
  <c r="F17" i="87"/>
  <c r="M17" i="87" s="1"/>
  <c r="BM9" i="1"/>
  <c r="BI10" i="1" s="1"/>
  <c r="L34" i="91"/>
  <c r="L53" i="90"/>
  <c r="L54" i="90" s="1"/>
  <c r="F49" i="92"/>
  <c r="M49" i="92" s="1"/>
  <c r="CG14" i="1"/>
  <c r="CC15" i="1" s="1"/>
  <c r="F13" i="86"/>
  <c r="AS8" i="1"/>
  <c r="AO9" i="1" s="1"/>
  <c r="EA8" i="1"/>
  <c r="ED8" i="1" s="1"/>
  <c r="F19" i="86"/>
  <c r="M19" i="86" s="1"/>
  <c r="BW8" i="1"/>
  <c r="BS9" i="1" s="1"/>
  <c r="F59" i="93"/>
  <c r="M59" i="93" s="1"/>
  <c r="R15" i="4"/>
  <c r="O16" i="4" s="1"/>
  <c r="J15" i="4"/>
  <c r="G16" i="4" s="1"/>
  <c r="F57" i="93"/>
  <c r="M57" i="93" s="1"/>
  <c r="Q57" i="93" s="1"/>
  <c r="F14" i="4"/>
  <c r="C15" i="4" s="1"/>
  <c r="F56" i="92"/>
  <c r="M56" i="92" s="1"/>
  <c r="Q56" i="92" s="1"/>
  <c r="F15" i="92"/>
  <c r="M15" i="92" s="1"/>
  <c r="BC14" i="1"/>
  <c r="AY15" i="1" s="1"/>
  <c r="AX14" i="1"/>
  <c r="AT15" i="1" s="1"/>
  <c r="F12" i="92"/>
  <c r="M12" i="92" s="1"/>
  <c r="F51" i="92"/>
  <c r="AJ14" i="1"/>
  <c r="AF15" i="1" s="1"/>
  <c r="AJ15" i="1" s="1"/>
  <c r="M51" i="91"/>
  <c r="Q51" i="90"/>
  <c r="Q11" i="90"/>
  <c r="M11" i="91"/>
  <c r="F11" i="92"/>
  <c r="M11" i="92" s="1"/>
  <c r="AA14" i="1"/>
  <c r="W15" i="1" s="1"/>
  <c r="F6" i="88"/>
  <c r="M6" i="88" s="1"/>
  <c r="Q6" i="88" s="1"/>
  <c r="F10" i="1"/>
  <c r="I76" i="91"/>
  <c r="I68" i="92"/>
  <c r="H76" i="91"/>
  <c r="H68" i="92"/>
  <c r="M68" i="91"/>
  <c r="F68" i="92"/>
  <c r="W14" i="56"/>
  <c r="B15" i="56" s="1"/>
  <c r="Q68" i="90"/>
  <c r="M76" i="90"/>
  <c r="L76" i="93"/>
  <c r="L69" i="94"/>
  <c r="I56" i="92"/>
  <c r="I62" i="91"/>
  <c r="L66" i="92"/>
  <c r="I66" i="92"/>
  <c r="I64" i="93"/>
  <c r="I29" i="93"/>
  <c r="I53" i="92"/>
  <c r="I10" i="93"/>
  <c r="I27" i="92"/>
  <c r="L10" i="92"/>
  <c r="L27" i="91"/>
  <c r="L29" i="93"/>
  <c r="I11" i="70"/>
  <c r="Q58" i="90"/>
  <c r="Q62" i="90" s="1"/>
  <c r="M62" i="90"/>
  <c r="N14" i="4"/>
  <c r="K15" i="4" s="1"/>
  <c r="F58" i="92"/>
  <c r="L62" i="90"/>
  <c r="L58" i="91"/>
  <c r="M58" i="91"/>
  <c r="F62" i="91"/>
  <c r="K62" i="91"/>
  <c r="K58" i="92"/>
  <c r="I58" i="94"/>
  <c r="H58" i="94"/>
  <c r="F7" i="89"/>
  <c r="M7" i="89" s="1"/>
  <c r="Q7" i="89" s="1"/>
  <c r="F12" i="3"/>
  <c r="Q7" i="88"/>
  <c r="K54" i="91" l="1"/>
  <c r="F50" i="95"/>
  <c r="M50" i="95" s="1"/>
  <c r="CL17" i="1"/>
  <c r="CH18" i="1" s="1"/>
  <c r="F48" i="93"/>
  <c r="M48" i="93" s="1"/>
  <c r="CQ15" i="1"/>
  <c r="CM16" i="1" s="1"/>
  <c r="F25" i="93"/>
  <c r="M25" i="93" s="1"/>
  <c r="DP15" i="1"/>
  <c r="DL16" i="1" s="1"/>
  <c r="F20" i="92"/>
  <c r="M20" i="92" s="1"/>
  <c r="CB14" i="1"/>
  <c r="BX15" i="1" s="1"/>
  <c r="F22" i="89"/>
  <c r="M22" i="89" s="1"/>
  <c r="DA11" i="1"/>
  <c r="CW12" i="1" s="1"/>
  <c r="H66" i="93"/>
  <c r="H64" i="94"/>
  <c r="F24" i="89"/>
  <c r="M24" i="89" s="1"/>
  <c r="DK11" i="1"/>
  <c r="DG12" i="1" s="1"/>
  <c r="F69" i="88"/>
  <c r="F76" i="88" s="1"/>
  <c r="AB10" i="56"/>
  <c r="Y11" i="56" s="1"/>
  <c r="F10" i="87"/>
  <c r="M10" i="87" s="1"/>
  <c r="Q10" i="87" s="1"/>
  <c r="Q27" i="87" s="1"/>
  <c r="P9" i="1"/>
  <c r="K10" i="1" s="1"/>
  <c r="F21" i="89"/>
  <c r="M21" i="89" s="1"/>
  <c r="CV11" i="1"/>
  <c r="CR12" i="1" s="1"/>
  <c r="F26" i="93"/>
  <c r="M26" i="93" s="1"/>
  <c r="DZ15" i="1"/>
  <c r="DV16" i="1" s="1"/>
  <c r="M64" i="87"/>
  <c r="M66" i="87" s="1"/>
  <c r="F66" i="87"/>
  <c r="M69" i="87"/>
  <c r="M76" i="87" s="1"/>
  <c r="F76" i="87"/>
  <c r="F14" i="91"/>
  <c r="M14" i="91" s="1"/>
  <c r="AN13" i="1"/>
  <c r="AK14" i="1" s="1"/>
  <c r="F23" i="89"/>
  <c r="M23" i="89" s="1"/>
  <c r="DF11" i="1"/>
  <c r="DB12" i="1" s="1"/>
  <c r="F64" i="88"/>
  <c r="K66" i="91"/>
  <c r="K64" i="92"/>
  <c r="F65" i="89"/>
  <c r="M65" i="89" s="1"/>
  <c r="N11" i="3"/>
  <c r="K12" i="3" s="1"/>
  <c r="DU15" i="1"/>
  <c r="DQ16" i="1" s="1"/>
  <c r="K70" i="92"/>
  <c r="K76" i="91"/>
  <c r="I54" i="92"/>
  <c r="K12" i="93"/>
  <c r="K27" i="92"/>
  <c r="H53" i="93"/>
  <c r="H51" i="94"/>
  <c r="H27" i="92"/>
  <c r="H54" i="92" s="1"/>
  <c r="H11" i="93"/>
  <c r="H56" i="93"/>
  <c r="H62" i="92"/>
  <c r="F8" i="89"/>
  <c r="M8" i="89" s="1"/>
  <c r="EL11" i="1"/>
  <c r="EI12" i="1" s="1"/>
  <c r="F29" i="88"/>
  <c r="V10" i="1"/>
  <c r="Q11" i="1" s="1"/>
  <c r="EE10" i="1"/>
  <c r="EH10" i="1" s="1"/>
  <c r="F52" i="91"/>
  <c r="M52" i="91" s="1"/>
  <c r="Q52" i="91" s="1"/>
  <c r="AE13" i="1"/>
  <c r="AB14" i="1" s="1"/>
  <c r="Q29" i="87"/>
  <c r="Q53" i="87" s="1"/>
  <c r="M53" i="87"/>
  <c r="M13" i="86"/>
  <c r="M27" i="86" s="1"/>
  <c r="M54" i="86" s="1"/>
  <c r="F27" i="86"/>
  <c r="F54" i="86" s="1"/>
  <c r="F17" i="88"/>
  <c r="M17" i="88" s="1"/>
  <c r="BM10" i="1"/>
  <c r="BI11" i="1" s="1"/>
  <c r="F16" i="87"/>
  <c r="M16" i="87" s="1"/>
  <c r="BH9" i="1"/>
  <c r="BD10" i="1" s="1"/>
  <c r="F19" i="87"/>
  <c r="M19" i="87" s="1"/>
  <c r="BW9" i="1"/>
  <c r="BS10" i="1" s="1"/>
  <c r="F49" i="93"/>
  <c r="M49" i="93" s="1"/>
  <c r="CG15" i="1"/>
  <c r="CC16" i="1" s="1"/>
  <c r="K34" i="93"/>
  <c r="K53" i="92"/>
  <c r="L34" i="92"/>
  <c r="L53" i="91"/>
  <c r="L54" i="91" s="1"/>
  <c r="F18" i="90"/>
  <c r="M18" i="90" s="1"/>
  <c r="BR12" i="1"/>
  <c r="BN13" i="1" s="1"/>
  <c r="F13" i="87"/>
  <c r="AS9" i="1"/>
  <c r="AO10" i="1" s="1"/>
  <c r="EA9" i="1"/>
  <c r="ED9" i="1" s="1"/>
  <c r="F59" i="94"/>
  <c r="M59" i="94" s="1"/>
  <c r="R16" i="4"/>
  <c r="O17" i="4" s="1"/>
  <c r="F57" i="94"/>
  <c r="M57" i="94" s="1"/>
  <c r="Q57" i="94" s="1"/>
  <c r="J16" i="4"/>
  <c r="G17" i="4" s="1"/>
  <c r="F15" i="4"/>
  <c r="C16" i="4" s="1"/>
  <c r="F56" i="93"/>
  <c r="M56" i="93" s="1"/>
  <c r="Q56" i="93" s="1"/>
  <c r="BC15" i="1"/>
  <c r="AY16" i="1" s="1"/>
  <c r="F15" i="93"/>
  <c r="M15" i="93" s="1"/>
  <c r="AX15" i="1"/>
  <c r="AT16" i="1" s="1"/>
  <c r="F12" i="93"/>
  <c r="M12" i="93" s="1"/>
  <c r="Q51" i="91"/>
  <c r="F51" i="93"/>
  <c r="M51" i="93" s="1"/>
  <c r="AF16" i="1"/>
  <c r="AJ16" i="1" s="1"/>
  <c r="M51" i="92"/>
  <c r="Q11" i="91"/>
  <c r="F11" i="93"/>
  <c r="AA15" i="1"/>
  <c r="W16" i="1" s="1"/>
  <c r="C11" i="1"/>
  <c r="H68" i="93"/>
  <c r="H76" i="92"/>
  <c r="I68" i="93"/>
  <c r="I76" i="92"/>
  <c r="Q68" i="91"/>
  <c r="W15" i="56"/>
  <c r="B16" i="56" s="1"/>
  <c r="F68" i="93"/>
  <c r="M68" i="92"/>
  <c r="L69" i="95"/>
  <c r="L76" i="94"/>
  <c r="I56" i="93"/>
  <c r="I62" i="92"/>
  <c r="I66" i="93"/>
  <c r="I64" i="94"/>
  <c r="L66" i="93"/>
  <c r="L64" i="94"/>
  <c r="I10" i="94"/>
  <c r="I27" i="93"/>
  <c r="L29" i="94"/>
  <c r="L27" i="92"/>
  <c r="L10" i="93"/>
  <c r="I29" i="94"/>
  <c r="I53" i="93"/>
  <c r="I11" i="72"/>
  <c r="L62" i="91"/>
  <c r="L58" i="92"/>
  <c r="N15" i="4"/>
  <c r="K16" i="4" s="1"/>
  <c r="F58" i="93"/>
  <c r="M58" i="92"/>
  <c r="F62" i="92"/>
  <c r="K62" i="92"/>
  <c r="K58" i="93"/>
  <c r="M62" i="91"/>
  <c r="Q58" i="91"/>
  <c r="Q62" i="91" s="1"/>
  <c r="H58" i="95"/>
  <c r="I58" i="95"/>
  <c r="C13" i="3"/>
  <c r="F13" i="3" s="1"/>
  <c r="F7" i="90"/>
  <c r="M7" i="90" s="1"/>
  <c r="Q7" i="90" s="1"/>
  <c r="K54" i="92" l="1"/>
  <c r="Q54" i="87"/>
  <c r="N12" i="3"/>
  <c r="K13" i="3" s="1"/>
  <c r="F65" i="90"/>
  <c r="M65" i="90" s="1"/>
  <c r="F23" i="90"/>
  <c r="M23" i="90" s="1"/>
  <c r="DF12" i="1"/>
  <c r="DB13" i="1" s="1"/>
  <c r="F10" i="88"/>
  <c r="M10" i="88" s="1"/>
  <c r="Q10" i="88" s="1"/>
  <c r="Q27" i="88" s="1"/>
  <c r="P10" i="1"/>
  <c r="K11" i="1" s="1"/>
  <c r="H66" i="94"/>
  <c r="H64" i="95"/>
  <c r="F25" i="94"/>
  <c r="M25" i="94" s="1"/>
  <c r="DP16" i="1"/>
  <c r="DL17" i="1" s="1"/>
  <c r="K76" i="92"/>
  <c r="K70" i="93"/>
  <c r="K66" i="92"/>
  <c r="F14" i="92"/>
  <c r="M14" i="92" s="1"/>
  <c r="AN14" i="1"/>
  <c r="AK15" i="1" s="1"/>
  <c r="F26" i="94"/>
  <c r="M26" i="94" s="1"/>
  <c r="DZ16" i="1"/>
  <c r="DV17" i="1" s="1"/>
  <c r="F69" i="89"/>
  <c r="AB11" i="56"/>
  <c r="Y12" i="56" s="1"/>
  <c r="F22" i="90"/>
  <c r="M22" i="90" s="1"/>
  <c r="DA12" i="1"/>
  <c r="CW13" i="1" s="1"/>
  <c r="F48" i="94"/>
  <c r="M48" i="94" s="1"/>
  <c r="CQ16" i="1"/>
  <c r="CM17" i="1" s="1"/>
  <c r="DU16" i="1"/>
  <c r="DQ17" i="1" s="1"/>
  <c r="F64" i="89"/>
  <c r="F21" i="90"/>
  <c r="M21" i="90" s="1"/>
  <c r="CV12" i="1"/>
  <c r="CR13" i="1" s="1"/>
  <c r="F24" i="90"/>
  <c r="M24" i="90" s="1"/>
  <c r="DK12" i="1"/>
  <c r="DG13" i="1" s="1"/>
  <c r="F20" i="93"/>
  <c r="CB15" i="1"/>
  <c r="BX16" i="1" s="1"/>
  <c r="F50" i="96"/>
  <c r="M50" i="96" s="1"/>
  <c r="CL18" i="1"/>
  <c r="CH19" i="1" s="1"/>
  <c r="M64" i="88"/>
  <c r="M66" i="88" s="1"/>
  <c r="F66" i="88"/>
  <c r="K27" i="93"/>
  <c r="K12" i="94"/>
  <c r="H53" i="94"/>
  <c r="H51" i="95"/>
  <c r="H11" i="94"/>
  <c r="H27" i="93"/>
  <c r="H54" i="93" s="1"/>
  <c r="H56" i="94"/>
  <c r="H62" i="93"/>
  <c r="F8" i="90"/>
  <c r="M8" i="90" s="1"/>
  <c r="EL12" i="1"/>
  <c r="EI13" i="1" s="1"/>
  <c r="F29" i="89"/>
  <c r="V11" i="1"/>
  <c r="Q12" i="1" s="1"/>
  <c r="EE11" i="1"/>
  <c r="EH11" i="1" s="1"/>
  <c r="F52" i="92"/>
  <c r="M52" i="92" s="1"/>
  <c r="Q52" i="92" s="1"/>
  <c r="AE14" i="1"/>
  <c r="AB15" i="1" s="1"/>
  <c r="M29" i="88"/>
  <c r="F53" i="88"/>
  <c r="M13" i="87"/>
  <c r="M27" i="87" s="1"/>
  <c r="M54" i="87" s="1"/>
  <c r="F27" i="87"/>
  <c r="F54" i="87" s="1"/>
  <c r="F16" i="88"/>
  <c r="M16" i="88" s="1"/>
  <c r="BH10" i="1"/>
  <c r="BD11" i="1" s="1"/>
  <c r="F18" i="91"/>
  <c r="M18" i="91" s="1"/>
  <c r="BR13" i="1"/>
  <c r="BN14" i="1" s="1"/>
  <c r="K34" i="94"/>
  <c r="K53" i="93"/>
  <c r="F49" i="94"/>
  <c r="M49" i="94" s="1"/>
  <c r="CG16" i="1"/>
  <c r="CC17" i="1" s="1"/>
  <c r="F17" i="89"/>
  <c r="M17" i="89" s="1"/>
  <c r="BM11" i="1"/>
  <c r="BI12" i="1" s="1"/>
  <c r="L34" i="93"/>
  <c r="L53" i="92"/>
  <c r="L54" i="92" s="1"/>
  <c r="F19" i="88"/>
  <c r="M19" i="88" s="1"/>
  <c r="BW10" i="1"/>
  <c r="BS11" i="1" s="1"/>
  <c r="F13" i="88"/>
  <c r="AS10" i="1"/>
  <c r="AO11" i="1" s="1"/>
  <c r="EA10" i="1"/>
  <c r="ED10" i="1" s="1"/>
  <c r="R17" i="4"/>
  <c r="O18" i="4" s="1"/>
  <c r="F59" i="95"/>
  <c r="M59" i="95" s="1"/>
  <c r="J17" i="4"/>
  <c r="G18" i="4" s="1"/>
  <c r="F57" i="95"/>
  <c r="M57" i="95" s="1"/>
  <c r="Q57" i="95" s="1"/>
  <c r="F56" i="94"/>
  <c r="M56" i="94" s="1"/>
  <c r="Q56" i="94" s="1"/>
  <c r="F16" i="4"/>
  <c r="C17" i="4" s="1"/>
  <c r="F15" i="94"/>
  <c r="M15" i="94" s="1"/>
  <c r="BC16" i="1"/>
  <c r="AY17" i="1" s="1"/>
  <c r="F12" i="94"/>
  <c r="M12" i="94" s="1"/>
  <c r="AX16" i="1"/>
  <c r="AT17" i="1" s="1"/>
  <c r="Q51" i="92"/>
  <c r="AF17" i="1"/>
  <c r="AJ17" i="1" s="1"/>
  <c r="F51" i="94"/>
  <c r="M51" i="94" s="1"/>
  <c r="F11" i="94"/>
  <c r="AA16" i="1"/>
  <c r="W17" i="1" s="1"/>
  <c r="Q11" i="92"/>
  <c r="M11" i="93"/>
  <c r="F6" i="89"/>
  <c r="M6" i="89" s="1"/>
  <c r="Q6" i="89" s="1"/>
  <c r="F11" i="1"/>
  <c r="C12" i="1" s="1"/>
  <c r="I76" i="93"/>
  <c r="I68" i="94"/>
  <c r="H76" i="93"/>
  <c r="H68" i="94"/>
  <c r="M68" i="93"/>
  <c r="F68" i="94"/>
  <c r="W16" i="56"/>
  <c r="B17" i="56" s="1"/>
  <c r="Q68" i="92"/>
  <c r="L76" i="95"/>
  <c r="L69" i="96"/>
  <c r="I56" i="94"/>
  <c r="I62" i="93"/>
  <c r="I66" i="94"/>
  <c r="I64" i="95"/>
  <c r="L64" i="95"/>
  <c r="L66" i="94"/>
  <c r="L10" i="94"/>
  <c r="L27" i="93"/>
  <c r="I54" i="93"/>
  <c r="L29" i="95"/>
  <c r="I53" i="94"/>
  <c r="I29" i="95"/>
  <c r="I10" i="95"/>
  <c r="I27" i="94"/>
  <c r="I11" i="73"/>
  <c r="M62" i="92"/>
  <c r="Q58" i="92"/>
  <c r="Q62" i="92" s="1"/>
  <c r="F58" i="94"/>
  <c r="N16" i="4"/>
  <c r="K17" i="4" s="1"/>
  <c r="F62" i="93"/>
  <c r="M58" i="93"/>
  <c r="L58" i="93"/>
  <c r="L62" i="92"/>
  <c r="K62" i="93"/>
  <c r="K58" i="94"/>
  <c r="H58" i="96"/>
  <c r="I58" i="96"/>
  <c r="C14" i="3"/>
  <c r="F14" i="3" s="1"/>
  <c r="F7" i="91"/>
  <c r="M7" i="91" s="1"/>
  <c r="Q7" i="91" s="1"/>
  <c r="K54" i="93" l="1"/>
  <c r="F10" i="89"/>
  <c r="M10" i="89" s="1"/>
  <c r="Q10" i="89" s="1"/>
  <c r="Q27" i="89" s="1"/>
  <c r="P11" i="1"/>
  <c r="K12" i="1" s="1"/>
  <c r="F20" i="94"/>
  <c r="CB16" i="1"/>
  <c r="BX17" i="1" s="1"/>
  <c r="F64" i="90"/>
  <c r="F22" i="91"/>
  <c r="M22" i="91" s="1"/>
  <c r="DA13" i="1"/>
  <c r="CW14" i="1" s="1"/>
  <c r="F14" i="93"/>
  <c r="M14" i="93" s="1"/>
  <c r="AN15" i="1"/>
  <c r="AK16" i="1" s="1"/>
  <c r="F66" i="89"/>
  <c r="M64" i="89"/>
  <c r="M66" i="89" s="1"/>
  <c r="F25" i="95"/>
  <c r="M25" i="95" s="1"/>
  <c r="DP17" i="1"/>
  <c r="DL18" i="1" s="1"/>
  <c r="F23" i="91"/>
  <c r="M23" i="91" s="1"/>
  <c r="DF13" i="1"/>
  <c r="DB14" i="1" s="1"/>
  <c r="F24" i="91"/>
  <c r="M24" i="91" s="1"/>
  <c r="DK13" i="1"/>
  <c r="DG14" i="1" s="1"/>
  <c r="DU17" i="1"/>
  <c r="DQ18" i="1" s="1"/>
  <c r="F69" i="90"/>
  <c r="F76" i="90" s="1"/>
  <c r="AB12" i="56"/>
  <c r="Y13" i="56" s="1"/>
  <c r="K66" i="93"/>
  <c r="K64" i="94"/>
  <c r="M69" i="89"/>
  <c r="M76" i="89" s="1"/>
  <c r="F76" i="89"/>
  <c r="H66" i="95"/>
  <c r="H64" i="96"/>
  <c r="F50" i="97"/>
  <c r="M50" i="97" s="1"/>
  <c r="CL19" i="1"/>
  <c r="CH20" i="1" s="1"/>
  <c r="F21" i="91"/>
  <c r="M21" i="91" s="1"/>
  <c r="CV13" i="1"/>
  <c r="CR14" i="1" s="1"/>
  <c r="F48" i="95"/>
  <c r="M48" i="95" s="1"/>
  <c r="CQ17" i="1"/>
  <c r="CM18" i="1" s="1"/>
  <c r="F26" i="95"/>
  <c r="M26" i="95" s="1"/>
  <c r="DZ17" i="1"/>
  <c r="DV18" i="1" s="1"/>
  <c r="K70" i="94"/>
  <c r="K76" i="93"/>
  <c r="F65" i="91"/>
  <c r="M65" i="91" s="1"/>
  <c r="N13" i="3"/>
  <c r="K14" i="3" s="1"/>
  <c r="K27" i="94"/>
  <c r="K12" i="95"/>
  <c r="H53" i="95"/>
  <c r="H51" i="96"/>
  <c r="H11" i="95"/>
  <c r="H27" i="94"/>
  <c r="H54" i="94" s="1"/>
  <c r="H56" i="95"/>
  <c r="H62" i="94"/>
  <c r="EL13" i="1"/>
  <c r="EI14" i="1" s="1"/>
  <c r="F8" i="91"/>
  <c r="M8" i="91" s="1"/>
  <c r="F52" i="93"/>
  <c r="M52" i="93" s="1"/>
  <c r="Q52" i="93" s="1"/>
  <c r="AE15" i="1"/>
  <c r="AB16" i="1" s="1"/>
  <c r="V12" i="1"/>
  <c r="Q13" i="1" s="1"/>
  <c r="F29" i="90"/>
  <c r="EE12" i="1"/>
  <c r="EH12" i="1" s="1"/>
  <c r="M29" i="89"/>
  <c r="F53" i="89"/>
  <c r="Q29" i="88"/>
  <c r="Q53" i="88" s="1"/>
  <c r="Q54" i="88" s="1"/>
  <c r="M53" i="88"/>
  <c r="F19" i="89"/>
  <c r="M19" i="89" s="1"/>
  <c r="BW11" i="1"/>
  <c r="BS12" i="1" s="1"/>
  <c r="F17" i="90"/>
  <c r="M17" i="90" s="1"/>
  <c r="BM12" i="1"/>
  <c r="BI13" i="1" s="1"/>
  <c r="F18" i="92"/>
  <c r="M18" i="92" s="1"/>
  <c r="BR14" i="1"/>
  <c r="BN15" i="1" s="1"/>
  <c r="F49" i="95"/>
  <c r="M49" i="95" s="1"/>
  <c r="CG17" i="1"/>
  <c r="CC18" i="1" s="1"/>
  <c r="F16" i="89"/>
  <c r="M16" i="89" s="1"/>
  <c r="BH11" i="1"/>
  <c r="BD12" i="1" s="1"/>
  <c r="L34" i="94"/>
  <c r="L53" i="93"/>
  <c r="L54" i="93" s="1"/>
  <c r="F13" i="89"/>
  <c r="AS11" i="1"/>
  <c r="AO12" i="1" s="1"/>
  <c r="EA11" i="1"/>
  <c r="ED11" i="1" s="1"/>
  <c r="M13" i="88"/>
  <c r="M27" i="88" s="1"/>
  <c r="F27" i="88"/>
  <c r="F54" i="88" s="1"/>
  <c r="K34" i="95"/>
  <c r="K53" i="94"/>
  <c r="F59" i="96"/>
  <c r="M59" i="96" s="1"/>
  <c r="R18" i="4"/>
  <c r="O19" i="4" s="1"/>
  <c r="F57" i="96"/>
  <c r="M57" i="96" s="1"/>
  <c r="Q57" i="96" s="1"/>
  <c r="J18" i="4"/>
  <c r="G19" i="4" s="1"/>
  <c r="F17" i="4"/>
  <c r="C18" i="4" s="1"/>
  <c r="F56" i="95"/>
  <c r="M56" i="95" s="1"/>
  <c r="Q56" i="95" s="1"/>
  <c r="F15" i="95"/>
  <c r="M15" i="95" s="1"/>
  <c r="BC17" i="1"/>
  <c r="AY18" i="1" s="1"/>
  <c r="AX17" i="1"/>
  <c r="AT18" i="1" s="1"/>
  <c r="F12" i="95"/>
  <c r="M12" i="95" s="1"/>
  <c r="F51" i="95"/>
  <c r="M51" i="95" s="1"/>
  <c r="AF18" i="1"/>
  <c r="AJ18" i="1" s="1"/>
  <c r="Q51" i="93"/>
  <c r="Q11" i="93"/>
  <c r="M11" i="94"/>
  <c r="F11" i="95"/>
  <c r="AA17" i="1"/>
  <c r="W18" i="1" s="1"/>
  <c r="F6" i="90"/>
  <c r="M6" i="90" s="1"/>
  <c r="Q6" i="90" s="1"/>
  <c r="F12" i="1"/>
  <c r="C13" i="1" s="1"/>
  <c r="H68" i="95"/>
  <c r="H76" i="94"/>
  <c r="I76" i="94"/>
  <c r="I68" i="95"/>
  <c r="M68" i="94"/>
  <c r="Q68" i="93"/>
  <c r="W17" i="56"/>
  <c r="B18" i="56" s="1"/>
  <c r="F68" i="95"/>
  <c r="L76" i="96"/>
  <c r="L69" i="97"/>
  <c r="I56" i="95"/>
  <c r="I62" i="94"/>
  <c r="I66" i="95"/>
  <c r="I64" i="96"/>
  <c r="L64" i="96"/>
  <c r="L66" i="95"/>
  <c r="L29" i="96"/>
  <c r="I54" i="94"/>
  <c r="I10" i="96"/>
  <c r="I27" i="95"/>
  <c r="I29" i="96"/>
  <c r="I53" i="95"/>
  <c r="L27" i="94"/>
  <c r="L10" i="95"/>
  <c r="I11" i="74"/>
  <c r="K62" i="94"/>
  <c r="K58" i="95"/>
  <c r="M58" i="94"/>
  <c r="F62" i="94"/>
  <c r="Q58" i="93"/>
  <c r="Q62" i="93" s="1"/>
  <c r="M62" i="93"/>
  <c r="F58" i="95"/>
  <c r="N17" i="4"/>
  <c r="K18" i="4" s="1"/>
  <c r="L62" i="93"/>
  <c r="L58" i="94"/>
  <c r="H58" i="97"/>
  <c r="I58" i="97"/>
  <c r="F7" i="92"/>
  <c r="M7" i="92" s="1"/>
  <c r="Q7" i="92" s="1"/>
  <c r="C15" i="3"/>
  <c r="F15" i="3" s="1"/>
  <c r="K66" i="94" l="1"/>
  <c r="K64" i="95"/>
  <c r="F24" i="92"/>
  <c r="M24" i="92" s="1"/>
  <c r="DK14" i="1"/>
  <c r="DG15" i="1" s="1"/>
  <c r="F64" i="91"/>
  <c r="F65" i="92"/>
  <c r="M65" i="92" s="1"/>
  <c r="N14" i="3"/>
  <c r="K15" i="3" s="1"/>
  <c r="F48" i="96"/>
  <c r="M48" i="96" s="1"/>
  <c r="CQ18" i="1"/>
  <c r="CM19" i="1" s="1"/>
  <c r="H66" i="96"/>
  <c r="H64" i="97"/>
  <c r="M64" i="90"/>
  <c r="M66" i="90" s="1"/>
  <c r="F66" i="90"/>
  <c r="F69" i="91"/>
  <c r="AB13" i="56"/>
  <c r="Y14" i="56" s="1"/>
  <c r="F23" i="92"/>
  <c r="M23" i="92" s="1"/>
  <c r="DF14" i="1"/>
  <c r="DB15" i="1" s="1"/>
  <c r="F14" i="94"/>
  <c r="M14" i="94" s="1"/>
  <c r="AN16" i="1"/>
  <c r="AK17" i="1" s="1"/>
  <c r="F20" i="95"/>
  <c r="CB17" i="1"/>
  <c r="BX18" i="1" s="1"/>
  <c r="F21" i="92"/>
  <c r="M21" i="92" s="1"/>
  <c r="CV14" i="1"/>
  <c r="CR15" i="1" s="1"/>
  <c r="K76" i="94"/>
  <c r="K70" i="95"/>
  <c r="DU18" i="1"/>
  <c r="DQ19" i="1" s="1"/>
  <c r="F25" i="96"/>
  <c r="M25" i="96" s="1"/>
  <c r="DP18" i="1"/>
  <c r="DL19" i="1" s="1"/>
  <c r="F22" i="92"/>
  <c r="M22" i="92" s="1"/>
  <c r="DA14" i="1"/>
  <c r="CW15" i="1" s="1"/>
  <c r="F10" i="90"/>
  <c r="M10" i="90" s="1"/>
  <c r="Q10" i="90" s="1"/>
  <c r="Q27" i="90" s="1"/>
  <c r="P12" i="1"/>
  <c r="K13" i="1" s="1"/>
  <c r="K54" i="94"/>
  <c r="F26" i="96"/>
  <c r="M26" i="96" s="1"/>
  <c r="DZ18" i="1"/>
  <c r="DV19" i="1" s="1"/>
  <c r="F50" i="98"/>
  <c r="M50" i="98" s="1"/>
  <c r="CL20" i="1"/>
  <c r="CH21" i="1" s="1"/>
  <c r="K27" i="95"/>
  <c r="K12" i="96"/>
  <c r="M54" i="88"/>
  <c r="I54" i="95"/>
  <c r="H51" i="97"/>
  <c r="H53" i="96"/>
  <c r="H27" i="95"/>
  <c r="H54" i="95" s="1"/>
  <c r="H11" i="96"/>
  <c r="H56" i="96"/>
  <c r="H62" i="95"/>
  <c r="EL14" i="1"/>
  <c r="EI15" i="1" s="1"/>
  <c r="F8" i="92"/>
  <c r="M8" i="92" s="1"/>
  <c r="Q29" i="89"/>
  <c r="Q53" i="89" s="1"/>
  <c r="Q54" i="89" s="1"/>
  <c r="M53" i="89"/>
  <c r="M29" i="90"/>
  <c r="F53" i="90"/>
  <c r="F29" i="91"/>
  <c r="V13" i="1"/>
  <c r="Q14" i="1" s="1"/>
  <c r="EE13" i="1"/>
  <c r="EH13" i="1" s="1"/>
  <c r="F52" i="94"/>
  <c r="M52" i="94" s="1"/>
  <c r="Q52" i="94" s="1"/>
  <c r="AE16" i="1"/>
  <c r="AB17" i="1" s="1"/>
  <c r="F18" i="93"/>
  <c r="M18" i="93" s="1"/>
  <c r="BR15" i="1"/>
  <c r="BN16" i="1" s="1"/>
  <c r="L34" i="95"/>
  <c r="L53" i="94"/>
  <c r="L54" i="94" s="1"/>
  <c r="F16" i="90"/>
  <c r="M16" i="90" s="1"/>
  <c r="BH12" i="1"/>
  <c r="BD13" i="1" s="1"/>
  <c r="F17" i="91"/>
  <c r="M17" i="91" s="1"/>
  <c r="BM13" i="1"/>
  <c r="BI14" i="1" s="1"/>
  <c r="F13" i="90"/>
  <c r="AS12" i="1"/>
  <c r="AO13" i="1" s="1"/>
  <c r="EA12" i="1"/>
  <c r="ED12" i="1" s="1"/>
  <c r="M13" i="89"/>
  <c r="M27" i="89" s="1"/>
  <c r="F27" i="89"/>
  <c r="F54" i="89" s="1"/>
  <c r="F49" i="96"/>
  <c r="M49" i="96" s="1"/>
  <c r="CG18" i="1"/>
  <c r="CC19" i="1" s="1"/>
  <c r="F19" i="90"/>
  <c r="M19" i="90" s="1"/>
  <c r="BW12" i="1"/>
  <c r="BS13" i="1" s="1"/>
  <c r="K34" i="96"/>
  <c r="K53" i="95"/>
  <c r="F59" i="97"/>
  <c r="M59" i="97" s="1"/>
  <c r="R19" i="4"/>
  <c r="O20" i="4" s="1"/>
  <c r="F57" i="97"/>
  <c r="M57" i="97" s="1"/>
  <c r="Q57" i="97" s="1"/>
  <c r="J19" i="4"/>
  <c r="G20" i="4" s="1"/>
  <c r="F18" i="4"/>
  <c r="C19" i="4" s="1"/>
  <c r="F56" i="96"/>
  <c r="M56" i="96" s="1"/>
  <c r="Q56" i="96" s="1"/>
  <c r="BC18" i="1"/>
  <c r="AY19" i="1" s="1"/>
  <c r="F15" i="96"/>
  <c r="M15" i="96" s="1"/>
  <c r="F12" i="96"/>
  <c r="M12" i="96" s="1"/>
  <c r="AX18" i="1"/>
  <c r="AT19" i="1" s="1"/>
  <c r="F51" i="96"/>
  <c r="M51" i="96" s="1"/>
  <c r="AF19" i="1"/>
  <c r="AJ19" i="1" s="1"/>
  <c r="Q51" i="94"/>
  <c r="M11" i="95"/>
  <c r="AA18" i="1"/>
  <c r="W19" i="1" s="1"/>
  <c r="F11" i="96"/>
  <c r="Q11" i="94"/>
  <c r="F6" i="91"/>
  <c r="M6" i="91" s="1"/>
  <c r="Q6" i="91" s="1"/>
  <c r="F13" i="1"/>
  <c r="C14" i="1" s="1"/>
  <c r="I76" i="95"/>
  <c r="I68" i="96"/>
  <c r="H68" i="96"/>
  <c r="H76" i="95"/>
  <c r="Q68" i="94"/>
  <c r="M68" i="95"/>
  <c r="W18" i="56"/>
  <c r="B19" i="56" s="1"/>
  <c r="F68" i="96"/>
  <c r="L69" i="98"/>
  <c r="L76" i="97"/>
  <c r="I56" i="96"/>
  <c r="I62" i="95"/>
  <c r="L64" i="97"/>
  <c r="L66" i="96"/>
  <c r="I66" i="96"/>
  <c r="I64" i="97"/>
  <c r="I29" i="97"/>
  <c r="I53" i="96"/>
  <c r="I10" i="97"/>
  <c r="I27" i="96"/>
  <c r="L10" i="96"/>
  <c r="L27" i="95"/>
  <c r="L29" i="97"/>
  <c r="L29" i="98" s="1"/>
  <c r="I11" i="75"/>
  <c r="M62" i="94"/>
  <c r="Q58" i="94"/>
  <c r="Q62" i="94" s="1"/>
  <c r="L62" i="94"/>
  <c r="L58" i="95"/>
  <c r="K62" i="95"/>
  <c r="K58" i="96"/>
  <c r="N18" i="4"/>
  <c r="K19" i="4" s="1"/>
  <c r="F58" i="96"/>
  <c r="M58" i="95"/>
  <c r="F62" i="95"/>
  <c r="H58" i="98"/>
  <c r="I58" i="98"/>
  <c r="F7" i="93"/>
  <c r="M7" i="93" s="1"/>
  <c r="Q7" i="93" s="1"/>
  <c r="C16" i="3"/>
  <c r="F16" i="3" s="1"/>
  <c r="K54" i="95" l="1"/>
  <c r="H66" i="97"/>
  <c r="H64" i="98"/>
  <c r="F64" i="92"/>
  <c r="F10" i="91"/>
  <c r="M10" i="91" s="1"/>
  <c r="Q10" i="91" s="1"/>
  <c r="Q27" i="91" s="1"/>
  <c r="P13" i="1"/>
  <c r="K14" i="1" s="1"/>
  <c r="DU19" i="1"/>
  <c r="DQ20" i="1" s="1"/>
  <c r="F20" i="96"/>
  <c r="CB18" i="1"/>
  <c r="BX19" i="1" s="1"/>
  <c r="F69" i="92"/>
  <c r="AB14" i="56"/>
  <c r="Y15" i="56" s="1"/>
  <c r="F66" i="91"/>
  <c r="M64" i="91"/>
  <c r="M66" i="91" s="1"/>
  <c r="F50" i="99"/>
  <c r="M50" i="99" s="1"/>
  <c r="CL21" i="1"/>
  <c r="CH22" i="1" s="1"/>
  <c r="M69" i="91"/>
  <c r="M76" i="91" s="1"/>
  <c r="F76" i="91"/>
  <c r="F48" i="97"/>
  <c r="M48" i="97" s="1"/>
  <c r="CQ19" i="1"/>
  <c r="CM20" i="1" s="1"/>
  <c r="F24" i="93"/>
  <c r="M24" i="93" s="1"/>
  <c r="DK15" i="1"/>
  <c r="DG16" i="1" s="1"/>
  <c r="F22" i="93"/>
  <c r="M22" i="93" s="1"/>
  <c r="DA15" i="1"/>
  <c r="CW16" i="1" s="1"/>
  <c r="K70" i="96"/>
  <c r="K76" i="95"/>
  <c r="F14" i="95"/>
  <c r="M14" i="95" s="1"/>
  <c r="AN17" i="1"/>
  <c r="AK18" i="1" s="1"/>
  <c r="F26" i="97"/>
  <c r="M26" i="97" s="1"/>
  <c r="DZ19" i="1"/>
  <c r="DV20" i="1" s="1"/>
  <c r="F65" i="93"/>
  <c r="M65" i="93" s="1"/>
  <c r="N15" i="3"/>
  <c r="K16" i="3" s="1"/>
  <c r="K66" i="95"/>
  <c r="K64" i="96"/>
  <c r="F25" i="97"/>
  <c r="M25" i="97" s="1"/>
  <c r="DP19" i="1"/>
  <c r="DL20" i="1" s="1"/>
  <c r="F21" i="93"/>
  <c r="M21" i="93" s="1"/>
  <c r="CV15" i="1"/>
  <c r="CR16" i="1" s="1"/>
  <c r="F23" i="93"/>
  <c r="M23" i="93" s="1"/>
  <c r="DF15" i="1"/>
  <c r="DB16" i="1" s="1"/>
  <c r="I54" i="96"/>
  <c r="K27" i="96"/>
  <c r="K12" i="97"/>
  <c r="H53" i="97"/>
  <c r="H51" i="98"/>
  <c r="M54" i="89"/>
  <c r="H11" i="97"/>
  <c r="H27" i="96"/>
  <c r="H54" i="96" s="1"/>
  <c r="H56" i="97"/>
  <c r="H62" i="96"/>
  <c r="F8" i="93"/>
  <c r="M8" i="93" s="1"/>
  <c r="EL15" i="1"/>
  <c r="EI16" i="1" s="1"/>
  <c r="M29" i="91"/>
  <c r="F53" i="91"/>
  <c r="F52" i="95"/>
  <c r="M52" i="95" s="1"/>
  <c r="Q52" i="95" s="1"/>
  <c r="AE17" i="1"/>
  <c r="AB18" i="1" s="1"/>
  <c r="Q29" i="90"/>
  <c r="Q53" i="90" s="1"/>
  <c r="Q54" i="90" s="1"/>
  <c r="M53" i="90"/>
  <c r="F29" i="92"/>
  <c r="V14" i="1"/>
  <c r="Q15" i="1" s="1"/>
  <c r="EE14" i="1"/>
  <c r="EH14" i="1" s="1"/>
  <c r="F19" i="91"/>
  <c r="M19" i="91" s="1"/>
  <c r="BW13" i="1"/>
  <c r="BS14" i="1" s="1"/>
  <c r="F13" i="91"/>
  <c r="AS13" i="1"/>
  <c r="AO14" i="1" s="1"/>
  <c r="EA13" i="1"/>
  <c r="ED13" i="1" s="1"/>
  <c r="F49" i="97"/>
  <c r="M49" i="97" s="1"/>
  <c r="CG19" i="1"/>
  <c r="CC20" i="1" s="1"/>
  <c r="M13" i="90"/>
  <c r="M27" i="90" s="1"/>
  <c r="F27" i="90"/>
  <c r="F54" i="90" s="1"/>
  <c r="F17" i="92"/>
  <c r="M17" i="92" s="1"/>
  <c r="BM14" i="1"/>
  <c r="BI15" i="1" s="1"/>
  <c r="L34" i="96"/>
  <c r="L53" i="95"/>
  <c r="L54" i="95" s="1"/>
  <c r="F18" i="94"/>
  <c r="M18" i="94" s="1"/>
  <c r="BR16" i="1"/>
  <c r="BN17" i="1" s="1"/>
  <c r="K53" i="96"/>
  <c r="K34" i="97"/>
  <c r="F16" i="91"/>
  <c r="M16" i="91" s="1"/>
  <c r="BH13" i="1"/>
  <c r="BD14" i="1" s="1"/>
  <c r="R20" i="4"/>
  <c r="O21" i="4" s="1"/>
  <c r="F59" i="98"/>
  <c r="M59" i="98" s="1"/>
  <c r="J20" i="4"/>
  <c r="G21" i="4" s="1"/>
  <c r="F57" i="98"/>
  <c r="M57" i="98" s="1"/>
  <c r="Q57" i="98" s="1"/>
  <c r="F19" i="4"/>
  <c r="C20" i="4" s="1"/>
  <c r="F56" i="97"/>
  <c r="M56" i="97" s="1"/>
  <c r="Q56" i="97" s="1"/>
  <c r="F15" i="97"/>
  <c r="M15" i="97" s="1"/>
  <c r="BC19" i="1"/>
  <c r="AY20" i="1" s="1"/>
  <c r="AX19" i="1"/>
  <c r="AT20" i="1" s="1"/>
  <c r="F12" i="97"/>
  <c r="M12" i="97" s="1"/>
  <c r="F51" i="97"/>
  <c r="M51" i="97" s="1"/>
  <c r="AF20" i="1"/>
  <c r="AJ20" i="1" s="1"/>
  <c r="Q51" i="95"/>
  <c r="M11" i="96"/>
  <c r="F11" i="97"/>
  <c r="AA19" i="1"/>
  <c r="W20" i="1" s="1"/>
  <c r="Q11" i="95"/>
  <c r="F14" i="1"/>
  <c r="C15" i="1" s="1"/>
  <c r="F6" i="92"/>
  <c r="M6" i="92" s="1"/>
  <c r="Q6" i="92" s="1"/>
  <c r="I68" i="97"/>
  <c r="I76" i="96"/>
  <c r="H68" i="97"/>
  <c r="H76" i="96"/>
  <c r="M68" i="96"/>
  <c r="F68" i="97"/>
  <c r="W19" i="56"/>
  <c r="B20" i="56" s="1"/>
  <c r="Q68" i="95"/>
  <c r="L76" i="98"/>
  <c r="L69" i="99"/>
  <c r="I56" i="97"/>
  <c r="I62" i="96"/>
  <c r="I64" i="98"/>
  <c r="I66" i="97"/>
  <c r="L66" i="97"/>
  <c r="L64" i="98"/>
  <c r="I10" i="98"/>
  <c r="I27" i="97"/>
  <c r="L10" i="97"/>
  <c r="L27" i="96"/>
  <c r="L29" i="99"/>
  <c r="I29" i="98"/>
  <c r="I53" i="97"/>
  <c r="I11" i="76"/>
  <c r="K62" i="96"/>
  <c r="K58" i="97"/>
  <c r="L62" i="95"/>
  <c r="L58" i="96"/>
  <c r="M62" i="95"/>
  <c r="Q58" i="95"/>
  <c r="Q62" i="95" s="1"/>
  <c r="F62" i="96"/>
  <c r="M58" i="96"/>
  <c r="F58" i="97"/>
  <c r="N19" i="4"/>
  <c r="K20" i="4" s="1"/>
  <c r="I58" i="99"/>
  <c r="H58" i="99"/>
  <c r="C17" i="3"/>
  <c r="F17" i="3" s="1"/>
  <c r="F7" i="94"/>
  <c r="M7" i="94" s="1"/>
  <c r="Q7" i="94" s="1"/>
  <c r="F22" i="94" l="1"/>
  <c r="M22" i="94" s="1"/>
  <c r="DA16" i="1"/>
  <c r="CW17" i="1" s="1"/>
  <c r="F69" i="93"/>
  <c r="AB15" i="56"/>
  <c r="Y16" i="56" s="1"/>
  <c r="F10" i="92"/>
  <c r="M10" i="92" s="1"/>
  <c r="P14" i="1"/>
  <c r="K15" i="1" s="1"/>
  <c r="F23" i="94"/>
  <c r="M23" i="94" s="1"/>
  <c r="DF16" i="1"/>
  <c r="DB17" i="1" s="1"/>
  <c r="K66" i="96"/>
  <c r="K64" i="97"/>
  <c r="M69" i="92"/>
  <c r="M76" i="92" s="1"/>
  <c r="F76" i="92"/>
  <c r="F14" i="96"/>
  <c r="M14" i="96" s="1"/>
  <c r="AN18" i="1"/>
  <c r="AK19" i="1" s="1"/>
  <c r="F24" i="94"/>
  <c r="M24" i="94" s="1"/>
  <c r="DK16" i="1"/>
  <c r="DG17" i="1" s="1"/>
  <c r="F50" i="42"/>
  <c r="M50" i="42" s="1"/>
  <c r="CL22" i="1"/>
  <c r="CH23" i="1" s="1"/>
  <c r="F20" i="97"/>
  <c r="CB19" i="1"/>
  <c r="BX20" i="1" s="1"/>
  <c r="F64" i="93"/>
  <c r="F21" i="94"/>
  <c r="M21" i="94" s="1"/>
  <c r="CV16" i="1"/>
  <c r="CR17" i="1" s="1"/>
  <c r="F65" i="94"/>
  <c r="M65" i="94" s="1"/>
  <c r="N16" i="3"/>
  <c r="K17" i="3" s="1"/>
  <c r="F66" i="92"/>
  <c r="M64" i="92"/>
  <c r="M66" i="92" s="1"/>
  <c r="F48" i="98"/>
  <c r="M48" i="98" s="1"/>
  <c r="CQ20" i="1"/>
  <c r="CM21" i="1" s="1"/>
  <c r="M32" i="98"/>
  <c r="DU20" i="1"/>
  <c r="DQ21" i="1" s="1"/>
  <c r="H66" i="98"/>
  <c r="H64" i="99"/>
  <c r="F25" i="98"/>
  <c r="M25" i="98" s="1"/>
  <c r="DP20" i="1"/>
  <c r="DL21" i="1" s="1"/>
  <c r="F26" i="98"/>
  <c r="M26" i="98" s="1"/>
  <c r="DZ20" i="1"/>
  <c r="DV21" i="1" s="1"/>
  <c r="K70" i="97"/>
  <c r="K76" i="96"/>
  <c r="K54" i="96"/>
  <c r="K12" i="98"/>
  <c r="K27" i="97"/>
  <c r="M54" i="90"/>
  <c r="H53" i="98"/>
  <c r="H51" i="99"/>
  <c r="H27" i="97"/>
  <c r="H54" i="97" s="1"/>
  <c r="H11" i="98"/>
  <c r="H56" i="98"/>
  <c r="H62" i="97"/>
  <c r="EL16" i="1"/>
  <c r="EI17" i="1" s="1"/>
  <c r="F8" i="94"/>
  <c r="M8" i="94" s="1"/>
  <c r="F52" i="96"/>
  <c r="M52" i="96" s="1"/>
  <c r="Q52" i="96" s="1"/>
  <c r="AE18" i="1"/>
  <c r="AB19" i="1" s="1"/>
  <c r="F29" i="93"/>
  <c r="V15" i="1"/>
  <c r="Q16" i="1" s="1"/>
  <c r="F31" i="92" s="1"/>
  <c r="M31" i="92" s="1"/>
  <c r="EE15" i="1"/>
  <c r="EH15" i="1" s="1"/>
  <c r="M29" i="92"/>
  <c r="Q29" i="91"/>
  <c r="Q53" i="91" s="1"/>
  <c r="Q54" i="91" s="1"/>
  <c r="M53" i="91"/>
  <c r="K34" i="98"/>
  <c r="K53" i="97"/>
  <c r="F17" i="93"/>
  <c r="M17" i="93" s="1"/>
  <c r="BM15" i="1"/>
  <c r="BI16" i="1" s="1"/>
  <c r="F18" i="95"/>
  <c r="M18" i="95" s="1"/>
  <c r="BR17" i="1"/>
  <c r="BN18" i="1" s="1"/>
  <c r="F13" i="92"/>
  <c r="AS14" i="1"/>
  <c r="AO15" i="1" s="1"/>
  <c r="EA14" i="1"/>
  <c r="ED14" i="1" s="1"/>
  <c r="M13" i="91"/>
  <c r="M27" i="91" s="1"/>
  <c r="F27" i="91"/>
  <c r="F54" i="91" s="1"/>
  <c r="F16" i="92"/>
  <c r="M16" i="92" s="1"/>
  <c r="BH14" i="1"/>
  <c r="BD15" i="1" s="1"/>
  <c r="F19" i="92"/>
  <c r="M19" i="92" s="1"/>
  <c r="BW14" i="1"/>
  <c r="BS15" i="1" s="1"/>
  <c r="L34" i="97"/>
  <c r="L34" i="98" s="1"/>
  <c r="L53" i="96"/>
  <c r="L53" i="97" s="1"/>
  <c r="F49" i="98"/>
  <c r="M49" i="98" s="1"/>
  <c r="CG20" i="1"/>
  <c r="CC21" i="1" s="1"/>
  <c r="F59" i="99"/>
  <c r="M59" i="99" s="1"/>
  <c r="R21" i="4"/>
  <c r="O22" i="4" s="1"/>
  <c r="F57" i="99"/>
  <c r="M57" i="99" s="1"/>
  <c r="Q57" i="99" s="1"/>
  <c r="J21" i="4"/>
  <c r="G22" i="4" s="1"/>
  <c r="F20" i="4"/>
  <c r="C21" i="4" s="1"/>
  <c r="F56" i="98"/>
  <c r="M56" i="98" s="1"/>
  <c r="Q56" i="98" s="1"/>
  <c r="BC20" i="1"/>
  <c r="AY21" i="1" s="1"/>
  <c r="F15" i="98"/>
  <c r="M15" i="98" s="1"/>
  <c r="F12" i="98"/>
  <c r="M12" i="98" s="1"/>
  <c r="AX20" i="1"/>
  <c r="AT21" i="1" s="1"/>
  <c r="Q51" i="96"/>
  <c r="F51" i="98"/>
  <c r="M51" i="98" s="1"/>
  <c r="AF21" i="1"/>
  <c r="AJ21" i="1" s="1"/>
  <c r="F11" i="98"/>
  <c r="M11" i="98" s="1"/>
  <c r="AA20" i="1"/>
  <c r="W21" i="1" s="1"/>
  <c r="M11" i="97"/>
  <c r="Q11" i="96"/>
  <c r="F15" i="1"/>
  <c r="C16" i="1" s="1"/>
  <c r="F6" i="93"/>
  <c r="M6" i="93" s="1"/>
  <c r="Q6" i="93" s="1"/>
  <c r="H68" i="98"/>
  <c r="H76" i="97"/>
  <c r="I68" i="98"/>
  <c r="I76" i="97"/>
  <c r="W20" i="56"/>
  <c r="B21" i="56" s="1"/>
  <c r="F68" i="98"/>
  <c r="M68" i="97"/>
  <c r="Q68" i="96"/>
  <c r="L76" i="99"/>
  <c r="L69" i="42"/>
  <c r="I56" i="98"/>
  <c r="I62" i="97"/>
  <c r="L64" i="99"/>
  <c r="L66" i="98"/>
  <c r="I64" i="99"/>
  <c r="I66" i="98"/>
  <c r="L29" i="42"/>
  <c r="L10" i="98"/>
  <c r="L27" i="97"/>
  <c r="I54" i="97"/>
  <c r="I53" i="98"/>
  <c r="I29" i="99"/>
  <c r="I10" i="99"/>
  <c r="I27" i="98"/>
  <c r="I11" i="77"/>
  <c r="F58" i="98"/>
  <c r="N20" i="4"/>
  <c r="K21" i="4" s="1"/>
  <c r="L62" i="96"/>
  <c r="L58" i="97"/>
  <c r="M58" i="97"/>
  <c r="F62" i="97"/>
  <c r="M62" i="96"/>
  <c r="Q58" i="96"/>
  <c r="Q62" i="96" s="1"/>
  <c r="K62" i="97"/>
  <c r="K58" i="98"/>
  <c r="H58" i="42"/>
  <c r="I58" i="42"/>
  <c r="F7" i="95"/>
  <c r="M7" i="95" s="1"/>
  <c r="Q7" i="95" s="1"/>
  <c r="C18" i="3"/>
  <c r="F18" i="3" s="1"/>
  <c r="Q10" i="92" l="1"/>
  <c r="Q27" i="92" s="1"/>
  <c r="F50" i="68"/>
  <c r="M50" i="68" s="1"/>
  <c r="CL23" i="1"/>
  <c r="CH24" i="1" s="1"/>
  <c r="F10" i="93"/>
  <c r="M10" i="93" s="1"/>
  <c r="Q10" i="93" s="1"/>
  <c r="Q27" i="93" s="1"/>
  <c r="P15" i="1"/>
  <c r="K16" i="1" s="1"/>
  <c r="H66" i="99"/>
  <c r="H64" i="42"/>
  <c r="K70" i="98"/>
  <c r="K76" i="97"/>
  <c r="F64" i="94"/>
  <c r="F24" i="95"/>
  <c r="M24" i="95" s="1"/>
  <c r="DK17" i="1"/>
  <c r="DG18" i="1" s="1"/>
  <c r="K66" i="97"/>
  <c r="K64" i="98"/>
  <c r="F69" i="94"/>
  <c r="AB16" i="56"/>
  <c r="Y17" i="56" s="1"/>
  <c r="F26" i="99"/>
  <c r="M26" i="99" s="1"/>
  <c r="DZ21" i="1"/>
  <c r="DV22" i="1" s="1"/>
  <c r="DU21" i="1"/>
  <c r="DQ22" i="1" s="1"/>
  <c r="F65" i="95"/>
  <c r="M65" i="95" s="1"/>
  <c r="N17" i="3"/>
  <c r="K18" i="3" s="1"/>
  <c r="F66" i="93"/>
  <c r="M64" i="93"/>
  <c r="M66" i="93" s="1"/>
  <c r="M69" i="93"/>
  <c r="M76" i="93" s="1"/>
  <c r="F76" i="93"/>
  <c r="F20" i="98"/>
  <c r="CB20" i="1"/>
  <c r="BX21" i="1" s="1"/>
  <c r="F14" i="97"/>
  <c r="M14" i="97" s="1"/>
  <c r="AN19" i="1"/>
  <c r="AK20" i="1" s="1"/>
  <c r="F23" i="95"/>
  <c r="M23" i="95" s="1"/>
  <c r="DF17" i="1"/>
  <c r="DB18" i="1" s="1"/>
  <c r="F22" i="95"/>
  <c r="M22" i="95" s="1"/>
  <c r="DA17" i="1"/>
  <c r="CW18" i="1" s="1"/>
  <c r="F25" i="99"/>
  <c r="M25" i="99" s="1"/>
  <c r="DP21" i="1"/>
  <c r="DL22" i="1" s="1"/>
  <c r="F48" i="99"/>
  <c r="M48" i="99" s="1"/>
  <c r="CQ21" i="1"/>
  <c r="CM22" i="1" s="1"/>
  <c r="F21" i="95"/>
  <c r="M21" i="95" s="1"/>
  <c r="CV17" i="1"/>
  <c r="CR18" i="1" s="1"/>
  <c r="K54" i="97"/>
  <c r="K27" i="98"/>
  <c r="K12" i="99"/>
  <c r="H53" i="99"/>
  <c r="H51" i="42"/>
  <c r="H53" i="42" s="1"/>
  <c r="M54" i="91"/>
  <c r="H27" i="98"/>
  <c r="H54" i="98" s="1"/>
  <c r="H11" i="99"/>
  <c r="H56" i="99"/>
  <c r="H62" i="98"/>
  <c r="F8" i="95"/>
  <c r="M8" i="95" s="1"/>
  <c r="EL17" i="1"/>
  <c r="EI18" i="1" s="1"/>
  <c r="F29" i="94"/>
  <c r="V16" i="1"/>
  <c r="Q17" i="1" s="1"/>
  <c r="EE16" i="1"/>
  <c r="EH16" i="1" s="1"/>
  <c r="M29" i="93"/>
  <c r="F53" i="93"/>
  <c r="F52" i="97"/>
  <c r="M52" i="97" s="1"/>
  <c r="Q52" i="97" s="1"/>
  <c r="AE19" i="1"/>
  <c r="AB20" i="1" s="1"/>
  <c r="Q29" i="92"/>
  <c r="Q53" i="92" s="1"/>
  <c r="Q54" i="92" s="1"/>
  <c r="L54" i="96"/>
  <c r="F18" i="96"/>
  <c r="M18" i="96" s="1"/>
  <c r="BR18" i="1"/>
  <c r="BN19" i="1" s="1"/>
  <c r="L34" i="99"/>
  <c r="L53" i="98"/>
  <c r="F19" i="93"/>
  <c r="M19" i="93" s="1"/>
  <c r="BW15" i="1"/>
  <c r="BS16" i="1" s="1"/>
  <c r="F17" i="94"/>
  <c r="M17" i="94" s="1"/>
  <c r="BM16" i="1"/>
  <c r="BI17" i="1" s="1"/>
  <c r="F49" i="99"/>
  <c r="M49" i="99" s="1"/>
  <c r="CG21" i="1"/>
  <c r="CC22" i="1" s="1"/>
  <c r="F16" i="93"/>
  <c r="M16" i="93" s="1"/>
  <c r="BH15" i="1"/>
  <c r="BD16" i="1" s="1"/>
  <c r="F13" i="93"/>
  <c r="AS15" i="1"/>
  <c r="AO16" i="1" s="1"/>
  <c r="EA15" i="1"/>
  <c r="ED15" i="1" s="1"/>
  <c r="L54" i="97"/>
  <c r="M13" i="92"/>
  <c r="M27" i="92" s="1"/>
  <c r="F27" i="92"/>
  <c r="K34" i="99"/>
  <c r="K53" i="98"/>
  <c r="F59" i="42"/>
  <c r="M59" i="42" s="1"/>
  <c r="R22" i="4"/>
  <c r="O23" i="4" s="1"/>
  <c r="F57" i="42"/>
  <c r="M57" i="42" s="1"/>
  <c r="Q57" i="42" s="1"/>
  <c r="J22" i="4"/>
  <c r="G23" i="4" s="1"/>
  <c r="F56" i="99"/>
  <c r="M56" i="99" s="1"/>
  <c r="Q56" i="99" s="1"/>
  <c r="F21" i="4"/>
  <c r="C22" i="4" s="1"/>
  <c r="F15" i="99"/>
  <c r="M15" i="99" s="1"/>
  <c r="BC21" i="1"/>
  <c r="AY22" i="1" s="1"/>
  <c r="AX21" i="1"/>
  <c r="AT22" i="1" s="1"/>
  <c r="F12" i="99"/>
  <c r="M12" i="99" s="1"/>
  <c r="F51" i="99"/>
  <c r="M51" i="99" s="1"/>
  <c r="AF22" i="1"/>
  <c r="AJ22" i="1" s="1"/>
  <c r="Q51" i="97"/>
  <c r="Q11" i="97"/>
  <c r="F11" i="99"/>
  <c r="M11" i="99" s="1"/>
  <c r="AA21" i="1"/>
  <c r="W22" i="1" s="1"/>
  <c r="F16" i="1"/>
  <c r="C17" i="1" s="1"/>
  <c r="F6" i="94"/>
  <c r="M6" i="94" s="1"/>
  <c r="Q6" i="94" s="1"/>
  <c r="I76" i="98"/>
  <c r="I68" i="99"/>
  <c r="H68" i="99"/>
  <c r="H76" i="98"/>
  <c r="Q68" i="97"/>
  <c r="M68" i="98"/>
  <c r="F68" i="99"/>
  <c r="W21" i="56"/>
  <c r="B22" i="56" s="1"/>
  <c r="L76" i="42"/>
  <c r="L69" i="68"/>
  <c r="I56" i="99"/>
  <c r="I62" i="98"/>
  <c r="L66" i="99"/>
  <c r="L64" i="42"/>
  <c r="I66" i="99"/>
  <c r="I64" i="42"/>
  <c r="L10" i="99"/>
  <c r="L27" i="98"/>
  <c r="I10" i="42"/>
  <c r="I27" i="99"/>
  <c r="L29" i="68"/>
  <c r="I54" i="98"/>
  <c r="I29" i="42"/>
  <c r="I53" i="99"/>
  <c r="I11" i="78"/>
  <c r="Q58" i="97"/>
  <c r="Q62" i="97" s="1"/>
  <c r="M62" i="97"/>
  <c r="L62" i="97"/>
  <c r="L58" i="98"/>
  <c r="F58" i="99"/>
  <c r="N21" i="4"/>
  <c r="K22" i="4" s="1"/>
  <c r="K62" i="98"/>
  <c r="K58" i="99"/>
  <c r="F62" i="98"/>
  <c r="M58" i="98"/>
  <c r="I58" i="68"/>
  <c r="H58" i="68"/>
  <c r="F7" i="96"/>
  <c r="M7" i="96" s="1"/>
  <c r="Q7" i="96" s="1"/>
  <c r="C19" i="3"/>
  <c r="F19" i="3" s="1"/>
  <c r="F24" i="96" l="1"/>
  <c r="M24" i="96" s="1"/>
  <c r="DK18" i="1"/>
  <c r="DG19" i="1" s="1"/>
  <c r="H66" i="42"/>
  <c r="H64" i="68"/>
  <c r="F21" i="96"/>
  <c r="M21" i="96" s="1"/>
  <c r="CV18" i="1"/>
  <c r="CR19" i="1" s="1"/>
  <c r="F22" i="96"/>
  <c r="M22" i="96" s="1"/>
  <c r="DA18" i="1"/>
  <c r="CW19" i="1" s="1"/>
  <c r="F20" i="99"/>
  <c r="CB21" i="1"/>
  <c r="BX22" i="1" s="1"/>
  <c r="F65" i="96"/>
  <c r="M65" i="96" s="1"/>
  <c r="N18" i="3"/>
  <c r="K19" i="3" s="1"/>
  <c r="F69" i="95"/>
  <c r="AB17" i="56"/>
  <c r="Y18" i="56" s="1"/>
  <c r="F64" i="95"/>
  <c r="F10" i="94"/>
  <c r="M10" i="94" s="1"/>
  <c r="Q10" i="94" s="1"/>
  <c r="Q27" i="94" s="1"/>
  <c r="P16" i="1"/>
  <c r="K17" i="1" s="1"/>
  <c r="F48" i="42"/>
  <c r="M48" i="42" s="1"/>
  <c r="CQ22" i="1"/>
  <c r="CM23" i="1" s="1"/>
  <c r="F23" i="96"/>
  <c r="M23" i="96" s="1"/>
  <c r="DF18" i="1"/>
  <c r="DB19" i="1" s="1"/>
  <c r="M32" i="42"/>
  <c r="DU22" i="1"/>
  <c r="DQ23" i="1" s="1"/>
  <c r="M69" i="94"/>
  <c r="M76" i="94" s="1"/>
  <c r="F76" i="94"/>
  <c r="M64" i="94"/>
  <c r="M66" i="94" s="1"/>
  <c r="F66" i="94"/>
  <c r="K64" i="99"/>
  <c r="K66" i="98"/>
  <c r="F50" i="69"/>
  <c r="M50" i="69" s="1"/>
  <c r="CL24" i="1"/>
  <c r="CH25" i="1" s="1"/>
  <c r="F25" i="42"/>
  <c r="M25" i="42" s="1"/>
  <c r="DP22" i="1"/>
  <c r="DL23" i="1" s="1"/>
  <c r="F14" i="98"/>
  <c r="M14" i="98" s="1"/>
  <c r="AN20" i="1"/>
  <c r="AK21" i="1" s="1"/>
  <c r="F26" i="42"/>
  <c r="M26" i="42" s="1"/>
  <c r="DZ22" i="1"/>
  <c r="DV23" i="1" s="1"/>
  <c r="K76" i="98"/>
  <c r="K70" i="99"/>
  <c r="I54" i="99"/>
  <c r="K54" i="98"/>
  <c r="K27" i="99"/>
  <c r="K12" i="42"/>
  <c r="H51" i="68"/>
  <c r="H27" i="99"/>
  <c r="H54" i="99" s="1"/>
  <c r="H11" i="42"/>
  <c r="H27" i="42" s="1"/>
  <c r="H56" i="42"/>
  <c r="H62" i="99"/>
  <c r="F8" i="96"/>
  <c r="M8" i="96" s="1"/>
  <c r="EL18" i="1"/>
  <c r="EI19" i="1" s="1"/>
  <c r="Q29" i="93"/>
  <c r="Q53" i="93" s="1"/>
  <c r="Q54" i="93" s="1"/>
  <c r="M53" i="93"/>
  <c r="F52" i="98"/>
  <c r="M52" i="98" s="1"/>
  <c r="Q52" i="98" s="1"/>
  <c r="AE20" i="1"/>
  <c r="AB21" i="1" s="1"/>
  <c r="F29" i="95"/>
  <c r="V17" i="1"/>
  <c r="Q18" i="1" s="1"/>
  <c r="F33" i="92" s="1"/>
  <c r="EE17" i="1"/>
  <c r="EH17" i="1" s="1"/>
  <c r="L54" i="98"/>
  <c r="M29" i="94"/>
  <c r="F53" i="94"/>
  <c r="F49" i="42"/>
  <c r="M49" i="42" s="1"/>
  <c r="CG22" i="1"/>
  <c r="CC23" i="1" s="1"/>
  <c r="L34" i="42"/>
  <c r="L53" i="99"/>
  <c r="F13" i="94"/>
  <c r="AS16" i="1"/>
  <c r="AO17" i="1" s="1"/>
  <c r="EA16" i="1"/>
  <c r="ED16" i="1" s="1"/>
  <c r="F17" i="95"/>
  <c r="M17" i="95" s="1"/>
  <c r="BM17" i="1"/>
  <c r="BI18" i="1" s="1"/>
  <c r="F18" i="97"/>
  <c r="M18" i="97" s="1"/>
  <c r="BR19" i="1"/>
  <c r="BN20" i="1" s="1"/>
  <c r="K53" i="99"/>
  <c r="K34" i="42"/>
  <c r="M13" i="93"/>
  <c r="M27" i="93" s="1"/>
  <c r="F27" i="93"/>
  <c r="F54" i="93" s="1"/>
  <c r="F16" i="94"/>
  <c r="M16" i="94" s="1"/>
  <c r="BH16" i="1"/>
  <c r="BD17" i="1" s="1"/>
  <c r="F19" i="94"/>
  <c r="M19" i="94" s="1"/>
  <c r="BW16" i="1"/>
  <c r="BS17" i="1" s="1"/>
  <c r="F59" i="68"/>
  <c r="M59" i="68" s="1"/>
  <c r="R23" i="4"/>
  <c r="O24" i="4" s="1"/>
  <c r="J23" i="4"/>
  <c r="G24" i="4" s="1"/>
  <c r="F57" i="68"/>
  <c r="M57" i="68" s="1"/>
  <c r="Q57" i="68" s="1"/>
  <c r="F56" i="42"/>
  <c r="M56" i="42" s="1"/>
  <c r="Q56" i="42" s="1"/>
  <c r="F22" i="4"/>
  <c r="C23" i="4" s="1"/>
  <c r="F15" i="42"/>
  <c r="M15" i="42" s="1"/>
  <c r="BC22" i="1"/>
  <c r="AY23" i="1" s="1"/>
  <c r="AX22" i="1"/>
  <c r="AT23" i="1" s="1"/>
  <c r="F12" i="42"/>
  <c r="M12" i="42" s="1"/>
  <c r="AF23" i="1"/>
  <c r="AJ23" i="1" s="1"/>
  <c r="F51" i="42"/>
  <c r="M51" i="42" s="1"/>
  <c r="Q51" i="98"/>
  <c r="F11" i="42"/>
  <c r="AA22" i="1"/>
  <c r="W23" i="1" s="1"/>
  <c r="Q11" i="98"/>
  <c r="F17" i="1"/>
  <c r="C18" i="1" s="1"/>
  <c r="F6" i="95"/>
  <c r="M6" i="95" s="1"/>
  <c r="Q6" i="95" s="1"/>
  <c r="H68" i="42"/>
  <c r="H76" i="99"/>
  <c r="I76" i="99"/>
  <c r="I68" i="42"/>
  <c r="W22" i="56"/>
  <c r="B23" i="56" s="1"/>
  <c r="F68" i="42"/>
  <c r="M68" i="99"/>
  <c r="Q68" i="98"/>
  <c r="L69" i="69"/>
  <c r="L76" i="68"/>
  <c r="I56" i="42"/>
  <c r="I62" i="99"/>
  <c r="L66" i="42"/>
  <c r="I64" i="68"/>
  <c r="I66" i="42"/>
  <c r="I10" i="68"/>
  <c r="I27" i="42"/>
  <c r="L29" i="69"/>
  <c r="I53" i="42"/>
  <c r="I29" i="68"/>
  <c r="L10" i="42"/>
  <c r="L27" i="99"/>
  <c r="I11" i="79"/>
  <c r="F58" i="42"/>
  <c r="N22" i="4"/>
  <c r="K23" i="4" s="1"/>
  <c r="F62" i="99"/>
  <c r="M58" i="99"/>
  <c r="L58" i="99"/>
  <c r="L62" i="98"/>
  <c r="K62" i="99"/>
  <c r="K58" i="42"/>
  <c r="M62" i="98"/>
  <c r="Q58" i="98"/>
  <c r="Q62" i="98" s="1"/>
  <c r="H58" i="69"/>
  <c r="I58" i="69"/>
  <c r="C20" i="3"/>
  <c r="F20" i="3" s="1"/>
  <c r="F7" i="97"/>
  <c r="M7" i="97" s="1"/>
  <c r="Q7" i="97" s="1"/>
  <c r="M33" i="92" l="1"/>
  <c r="M53" i="92" s="1"/>
  <c r="M54" i="92" s="1"/>
  <c r="F53" i="92"/>
  <c r="F54" i="92" s="1"/>
  <c r="L54" i="99"/>
  <c r="K66" i="99"/>
  <c r="K64" i="42"/>
  <c r="F10" i="95"/>
  <c r="M10" i="95" s="1"/>
  <c r="Q10" i="95" s="1"/>
  <c r="Q27" i="95" s="1"/>
  <c r="P17" i="1"/>
  <c r="K18" i="1" s="1"/>
  <c r="F65" i="97"/>
  <c r="M65" i="97" s="1"/>
  <c r="N19" i="3"/>
  <c r="K20" i="3" s="1"/>
  <c r="F21" i="97"/>
  <c r="M21" i="97" s="1"/>
  <c r="CV19" i="1"/>
  <c r="CR20" i="1" s="1"/>
  <c r="K76" i="99"/>
  <c r="K70" i="42"/>
  <c r="F25" i="68"/>
  <c r="M25" i="68" s="1"/>
  <c r="DP23" i="1"/>
  <c r="DL24" i="1" s="1"/>
  <c r="F23" i="97"/>
  <c r="M23" i="97" s="1"/>
  <c r="DF19" i="1"/>
  <c r="DB20" i="1" s="1"/>
  <c r="F64" i="96"/>
  <c r="F20" i="42"/>
  <c r="CB22" i="1"/>
  <c r="BX23" i="1" s="1"/>
  <c r="H66" i="68"/>
  <c r="H64" i="69"/>
  <c r="F26" i="68"/>
  <c r="M26" i="68" s="1"/>
  <c r="DZ23" i="1"/>
  <c r="DV24" i="1" s="1"/>
  <c r="F50" i="70"/>
  <c r="M50" i="70" s="1"/>
  <c r="CL25" i="1"/>
  <c r="CH26" i="1" s="1"/>
  <c r="F48" i="68"/>
  <c r="M48" i="68" s="1"/>
  <c r="CQ23" i="1"/>
  <c r="CM24" i="1" s="1"/>
  <c r="F66" i="95"/>
  <c r="M64" i="95"/>
  <c r="M66" i="95" s="1"/>
  <c r="F69" i="96"/>
  <c r="AB18" i="56"/>
  <c r="Y19" i="56" s="1"/>
  <c r="F22" i="97"/>
  <c r="M22" i="97" s="1"/>
  <c r="DA19" i="1"/>
  <c r="CW20" i="1" s="1"/>
  <c r="F24" i="97"/>
  <c r="M24" i="97" s="1"/>
  <c r="DK19" i="1"/>
  <c r="DG20" i="1" s="1"/>
  <c r="F14" i="99"/>
  <c r="M14" i="99" s="1"/>
  <c r="AN21" i="1"/>
  <c r="AK22" i="1" s="1"/>
  <c r="F32" i="68"/>
  <c r="M32" i="68" s="1"/>
  <c r="DU23" i="1"/>
  <c r="DQ24" i="1" s="1"/>
  <c r="M69" i="95"/>
  <c r="M76" i="95" s="1"/>
  <c r="F76" i="95"/>
  <c r="K54" i="99"/>
  <c r="K27" i="42"/>
  <c r="K12" i="68"/>
  <c r="M54" i="93"/>
  <c r="H53" i="68"/>
  <c r="H51" i="69"/>
  <c r="H54" i="42"/>
  <c r="H11" i="68"/>
  <c r="H56" i="68"/>
  <c r="H62" i="42"/>
  <c r="F8" i="97"/>
  <c r="M8" i="97" s="1"/>
  <c r="EL19" i="1"/>
  <c r="EI20" i="1" s="1"/>
  <c r="F29" i="96"/>
  <c r="V18" i="1"/>
  <c r="Q19" i="1" s="1"/>
  <c r="EE18" i="1"/>
  <c r="EH18" i="1" s="1"/>
  <c r="Q29" i="94"/>
  <c r="Q53" i="94" s="1"/>
  <c r="Q54" i="94" s="1"/>
  <c r="M53" i="94"/>
  <c r="F52" i="99"/>
  <c r="M52" i="99" s="1"/>
  <c r="Q52" i="99" s="1"/>
  <c r="AE21" i="1"/>
  <c r="AB22" i="1" s="1"/>
  <c r="M29" i="95"/>
  <c r="F53" i="95"/>
  <c r="F13" i="95"/>
  <c r="AS17" i="1"/>
  <c r="AO18" i="1" s="1"/>
  <c r="EA17" i="1"/>
  <c r="ED17" i="1" s="1"/>
  <c r="F16" i="95"/>
  <c r="M16" i="95" s="1"/>
  <c r="BH17" i="1"/>
  <c r="BD18" i="1" s="1"/>
  <c r="F18" i="98"/>
  <c r="M18" i="98" s="1"/>
  <c r="BR20" i="1"/>
  <c r="BN21" i="1" s="1"/>
  <c r="M13" i="94"/>
  <c r="M27" i="94" s="1"/>
  <c r="F27" i="94"/>
  <c r="F54" i="94" s="1"/>
  <c r="F17" i="96"/>
  <c r="M17" i="96" s="1"/>
  <c r="BM18" i="1"/>
  <c r="BI19" i="1" s="1"/>
  <c r="L34" i="68"/>
  <c r="L53" i="42"/>
  <c r="F49" i="68"/>
  <c r="M49" i="68" s="1"/>
  <c r="CG23" i="1"/>
  <c r="CC24" i="1" s="1"/>
  <c r="F19" i="95"/>
  <c r="M19" i="95" s="1"/>
  <c r="BW17" i="1"/>
  <c r="BS18" i="1" s="1"/>
  <c r="K53" i="42"/>
  <c r="K34" i="68"/>
  <c r="F59" i="69"/>
  <c r="M59" i="69" s="1"/>
  <c r="R24" i="4"/>
  <c r="O25" i="4" s="1"/>
  <c r="J24" i="4"/>
  <c r="G25" i="4" s="1"/>
  <c r="F57" i="69"/>
  <c r="M57" i="69" s="1"/>
  <c r="Q57" i="69" s="1"/>
  <c r="F56" i="68"/>
  <c r="M56" i="68" s="1"/>
  <c r="Q56" i="68" s="1"/>
  <c r="F23" i="4"/>
  <c r="C24" i="4" s="1"/>
  <c r="BC23" i="1"/>
  <c r="AY24" i="1" s="1"/>
  <c r="F15" i="68"/>
  <c r="M15" i="68" s="1"/>
  <c r="F12" i="68"/>
  <c r="M12" i="68" s="1"/>
  <c r="AX23" i="1"/>
  <c r="AT24" i="1" s="1"/>
  <c r="Q51" i="99"/>
  <c r="AF24" i="1"/>
  <c r="AJ24" i="1" s="1"/>
  <c r="F51" i="68"/>
  <c r="M51" i="68" s="1"/>
  <c r="M11" i="42"/>
  <c r="Q11" i="99"/>
  <c r="AA23" i="1"/>
  <c r="W24" i="1" s="1"/>
  <c r="F11" i="68"/>
  <c r="F6" i="96"/>
  <c r="M6" i="96" s="1"/>
  <c r="Q6" i="96" s="1"/>
  <c r="F18" i="1"/>
  <c r="C19" i="1" s="1"/>
  <c r="I68" i="68"/>
  <c r="I76" i="42"/>
  <c r="H76" i="42"/>
  <c r="H68" i="68"/>
  <c r="M68" i="42"/>
  <c r="W23" i="56"/>
  <c r="B24" i="56" s="1"/>
  <c r="F68" i="68"/>
  <c r="Q68" i="99"/>
  <c r="L69" i="70"/>
  <c r="L76" i="69"/>
  <c r="I56" i="68"/>
  <c r="I62" i="42"/>
  <c r="I64" i="69"/>
  <c r="I66" i="68"/>
  <c r="L66" i="68"/>
  <c r="L29" i="70"/>
  <c r="I54" i="42"/>
  <c r="I29" i="69"/>
  <c r="I53" i="68"/>
  <c r="L10" i="68"/>
  <c r="L27" i="42"/>
  <c r="I10" i="69"/>
  <c r="I27" i="68"/>
  <c r="L62" i="99"/>
  <c r="L58" i="42"/>
  <c r="K62" i="42"/>
  <c r="K58" i="68"/>
  <c r="N23" i="4"/>
  <c r="K24" i="4" s="1"/>
  <c r="F58" i="68"/>
  <c r="M62" i="99"/>
  <c r="Q58" i="99"/>
  <c r="Q62" i="99" s="1"/>
  <c r="M58" i="42"/>
  <c r="F62" i="42"/>
  <c r="H58" i="70"/>
  <c r="I58" i="70"/>
  <c r="F7" i="98"/>
  <c r="M7" i="98" s="1"/>
  <c r="Q7" i="98" s="1"/>
  <c r="C21" i="3"/>
  <c r="F21" i="3" s="1"/>
  <c r="K54" i="42" l="1"/>
  <c r="M69" i="96"/>
  <c r="M76" i="96" s="1"/>
  <c r="F76" i="96"/>
  <c r="F65" i="98"/>
  <c r="M65" i="98" s="1"/>
  <c r="N20" i="3"/>
  <c r="K21" i="3" s="1"/>
  <c r="F24" i="98"/>
  <c r="M24" i="98" s="1"/>
  <c r="DK20" i="1"/>
  <c r="DG21" i="1" s="1"/>
  <c r="F26" i="69"/>
  <c r="M26" i="69" s="1"/>
  <c r="DZ24" i="1"/>
  <c r="DV25" i="1" s="1"/>
  <c r="F64" i="97"/>
  <c r="K76" i="42"/>
  <c r="K70" i="68"/>
  <c r="M64" i="96"/>
  <c r="M66" i="96" s="1"/>
  <c r="F66" i="96"/>
  <c r="F10" i="96"/>
  <c r="M10" i="96" s="1"/>
  <c r="Q10" i="96" s="1"/>
  <c r="Q27" i="96" s="1"/>
  <c r="P18" i="1"/>
  <c r="K19" i="1" s="1"/>
  <c r="DU24" i="1"/>
  <c r="DQ25" i="1" s="1"/>
  <c r="F22" i="98"/>
  <c r="M22" i="98" s="1"/>
  <c r="DA20" i="1"/>
  <c r="CW21" i="1" s="1"/>
  <c r="F48" i="69"/>
  <c r="M48" i="69" s="1"/>
  <c r="CQ24" i="1"/>
  <c r="CM25" i="1" s="1"/>
  <c r="H64" i="70"/>
  <c r="H66" i="69"/>
  <c r="F23" i="98"/>
  <c r="M23" i="98" s="1"/>
  <c r="DF20" i="1"/>
  <c r="DB21" i="1" s="1"/>
  <c r="F21" i="98"/>
  <c r="M21" i="98" s="1"/>
  <c r="CV20" i="1"/>
  <c r="CR21" i="1" s="1"/>
  <c r="K66" i="42"/>
  <c r="F14" i="42"/>
  <c r="M14" i="42" s="1"/>
  <c r="AN22" i="1"/>
  <c r="AK23" i="1" s="1"/>
  <c r="F69" i="97"/>
  <c r="AB19" i="56"/>
  <c r="Y20" i="56" s="1"/>
  <c r="F50" i="72"/>
  <c r="M50" i="72" s="1"/>
  <c r="CL26" i="1"/>
  <c r="CH27" i="1" s="1"/>
  <c r="F20" i="68"/>
  <c r="CB23" i="1"/>
  <c r="BX24" i="1" s="1"/>
  <c r="F25" i="69"/>
  <c r="M25" i="69" s="1"/>
  <c r="DP24" i="1"/>
  <c r="DL25" i="1" s="1"/>
  <c r="K27" i="68"/>
  <c r="K12" i="69"/>
  <c r="H53" i="69"/>
  <c r="H51" i="70"/>
  <c r="H27" i="68"/>
  <c r="H54" i="68" s="1"/>
  <c r="H11" i="69"/>
  <c r="H56" i="69"/>
  <c r="H62" i="68"/>
  <c r="EL20" i="1"/>
  <c r="EI21" i="1" s="1"/>
  <c r="F8" i="98"/>
  <c r="M8" i="98" s="1"/>
  <c r="Q29" i="95"/>
  <c r="Q53" i="95" s="1"/>
  <c r="Q54" i="95" s="1"/>
  <c r="M53" i="95"/>
  <c r="F29" i="97"/>
  <c r="V19" i="1"/>
  <c r="Q20" i="1" s="1"/>
  <c r="EE19" i="1"/>
  <c r="EH19" i="1" s="1"/>
  <c r="F52" i="42"/>
  <c r="M52" i="42" s="1"/>
  <c r="Q52" i="42" s="1"/>
  <c r="AE22" i="1"/>
  <c r="AB23" i="1" s="1"/>
  <c r="M29" i="96"/>
  <c r="F53" i="96"/>
  <c r="L54" i="42"/>
  <c r="M54" i="94"/>
  <c r="L34" i="69"/>
  <c r="L53" i="68"/>
  <c r="F19" i="96"/>
  <c r="M19" i="96" s="1"/>
  <c r="BW18" i="1"/>
  <c r="BS19" i="1" s="1"/>
  <c r="F17" i="97"/>
  <c r="M17" i="97" s="1"/>
  <c r="BM19" i="1"/>
  <c r="BI20" i="1" s="1"/>
  <c r="F16" i="96"/>
  <c r="M16" i="96" s="1"/>
  <c r="BH18" i="1"/>
  <c r="BD19" i="1" s="1"/>
  <c r="F49" i="69"/>
  <c r="M49" i="69" s="1"/>
  <c r="CG24" i="1"/>
  <c r="CC25" i="1" s="1"/>
  <c r="F13" i="96"/>
  <c r="AS18" i="1"/>
  <c r="AO19" i="1" s="1"/>
  <c r="EA18" i="1"/>
  <c r="ED18" i="1" s="1"/>
  <c r="K53" i="68"/>
  <c r="K34" i="69"/>
  <c r="F18" i="99"/>
  <c r="M18" i="99" s="1"/>
  <c r="BR21" i="1"/>
  <c r="BN22" i="1" s="1"/>
  <c r="M13" i="95"/>
  <c r="M27" i="95" s="1"/>
  <c r="F27" i="95"/>
  <c r="F54" i="95" s="1"/>
  <c r="F59" i="70"/>
  <c r="M59" i="70" s="1"/>
  <c r="R25" i="4"/>
  <c r="O26" i="4" s="1"/>
  <c r="F57" i="70"/>
  <c r="M57" i="70" s="1"/>
  <c r="Q57" i="70" s="1"/>
  <c r="J25" i="4"/>
  <c r="G26" i="4" s="1"/>
  <c r="F24" i="4"/>
  <c r="C25" i="4" s="1"/>
  <c r="F56" i="69"/>
  <c r="M56" i="69" s="1"/>
  <c r="Q56" i="69" s="1"/>
  <c r="BC24" i="1"/>
  <c r="AY25" i="1" s="1"/>
  <c r="F15" i="69"/>
  <c r="M15" i="69" s="1"/>
  <c r="AX24" i="1"/>
  <c r="AT25" i="1" s="1"/>
  <c r="F12" i="69"/>
  <c r="M12" i="69" s="1"/>
  <c r="Q51" i="42"/>
  <c r="F51" i="69"/>
  <c r="M51" i="69" s="1"/>
  <c r="AF25" i="1"/>
  <c r="AJ25" i="1" s="1"/>
  <c r="F11" i="69"/>
  <c r="AA24" i="1"/>
  <c r="W25" i="1" s="1"/>
  <c r="M11" i="68"/>
  <c r="Q11" i="42"/>
  <c r="F19" i="1"/>
  <c r="C20" i="1" s="1"/>
  <c r="F6" i="97"/>
  <c r="M6" i="97" s="1"/>
  <c r="Q6" i="97" s="1"/>
  <c r="H76" i="68"/>
  <c r="H68" i="69"/>
  <c r="I68" i="69"/>
  <c r="I76" i="68"/>
  <c r="M68" i="68"/>
  <c r="W24" i="56"/>
  <c r="B25" i="56" s="1"/>
  <c r="F68" i="69"/>
  <c r="Q68" i="42"/>
  <c r="L69" i="72"/>
  <c r="L76" i="70"/>
  <c r="I56" i="69"/>
  <c r="I62" i="68"/>
  <c r="I64" i="70"/>
  <c r="I66" i="69"/>
  <c r="L29" i="72"/>
  <c r="L29" i="73" s="1"/>
  <c r="L29" i="74" s="1"/>
  <c r="L29" i="75" s="1"/>
  <c r="I53" i="69"/>
  <c r="I29" i="70"/>
  <c r="I54" i="68"/>
  <c r="I10" i="70"/>
  <c r="I27" i="69"/>
  <c r="L10" i="69"/>
  <c r="L27" i="68"/>
  <c r="K58" i="69"/>
  <c r="K62" i="68"/>
  <c r="Q58" i="42"/>
  <c r="Q62" i="42" s="1"/>
  <c r="M62" i="42"/>
  <c r="F58" i="69"/>
  <c r="N24" i="4"/>
  <c r="K25" i="4" s="1"/>
  <c r="L62" i="42"/>
  <c r="L58" i="68"/>
  <c r="F62" i="68"/>
  <c r="M58" i="68"/>
  <c r="H58" i="72"/>
  <c r="I58" i="72"/>
  <c r="F7" i="99"/>
  <c r="M7" i="99" s="1"/>
  <c r="Q7" i="99" s="1"/>
  <c r="C22" i="3"/>
  <c r="F22" i="3" s="1"/>
  <c r="K54" i="68" l="1"/>
  <c r="K66" i="68"/>
  <c r="F32" i="70"/>
  <c r="M32" i="70" s="1"/>
  <c r="DU25" i="1"/>
  <c r="DQ26" i="1" s="1"/>
  <c r="K70" i="69"/>
  <c r="K76" i="68"/>
  <c r="F24" i="99"/>
  <c r="M24" i="99" s="1"/>
  <c r="DK21" i="1"/>
  <c r="DG22" i="1" s="1"/>
  <c r="F25" i="70"/>
  <c r="M25" i="70" s="1"/>
  <c r="DP25" i="1"/>
  <c r="DL26" i="1" s="1"/>
  <c r="F69" i="98"/>
  <c r="AB20" i="56"/>
  <c r="Y21" i="56" s="1"/>
  <c r="H66" i="70"/>
  <c r="H64" i="72"/>
  <c r="M69" i="97"/>
  <c r="M76" i="97" s="1"/>
  <c r="F76" i="97"/>
  <c r="F21" i="99"/>
  <c r="M21" i="99" s="1"/>
  <c r="CV21" i="1"/>
  <c r="CR22" i="1" s="1"/>
  <c r="F48" i="70"/>
  <c r="M48" i="70" s="1"/>
  <c r="CQ25" i="1"/>
  <c r="CM26" i="1" s="1"/>
  <c r="F10" i="97"/>
  <c r="M10" i="97" s="1"/>
  <c r="Q10" i="97" s="1"/>
  <c r="Q27" i="97" s="1"/>
  <c r="P19" i="1"/>
  <c r="K20" i="1" s="1"/>
  <c r="F64" i="98"/>
  <c r="F65" i="99"/>
  <c r="M65" i="99" s="1"/>
  <c r="N21" i="3"/>
  <c r="K22" i="3" s="1"/>
  <c r="F20" i="69"/>
  <c r="CB24" i="1"/>
  <c r="BX25" i="1" s="1"/>
  <c r="F14" i="68"/>
  <c r="M14" i="68" s="1"/>
  <c r="AN23" i="1"/>
  <c r="AK24" i="1" s="1"/>
  <c r="F66" i="97"/>
  <c r="M64" i="97"/>
  <c r="M66" i="97" s="1"/>
  <c r="F23" i="99"/>
  <c r="M23" i="99" s="1"/>
  <c r="DF21" i="1"/>
  <c r="DB22" i="1" s="1"/>
  <c r="F22" i="99"/>
  <c r="M22" i="99" s="1"/>
  <c r="DA21" i="1"/>
  <c r="CW22" i="1" s="1"/>
  <c r="F26" i="70"/>
  <c r="M26" i="70" s="1"/>
  <c r="DZ25" i="1"/>
  <c r="DV26" i="1" s="1"/>
  <c r="F50" i="73"/>
  <c r="M50" i="73" s="1"/>
  <c r="CL27" i="1"/>
  <c r="CH28" i="1" s="1"/>
  <c r="L54" i="68"/>
  <c r="K27" i="69"/>
  <c r="K12" i="70"/>
  <c r="H53" i="70"/>
  <c r="H51" i="72"/>
  <c r="M54" i="95"/>
  <c r="H27" i="69"/>
  <c r="H54" i="69" s="1"/>
  <c r="H11" i="70"/>
  <c r="H56" i="70"/>
  <c r="H62" i="69"/>
  <c r="EL21" i="1"/>
  <c r="EI22" i="1" s="1"/>
  <c r="F8" i="99"/>
  <c r="M8" i="99" s="1"/>
  <c r="F29" i="98"/>
  <c r="V20" i="1"/>
  <c r="Q21" i="1" s="1"/>
  <c r="EE20" i="1"/>
  <c r="EH20" i="1" s="1"/>
  <c r="Q29" i="96"/>
  <c r="Q53" i="96" s="1"/>
  <c r="Q54" i="96" s="1"/>
  <c r="M53" i="96"/>
  <c r="M29" i="97"/>
  <c r="F53" i="97"/>
  <c r="F52" i="68"/>
  <c r="M52" i="68" s="1"/>
  <c r="Q52" i="68" s="1"/>
  <c r="AE23" i="1"/>
  <c r="AB24" i="1" s="1"/>
  <c r="F13" i="97"/>
  <c r="AS19" i="1"/>
  <c r="AO20" i="1" s="1"/>
  <c r="EA19" i="1"/>
  <c r="ED19" i="1" s="1"/>
  <c r="F17" i="98"/>
  <c r="M17" i="98" s="1"/>
  <c r="BM20" i="1"/>
  <c r="BI21" i="1" s="1"/>
  <c r="F18" i="42"/>
  <c r="M18" i="42" s="1"/>
  <c r="BR22" i="1"/>
  <c r="BN23" i="1" s="1"/>
  <c r="M13" i="96"/>
  <c r="M27" i="96" s="1"/>
  <c r="F27" i="96"/>
  <c r="F54" i="96" s="1"/>
  <c r="F49" i="70"/>
  <c r="M49" i="70" s="1"/>
  <c r="CG25" i="1"/>
  <c r="CC26" i="1" s="1"/>
  <c r="F19" i="97"/>
  <c r="M19" i="97" s="1"/>
  <c r="BW19" i="1"/>
  <c r="BS20" i="1" s="1"/>
  <c r="K34" i="70"/>
  <c r="K53" i="69"/>
  <c r="F16" i="97"/>
  <c r="M16" i="97" s="1"/>
  <c r="BH19" i="1"/>
  <c r="BD20" i="1" s="1"/>
  <c r="L34" i="70"/>
  <c r="L53" i="69"/>
  <c r="F59" i="72"/>
  <c r="M59" i="72" s="1"/>
  <c r="R26" i="4"/>
  <c r="O27" i="4" s="1"/>
  <c r="J26" i="4"/>
  <c r="G27" i="4" s="1"/>
  <c r="F57" i="72"/>
  <c r="M57" i="72" s="1"/>
  <c r="Q57" i="72" s="1"/>
  <c r="F25" i="4"/>
  <c r="C26" i="4" s="1"/>
  <c r="F56" i="70"/>
  <c r="M56" i="70" s="1"/>
  <c r="Q56" i="70" s="1"/>
  <c r="F15" i="70"/>
  <c r="M15" i="70" s="1"/>
  <c r="BC25" i="1"/>
  <c r="AY26" i="1" s="1"/>
  <c r="AX25" i="1"/>
  <c r="AT26" i="1" s="1"/>
  <c r="F12" i="70"/>
  <c r="M12" i="70" s="1"/>
  <c r="Q51" i="68"/>
  <c r="F51" i="70"/>
  <c r="M51" i="70" s="1"/>
  <c r="AF26" i="1"/>
  <c r="AJ26" i="1" s="1"/>
  <c r="F11" i="70"/>
  <c r="AA25" i="1"/>
  <c r="W26" i="1" s="1"/>
  <c r="Q11" i="68"/>
  <c r="M11" i="69"/>
  <c r="F6" i="98"/>
  <c r="M6" i="98" s="1"/>
  <c r="Q6" i="98" s="1"/>
  <c r="F20" i="1"/>
  <c r="C21" i="1" s="1"/>
  <c r="I76" i="69"/>
  <c r="I68" i="70"/>
  <c r="H76" i="69"/>
  <c r="H68" i="70"/>
  <c r="M68" i="69"/>
  <c r="W25" i="56"/>
  <c r="B26" i="56" s="1"/>
  <c r="F68" i="70"/>
  <c r="Q68" i="68"/>
  <c r="L69" i="73"/>
  <c r="L76" i="72"/>
  <c r="I56" i="70"/>
  <c r="I62" i="69"/>
  <c r="I64" i="72"/>
  <c r="I66" i="70"/>
  <c r="L64" i="72"/>
  <c r="L66" i="70"/>
  <c r="I29" i="72"/>
  <c r="I53" i="70"/>
  <c r="L29" i="76"/>
  <c r="I10" i="72"/>
  <c r="I27" i="70"/>
  <c r="L10" i="70"/>
  <c r="L27" i="69"/>
  <c r="I54" i="69"/>
  <c r="N25" i="4"/>
  <c r="K26" i="4" s="1"/>
  <c r="F58" i="70"/>
  <c r="F62" i="69"/>
  <c r="M58" i="69"/>
  <c r="Q58" i="68"/>
  <c r="Q62" i="68" s="1"/>
  <c r="M62" i="68"/>
  <c r="L58" i="69"/>
  <c r="L62" i="68"/>
  <c r="K62" i="69"/>
  <c r="K58" i="70"/>
  <c r="H58" i="73"/>
  <c r="I58" i="73"/>
  <c r="C23" i="3"/>
  <c r="F23" i="3" s="1"/>
  <c r="F7" i="42"/>
  <c r="M7" i="42" s="1"/>
  <c r="Q7" i="42" s="1"/>
  <c r="K54" i="69" l="1"/>
  <c r="F64" i="99"/>
  <c r="F21" i="42"/>
  <c r="M21" i="42" s="1"/>
  <c r="CV22" i="1"/>
  <c r="CR23" i="1" s="1"/>
  <c r="F69" i="99"/>
  <c r="AB21" i="56"/>
  <c r="Y22" i="56" s="1"/>
  <c r="F50" i="74"/>
  <c r="M50" i="74" s="1"/>
  <c r="CL28" i="1"/>
  <c r="CH29" i="1" s="1"/>
  <c r="F23" i="42"/>
  <c r="M23" i="42" s="1"/>
  <c r="DF22" i="1"/>
  <c r="DB23" i="1" s="1"/>
  <c r="F20" i="70"/>
  <c r="CB25" i="1"/>
  <c r="BX26" i="1" s="1"/>
  <c r="F66" i="98"/>
  <c r="M64" i="98"/>
  <c r="M66" i="98" s="1"/>
  <c r="M69" i="98"/>
  <c r="M76" i="98" s="1"/>
  <c r="F76" i="98"/>
  <c r="K76" i="69"/>
  <c r="K70" i="70"/>
  <c r="F10" i="98"/>
  <c r="M10" i="98" s="1"/>
  <c r="Q10" i="98" s="1"/>
  <c r="Q27" i="98" s="1"/>
  <c r="P20" i="1"/>
  <c r="K21" i="1" s="1"/>
  <c r="F25" i="72"/>
  <c r="M25" i="72" s="1"/>
  <c r="DP26" i="1"/>
  <c r="DL27" i="1" s="1"/>
  <c r="F32" i="72"/>
  <c r="M32" i="72" s="1"/>
  <c r="DU26" i="1"/>
  <c r="DQ27" i="1" s="1"/>
  <c r="F26" i="72"/>
  <c r="M26" i="72" s="1"/>
  <c r="DZ26" i="1"/>
  <c r="DV27" i="1" s="1"/>
  <c r="F65" i="68"/>
  <c r="M65" i="68" s="1"/>
  <c r="F65" i="42"/>
  <c r="M65" i="42" s="1"/>
  <c r="N22" i="3"/>
  <c r="K23" i="3" s="1"/>
  <c r="N23" i="3" s="1"/>
  <c r="K24" i="3" s="1"/>
  <c r="F48" i="72"/>
  <c r="M48" i="72" s="1"/>
  <c r="CQ26" i="1"/>
  <c r="CM27" i="1" s="1"/>
  <c r="H66" i="72"/>
  <c r="H64" i="73"/>
  <c r="F24" i="42"/>
  <c r="M24" i="42" s="1"/>
  <c r="DK22" i="1"/>
  <c r="DG23" i="1" s="1"/>
  <c r="F22" i="42"/>
  <c r="M22" i="42" s="1"/>
  <c r="DA22" i="1"/>
  <c r="CW23" i="1" s="1"/>
  <c r="F14" i="69"/>
  <c r="M14" i="69" s="1"/>
  <c r="AN24" i="1"/>
  <c r="AK25" i="1" s="1"/>
  <c r="I54" i="70"/>
  <c r="L54" i="69"/>
  <c r="K12" i="72"/>
  <c r="K27" i="70"/>
  <c r="H51" i="73"/>
  <c r="H53" i="72"/>
  <c r="H11" i="72"/>
  <c r="H27" i="70"/>
  <c r="H54" i="70" s="1"/>
  <c r="H56" i="72"/>
  <c r="H62" i="70"/>
  <c r="EL22" i="1"/>
  <c r="EI23" i="1" s="1"/>
  <c r="F8" i="42"/>
  <c r="M8" i="42" s="1"/>
  <c r="F52" i="69"/>
  <c r="M52" i="69" s="1"/>
  <c r="Q52" i="69" s="1"/>
  <c r="AE24" i="1"/>
  <c r="AB25" i="1" s="1"/>
  <c r="F29" i="99"/>
  <c r="V21" i="1"/>
  <c r="Q22" i="1" s="1"/>
  <c r="EE21" i="1"/>
  <c r="EH21" i="1" s="1"/>
  <c r="M54" i="96"/>
  <c r="Q29" i="97"/>
  <c r="Q53" i="97" s="1"/>
  <c r="Q54" i="97" s="1"/>
  <c r="M53" i="97"/>
  <c r="M29" i="98"/>
  <c r="F53" i="98"/>
  <c r="L34" i="72"/>
  <c r="L34" i="73" s="1"/>
  <c r="L34" i="74" s="1"/>
  <c r="L34" i="75" s="1"/>
  <c r="L53" i="70"/>
  <c r="L53" i="72" s="1"/>
  <c r="L53" i="73" s="1"/>
  <c r="L53" i="74" s="1"/>
  <c r="F16" i="98"/>
  <c r="M16" i="98" s="1"/>
  <c r="BH20" i="1"/>
  <c r="BD21" i="1" s="1"/>
  <c r="F49" i="72"/>
  <c r="M49" i="72" s="1"/>
  <c r="CG26" i="1"/>
  <c r="CC27" i="1" s="1"/>
  <c r="F17" i="99"/>
  <c r="M17" i="99" s="1"/>
  <c r="BM21" i="1"/>
  <c r="BI22" i="1" s="1"/>
  <c r="K34" i="72"/>
  <c r="K34" i="73" s="1"/>
  <c r="K34" i="74" s="1"/>
  <c r="K34" i="75" s="1"/>
  <c r="K53" i="70"/>
  <c r="F13" i="98"/>
  <c r="AS20" i="1"/>
  <c r="AO21" i="1" s="1"/>
  <c r="EA20" i="1"/>
  <c r="ED20" i="1" s="1"/>
  <c r="F19" i="98"/>
  <c r="M19" i="98" s="1"/>
  <c r="BW20" i="1"/>
  <c r="BS21" i="1" s="1"/>
  <c r="F18" i="68"/>
  <c r="M18" i="68" s="1"/>
  <c r="BR23" i="1"/>
  <c r="BN24" i="1" s="1"/>
  <c r="M13" i="97"/>
  <c r="M27" i="97" s="1"/>
  <c r="F27" i="97"/>
  <c r="F54" i="97" s="1"/>
  <c r="R27" i="4"/>
  <c r="O28" i="4" s="1"/>
  <c r="F59" i="73"/>
  <c r="M59" i="73" s="1"/>
  <c r="J27" i="4"/>
  <c r="G28" i="4" s="1"/>
  <c r="F57" i="73"/>
  <c r="M57" i="73" s="1"/>
  <c r="Q57" i="73" s="1"/>
  <c r="F56" i="72"/>
  <c r="M56" i="72" s="1"/>
  <c r="Q56" i="72" s="1"/>
  <c r="F26" i="4"/>
  <c r="C27" i="4" s="1"/>
  <c r="F15" i="72"/>
  <c r="M15" i="72" s="1"/>
  <c r="BC26" i="1"/>
  <c r="AY27" i="1" s="1"/>
  <c r="F12" i="72"/>
  <c r="M12" i="72" s="1"/>
  <c r="AX26" i="1"/>
  <c r="AT27" i="1" s="1"/>
  <c r="F51" i="72"/>
  <c r="M51" i="72" s="1"/>
  <c r="AF27" i="1"/>
  <c r="AJ27" i="1" s="1"/>
  <c r="Q51" i="69"/>
  <c r="Q11" i="69"/>
  <c r="F11" i="72"/>
  <c r="AA26" i="1"/>
  <c r="W27" i="1" s="1"/>
  <c r="M11" i="70"/>
  <c r="F21" i="1"/>
  <c r="C22" i="1" s="1"/>
  <c r="F6" i="99"/>
  <c r="M6" i="99" s="1"/>
  <c r="Q6" i="99" s="1"/>
  <c r="H68" i="72"/>
  <c r="H76" i="70"/>
  <c r="I76" i="70"/>
  <c r="I68" i="72"/>
  <c r="M68" i="70"/>
  <c r="W26" i="56"/>
  <c r="B27" i="56" s="1"/>
  <c r="F68" i="72"/>
  <c r="Q68" i="69"/>
  <c r="L69" i="74"/>
  <c r="L76" i="73"/>
  <c r="I56" i="72"/>
  <c r="I62" i="70"/>
  <c r="I64" i="73"/>
  <c r="I66" i="72"/>
  <c r="L64" i="73"/>
  <c r="L66" i="72"/>
  <c r="I10" i="73"/>
  <c r="I27" i="72"/>
  <c r="L29" i="77"/>
  <c r="L27" i="70"/>
  <c r="L10" i="72"/>
  <c r="I29" i="73"/>
  <c r="I53" i="72"/>
  <c r="K58" i="72"/>
  <c r="K62" i="70"/>
  <c r="M62" i="69"/>
  <c r="Q58" i="69"/>
  <c r="Q62" i="69" s="1"/>
  <c r="F62" i="70"/>
  <c r="M58" i="70"/>
  <c r="L58" i="70"/>
  <c r="L62" i="69"/>
  <c r="N26" i="4"/>
  <c r="K27" i="4" s="1"/>
  <c r="F58" i="72"/>
  <c r="H58" i="74"/>
  <c r="I58" i="74"/>
  <c r="F7" i="68"/>
  <c r="M7" i="68" s="1"/>
  <c r="Q7" i="68" s="1"/>
  <c r="C24" i="3"/>
  <c r="F24" i="3" s="1"/>
  <c r="M54" i="97" l="1"/>
  <c r="F14" i="70"/>
  <c r="M14" i="70" s="1"/>
  <c r="AN25" i="1"/>
  <c r="AK26" i="1" s="1"/>
  <c r="F24" i="68"/>
  <c r="M24" i="68" s="1"/>
  <c r="DK23" i="1"/>
  <c r="DG24" i="1" s="1"/>
  <c r="F65" i="69"/>
  <c r="N24" i="3"/>
  <c r="K25" i="3" s="1"/>
  <c r="F32" i="73"/>
  <c r="M32" i="73" s="1"/>
  <c r="DU27" i="1"/>
  <c r="DQ28" i="1" s="1"/>
  <c r="K76" i="70"/>
  <c r="K70" i="72"/>
  <c r="F20" i="72"/>
  <c r="CB26" i="1"/>
  <c r="BX27" i="1" s="1"/>
  <c r="F69" i="42"/>
  <c r="AB22" i="56"/>
  <c r="Y23" i="56" s="1"/>
  <c r="M69" i="99"/>
  <c r="M76" i="99" s="1"/>
  <c r="F76" i="99"/>
  <c r="F22" i="68"/>
  <c r="M22" i="68" s="1"/>
  <c r="DA23" i="1"/>
  <c r="CW24" i="1" s="1"/>
  <c r="H66" i="73"/>
  <c r="H64" i="74"/>
  <c r="F25" i="73"/>
  <c r="M25" i="73" s="1"/>
  <c r="DP27" i="1"/>
  <c r="DL28" i="1" s="1"/>
  <c r="F23" i="68"/>
  <c r="M23" i="68" s="1"/>
  <c r="DF23" i="1"/>
  <c r="DB24" i="1" s="1"/>
  <c r="F21" i="68"/>
  <c r="M21" i="68" s="1"/>
  <c r="CV23" i="1"/>
  <c r="CR24" i="1" s="1"/>
  <c r="K66" i="70"/>
  <c r="K64" i="72"/>
  <c r="F48" i="73"/>
  <c r="M48" i="73" s="1"/>
  <c r="CQ27" i="1"/>
  <c r="CM28" i="1" s="1"/>
  <c r="F26" i="73"/>
  <c r="M26" i="73" s="1"/>
  <c r="DZ27" i="1"/>
  <c r="DV28" i="1" s="1"/>
  <c r="F10" i="99"/>
  <c r="M10" i="99" s="1"/>
  <c r="Q10" i="99" s="1"/>
  <c r="Q27" i="99" s="1"/>
  <c r="P21" i="1"/>
  <c r="K22" i="1" s="1"/>
  <c r="F50" i="75"/>
  <c r="M50" i="75" s="1"/>
  <c r="CL29" i="1"/>
  <c r="CH30" i="1" s="1"/>
  <c r="F64" i="42"/>
  <c r="F66" i="99"/>
  <c r="M64" i="99"/>
  <c r="M66" i="99" s="1"/>
  <c r="L54" i="70"/>
  <c r="K27" i="72"/>
  <c r="K12" i="73"/>
  <c r="H51" i="74"/>
  <c r="H53" i="73"/>
  <c r="H27" i="72"/>
  <c r="H54" i="72" s="1"/>
  <c r="H11" i="73"/>
  <c r="H56" i="73"/>
  <c r="H62" i="72"/>
  <c r="EL23" i="1"/>
  <c r="EI24" i="1" s="1"/>
  <c r="F8" i="68"/>
  <c r="M8" i="68" s="1"/>
  <c r="Q29" i="98"/>
  <c r="Q53" i="98" s="1"/>
  <c r="Q54" i="98" s="1"/>
  <c r="M53" i="98"/>
  <c r="M29" i="99"/>
  <c r="F53" i="99"/>
  <c r="F52" i="70"/>
  <c r="M52" i="70" s="1"/>
  <c r="Q52" i="70" s="1"/>
  <c r="AE25" i="1"/>
  <c r="AB26" i="1" s="1"/>
  <c r="F29" i="72"/>
  <c r="M29" i="72" s="1"/>
  <c r="Q29" i="72" s="1"/>
  <c r="F29" i="68"/>
  <c r="F29" i="70"/>
  <c r="F29" i="69"/>
  <c r="F29" i="42"/>
  <c r="V22" i="1"/>
  <c r="Q23" i="1" s="1"/>
  <c r="F30" i="69" s="1"/>
  <c r="M30" i="69" s="1"/>
  <c r="EE22" i="1"/>
  <c r="EH22" i="1" s="1"/>
  <c r="F13" i="99"/>
  <c r="AS21" i="1"/>
  <c r="AO22" i="1" s="1"/>
  <c r="EA21" i="1"/>
  <c r="ED21" i="1" s="1"/>
  <c r="F49" i="73"/>
  <c r="M49" i="73" s="1"/>
  <c r="CG27" i="1"/>
  <c r="CC28" i="1" s="1"/>
  <c r="F18" i="69"/>
  <c r="M18" i="69" s="1"/>
  <c r="BR24" i="1"/>
  <c r="BN25" i="1" s="1"/>
  <c r="M13" i="98"/>
  <c r="M27" i="98" s="1"/>
  <c r="F27" i="98"/>
  <c r="F54" i="98" s="1"/>
  <c r="K53" i="72"/>
  <c r="K54" i="70"/>
  <c r="F16" i="99"/>
  <c r="M16" i="99" s="1"/>
  <c r="BH21" i="1"/>
  <c r="BD22" i="1" s="1"/>
  <c r="F19" i="99"/>
  <c r="M19" i="99" s="1"/>
  <c r="BW21" i="1"/>
  <c r="BS22" i="1" s="1"/>
  <c r="K34" i="76"/>
  <c r="K53" i="75"/>
  <c r="F17" i="42"/>
  <c r="M17" i="42" s="1"/>
  <c r="BM22" i="1"/>
  <c r="BI23" i="1" s="1"/>
  <c r="L34" i="76"/>
  <c r="L53" i="75"/>
  <c r="F59" i="74"/>
  <c r="M59" i="74" s="1"/>
  <c r="R28" i="4"/>
  <c r="O29" i="4" s="1"/>
  <c r="F57" i="74"/>
  <c r="M57" i="74" s="1"/>
  <c r="Q57" i="74" s="1"/>
  <c r="J28" i="4"/>
  <c r="G29" i="4" s="1"/>
  <c r="F56" i="73"/>
  <c r="M56" i="73" s="1"/>
  <c r="Q56" i="73" s="1"/>
  <c r="F27" i="4"/>
  <c r="C28" i="4" s="1"/>
  <c r="F15" i="73"/>
  <c r="M15" i="73" s="1"/>
  <c r="BC27" i="1"/>
  <c r="AY28" i="1" s="1"/>
  <c r="F12" i="73"/>
  <c r="M12" i="73" s="1"/>
  <c r="AX27" i="1"/>
  <c r="AT28" i="1" s="1"/>
  <c r="F51" i="73"/>
  <c r="M51" i="73" s="1"/>
  <c r="AF28" i="1"/>
  <c r="AJ28" i="1" s="1"/>
  <c r="Q51" i="70"/>
  <c r="Q11" i="70"/>
  <c r="F11" i="73"/>
  <c r="AA27" i="1"/>
  <c r="W28" i="1" s="1"/>
  <c r="M11" i="72"/>
  <c r="F6" i="42"/>
  <c r="M6" i="42" s="1"/>
  <c r="Q6" i="42" s="1"/>
  <c r="F22" i="1"/>
  <c r="C23" i="1" s="1"/>
  <c r="I76" i="72"/>
  <c r="I68" i="73"/>
  <c r="H76" i="72"/>
  <c r="H68" i="73"/>
  <c r="M68" i="72"/>
  <c r="F68" i="73"/>
  <c r="W27" i="56"/>
  <c r="B28" i="56" s="1"/>
  <c r="Q68" i="70"/>
  <c r="L69" i="75"/>
  <c r="L76" i="74"/>
  <c r="I56" i="73"/>
  <c r="I62" i="72"/>
  <c r="L64" i="74"/>
  <c r="L66" i="73"/>
  <c r="I64" i="74"/>
  <c r="I66" i="73"/>
  <c r="L10" i="73"/>
  <c r="L27" i="72"/>
  <c r="L54" i="72" s="1"/>
  <c r="I54" i="72"/>
  <c r="L29" i="78"/>
  <c r="I29" i="74"/>
  <c r="I53" i="73"/>
  <c r="I10" i="74"/>
  <c r="I27" i="73"/>
  <c r="M58" i="72"/>
  <c r="F62" i="72"/>
  <c r="N27" i="4"/>
  <c r="K28" i="4" s="1"/>
  <c r="F58" i="73"/>
  <c r="Q58" i="70"/>
  <c r="Q62" i="70" s="1"/>
  <c r="M62" i="70"/>
  <c r="L58" i="72"/>
  <c r="L62" i="70"/>
  <c r="K58" i="73"/>
  <c r="K62" i="72"/>
  <c r="I58" i="75"/>
  <c r="H58" i="75"/>
  <c r="F7" i="69"/>
  <c r="M7" i="69" s="1"/>
  <c r="Q7" i="69" s="1"/>
  <c r="C25" i="3"/>
  <c r="F25" i="3" s="1"/>
  <c r="F23" i="69" l="1"/>
  <c r="M23" i="69" s="1"/>
  <c r="DF24" i="1"/>
  <c r="DB25" i="1" s="1"/>
  <c r="F22" i="69"/>
  <c r="M22" i="69" s="1"/>
  <c r="DA24" i="1"/>
  <c r="CW25" i="1" s="1"/>
  <c r="F20" i="73"/>
  <c r="CB27" i="1"/>
  <c r="BX28" i="1" s="1"/>
  <c r="F65" i="70"/>
  <c r="M65" i="70" s="1"/>
  <c r="N25" i="3"/>
  <c r="K26" i="3" s="1"/>
  <c r="F10" i="42"/>
  <c r="M10" i="42" s="1"/>
  <c r="Q10" i="42" s="1"/>
  <c r="Q27" i="42" s="1"/>
  <c r="P22" i="1"/>
  <c r="K23" i="1" s="1"/>
  <c r="K64" i="73"/>
  <c r="K66" i="72"/>
  <c r="F25" i="74"/>
  <c r="M25" i="74" s="1"/>
  <c r="DP28" i="1"/>
  <c r="DL29" i="1" s="1"/>
  <c r="K76" i="72"/>
  <c r="K70" i="73"/>
  <c r="F24" i="69"/>
  <c r="M24" i="69" s="1"/>
  <c r="DK24" i="1"/>
  <c r="DG25" i="1" s="1"/>
  <c r="F64" i="68"/>
  <c r="F26" i="74"/>
  <c r="M26" i="74" s="1"/>
  <c r="DZ28" i="1"/>
  <c r="DV29" i="1" s="1"/>
  <c r="M64" i="42"/>
  <c r="M66" i="42" s="1"/>
  <c r="F66" i="42"/>
  <c r="F21" i="69"/>
  <c r="M21" i="69" s="1"/>
  <c r="CV24" i="1"/>
  <c r="CR25" i="1" s="1"/>
  <c r="H66" i="74"/>
  <c r="H64" i="75"/>
  <c r="F69" i="68"/>
  <c r="AB23" i="56"/>
  <c r="Y24" i="56" s="1"/>
  <c r="F32" i="74"/>
  <c r="M32" i="74" s="1"/>
  <c r="DU28" i="1"/>
  <c r="DQ29" i="1" s="1"/>
  <c r="F14" i="72"/>
  <c r="M14" i="72" s="1"/>
  <c r="AN26" i="1"/>
  <c r="AK27" i="1" s="1"/>
  <c r="F50" i="76"/>
  <c r="M50" i="76" s="1"/>
  <c r="CL30" i="1"/>
  <c r="CH31" i="1" s="1"/>
  <c r="F48" i="74"/>
  <c r="M48" i="74" s="1"/>
  <c r="CQ28" i="1"/>
  <c r="CM29" i="1" s="1"/>
  <c r="M69" i="42"/>
  <c r="M76" i="42" s="1"/>
  <c r="F76" i="42"/>
  <c r="I54" i="73"/>
  <c r="M54" i="98"/>
  <c r="K27" i="73"/>
  <c r="K12" i="74"/>
  <c r="H53" i="74"/>
  <c r="H51" i="75"/>
  <c r="H11" i="74"/>
  <c r="H27" i="73"/>
  <c r="H54" i="73" s="1"/>
  <c r="H56" i="74"/>
  <c r="H62" i="73"/>
  <c r="EL24" i="1"/>
  <c r="EI25" i="1" s="1"/>
  <c r="F8" i="69"/>
  <c r="M8" i="69" s="1"/>
  <c r="M29" i="42"/>
  <c r="F53" i="42"/>
  <c r="M29" i="68"/>
  <c r="F53" i="68"/>
  <c r="Q29" i="99"/>
  <c r="Q53" i="99" s="1"/>
  <c r="Q54" i="99" s="1"/>
  <c r="M53" i="99"/>
  <c r="M29" i="69"/>
  <c r="M29" i="70"/>
  <c r="F53" i="70"/>
  <c r="V23" i="1"/>
  <c r="Q24" i="1" s="1"/>
  <c r="F31" i="69" s="1"/>
  <c r="M31" i="69" s="1"/>
  <c r="EE23" i="1"/>
  <c r="EH23" i="1" s="1"/>
  <c r="F52" i="72"/>
  <c r="AE26" i="1"/>
  <c r="AB27" i="1" s="1"/>
  <c r="F49" i="74"/>
  <c r="M49" i="74" s="1"/>
  <c r="CG28" i="1"/>
  <c r="CC29" i="1" s="1"/>
  <c r="K53" i="76"/>
  <c r="K34" i="77"/>
  <c r="K54" i="72"/>
  <c r="K53" i="73"/>
  <c r="F19" i="42"/>
  <c r="M19" i="42" s="1"/>
  <c r="BW22" i="1"/>
  <c r="BS23" i="1" s="1"/>
  <c r="L34" i="77"/>
  <c r="L53" i="76"/>
  <c r="F13" i="42"/>
  <c r="AS22" i="1"/>
  <c r="AO23" i="1" s="1"/>
  <c r="EA22" i="1"/>
  <c r="ED22" i="1" s="1"/>
  <c r="F17" i="68"/>
  <c r="M17" i="68" s="1"/>
  <c r="BM23" i="1"/>
  <c r="BI24" i="1" s="1"/>
  <c r="F16" i="42"/>
  <c r="M16" i="42" s="1"/>
  <c r="BH22" i="1"/>
  <c r="BD23" i="1" s="1"/>
  <c r="F18" i="70"/>
  <c r="M18" i="70" s="1"/>
  <c r="BR25" i="1"/>
  <c r="BN26" i="1" s="1"/>
  <c r="M13" i="99"/>
  <c r="M27" i="99" s="1"/>
  <c r="F27" i="99"/>
  <c r="F54" i="99" s="1"/>
  <c r="R29" i="4"/>
  <c r="O30" i="4" s="1"/>
  <c r="F59" i="75"/>
  <c r="M59" i="75" s="1"/>
  <c r="F57" i="75"/>
  <c r="M57" i="75" s="1"/>
  <c r="Q57" i="75" s="1"/>
  <c r="J29" i="4"/>
  <c r="G30" i="4" s="1"/>
  <c r="F56" i="74"/>
  <c r="M56" i="74" s="1"/>
  <c r="Q56" i="74" s="1"/>
  <c r="F28" i="4"/>
  <c r="C29" i="4" s="1"/>
  <c r="BC28" i="1"/>
  <c r="AY29" i="1" s="1"/>
  <c r="F15" i="74"/>
  <c r="M15" i="74" s="1"/>
  <c r="AX28" i="1"/>
  <c r="AT29" i="1" s="1"/>
  <c r="F12" i="74"/>
  <c r="M12" i="74" s="1"/>
  <c r="F51" i="74"/>
  <c r="M51" i="74" s="1"/>
  <c r="AF29" i="1"/>
  <c r="AJ29" i="1" s="1"/>
  <c r="Q51" i="72"/>
  <c r="AA28" i="1"/>
  <c r="W29" i="1" s="1"/>
  <c r="F11" i="74"/>
  <c r="M11" i="73"/>
  <c r="Q11" i="72"/>
  <c r="F6" i="68"/>
  <c r="M6" i="68" s="1"/>
  <c r="Q6" i="68" s="1"/>
  <c r="F23" i="1"/>
  <c r="C24" i="1" s="1"/>
  <c r="H68" i="74"/>
  <c r="H76" i="73"/>
  <c r="I76" i="73"/>
  <c r="I68" i="74"/>
  <c r="F68" i="74"/>
  <c r="W28" i="56"/>
  <c r="B29" i="56" s="1"/>
  <c r="M68" i="73"/>
  <c r="Q68" i="72"/>
  <c r="L76" i="75"/>
  <c r="L69" i="76"/>
  <c r="I56" i="74"/>
  <c r="I62" i="73"/>
  <c r="I64" i="75"/>
  <c r="I66" i="74"/>
  <c r="L66" i="74"/>
  <c r="L64" i="75"/>
  <c r="I29" i="75"/>
  <c r="I53" i="74"/>
  <c r="L28" i="79"/>
  <c r="I10" i="75"/>
  <c r="I27" i="74"/>
  <c r="L27" i="73"/>
  <c r="L54" i="73" s="1"/>
  <c r="L10" i="74"/>
  <c r="F58" i="74"/>
  <c r="N28" i="4"/>
  <c r="K29" i="4" s="1"/>
  <c r="K58" i="74"/>
  <c r="K62" i="73"/>
  <c r="F62" i="73"/>
  <c r="M58" i="73"/>
  <c r="L58" i="73"/>
  <c r="L62" i="72"/>
  <c r="Q58" i="72"/>
  <c r="Q62" i="72" s="1"/>
  <c r="M62" i="72"/>
  <c r="H58" i="76"/>
  <c r="I58" i="76"/>
  <c r="C26" i="3"/>
  <c r="F26" i="3" s="1"/>
  <c r="F7" i="70"/>
  <c r="M7" i="70" s="1"/>
  <c r="Q7" i="70" s="1"/>
  <c r="M69" i="68" l="1"/>
  <c r="M76" i="68" s="1"/>
  <c r="F76" i="68"/>
  <c r="F24" i="70"/>
  <c r="M24" i="70" s="1"/>
  <c r="DK25" i="1"/>
  <c r="DG26" i="1" s="1"/>
  <c r="F20" i="74"/>
  <c r="CB28" i="1"/>
  <c r="BX29" i="1" s="1"/>
  <c r="F14" i="73"/>
  <c r="M14" i="73" s="1"/>
  <c r="AN27" i="1"/>
  <c r="AK28" i="1" s="1"/>
  <c r="H64" i="76"/>
  <c r="H66" i="75"/>
  <c r="K66" i="73"/>
  <c r="K64" i="74"/>
  <c r="F26" i="75"/>
  <c r="M26" i="75" s="1"/>
  <c r="DZ29" i="1"/>
  <c r="DV30" i="1" s="1"/>
  <c r="K70" i="74"/>
  <c r="K76" i="73"/>
  <c r="F10" i="68"/>
  <c r="M10" i="68" s="1"/>
  <c r="Q10" i="68" s="1"/>
  <c r="Q27" i="68" s="1"/>
  <c r="P23" i="1"/>
  <c r="K24" i="1" s="1"/>
  <c r="F22" i="70"/>
  <c r="M22" i="70" s="1"/>
  <c r="DA25" i="1"/>
  <c r="CW26" i="1" s="1"/>
  <c r="F48" i="75"/>
  <c r="M48" i="75" s="1"/>
  <c r="CQ29" i="1"/>
  <c r="CM30" i="1" s="1"/>
  <c r="F32" i="75"/>
  <c r="M32" i="75" s="1"/>
  <c r="DU29" i="1"/>
  <c r="DQ30" i="1" s="1"/>
  <c r="F21" i="70"/>
  <c r="M21" i="70" s="1"/>
  <c r="CV25" i="1"/>
  <c r="CR26" i="1" s="1"/>
  <c r="F64" i="69"/>
  <c r="F25" i="75"/>
  <c r="M25" i="75" s="1"/>
  <c r="DP29" i="1"/>
  <c r="DL30" i="1" s="1"/>
  <c r="F65" i="72"/>
  <c r="M65" i="72" s="1"/>
  <c r="N26" i="3"/>
  <c r="K27" i="3" s="1"/>
  <c r="F23" i="70"/>
  <c r="M23" i="70" s="1"/>
  <c r="DF25" i="1"/>
  <c r="DB26" i="1" s="1"/>
  <c r="F50" i="77"/>
  <c r="M50" i="77" s="1"/>
  <c r="CL31" i="1"/>
  <c r="CH32" i="1" s="1"/>
  <c r="F69" i="69"/>
  <c r="AB24" i="56"/>
  <c r="Y25" i="56" s="1"/>
  <c r="F66" i="68"/>
  <c r="M64" i="68"/>
  <c r="M66" i="68" s="1"/>
  <c r="I54" i="74"/>
  <c r="M54" i="99"/>
  <c r="K27" i="74"/>
  <c r="K12" i="75"/>
  <c r="H53" i="75"/>
  <c r="H51" i="76"/>
  <c r="H27" i="74"/>
  <c r="H54" i="74" s="1"/>
  <c r="H11" i="75"/>
  <c r="H56" i="75"/>
  <c r="H62" i="74"/>
  <c r="EL25" i="1"/>
  <c r="EI26" i="1" s="1"/>
  <c r="F8" i="70"/>
  <c r="M8" i="70" s="1"/>
  <c r="Q29" i="70"/>
  <c r="Q53" i="70" s="1"/>
  <c r="M53" i="70"/>
  <c r="Q29" i="68"/>
  <c r="Q53" i="68" s="1"/>
  <c r="M53" i="68"/>
  <c r="V24" i="1"/>
  <c r="Q25" i="1" s="1"/>
  <c r="F32" i="69" s="1"/>
  <c r="M32" i="69" s="1"/>
  <c r="EE24" i="1"/>
  <c r="EH24" i="1" s="1"/>
  <c r="F52" i="73"/>
  <c r="M52" i="73" s="1"/>
  <c r="Q52" i="73" s="1"/>
  <c r="AE27" i="1"/>
  <c r="AB28" i="1" s="1"/>
  <c r="M52" i="72"/>
  <c r="F53" i="72"/>
  <c r="Q29" i="69"/>
  <c r="Q53" i="69" s="1"/>
  <c r="Q29" i="42"/>
  <c r="Q53" i="42" s="1"/>
  <c r="Q54" i="42" s="1"/>
  <c r="M53" i="42"/>
  <c r="F16" i="68"/>
  <c r="M16" i="68" s="1"/>
  <c r="BH23" i="1"/>
  <c r="BD24" i="1" s="1"/>
  <c r="M13" i="42"/>
  <c r="M27" i="42" s="1"/>
  <c r="F27" i="42"/>
  <c r="F54" i="42" s="1"/>
  <c r="K53" i="74"/>
  <c r="K54" i="73"/>
  <c r="F17" i="69"/>
  <c r="M17" i="69" s="1"/>
  <c r="BM24" i="1"/>
  <c r="BI25" i="1" s="1"/>
  <c r="L34" i="78"/>
  <c r="L53" i="77"/>
  <c r="K34" i="78"/>
  <c r="K53" i="77"/>
  <c r="F18" i="72"/>
  <c r="M18" i="72" s="1"/>
  <c r="BR26" i="1"/>
  <c r="BN27" i="1" s="1"/>
  <c r="F19" i="68"/>
  <c r="M19" i="68" s="1"/>
  <c r="BW23" i="1"/>
  <c r="BS24" i="1" s="1"/>
  <c r="F49" i="75"/>
  <c r="M49" i="75" s="1"/>
  <c r="CG29" i="1"/>
  <c r="CC30" i="1" s="1"/>
  <c r="F13" i="68"/>
  <c r="AS23" i="1"/>
  <c r="AO24" i="1" s="1"/>
  <c r="EA23" i="1"/>
  <c r="ED23" i="1" s="1"/>
  <c r="F59" i="76"/>
  <c r="M59" i="76" s="1"/>
  <c r="R30" i="4"/>
  <c r="O31" i="4" s="1"/>
  <c r="F57" i="76"/>
  <c r="M57" i="76" s="1"/>
  <c r="Q57" i="76" s="1"/>
  <c r="J30" i="4"/>
  <c r="G31" i="4" s="1"/>
  <c r="F29" i="4"/>
  <c r="C30" i="4" s="1"/>
  <c r="F56" i="75"/>
  <c r="M56" i="75" s="1"/>
  <c r="Q56" i="75" s="1"/>
  <c r="BC29" i="1"/>
  <c r="AY30" i="1" s="1"/>
  <c r="F15" i="75"/>
  <c r="M15" i="75" s="1"/>
  <c r="F12" i="75"/>
  <c r="M12" i="75" s="1"/>
  <c r="AX29" i="1"/>
  <c r="AT30" i="1" s="1"/>
  <c r="Q51" i="73"/>
  <c r="F51" i="75"/>
  <c r="M51" i="75" s="1"/>
  <c r="AF30" i="1"/>
  <c r="AJ30" i="1" s="1"/>
  <c r="AA29" i="1"/>
  <c r="W30" i="1" s="1"/>
  <c r="F11" i="75"/>
  <c r="Q11" i="73"/>
  <c r="M11" i="74"/>
  <c r="F6" i="69"/>
  <c r="M6" i="69" s="1"/>
  <c r="Q6" i="69" s="1"/>
  <c r="F24" i="1"/>
  <c r="C25" i="1" s="1"/>
  <c r="I68" i="75"/>
  <c r="I76" i="74"/>
  <c r="H68" i="75"/>
  <c r="H76" i="74"/>
  <c r="W29" i="56"/>
  <c r="B30" i="56" s="1"/>
  <c r="F68" i="75"/>
  <c r="M68" i="74"/>
  <c r="Q68" i="73"/>
  <c r="L69" i="77"/>
  <c r="L76" i="76"/>
  <c r="I56" i="75"/>
  <c r="I62" i="74"/>
  <c r="L66" i="75"/>
  <c r="L64" i="76"/>
  <c r="I64" i="76"/>
  <c r="I66" i="75"/>
  <c r="I10" i="76"/>
  <c r="I27" i="75"/>
  <c r="L27" i="74"/>
  <c r="L54" i="74" s="1"/>
  <c r="L10" i="75"/>
  <c r="I29" i="76"/>
  <c r="I53" i="75"/>
  <c r="M62" i="73"/>
  <c r="Q58" i="73"/>
  <c r="Q62" i="73" s="1"/>
  <c r="K58" i="75"/>
  <c r="K62" i="74"/>
  <c r="N29" i="4"/>
  <c r="K30" i="4" s="1"/>
  <c r="F58" i="75"/>
  <c r="L58" i="74"/>
  <c r="L62" i="73"/>
  <c r="M58" i="74"/>
  <c r="F62" i="74"/>
  <c r="I58" i="77"/>
  <c r="H58" i="77"/>
  <c r="F7" i="72"/>
  <c r="M7" i="72" s="1"/>
  <c r="Q7" i="72" s="1"/>
  <c r="C27" i="3"/>
  <c r="F27" i="3" s="1"/>
  <c r="R31" i="4" l="1"/>
  <c r="O32" i="4" s="1"/>
  <c r="F59" i="77"/>
  <c r="M59" i="77" s="1"/>
  <c r="F32" i="76"/>
  <c r="M32" i="76" s="1"/>
  <c r="DU30" i="1"/>
  <c r="DQ31" i="1" s="1"/>
  <c r="F10" i="69"/>
  <c r="M10" i="69" s="1"/>
  <c r="Q10" i="69" s="1"/>
  <c r="Q27" i="69" s="1"/>
  <c r="Q54" i="69" s="1"/>
  <c r="P24" i="1"/>
  <c r="K25" i="1" s="1"/>
  <c r="K66" i="74"/>
  <c r="K64" i="75"/>
  <c r="F20" i="75"/>
  <c r="CB29" i="1"/>
  <c r="BX30" i="1" s="1"/>
  <c r="F23" i="72"/>
  <c r="M23" i="72" s="1"/>
  <c r="DF26" i="1"/>
  <c r="DB27" i="1" s="1"/>
  <c r="F64" i="70"/>
  <c r="F66" i="69"/>
  <c r="F48" i="76"/>
  <c r="M48" i="76" s="1"/>
  <c r="CQ30" i="1"/>
  <c r="CM31" i="1" s="1"/>
  <c r="F24" i="72"/>
  <c r="M24" i="72" s="1"/>
  <c r="DK26" i="1"/>
  <c r="DG27" i="1" s="1"/>
  <c r="F69" i="70"/>
  <c r="AB25" i="56"/>
  <c r="Y26" i="56" s="1"/>
  <c r="F65" i="73"/>
  <c r="M65" i="73" s="1"/>
  <c r="N27" i="3"/>
  <c r="K28" i="3" s="1"/>
  <c r="K70" i="75"/>
  <c r="K76" i="74"/>
  <c r="H66" i="76"/>
  <c r="H64" i="77"/>
  <c r="Q54" i="68"/>
  <c r="M69" i="69"/>
  <c r="M76" i="69" s="1"/>
  <c r="F76" i="69"/>
  <c r="F21" i="72"/>
  <c r="M21" i="72" s="1"/>
  <c r="CV26" i="1"/>
  <c r="CR27" i="1" s="1"/>
  <c r="F22" i="72"/>
  <c r="M22" i="72" s="1"/>
  <c r="DA26" i="1"/>
  <c r="CW27" i="1" s="1"/>
  <c r="F26" i="76"/>
  <c r="M26" i="76" s="1"/>
  <c r="DZ30" i="1"/>
  <c r="DV31" i="1" s="1"/>
  <c r="F14" i="74"/>
  <c r="M14" i="74" s="1"/>
  <c r="AN28" i="1"/>
  <c r="AK29" i="1" s="1"/>
  <c r="F50" i="78"/>
  <c r="M50" i="78" s="1"/>
  <c r="CL32" i="1"/>
  <c r="CH33" i="1" s="1"/>
  <c r="F25" i="76"/>
  <c r="M25" i="76" s="1"/>
  <c r="DP30" i="1"/>
  <c r="DL31" i="1" s="1"/>
  <c r="K54" i="74"/>
  <c r="K27" i="75"/>
  <c r="K54" i="75" s="1"/>
  <c r="K12" i="76"/>
  <c r="H51" i="77"/>
  <c r="H53" i="76"/>
  <c r="I54" i="75"/>
  <c r="M54" i="42"/>
  <c r="H11" i="76"/>
  <c r="H27" i="75"/>
  <c r="H54" i="75" s="1"/>
  <c r="H56" i="76"/>
  <c r="H62" i="75"/>
  <c r="EL26" i="1"/>
  <c r="EI27" i="1" s="1"/>
  <c r="F8" i="72"/>
  <c r="M8" i="72" s="1"/>
  <c r="Q52" i="72"/>
  <c r="Q53" i="72" s="1"/>
  <c r="M53" i="72"/>
  <c r="F52" i="74"/>
  <c r="M52" i="74" s="1"/>
  <c r="Q52" i="74" s="1"/>
  <c r="AE28" i="1"/>
  <c r="AB29" i="1" s="1"/>
  <c r="V25" i="1"/>
  <c r="Q26" i="1" s="1"/>
  <c r="F33" i="69" s="1"/>
  <c r="M33" i="69" s="1"/>
  <c r="M53" i="69" s="1"/>
  <c r="EE25" i="1"/>
  <c r="EH25" i="1" s="1"/>
  <c r="F19" i="69"/>
  <c r="M19" i="69" s="1"/>
  <c r="BW24" i="1"/>
  <c r="BS25" i="1" s="1"/>
  <c r="K33" i="79"/>
  <c r="K52" i="79" s="1"/>
  <c r="K53" i="78"/>
  <c r="F13" i="69"/>
  <c r="AS24" i="1"/>
  <c r="AO25" i="1" s="1"/>
  <c r="EA24" i="1"/>
  <c r="ED24" i="1" s="1"/>
  <c r="M13" i="68"/>
  <c r="M27" i="68" s="1"/>
  <c r="M54" i="68" s="1"/>
  <c r="F27" i="68"/>
  <c r="F54" i="68" s="1"/>
  <c r="F18" i="73"/>
  <c r="M18" i="73" s="1"/>
  <c r="BR27" i="1"/>
  <c r="BN28" i="1" s="1"/>
  <c r="L33" i="79"/>
  <c r="L52" i="79" s="1"/>
  <c r="L53" i="78"/>
  <c r="F17" i="70"/>
  <c r="M17" i="70" s="1"/>
  <c r="BM25" i="1"/>
  <c r="BI26" i="1" s="1"/>
  <c r="F16" i="69"/>
  <c r="M16" i="69" s="1"/>
  <c r="BH24" i="1"/>
  <c r="BD25" i="1" s="1"/>
  <c r="F49" i="76"/>
  <c r="M49" i="76" s="1"/>
  <c r="CG30" i="1"/>
  <c r="CC31" i="1" s="1"/>
  <c r="J31" i="4"/>
  <c r="G32" i="4" s="1"/>
  <c r="F57" i="77"/>
  <c r="M57" i="77" s="1"/>
  <c r="Q57" i="77" s="1"/>
  <c r="F56" i="76"/>
  <c r="M56" i="76" s="1"/>
  <c r="Q56" i="76" s="1"/>
  <c r="F30" i="4"/>
  <c r="C31" i="4" s="1"/>
  <c r="BC30" i="1"/>
  <c r="AY31" i="1" s="1"/>
  <c r="F15" i="76"/>
  <c r="M15" i="76" s="1"/>
  <c r="F12" i="76"/>
  <c r="M12" i="76" s="1"/>
  <c r="AX30" i="1"/>
  <c r="AT31" i="1" s="1"/>
  <c r="AF31" i="1"/>
  <c r="AJ31" i="1" s="1"/>
  <c r="F51" i="76"/>
  <c r="M51" i="76" s="1"/>
  <c r="Q51" i="74"/>
  <c r="F11" i="76"/>
  <c r="AA30" i="1"/>
  <c r="W31" i="1" s="1"/>
  <c r="M11" i="75"/>
  <c r="Q11" i="74"/>
  <c r="F25" i="1"/>
  <c r="C26" i="1" s="1"/>
  <c r="F6" i="70"/>
  <c r="M6" i="70" s="1"/>
  <c r="Q6" i="70" s="1"/>
  <c r="H76" i="75"/>
  <c r="H68" i="76"/>
  <c r="I68" i="76"/>
  <c r="I76" i="75"/>
  <c r="Q68" i="74"/>
  <c r="M68" i="75"/>
  <c r="W30" i="56"/>
  <c r="B31" i="56" s="1"/>
  <c r="F68" i="76"/>
  <c r="L69" i="78"/>
  <c r="L76" i="77"/>
  <c r="I56" i="76"/>
  <c r="I62" i="75"/>
  <c r="I66" i="76"/>
  <c r="I64" i="77"/>
  <c r="L64" i="77"/>
  <c r="L66" i="76"/>
  <c r="L10" i="76"/>
  <c r="L27" i="75"/>
  <c r="L54" i="75" s="1"/>
  <c r="I29" i="77"/>
  <c r="I53" i="76"/>
  <c r="I10" i="77"/>
  <c r="I27" i="76"/>
  <c r="K58" i="76"/>
  <c r="K62" i="75"/>
  <c r="M58" i="75"/>
  <c r="F62" i="75"/>
  <c r="M62" i="74"/>
  <c r="Q58" i="74"/>
  <c r="Q62" i="74" s="1"/>
  <c r="N30" i="4"/>
  <c r="K31" i="4" s="1"/>
  <c r="F58" i="76"/>
  <c r="L58" i="75"/>
  <c r="L62" i="74"/>
  <c r="I58" i="78"/>
  <c r="H58" i="78"/>
  <c r="F7" i="73"/>
  <c r="M7" i="73" s="1"/>
  <c r="Q7" i="73" s="1"/>
  <c r="C28" i="3"/>
  <c r="F28" i="3" s="1"/>
  <c r="R32" i="4" l="1"/>
  <c r="O33" i="4" s="1"/>
  <c r="R33" i="4" s="1"/>
  <c r="F59" i="78"/>
  <c r="M59" i="78" s="1"/>
  <c r="F53" i="69"/>
  <c r="I54" i="76"/>
  <c r="F49" i="79"/>
  <c r="M49" i="79" s="1"/>
  <c r="CL33" i="1"/>
  <c r="CH35" i="1"/>
  <c r="F22" i="73"/>
  <c r="M22" i="73" s="1"/>
  <c r="DA27" i="1"/>
  <c r="CW28" i="1" s="1"/>
  <c r="F48" i="77"/>
  <c r="M48" i="77" s="1"/>
  <c r="CQ31" i="1"/>
  <c r="CM32" i="1" s="1"/>
  <c r="F66" i="70"/>
  <c r="M64" i="70"/>
  <c r="M66" i="70" s="1"/>
  <c r="H64" i="78"/>
  <c r="H66" i="77"/>
  <c r="F69" i="72"/>
  <c r="AB26" i="56"/>
  <c r="Y27" i="56" s="1"/>
  <c r="F23" i="73"/>
  <c r="M23" i="73" s="1"/>
  <c r="DF27" i="1"/>
  <c r="DB28" i="1" s="1"/>
  <c r="F10" i="70"/>
  <c r="M10" i="70" s="1"/>
  <c r="Q10" i="70" s="1"/>
  <c r="Q27" i="70" s="1"/>
  <c r="Q54" i="70" s="1"/>
  <c r="P25" i="1"/>
  <c r="K26" i="1" s="1"/>
  <c r="F14" i="75"/>
  <c r="M14" i="75" s="1"/>
  <c r="AN29" i="1"/>
  <c r="AK30" i="1" s="1"/>
  <c r="F21" i="73"/>
  <c r="M21" i="73" s="1"/>
  <c r="CV27" i="1"/>
  <c r="CR28" i="1" s="1"/>
  <c r="M76" i="70"/>
  <c r="F76" i="70"/>
  <c r="F20" i="76"/>
  <c r="CB30" i="1"/>
  <c r="BX31" i="1" s="1"/>
  <c r="F32" i="77"/>
  <c r="M32" i="77" s="1"/>
  <c r="DU31" i="1"/>
  <c r="DQ32" i="1" s="1"/>
  <c r="F25" i="77"/>
  <c r="M25" i="77" s="1"/>
  <c r="DP31" i="1"/>
  <c r="DL32" i="1" s="1"/>
  <c r="F26" i="77"/>
  <c r="M26" i="77" s="1"/>
  <c r="DZ31" i="1"/>
  <c r="DV32" i="1" s="1"/>
  <c r="K70" i="76"/>
  <c r="K76" i="75"/>
  <c r="F24" i="73"/>
  <c r="M24" i="73" s="1"/>
  <c r="DK27" i="1"/>
  <c r="DG28" i="1" s="1"/>
  <c r="F65" i="74"/>
  <c r="M65" i="74" s="1"/>
  <c r="N28" i="3"/>
  <c r="K29" i="3" s="1"/>
  <c r="F64" i="72"/>
  <c r="K66" i="75"/>
  <c r="K64" i="76"/>
  <c r="K27" i="76"/>
  <c r="K54" i="76" s="1"/>
  <c r="K12" i="77"/>
  <c r="H51" i="78"/>
  <c r="H53" i="77"/>
  <c r="H27" i="76"/>
  <c r="H54" i="76" s="1"/>
  <c r="H11" i="77"/>
  <c r="H56" i="77"/>
  <c r="H62" i="76"/>
  <c r="F8" i="73"/>
  <c r="M8" i="73" s="1"/>
  <c r="EL27" i="1"/>
  <c r="EI28" i="1" s="1"/>
  <c r="F52" i="75"/>
  <c r="M52" i="75" s="1"/>
  <c r="Q52" i="75" s="1"/>
  <c r="AE29" i="1"/>
  <c r="AB30" i="1" s="1"/>
  <c r="V26" i="1"/>
  <c r="Q27" i="1" s="1"/>
  <c r="EE26" i="1"/>
  <c r="EH26" i="1" s="1"/>
  <c r="F13" i="70"/>
  <c r="AS25" i="1"/>
  <c r="AO26" i="1" s="1"/>
  <c r="EA25" i="1"/>
  <c r="ED25" i="1" s="1"/>
  <c r="F16" i="70"/>
  <c r="M16" i="70" s="1"/>
  <c r="BH25" i="1"/>
  <c r="BD26" i="1" s="1"/>
  <c r="F18" i="74"/>
  <c r="M18" i="74" s="1"/>
  <c r="BR28" i="1"/>
  <c r="BN29" i="1" s="1"/>
  <c r="M13" i="69"/>
  <c r="M27" i="69" s="1"/>
  <c r="M54" i="69" s="1"/>
  <c r="F27" i="69"/>
  <c r="F17" i="72"/>
  <c r="M17" i="72" s="1"/>
  <c r="BM26" i="1"/>
  <c r="BI27" i="1" s="1"/>
  <c r="F19" i="70"/>
  <c r="M19" i="70" s="1"/>
  <c r="BW25" i="1"/>
  <c r="BS26" i="1" s="1"/>
  <c r="F49" i="77"/>
  <c r="M49" i="77" s="1"/>
  <c r="CG31" i="1"/>
  <c r="CC32" i="1" s="1"/>
  <c r="J32" i="4"/>
  <c r="G33" i="4" s="1"/>
  <c r="F57" i="78"/>
  <c r="M57" i="78" s="1"/>
  <c r="Q57" i="78" s="1"/>
  <c r="F31" i="4"/>
  <c r="C32" i="4" s="1"/>
  <c r="F56" i="77"/>
  <c r="M56" i="77" s="1"/>
  <c r="Q56" i="77" s="1"/>
  <c r="F15" i="77"/>
  <c r="M15" i="77" s="1"/>
  <c r="BC31" i="1"/>
  <c r="AY32" i="1" s="1"/>
  <c r="AX31" i="1"/>
  <c r="AT32" i="1" s="1"/>
  <c r="F12" i="77"/>
  <c r="M12" i="77" s="1"/>
  <c r="AF32" i="1"/>
  <c r="AJ32" i="1" s="1"/>
  <c r="F51" i="77"/>
  <c r="M51" i="77" s="1"/>
  <c r="Q51" i="75"/>
  <c r="Q11" i="75"/>
  <c r="AA31" i="1"/>
  <c r="W32" i="1" s="1"/>
  <c r="F11" i="77"/>
  <c r="M11" i="76"/>
  <c r="F6" i="72"/>
  <c r="M6" i="72" s="1"/>
  <c r="Q6" i="72" s="1"/>
  <c r="F26" i="1"/>
  <c r="C27" i="1" s="1"/>
  <c r="I76" i="76"/>
  <c r="I68" i="77"/>
  <c r="H68" i="77"/>
  <c r="H76" i="76"/>
  <c r="M68" i="76"/>
  <c r="W31" i="56"/>
  <c r="B32" i="56" s="1"/>
  <c r="F68" i="77"/>
  <c r="Q68" i="75"/>
  <c r="L68" i="79"/>
  <c r="L75" i="79" s="1"/>
  <c r="L76" i="78"/>
  <c r="I56" i="77"/>
  <c r="I62" i="76"/>
  <c r="L64" i="78"/>
  <c r="L66" i="77"/>
  <c r="I64" i="78"/>
  <c r="I66" i="77"/>
  <c r="I10" i="78"/>
  <c r="I27" i="77"/>
  <c r="I29" i="78"/>
  <c r="I53" i="77"/>
  <c r="L10" i="77"/>
  <c r="L27" i="76"/>
  <c r="L54" i="76" s="1"/>
  <c r="L58" i="76"/>
  <c r="L62" i="75"/>
  <c r="M62" i="75"/>
  <c r="Q58" i="75"/>
  <c r="Q62" i="75" s="1"/>
  <c r="F62" i="76"/>
  <c r="M58" i="76"/>
  <c r="F58" i="77"/>
  <c r="N31" i="4"/>
  <c r="K32" i="4" s="1"/>
  <c r="K58" i="77"/>
  <c r="K62" i="76"/>
  <c r="H57" i="79"/>
  <c r="I57" i="79"/>
  <c r="F7" i="74"/>
  <c r="M7" i="74" s="1"/>
  <c r="Q7" i="74" s="1"/>
  <c r="C29" i="3"/>
  <c r="F29" i="3" s="1"/>
  <c r="F54" i="69" l="1"/>
  <c r="M76" i="72"/>
  <c r="F76" i="72"/>
  <c r="F64" i="73"/>
  <c r="F10" i="72"/>
  <c r="M10" i="72" s="1"/>
  <c r="Q10" i="72" s="1"/>
  <c r="Q27" i="72" s="1"/>
  <c r="Q54" i="72" s="1"/>
  <c r="P26" i="1"/>
  <c r="K27" i="1" s="1"/>
  <c r="F22" i="74"/>
  <c r="M22" i="74" s="1"/>
  <c r="DA28" i="1"/>
  <c r="CW29" i="1" s="1"/>
  <c r="F66" i="72"/>
  <c r="M64" i="72"/>
  <c r="M66" i="72" s="1"/>
  <c r="K70" i="77"/>
  <c r="K76" i="76"/>
  <c r="F32" i="78"/>
  <c r="M32" i="78" s="1"/>
  <c r="DU32" i="1"/>
  <c r="DQ33" i="1" s="1"/>
  <c r="F21" i="74"/>
  <c r="M21" i="74" s="1"/>
  <c r="CV28" i="1"/>
  <c r="CR29" i="1" s="1"/>
  <c r="H66" i="78"/>
  <c r="H63" i="79"/>
  <c r="H65" i="79" s="1"/>
  <c r="F65" i="75"/>
  <c r="M65" i="75" s="1"/>
  <c r="N29" i="3"/>
  <c r="K30" i="3" s="1"/>
  <c r="F26" i="78"/>
  <c r="M26" i="78" s="1"/>
  <c r="DZ32" i="1"/>
  <c r="DV33" i="1" s="1"/>
  <c r="DZ33" i="1" s="1"/>
  <c r="F23" i="74"/>
  <c r="M23" i="74" s="1"/>
  <c r="DF28" i="1"/>
  <c r="DB29" i="1" s="1"/>
  <c r="F20" i="77"/>
  <c r="CB31" i="1"/>
  <c r="BX32" i="1" s="1"/>
  <c r="F14" i="76"/>
  <c r="M14" i="76" s="1"/>
  <c r="AN30" i="1"/>
  <c r="AK31" i="1" s="1"/>
  <c r="K66" i="76"/>
  <c r="K64" i="77"/>
  <c r="F24" i="74"/>
  <c r="M24" i="74" s="1"/>
  <c r="DK28" i="1"/>
  <c r="DG29" i="1" s="1"/>
  <c r="F25" i="78"/>
  <c r="M25" i="78" s="1"/>
  <c r="DP32" i="1"/>
  <c r="DL33" i="1" s="1"/>
  <c r="F69" i="73"/>
  <c r="AB27" i="56"/>
  <c r="Y28" i="56" s="1"/>
  <c r="F48" i="78"/>
  <c r="M48" i="78" s="1"/>
  <c r="CQ32" i="1"/>
  <c r="CM33" i="1" s="1"/>
  <c r="K27" i="77"/>
  <c r="K54" i="77" s="1"/>
  <c r="K12" i="78"/>
  <c r="H53" i="78"/>
  <c r="H50" i="79"/>
  <c r="H52" i="79" s="1"/>
  <c r="H11" i="78"/>
  <c r="H27" i="77"/>
  <c r="H54" i="77" s="1"/>
  <c r="H56" i="78"/>
  <c r="H62" i="77"/>
  <c r="EL28" i="1"/>
  <c r="EI29" i="1" s="1"/>
  <c r="F8" i="74"/>
  <c r="M8" i="74" s="1"/>
  <c r="F29" i="73"/>
  <c r="V27" i="1"/>
  <c r="Q28" i="1" s="1"/>
  <c r="EE27" i="1"/>
  <c r="EH27" i="1" s="1"/>
  <c r="F52" i="76"/>
  <c r="M52" i="76" s="1"/>
  <c r="Q52" i="76" s="1"/>
  <c r="AE30" i="1"/>
  <c r="AB31" i="1" s="1"/>
  <c r="F17" i="73"/>
  <c r="M17" i="73" s="1"/>
  <c r="BM27" i="1"/>
  <c r="BI28" i="1" s="1"/>
  <c r="F16" i="72"/>
  <c r="M16" i="72" s="1"/>
  <c r="BH26" i="1"/>
  <c r="BD27" i="1" s="1"/>
  <c r="F49" i="78"/>
  <c r="M49" i="78" s="1"/>
  <c r="CG32" i="1"/>
  <c r="CC33" i="1" s="1"/>
  <c r="F13" i="72"/>
  <c r="AS26" i="1"/>
  <c r="AO27" i="1" s="1"/>
  <c r="EA26" i="1"/>
  <c r="ED26" i="1" s="1"/>
  <c r="F19" i="72"/>
  <c r="M19" i="72" s="1"/>
  <c r="BW26" i="1"/>
  <c r="BS27" i="1" s="1"/>
  <c r="F18" i="75"/>
  <c r="M18" i="75" s="1"/>
  <c r="BR29" i="1"/>
  <c r="BN30" i="1" s="1"/>
  <c r="M13" i="70"/>
  <c r="M27" i="70" s="1"/>
  <c r="M54" i="70" s="1"/>
  <c r="F27" i="70"/>
  <c r="F54" i="70" s="1"/>
  <c r="J33" i="4"/>
  <c r="F56" i="79"/>
  <c r="M56" i="79" s="1"/>
  <c r="Q56" i="79" s="1"/>
  <c r="F32" i="4"/>
  <c r="C33" i="4" s="1"/>
  <c r="F56" i="78"/>
  <c r="M56" i="78" s="1"/>
  <c r="Q56" i="78" s="1"/>
  <c r="F15" i="78"/>
  <c r="M15" i="78" s="1"/>
  <c r="BC32" i="1"/>
  <c r="AY33" i="1" s="1"/>
  <c r="AX32" i="1"/>
  <c r="AT33" i="1" s="1"/>
  <c r="F12" i="78"/>
  <c r="M12" i="78" s="1"/>
  <c r="Q51" i="76"/>
  <c r="F51" i="78"/>
  <c r="M51" i="78" s="1"/>
  <c r="AF33" i="1"/>
  <c r="AJ33" i="1" s="1"/>
  <c r="F11" i="78"/>
  <c r="AA32" i="1"/>
  <c r="W33" i="1" s="1"/>
  <c r="M11" i="77"/>
  <c r="Q11" i="76"/>
  <c r="F6" i="73"/>
  <c r="M6" i="73" s="1"/>
  <c r="Q6" i="73" s="1"/>
  <c r="F27" i="1"/>
  <c r="C28" i="1" s="1"/>
  <c r="H68" i="78"/>
  <c r="H76" i="77"/>
  <c r="I68" i="78"/>
  <c r="I76" i="77"/>
  <c r="F68" i="78"/>
  <c r="W32" i="56"/>
  <c r="B33" i="56" s="1"/>
  <c r="M68" i="77"/>
  <c r="Q68" i="76"/>
  <c r="I56" i="78"/>
  <c r="I62" i="77"/>
  <c r="I63" i="79"/>
  <c r="I65" i="79" s="1"/>
  <c r="I66" i="78"/>
  <c r="L63" i="79"/>
  <c r="L65" i="79" s="1"/>
  <c r="L66" i="78"/>
  <c r="L10" i="78"/>
  <c r="L27" i="77"/>
  <c r="L54" i="77" s="1"/>
  <c r="I54" i="77"/>
  <c r="I28" i="79"/>
  <c r="I52" i="79" s="1"/>
  <c r="I53" i="78"/>
  <c r="I10" i="79"/>
  <c r="I26" i="79" s="1"/>
  <c r="I27" i="78"/>
  <c r="M62" i="76"/>
  <c r="Q58" i="76"/>
  <c r="Q62" i="76" s="1"/>
  <c r="K58" i="78"/>
  <c r="K62" i="77"/>
  <c r="F58" i="78"/>
  <c r="N32" i="4"/>
  <c r="K33" i="4" s="1"/>
  <c r="M58" i="77"/>
  <c r="F62" i="77"/>
  <c r="L58" i="77"/>
  <c r="L62" i="76"/>
  <c r="F7" i="75"/>
  <c r="M7" i="75" s="1"/>
  <c r="Q7" i="75" s="1"/>
  <c r="C30" i="3"/>
  <c r="F30" i="3" s="1"/>
  <c r="I53" i="79" l="1"/>
  <c r="M69" i="73"/>
  <c r="M76" i="73" s="1"/>
  <c r="F76" i="73"/>
  <c r="F23" i="75"/>
  <c r="M23" i="75" s="1"/>
  <c r="DF29" i="1"/>
  <c r="DB30" i="1" s="1"/>
  <c r="F10" i="73"/>
  <c r="M10" i="73" s="1"/>
  <c r="Q10" i="73" s="1"/>
  <c r="Q27" i="73" s="1"/>
  <c r="P27" i="1"/>
  <c r="K28" i="1" s="1"/>
  <c r="F25" i="79"/>
  <c r="M25" i="79" s="1"/>
  <c r="DP33" i="1"/>
  <c r="K70" i="78"/>
  <c r="K76" i="77"/>
  <c r="F14" i="77"/>
  <c r="M14" i="77" s="1"/>
  <c r="AN31" i="1"/>
  <c r="AK32" i="1" s="1"/>
  <c r="F21" i="75"/>
  <c r="M21" i="75" s="1"/>
  <c r="CV29" i="1"/>
  <c r="CR30" i="1" s="1"/>
  <c r="F64" i="74"/>
  <c r="F47" i="79"/>
  <c r="M47" i="79" s="1"/>
  <c r="CQ33" i="1"/>
  <c r="F24" i="75"/>
  <c r="M24" i="75" s="1"/>
  <c r="DK29" i="1"/>
  <c r="DG30" i="1" s="1"/>
  <c r="M64" i="73"/>
  <c r="M66" i="73" s="1"/>
  <c r="F66" i="73"/>
  <c r="F20" i="78"/>
  <c r="CB32" i="1"/>
  <c r="BX33" i="1" s="1"/>
  <c r="F65" i="76"/>
  <c r="M65" i="76" s="1"/>
  <c r="N30" i="3"/>
  <c r="K31" i="3" s="1"/>
  <c r="F31" i="79"/>
  <c r="M31" i="79" s="1"/>
  <c r="DU33" i="1"/>
  <c r="F22" i="75"/>
  <c r="M22" i="75" s="1"/>
  <c r="DA29" i="1"/>
  <c r="CW30" i="1" s="1"/>
  <c r="F69" i="74"/>
  <c r="AB28" i="56"/>
  <c r="Y29" i="56" s="1"/>
  <c r="K66" i="77"/>
  <c r="K64" i="78"/>
  <c r="K12" i="79"/>
  <c r="K26" i="79" s="1"/>
  <c r="K53" i="79" s="1"/>
  <c r="K27" i="78"/>
  <c r="K54" i="78" s="1"/>
  <c r="H11" i="79"/>
  <c r="H26" i="79" s="1"/>
  <c r="H53" i="79" s="1"/>
  <c r="H27" i="78"/>
  <c r="H54" i="78" s="1"/>
  <c r="H55" i="79"/>
  <c r="H61" i="79" s="1"/>
  <c r="H62" i="78"/>
  <c r="F8" i="75"/>
  <c r="M8" i="75" s="1"/>
  <c r="EL29" i="1"/>
  <c r="EI30" i="1" s="1"/>
  <c r="F29" i="74"/>
  <c r="V28" i="1"/>
  <c r="Q29" i="1" s="1"/>
  <c r="EE28" i="1"/>
  <c r="EH28" i="1" s="1"/>
  <c r="M29" i="73"/>
  <c r="F53" i="73"/>
  <c r="F52" i="77"/>
  <c r="M52" i="77" s="1"/>
  <c r="Q52" i="77" s="1"/>
  <c r="AE31" i="1"/>
  <c r="AB32" i="1" s="1"/>
  <c r="F48" i="79"/>
  <c r="M48" i="79" s="1"/>
  <c r="CG33" i="1"/>
  <c r="F19" i="73"/>
  <c r="M19" i="73" s="1"/>
  <c r="BW27" i="1"/>
  <c r="BS28" i="1" s="1"/>
  <c r="F16" i="73"/>
  <c r="M16" i="73" s="1"/>
  <c r="BH27" i="1"/>
  <c r="BD28" i="1" s="1"/>
  <c r="F13" i="73"/>
  <c r="AS27" i="1"/>
  <c r="AO28" i="1" s="1"/>
  <c r="EA27" i="1"/>
  <c r="ED27" i="1" s="1"/>
  <c r="F17" i="74"/>
  <c r="M17" i="74" s="1"/>
  <c r="BM28" i="1"/>
  <c r="BI29" i="1" s="1"/>
  <c r="F18" i="76"/>
  <c r="M18" i="76" s="1"/>
  <c r="BR30" i="1"/>
  <c r="BN31" i="1" s="1"/>
  <c r="M13" i="72"/>
  <c r="M27" i="72" s="1"/>
  <c r="M54" i="72" s="1"/>
  <c r="F27" i="72"/>
  <c r="F54" i="72" s="1"/>
  <c r="F55" i="79"/>
  <c r="M55" i="79" s="1"/>
  <c r="Q55" i="79" s="1"/>
  <c r="F33" i="4"/>
  <c r="F15" i="79"/>
  <c r="M15" i="79" s="1"/>
  <c r="BC33" i="1"/>
  <c r="AY34" i="1"/>
  <c r="AX33" i="1"/>
  <c r="AX34" i="1" s="1"/>
  <c r="F12" i="79"/>
  <c r="M12" i="79" s="1"/>
  <c r="AT34" i="1"/>
  <c r="AJ34" i="1"/>
  <c r="F50" i="79"/>
  <c r="M50" i="79" s="1"/>
  <c r="AF34" i="1"/>
  <c r="Q51" i="77"/>
  <c r="Q11" i="77"/>
  <c r="F11" i="79"/>
  <c r="AA33" i="1"/>
  <c r="AA34" i="1" s="1"/>
  <c r="W34" i="1"/>
  <c r="M11" i="78"/>
  <c r="F6" i="74"/>
  <c r="M6" i="74" s="1"/>
  <c r="Q6" i="74" s="1"/>
  <c r="F28" i="1"/>
  <c r="C29" i="1" s="1"/>
  <c r="I67" i="79"/>
  <c r="I75" i="79" s="1"/>
  <c r="I76" i="78"/>
  <c r="H67" i="79"/>
  <c r="H75" i="79" s="1"/>
  <c r="H76" i="78"/>
  <c r="Q68" i="77"/>
  <c r="F67" i="79"/>
  <c r="W33" i="56"/>
  <c r="W35" i="56" s="1"/>
  <c r="M68" i="78"/>
  <c r="I55" i="79"/>
  <c r="I61" i="79" s="1"/>
  <c r="I62" i="78"/>
  <c r="I54" i="78"/>
  <c r="L10" i="79"/>
  <c r="L26" i="79" s="1"/>
  <c r="L53" i="79" s="1"/>
  <c r="L27" i="78"/>
  <c r="L54" i="78" s="1"/>
  <c r="N33" i="4"/>
  <c r="F57" i="79"/>
  <c r="F62" i="78"/>
  <c r="M58" i="78"/>
  <c r="L58" i="78"/>
  <c r="L62" i="77"/>
  <c r="K57" i="79"/>
  <c r="K61" i="79" s="1"/>
  <c r="K62" i="78"/>
  <c r="Q58" i="77"/>
  <c r="Q62" i="77" s="1"/>
  <c r="M62" i="77"/>
  <c r="C31" i="3"/>
  <c r="F31" i="3" s="1"/>
  <c r="F7" i="76"/>
  <c r="M7" i="76" s="1"/>
  <c r="Q7" i="76" s="1"/>
  <c r="F22" i="76" l="1"/>
  <c r="M22" i="76" s="1"/>
  <c r="DA30" i="1"/>
  <c r="CW31" i="1" s="1"/>
  <c r="F20" i="79"/>
  <c r="CB33" i="1"/>
  <c r="CB34" i="1" s="1"/>
  <c r="BX34" i="1"/>
  <c r="F14" i="78"/>
  <c r="M14" i="78" s="1"/>
  <c r="AN32" i="1"/>
  <c r="AK33" i="1" s="1"/>
  <c r="F10" i="74"/>
  <c r="M10" i="74" s="1"/>
  <c r="Q10" i="74" s="1"/>
  <c r="Q27" i="74" s="1"/>
  <c r="P28" i="1"/>
  <c r="K29" i="1" s="1"/>
  <c r="K66" i="78"/>
  <c r="K63" i="79"/>
  <c r="K65" i="79" s="1"/>
  <c r="F64" i="75"/>
  <c r="F23" i="76"/>
  <c r="M23" i="76" s="1"/>
  <c r="DF30" i="1"/>
  <c r="DB31" i="1" s="1"/>
  <c r="F69" i="75"/>
  <c r="AB29" i="56"/>
  <c r="Y30" i="56" s="1"/>
  <c r="M64" i="74"/>
  <c r="M66" i="74" s="1"/>
  <c r="F66" i="74"/>
  <c r="K76" i="78"/>
  <c r="K69" i="79"/>
  <c r="K75" i="79" s="1"/>
  <c r="M69" i="74"/>
  <c r="M76" i="74" s="1"/>
  <c r="F76" i="74"/>
  <c r="F65" i="77"/>
  <c r="M65" i="77" s="1"/>
  <c r="N31" i="3"/>
  <c r="K32" i="3" s="1"/>
  <c r="F24" i="76"/>
  <c r="M24" i="76" s="1"/>
  <c r="DK30" i="1"/>
  <c r="DG31" i="1" s="1"/>
  <c r="F21" i="76"/>
  <c r="M21" i="76" s="1"/>
  <c r="CV30" i="1"/>
  <c r="CR31" i="1" s="1"/>
  <c r="F8" i="76"/>
  <c r="M8" i="76" s="1"/>
  <c r="EL30" i="1"/>
  <c r="EI31" i="1" s="1"/>
  <c r="F29" i="75"/>
  <c r="V29" i="1"/>
  <c r="Q30" i="1" s="1"/>
  <c r="EE29" i="1"/>
  <c r="EH29" i="1" s="1"/>
  <c r="F52" i="78"/>
  <c r="M52" i="78" s="1"/>
  <c r="Q52" i="78" s="1"/>
  <c r="AE32" i="1"/>
  <c r="AB33" i="1" s="1"/>
  <c r="M29" i="74"/>
  <c r="F53" i="74"/>
  <c r="Q29" i="73"/>
  <c r="Q53" i="73" s="1"/>
  <c r="Q54" i="73" s="1"/>
  <c r="M53" i="73"/>
  <c r="F16" i="74"/>
  <c r="M16" i="74" s="1"/>
  <c r="BH28" i="1"/>
  <c r="BD29" i="1" s="1"/>
  <c r="F17" i="75"/>
  <c r="M17" i="75" s="1"/>
  <c r="BM29" i="1"/>
  <c r="BI30" i="1" s="1"/>
  <c r="F19" i="74"/>
  <c r="M19" i="74" s="1"/>
  <c r="BW28" i="1"/>
  <c r="BS29" i="1" s="1"/>
  <c r="F13" i="74"/>
  <c r="AS28" i="1"/>
  <c r="AO29" i="1" s="1"/>
  <c r="EA28" i="1"/>
  <c r="ED28" i="1" s="1"/>
  <c r="F18" i="77"/>
  <c r="M18" i="77" s="1"/>
  <c r="BR31" i="1"/>
  <c r="BN32" i="1" s="1"/>
  <c r="M13" i="73"/>
  <c r="M27" i="73" s="1"/>
  <c r="F27" i="73"/>
  <c r="F54" i="73" s="1"/>
  <c r="Q51" i="78"/>
  <c r="M11" i="79"/>
  <c r="Q11" i="78"/>
  <c r="F6" i="75"/>
  <c r="M6" i="75" s="1"/>
  <c r="Q6" i="75" s="1"/>
  <c r="F29" i="1"/>
  <c r="C30" i="1" s="1"/>
  <c r="Q68" i="78"/>
  <c r="M67" i="79"/>
  <c r="L57" i="79"/>
  <c r="L61" i="79" s="1"/>
  <c r="L62" i="78"/>
  <c r="Q58" i="78"/>
  <c r="Q62" i="78" s="1"/>
  <c r="M62" i="78"/>
  <c r="M57" i="79"/>
  <c r="F61" i="79"/>
  <c r="C32" i="3"/>
  <c r="F32" i="3" s="1"/>
  <c r="F7" i="77"/>
  <c r="M7" i="77" s="1"/>
  <c r="Q7" i="77" s="1"/>
  <c r="F66" i="75" l="1"/>
  <c r="M64" i="75"/>
  <c r="M66" i="75" s="1"/>
  <c r="F21" i="77"/>
  <c r="M21" i="77" s="1"/>
  <c r="CV31" i="1"/>
  <c r="CR32" i="1" s="1"/>
  <c r="F69" i="76"/>
  <c r="AB30" i="56"/>
  <c r="Y31" i="56" s="1"/>
  <c r="M69" i="75"/>
  <c r="M76" i="75" s="1"/>
  <c r="F76" i="75"/>
  <c r="F24" i="77"/>
  <c r="M24" i="77" s="1"/>
  <c r="DK31" i="1"/>
  <c r="DG32" i="1" s="1"/>
  <c r="F23" i="77"/>
  <c r="M23" i="77" s="1"/>
  <c r="DF31" i="1"/>
  <c r="DB32" i="1" s="1"/>
  <c r="F10" i="75"/>
  <c r="M10" i="75" s="1"/>
  <c r="Q10" i="75" s="1"/>
  <c r="Q27" i="75" s="1"/>
  <c r="P29" i="1"/>
  <c r="K30" i="1" s="1"/>
  <c r="F22" i="77"/>
  <c r="M22" i="77" s="1"/>
  <c r="DA31" i="1"/>
  <c r="CW32" i="1" s="1"/>
  <c r="F65" i="78"/>
  <c r="M65" i="78" s="1"/>
  <c r="N32" i="3"/>
  <c r="K33" i="3" s="1"/>
  <c r="F64" i="76"/>
  <c r="F14" i="79"/>
  <c r="M14" i="79" s="1"/>
  <c r="AN33" i="1"/>
  <c r="AN34" i="1" s="1"/>
  <c r="AK35" i="1"/>
  <c r="AK34" i="1"/>
  <c r="M54" i="73"/>
  <c r="F8" i="77"/>
  <c r="M8" i="77" s="1"/>
  <c r="EL31" i="1"/>
  <c r="EI32" i="1" s="1"/>
  <c r="EL32" i="1" s="1"/>
  <c r="F29" i="76"/>
  <c r="V30" i="1"/>
  <c r="Q31" i="1" s="1"/>
  <c r="EE30" i="1"/>
  <c r="EH30" i="1" s="1"/>
  <c r="M29" i="75"/>
  <c r="F53" i="75"/>
  <c r="Q29" i="74"/>
  <c r="Q53" i="74" s="1"/>
  <c r="Q54" i="74" s="1"/>
  <c r="M53" i="74"/>
  <c r="F51" i="79"/>
  <c r="M51" i="79" s="1"/>
  <c r="Q51" i="79" s="1"/>
  <c r="AE33" i="1"/>
  <c r="AE34" i="1" s="1"/>
  <c r="AB34" i="1"/>
  <c r="F19" i="75"/>
  <c r="M19" i="75" s="1"/>
  <c r="BW29" i="1"/>
  <c r="BS30" i="1" s="1"/>
  <c r="F17" i="76"/>
  <c r="M17" i="76" s="1"/>
  <c r="BM30" i="1"/>
  <c r="BI31" i="1" s="1"/>
  <c r="F18" i="78"/>
  <c r="M18" i="78" s="1"/>
  <c r="BR32" i="1"/>
  <c r="BN33" i="1" s="1"/>
  <c r="F13" i="75"/>
  <c r="AS29" i="1"/>
  <c r="AO30" i="1" s="1"/>
  <c r="EA29" i="1"/>
  <c r="ED29" i="1" s="1"/>
  <c r="F16" i="75"/>
  <c r="M16" i="75" s="1"/>
  <c r="BH29" i="1"/>
  <c r="BD30" i="1" s="1"/>
  <c r="M13" i="74"/>
  <c r="M27" i="74" s="1"/>
  <c r="F27" i="74"/>
  <c r="F54" i="74" s="1"/>
  <c r="Q50" i="79"/>
  <c r="Q11" i="79"/>
  <c r="F30" i="1"/>
  <c r="C31" i="1" s="1"/>
  <c r="F6" i="76"/>
  <c r="M6" i="76" s="1"/>
  <c r="Q6" i="76" s="1"/>
  <c r="Q67" i="79"/>
  <c r="Q57" i="79"/>
  <c r="Q61" i="79" s="1"/>
  <c r="M61" i="79"/>
  <c r="F7" i="78"/>
  <c r="M7" i="78" s="1"/>
  <c r="Q7" i="78" s="1"/>
  <c r="C33" i="3"/>
  <c r="F33" i="3" s="1"/>
  <c r="F23" i="78" l="1"/>
  <c r="M23" i="78" s="1"/>
  <c r="DF32" i="1"/>
  <c r="DB33" i="1" s="1"/>
  <c r="F69" i="77"/>
  <c r="AB31" i="56"/>
  <c r="Y32" i="56" s="1"/>
  <c r="F22" i="78"/>
  <c r="M22" i="78" s="1"/>
  <c r="DA32" i="1"/>
  <c r="CW33" i="1" s="1"/>
  <c r="M69" i="76"/>
  <c r="M76" i="76" s="1"/>
  <c r="F76" i="76"/>
  <c r="F24" i="78"/>
  <c r="M24" i="78" s="1"/>
  <c r="DK32" i="1"/>
  <c r="DG33" i="1" s="1"/>
  <c r="F21" i="78"/>
  <c r="M21" i="78" s="1"/>
  <c r="CV32" i="1"/>
  <c r="CR33" i="1" s="1"/>
  <c r="F64" i="77"/>
  <c r="F66" i="76"/>
  <c r="M64" i="76"/>
  <c r="M66" i="76" s="1"/>
  <c r="F10" i="76"/>
  <c r="M10" i="76" s="1"/>
  <c r="Q10" i="76" s="1"/>
  <c r="Q27" i="76" s="1"/>
  <c r="P30" i="1"/>
  <c r="K31" i="1" s="1"/>
  <c r="F64" i="79"/>
  <c r="M64" i="79" s="1"/>
  <c r="N33" i="3"/>
  <c r="N34" i="3" s="1"/>
  <c r="K34" i="3"/>
  <c r="EI33" i="1"/>
  <c r="F8" i="78"/>
  <c r="M8" i="78" s="1"/>
  <c r="Q29" i="75"/>
  <c r="Q53" i="75" s="1"/>
  <c r="Q54" i="75" s="1"/>
  <c r="M53" i="75"/>
  <c r="F29" i="77"/>
  <c r="V31" i="1"/>
  <c r="Q32" i="1" s="1"/>
  <c r="EE31" i="1"/>
  <c r="EH31" i="1" s="1"/>
  <c r="M54" i="74"/>
  <c r="M29" i="76"/>
  <c r="F53" i="76"/>
  <c r="F18" i="79"/>
  <c r="M18" i="79" s="1"/>
  <c r="BR33" i="1"/>
  <c r="BR34" i="1" s="1"/>
  <c r="BN34" i="1"/>
  <c r="F16" i="76"/>
  <c r="M16" i="76" s="1"/>
  <c r="BH30" i="1"/>
  <c r="BD31" i="1" s="1"/>
  <c r="F17" i="77"/>
  <c r="M17" i="77" s="1"/>
  <c r="BM31" i="1"/>
  <c r="BI32" i="1" s="1"/>
  <c r="F13" i="76"/>
  <c r="AS30" i="1"/>
  <c r="AO31" i="1" s="1"/>
  <c r="EA30" i="1"/>
  <c r="F19" i="76"/>
  <c r="M19" i="76" s="1"/>
  <c r="BW30" i="1"/>
  <c r="BS31" i="1" s="1"/>
  <c r="M13" i="75"/>
  <c r="M27" i="75" s="1"/>
  <c r="F27" i="75"/>
  <c r="F54" i="75" s="1"/>
  <c r="M54" i="75" s="1"/>
  <c r="F31" i="1"/>
  <c r="C32" i="1" s="1"/>
  <c r="F6" i="77"/>
  <c r="M6" i="77" s="1"/>
  <c r="Q6" i="77" s="1"/>
  <c r="F34" i="3"/>
  <c r="F7" i="79"/>
  <c r="M7" i="79" s="1"/>
  <c r="Q7" i="79" s="1"/>
  <c r="C34" i="3"/>
  <c r="EI34" i="1" l="1"/>
  <c r="EL33" i="1"/>
  <c r="F22" i="79"/>
  <c r="M22" i="79" s="1"/>
  <c r="DA33" i="1"/>
  <c r="DA34" i="1" s="1"/>
  <c r="F24" i="79"/>
  <c r="M24" i="79" s="1"/>
  <c r="DK33" i="1"/>
  <c r="DK35" i="1" s="1"/>
  <c r="DG34" i="1"/>
  <c r="F69" i="78"/>
  <c r="AB32" i="56"/>
  <c r="F64" i="78"/>
  <c r="M69" i="77"/>
  <c r="M76" i="77" s="1"/>
  <c r="F76" i="77"/>
  <c r="M64" i="77"/>
  <c r="M66" i="77" s="1"/>
  <c r="F66" i="77"/>
  <c r="F23" i="79"/>
  <c r="M23" i="79" s="1"/>
  <c r="DF33" i="1"/>
  <c r="DF34" i="1" s="1"/>
  <c r="DB34" i="1"/>
  <c r="F10" i="77"/>
  <c r="M10" i="77" s="1"/>
  <c r="Q10" i="77" s="1"/>
  <c r="Q27" i="77" s="1"/>
  <c r="P31" i="1"/>
  <c r="K32" i="1" s="1"/>
  <c r="F21" i="79"/>
  <c r="M21" i="79" s="1"/>
  <c r="CV33" i="1"/>
  <c r="F8" i="79"/>
  <c r="M8" i="79" s="1"/>
  <c r="M29" i="77"/>
  <c r="F53" i="77"/>
  <c r="Q29" i="76"/>
  <c r="Q53" i="76" s="1"/>
  <c r="Q54" i="76" s="1"/>
  <c r="M53" i="76"/>
  <c r="F29" i="78"/>
  <c r="V32" i="1"/>
  <c r="Q33" i="1" s="1"/>
  <c r="EE32" i="1"/>
  <c r="F13" i="77"/>
  <c r="AS31" i="1"/>
  <c r="AO32" i="1" s="1"/>
  <c r="EA31" i="1"/>
  <c r="ED31" i="1" s="1"/>
  <c r="ED30" i="1"/>
  <c r="M13" i="76"/>
  <c r="M27" i="76" s="1"/>
  <c r="F27" i="76"/>
  <c r="F54" i="76" s="1"/>
  <c r="F19" i="77"/>
  <c r="M19" i="77" s="1"/>
  <c r="BW31" i="1"/>
  <c r="BS32" i="1" s="1"/>
  <c r="F16" i="77"/>
  <c r="M16" i="77" s="1"/>
  <c r="BH31" i="1"/>
  <c r="BD32" i="1" s="1"/>
  <c r="F17" i="78"/>
  <c r="M17" i="78" s="1"/>
  <c r="BM32" i="1"/>
  <c r="BI33" i="1" s="1"/>
  <c r="F32" i="1"/>
  <c r="F6" i="78"/>
  <c r="M6" i="78" s="1"/>
  <c r="Q6" i="78" s="1"/>
  <c r="C34" i="1"/>
  <c r="F10" i="78" l="1"/>
  <c r="M10" i="78" s="1"/>
  <c r="Q10" i="78" s="1"/>
  <c r="Q27" i="78" s="1"/>
  <c r="P32" i="1"/>
  <c r="K33" i="1" s="1"/>
  <c r="K34" i="1"/>
  <c r="M69" i="78"/>
  <c r="M76" i="78" s="1"/>
  <c r="F76" i="78"/>
  <c r="F63" i="79"/>
  <c r="J34" i="3"/>
  <c r="G34" i="3"/>
  <c r="F66" i="78"/>
  <c r="M64" i="78"/>
  <c r="M66" i="78" s="1"/>
  <c r="Y33" i="56"/>
  <c r="AB35" i="56"/>
  <c r="M54" i="76"/>
  <c r="F28" i="79"/>
  <c r="V33" i="1"/>
  <c r="Q34" i="1"/>
  <c r="Q35" i="1"/>
  <c r="EE33" i="1"/>
  <c r="EH33" i="1" s="1"/>
  <c r="M29" i="78"/>
  <c r="F53" i="78"/>
  <c r="EH32" i="1"/>
  <c r="Q29" i="77"/>
  <c r="Q53" i="77" s="1"/>
  <c r="Q54" i="77" s="1"/>
  <c r="M53" i="77"/>
  <c r="F17" i="79"/>
  <c r="M17" i="79" s="1"/>
  <c r="BM33" i="1"/>
  <c r="BM34" i="1" s="1"/>
  <c r="BI35" i="1"/>
  <c r="BI34" i="1"/>
  <c r="F19" i="78"/>
  <c r="M19" i="78" s="1"/>
  <c r="BW32" i="1"/>
  <c r="BS33" i="1" s="1"/>
  <c r="F16" i="78"/>
  <c r="M16" i="78" s="1"/>
  <c r="BH32" i="1"/>
  <c r="BD33" i="1" s="1"/>
  <c r="F13" i="78"/>
  <c r="AS32" i="1"/>
  <c r="AO33" i="1" s="1"/>
  <c r="EA32" i="1"/>
  <c r="M13" i="77"/>
  <c r="M27" i="77" s="1"/>
  <c r="F27" i="77"/>
  <c r="F54" i="77" s="1"/>
  <c r="C33" i="1"/>
  <c r="F34" i="1"/>
  <c r="EH34" i="1" l="1"/>
  <c r="M63" i="79"/>
  <c r="M65" i="79" s="1"/>
  <c r="F65" i="79"/>
  <c r="F68" i="79"/>
  <c r="Y35" i="56"/>
  <c r="F10" i="79"/>
  <c r="M10" i="79" s="1"/>
  <c r="Q10" i="79" s="1"/>
  <c r="Q26" i="79" s="1"/>
  <c r="P33" i="1"/>
  <c r="K35" i="1"/>
  <c r="M54" i="77"/>
  <c r="Q29" i="78"/>
  <c r="Q53" i="78" s="1"/>
  <c r="Q54" i="78" s="1"/>
  <c r="M53" i="78"/>
  <c r="V35" i="1"/>
  <c r="V34" i="1"/>
  <c r="EE34" i="1"/>
  <c r="M28" i="79"/>
  <c r="F52" i="79"/>
  <c r="ED32" i="1"/>
  <c r="M13" i="78"/>
  <c r="M27" i="78" s="1"/>
  <c r="F27" i="78"/>
  <c r="F54" i="78" s="1"/>
  <c r="F19" i="79"/>
  <c r="M19" i="79" s="1"/>
  <c r="BW33" i="1"/>
  <c r="BW34" i="1" s="1"/>
  <c r="BS34" i="1"/>
  <c r="F13" i="79"/>
  <c r="AS33" i="1"/>
  <c r="AS34" i="1" s="1"/>
  <c r="AO34" i="1"/>
  <c r="EA33" i="1"/>
  <c r="ED33" i="1" s="1"/>
  <c r="F16" i="79"/>
  <c r="M16" i="79" s="1"/>
  <c r="BH33" i="1"/>
  <c r="BD34" i="1"/>
  <c r="BD35" i="1"/>
  <c r="F33" i="1"/>
  <c r="F6" i="79"/>
  <c r="M6" i="79" s="1"/>
  <c r="Q6" i="79" s="1"/>
  <c r="M54" i="78" l="1"/>
  <c r="P34" i="1"/>
  <c r="P35" i="1"/>
  <c r="M68" i="79"/>
  <c r="M75" i="79" s="1"/>
  <c r="F75" i="79"/>
  <c r="ED34" i="1"/>
  <c r="Q28" i="79"/>
  <c r="Q52" i="79" s="1"/>
  <c r="Q53" i="79" s="1"/>
  <c r="M52" i="79"/>
  <c r="BH34" i="1"/>
  <c r="BH35" i="1"/>
  <c r="M13" i="79"/>
  <c r="M26" i="79" s="1"/>
  <c r="F26" i="79"/>
  <c r="F53" i="79" s="1"/>
  <c r="EA34" i="1"/>
  <c r="M53" i="7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IRON ORE RECEIPT FROM STORES</t>
        </r>
      </text>
    </comment>
    <comment ref="E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ENETR DAILY  IRON ORE FROM COUNTER REPORT </t>
        </r>
      </text>
    </comment>
    <comment ref="AG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user: ENETER STAMICO COAL FROM STORES - GRN BOOKED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JITEGEMEE COAL FROM STORES - GRN BOOKED</t>
        </r>
      </text>
    </comment>
    <comment ref="BA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COAL CONSUMED IN KILN TODAY - FROM COUNTER REPORT</t>
        </r>
      </text>
    </comment>
    <comment ref="BO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IBRICO COAL RECEIPT FROM STORES - GRN BOOKED</t>
        </r>
      </text>
    </comment>
    <comment ref="CN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COAL RECEIPT FROM STORES</t>
        </r>
      </text>
    </comment>
    <comment ref="DM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COAL RECEIPT FROM STORES</t>
        </r>
      </text>
    </comment>
    <comment ref="EN2" authorId="0" shapeId="0" xr:uid="{FFDDFCD0-1420-48F0-A8ED-B4A92CB0F6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RECEIPTS</t>
        </r>
      </text>
    </comment>
    <comment ref="AJ32" authorId="0" shapeId="0" xr:uid="{AEAB091C-6108-4F8F-8B05-348DCFA3B05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stock adjustment</t>
        </r>
      </text>
    </comment>
    <comment ref="EL32" authorId="0" shapeId="0" xr:uid="{D581D62C-E4A9-41B8-890A-08D53663A5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stock adjustment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GYPSUM FROM STORES</t>
        </r>
      </text>
    </comment>
    <comment ref="E4" authorId="0" shapeId="0" xr:uid="{0CAC8433-0319-42B0-838D-45DBF3CFA3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formula changed by rajabu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RECEIVED QTY FROM STORE</t>
        </r>
      </text>
    </comment>
  </commentList>
</comments>
</file>

<file path=xl/sharedStrings.xml><?xml version="1.0" encoding="utf-8"?>
<sst xmlns="http://schemas.openxmlformats.org/spreadsheetml/2006/main" count="3243" uniqueCount="237">
  <si>
    <t>AUG</t>
  </si>
  <si>
    <t>Iron Ore</t>
  </si>
  <si>
    <t>Raw Meal</t>
  </si>
  <si>
    <t>Tan Coal</t>
  </si>
  <si>
    <t>EDENVILLEY coal</t>
  </si>
  <si>
    <t>RUVUMA coal</t>
  </si>
  <si>
    <t>GODMWANGA coal</t>
  </si>
  <si>
    <t>STAMICO coal</t>
  </si>
  <si>
    <t>Coal Ash</t>
  </si>
  <si>
    <t xml:space="preserve">Ariim Coal </t>
  </si>
  <si>
    <t>Market insight coal</t>
  </si>
  <si>
    <t>Jitegemee coal</t>
  </si>
  <si>
    <t>MAX coal</t>
  </si>
  <si>
    <t>SINO coal</t>
  </si>
  <si>
    <t>IBRICO coal</t>
  </si>
  <si>
    <t>MEGA CJ coal</t>
  </si>
  <si>
    <t>Mabenga coal</t>
  </si>
  <si>
    <t>TENKO</t>
  </si>
  <si>
    <t>SCOLASTICA</t>
  </si>
  <si>
    <t>Connect</t>
  </si>
  <si>
    <t>Yongda</t>
  </si>
  <si>
    <t>KINDAINI COAL</t>
  </si>
  <si>
    <t>Montreal</t>
  </si>
  <si>
    <t>LUGEWA COAL</t>
  </si>
  <si>
    <t>mchekane</t>
  </si>
  <si>
    <t>Lik &amp; Lambert coal</t>
  </si>
  <si>
    <t>SIAAS</t>
  </si>
  <si>
    <t>kiln coal</t>
  </si>
  <si>
    <t>cpp coal</t>
  </si>
  <si>
    <t>clinker</t>
  </si>
  <si>
    <t>Date</t>
  </si>
  <si>
    <t>Opening Stock</t>
  </si>
  <si>
    <t>Production</t>
  </si>
  <si>
    <t>Consumption</t>
  </si>
  <si>
    <t>Closing Stock</t>
  </si>
  <si>
    <t xml:space="preserve">total Consumption </t>
  </si>
  <si>
    <t>CPP</t>
  </si>
  <si>
    <t>KILN</t>
  </si>
  <si>
    <t>Consumption CPP</t>
  </si>
  <si>
    <t>Consump Kiln</t>
  </si>
  <si>
    <t>Total Consumption</t>
  </si>
  <si>
    <t>CPP CONS</t>
  </si>
  <si>
    <t>own clinker</t>
  </si>
  <si>
    <t>spg clinker</t>
  </si>
  <si>
    <t>MTD</t>
  </si>
  <si>
    <t>YTD</t>
  </si>
  <si>
    <t>DEC</t>
  </si>
  <si>
    <t>Gypsum</t>
  </si>
  <si>
    <t>Starex</t>
  </si>
  <si>
    <t>Mapei</t>
  </si>
  <si>
    <t>42.5 bag</t>
  </si>
  <si>
    <t>32.5 bag</t>
  </si>
  <si>
    <t>42.5N</t>
  </si>
  <si>
    <t>42.5N OPC</t>
  </si>
  <si>
    <t>Cement Production</t>
  </si>
  <si>
    <t>Rng Hrs</t>
  </si>
  <si>
    <t>TPH42.5</t>
  </si>
  <si>
    <t>TPH32.5</t>
  </si>
  <si>
    <t>TPH42.5N</t>
  </si>
  <si>
    <t>opc</t>
  </si>
  <si>
    <t>Lime Stone in 42.5</t>
  </si>
  <si>
    <t>Gypsum In 42.5</t>
  </si>
  <si>
    <t>Lime Stone in 32.5</t>
  </si>
  <si>
    <t>Gypsum In 32.5</t>
  </si>
  <si>
    <t>Lime Stone in 42.5N</t>
  </si>
  <si>
    <t>Gypsum In 42.5N</t>
  </si>
  <si>
    <t>Gypsum In OPC</t>
  </si>
  <si>
    <t>Clinker In 42.5</t>
  </si>
  <si>
    <t>Clinker in 32.5</t>
  </si>
  <si>
    <t>Clinker in 42.5N</t>
  </si>
  <si>
    <t>Clinker in OPC</t>
  </si>
  <si>
    <t>Total clinker</t>
  </si>
  <si>
    <t>Total LS 1</t>
  </si>
  <si>
    <t>Total GY</t>
  </si>
  <si>
    <t>Mapi (lit)</t>
  </si>
  <si>
    <t>Strex (Lit)</t>
  </si>
  <si>
    <t>%cli</t>
  </si>
  <si>
    <t>total cement</t>
  </si>
  <si>
    <t>LS2 42.5</t>
  </si>
  <si>
    <t>LS2 32.5</t>
  </si>
  <si>
    <t>date</t>
  </si>
  <si>
    <t>OPC</t>
  </si>
  <si>
    <t>Total</t>
  </si>
  <si>
    <t>strex</t>
  </si>
  <si>
    <t>kg</t>
  </si>
  <si>
    <t>lit</t>
  </si>
  <si>
    <t xml:space="preserve">kg </t>
  </si>
  <si>
    <t>TPH OPC</t>
  </si>
  <si>
    <t>NOV</t>
  </si>
  <si>
    <t>Rng hrs</t>
  </si>
  <si>
    <t>tan Coal Consumption</t>
  </si>
  <si>
    <t>Edenville Ash coal cons</t>
  </si>
  <si>
    <t>Godmwanga coal cons</t>
  </si>
  <si>
    <t>stamico</t>
  </si>
  <si>
    <t>Ruvuma</t>
  </si>
  <si>
    <t>ARIIM</t>
  </si>
  <si>
    <t>LIK</t>
  </si>
  <si>
    <t>MAX</t>
  </si>
  <si>
    <t>SINO</t>
  </si>
  <si>
    <t>JITEGEMEE</t>
  </si>
  <si>
    <t>IBRICO</t>
  </si>
  <si>
    <t>MEGA</t>
  </si>
  <si>
    <t>TENCO</t>
  </si>
  <si>
    <t>KINDAINI</t>
  </si>
  <si>
    <t>Ludewa</t>
  </si>
  <si>
    <t>MARKET</t>
  </si>
  <si>
    <t>Receiving</t>
  </si>
  <si>
    <t>OPB</t>
  </si>
  <si>
    <t>PLANT</t>
  </si>
  <si>
    <t>DG SETS</t>
  </si>
  <si>
    <t>MINING VEHICLES</t>
  </si>
  <si>
    <t>INTERNAL PLANT TRANSPORT</t>
  </si>
  <si>
    <t>PLANT ADMIN VEHICLES</t>
  </si>
  <si>
    <t>LOGISTIC DIVISION</t>
  </si>
  <si>
    <t>OTHERS (CRANE, TANKER, BOUSER, ETC)</t>
  </si>
  <si>
    <t>TOTAL</t>
  </si>
  <si>
    <t>CB</t>
  </si>
  <si>
    <t>OB</t>
  </si>
  <si>
    <t>KILN REC</t>
  </si>
  <si>
    <t>KILN (CONS)</t>
  </si>
  <si>
    <t>`</t>
  </si>
  <si>
    <t>LAKE CEMENT LIMITED</t>
  </si>
  <si>
    <t xml:space="preserve">                                                                               RAW MATERIAL  REPORT</t>
  </si>
  <si>
    <t>DATE</t>
  </si>
  <si>
    <t>SN</t>
  </si>
  <si>
    <t>DESCRIPTION</t>
  </si>
  <si>
    <t>OPENING STOCK</t>
  </si>
  <si>
    <t>RECEIVED QUANTITY (MT/ LTR)</t>
  </si>
  <si>
    <t>MATERIAL CONSUMPTION (MT / LTR)</t>
  </si>
  <si>
    <t>CLOSING STOCK</t>
  </si>
  <si>
    <t>PENDING GRN QTY</t>
  </si>
  <si>
    <t>RECOMMENDED</t>
  </si>
  <si>
    <t>VARIANCE</t>
  </si>
  <si>
    <t>ON DATE</t>
  </si>
  <si>
    <t>MIN</t>
  </si>
  <si>
    <t>IRON ORE</t>
  </si>
  <si>
    <t>GYPSUM</t>
  </si>
  <si>
    <t>COAL - KILN</t>
  </si>
  <si>
    <t>Tancoal Energy Limited</t>
  </si>
  <si>
    <t>Ruvuma Coal Limited</t>
  </si>
  <si>
    <t>Market Insight Limited</t>
  </si>
  <si>
    <t>Max coal</t>
  </si>
  <si>
    <t xml:space="preserve">Mega CJ </t>
  </si>
  <si>
    <t xml:space="preserve">Kindaini </t>
  </si>
  <si>
    <t>Ludewa coal</t>
  </si>
  <si>
    <t>Mchekane</t>
  </si>
  <si>
    <t>Sub Total</t>
  </si>
  <si>
    <t>COAL - CPP</t>
  </si>
  <si>
    <t>Edenville International Limited</t>
  </si>
  <si>
    <t>Mathayo Sons's Enterprises Limited</t>
  </si>
  <si>
    <t>Elita Company</t>
  </si>
  <si>
    <t>Mbuyu Investement Limited</t>
  </si>
  <si>
    <t>Kindaini</t>
  </si>
  <si>
    <t>Synergy</t>
  </si>
  <si>
    <t>Scolastica</t>
  </si>
  <si>
    <t>State Mining Corporation</t>
  </si>
  <si>
    <t>God Mwanga Gems Limited</t>
  </si>
  <si>
    <t xml:space="preserve">TOTAL RAW COAL </t>
  </si>
  <si>
    <t>CEMENT BAGS</t>
  </si>
  <si>
    <t>42.5 R</t>
  </si>
  <si>
    <t>32.5 N</t>
  </si>
  <si>
    <t>42.5 N</t>
  </si>
  <si>
    <t>42.5 N OPC</t>
  </si>
  <si>
    <t>Jumbo 42.5 R</t>
  </si>
  <si>
    <t>Jumbo 32.5 N</t>
  </si>
  <si>
    <t xml:space="preserve">TOTAL </t>
  </si>
  <si>
    <t>GRINDING AID</t>
  </si>
  <si>
    <t>Mapie</t>
  </si>
  <si>
    <t>TOTAL GRINDING AID</t>
  </si>
  <si>
    <t>DIESEL</t>
  </si>
  <si>
    <t>Plant</t>
  </si>
  <si>
    <t>Kiln</t>
  </si>
  <si>
    <t>Genset</t>
  </si>
  <si>
    <t>Mining Vehicles</t>
  </si>
  <si>
    <t>Plant Material Handling</t>
  </si>
  <si>
    <t>Admin Vehicles</t>
  </si>
  <si>
    <t xml:space="preserve">Logistics Division </t>
  </si>
  <si>
    <t>Others (Crane, Tanker, Bouser..etc)</t>
  </si>
  <si>
    <t>TOTAL DIESEL</t>
  </si>
  <si>
    <t>Lugewa coal</t>
  </si>
  <si>
    <t>MELT coal</t>
  </si>
  <si>
    <t>Rutanza</t>
  </si>
  <si>
    <t>METL coal</t>
  </si>
  <si>
    <t xml:space="preserve"> </t>
  </si>
  <si>
    <t>Kindaini coal</t>
  </si>
  <si>
    <t>SIN0 coal</t>
  </si>
  <si>
    <t>Yongda coal</t>
  </si>
  <si>
    <t>FY 2022-2023</t>
  </si>
  <si>
    <t>Apr'22</t>
  </si>
  <si>
    <t>May'22</t>
  </si>
  <si>
    <t>June'22</t>
  </si>
  <si>
    <t>July'22</t>
  </si>
  <si>
    <t>Aug'22</t>
  </si>
  <si>
    <t>Sep'22</t>
  </si>
  <si>
    <t>Oct'22</t>
  </si>
  <si>
    <t>Nov'22</t>
  </si>
  <si>
    <t>Dec'22</t>
  </si>
  <si>
    <t>Jan'23</t>
  </si>
  <si>
    <t>Feb'23</t>
  </si>
  <si>
    <t>March'23</t>
  </si>
  <si>
    <t>Clinker- Budget (MT)</t>
  </si>
  <si>
    <t>Cement Grinding  - Budget (MT)</t>
  </si>
  <si>
    <t>Lime Stone in 42.5N BM</t>
  </si>
  <si>
    <t>Gypsum In 42.5N BM</t>
  </si>
  <si>
    <t>42.5N BM</t>
  </si>
  <si>
    <t>Clinker in 42.5N BM</t>
  </si>
  <si>
    <t>Limestone 42.5N BM</t>
  </si>
  <si>
    <t>Gypsum 42.5N BM</t>
  </si>
  <si>
    <t>02.04.2026</t>
  </si>
  <si>
    <t>Lime Stone in opc</t>
  </si>
  <si>
    <t>limestone opc</t>
  </si>
  <si>
    <t>WET GYPSUM</t>
  </si>
  <si>
    <t>kiln cons</t>
  </si>
  <si>
    <t>MAY</t>
  </si>
  <si>
    <t>01.06.2026</t>
  </si>
  <si>
    <t>03.06.2026</t>
  </si>
  <si>
    <t>05.06.2026</t>
  </si>
  <si>
    <t>09.06.2026</t>
  </si>
  <si>
    <t>10.06.2026</t>
  </si>
  <si>
    <t>11.06.2026</t>
  </si>
  <si>
    <t>12.06.2026</t>
  </si>
  <si>
    <t>13.06.2026</t>
  </si>
  <si>
    <t>14.06.2026</t>
  </si>
  <si>
    <t>15.06.2025</t>
  </si>
  <si>
    <t>16.06.2026</t>
  </si>
  <si>
    <t>17.06.2025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</si>
  <si>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</si>
  <si>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</si>
  <si>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</si>
  <si>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</si>
  <si>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</si>
  <si>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</si>
  <si>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</si>
  <si>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</si>
  <si>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27.06.2026</t>
  </si>
  <si>
    <t>29.06.2026</t>
  </si>
  <si>
    <t>30.06.2026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</si>
</sst>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"/>
    <numFmt numFmtId="165" formatCode="0.000"/>
    <numFmt numFmtId="166" formatCode="0.000000"/>
    <numFmt numFmtId="167" formatCode="0.00000"/>
    <numFmt numFmtId="168" formatCode="_-* #,##0.00_-;\-* #,##0.00_-;_-* &quot;-&quot;??_-;_-@_-"/>
    <numFmt numFmtId="169" formatCode="0.0000000"/>
    <numFmt numFmtId="170" formatCode="0.0000"/>
  </numFmts>
  <fonts count="1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CC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5" fillId="0" borderId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168" fontId="15" fillId="0" borderId="0" applyFont="0" applyFill="0" applyBorder="0" applyAlignment="0" applyProtection="0"/>
    <xf numFmtId="168" fontId="5" fillId="0" borderId="0" applyFont="0" applyFill="0" applyBorder="0" applyAlignment="0" applyProtection="0"/>
  </cellStyleXfs>
  <cellXfs count="34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0" xfId="0" applyFill="1" applyBorder="1"/>
    <xf numFmtId="0" fontId="0" fillId="2" borderId="11" xfId="0" applyFill="1" applyBorder="1"/>
    <xf numFmtId="164" fontId="0" fillId="0" borderId="1" xfId="0" applyNumberFormat="1" applyBorder="1"/>
    <xf numFmtId="2" fontId="0" fillId="0" borderId="1" xfId="0" applyNumberFormat="1" applyBorder="1"/>
    <xf numFmtId="0" fontId="0" fillId="2" borderId="0" xfId="0" applyFill="1"/>
    <xf numFmtId="0" fontId="0" fillId="2" borderId="1" xfId="0" applyFill="1" applyBorder="1"/>
    <xf numFmtId="0" fontId="0" fillId="0" borderId="5" xfId="0" applyBorder="1" applyAlignment="1">
      <alignment horizontal="right"/>
    </xf>
    <xf numFmtId="0" fontId="0" fillId="0" borderId="26" xfId="0" applyBorder="1"/>
    <xf numFmtId="0" fontId="0" fillId="0" borderId="29" xfId="0" applyBorder="1"/>
    <xf numFmtId="0" fontId="0" fillId="0" borderId="35" xfId="0" applyBorder="1"/>
    <xf numFmtId="0" fontId="0" fillId="0" borderId="13" xfId="0" applyBorder="1"/>
    <xf numFmtId="2" fontId="0" fillId="2" borderId="0" xfId="0" applyNumberFormat="1" applyFill="1"/>
    <xf numFmtId="0" fontId="0" fillId="0" borderId="21" xfId="0" applyBorder="1"/>
    <xf numFmtId="1" fontId="0" fillId="0" borderId="1" xfId="0" applyNumberFormat="1" applyBorder="1"/>
    <xf numFmtId="2" fontId="0" fillId="0" borderId="1" xfId="0" applyNumberFormat="1" applyBorder="1" applyAlignment="1">
      <alignment horizontal="left"/>
    </xf>
    <xf numFmtId="0" fontId="0" fillId="3" borderId="1" xfId="0" applyFill="1" applyBorder="1"/>
    <xf numFmtId="2" fontId="0" fillId="3" borderId="1" xfId="0" applyNumberFormat="1" applyFill="1" applyBorder="1"/>
    <xf numFmtId="0" fontId="0" fillId="3" borderId="13" xfId="0" applyFill="1" applyBorder="1"/>
    <xf numFmtId="0" fontId="0" fillId="2" borderId="9" xfId="0" applyFill="1" applyBorder="1"/>
    <xf numFmtId="164" fontId="0" fillId="2" borderId="10" xfId="0" applyNumberFormat="1" applyFill="1" applyBorder="1"/>
    <xf numFmtId="164" fontId="0" fillId="0" borderId="11" xfId="0" applyNumberFormat="1" applyBorder="1"/>
    <xf numFmtId="0" fontId="0" fillId="4" borderId="1" xfId="0" applyFill="1" applyBorder="1"/>
    <xf numFmtId="0" fontId="0" fillId="5" borderId="9" xfId="0" applyFill="1" applyBorder="1"/>
    <xf numFmtId="2" fontId="0" fillId="2" borderId="9" xfId="0" applyNumberFormat="1" applyFill="1" applyBorder="1"/>
    <xf numFmtId="0" fontId="0" fillId="5" borderId="10" xfId="0" applyFill="1" applyBorder="1"/>
    <xf numFmtId="0" fontId="0" fillId="0" borderId="24" xfId="0" applyBorder="1"/>
    <xf numFmtId="0" fontId="0" fillId="2" borderId="30" xfId="0" applyFill="1" applyBorder="1"/>
    <xf numFmtId="0" fontId="1" fillId="2" borderId="37" xfId="0" applyFont="1" applyFill="1" applyBorder="1" applyAlignment="1">
      <alignment vertical="center" wrapText="1"/>
    </xf>
    <xf numFmtId="165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38" xfId="0" applyBorder="1"/>
    <xf numFmtId="0" fontId="2" fillId="2" borderId="9" xfId="0" applyFont="1" applyFill="1" applyBorder="1"/>
    <xf numFmtId="0" fontId="0" fillId="0" borderId="39" xfId="0" applyBorder="1"/>
    <xf numFmtId="0" fontId="3" fillId="2" borderId="37" xfId="0" applyFont="1" applyFill="1" applyBorder="1" applyAlignment="1">
      <alignment horizontal="center" vertical="center"/>
    </xf>
    <xf numFmtId="0" fontId="1" fillId="0" borderId="0" xfId="0" applyFont="1"/>
    <xf numFmtId="1" fontId="2" fillId="0" borderId="24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0" fontId="0" fillId="2" borderId="23" xfId="0" applyFill="1" applyBorder="1"/>
    <xf numFmtId="1" fontId="1" fillId="0" borderId="1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1" fillId="7" borderId="49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top" wrapText="1"/>
    </xf>
    <xf numFmtId="1" fontId="7" fillId="0" borderId="47" xfId="0" applyNumberFormat="1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" fontId="1" fillId="8" borderId="1" xfId="0" applyNumberFormat="1" applyFont="1" applyFill="1" applyBorder="1" applyAlignment="1">
      <alignment horizontal="center" vertical="center" wrapText="1"/>
    </xf>
    <xf numFmtId="1" fontId="1" fillId="8" borderId="10" xfId="0" applyNumberFormat="1" applyFont="1" applyFill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1" fillId="8" borderId="49" xfId="0" applyNumberFormat="1" applyFont="1" applyFill="1" applyBorder="1" applyAlignment="1">
      <alignment horizontal="center" vertical="center" wrapText="1"/>
    </xf>
    <xf numFmtId="0" fontId="1" fillId="8" borderId="49" xfId="0" applyFont="1" applyFill="1" applyBorder="1" applyAlignment="1">
      <alignment horizontal="center" vertical="center" wrapText="1"/>
    </xf>
    <xf numFmtId="0" fontId="1" fillId="8" borderId="49" xfId="0" applyFont="1" applyFill="1" applyBorder="1" applyAlignment="1">
      <alignment vertical="center" wrapText="1"/>
    </xf>
    <xf numFmtId="1" fontId="1" fillId="8" borderId="56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1" fontId="7" fillId="0" borderId="13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0" fillId="2" borderId="13" xfId="0" applyFill="1" applyBorder="1"/>
    <xf numFmtId="0" fontId="0" fillId="9" borderId="13" xfId="0" applyFill="1" applyBorder="1"/>
    <xf numFmtId="0" fontId="0" fillId="7" borderId="1" xfId="0" applyFill="1" applyBorder="1"/>
    <xf numFmtId="1" fontId="0" fillId="0" borderId="0" xfId="0" applyNumberFormat="1" applyAlignment="1">
      <alignment horizontal="center"/>
    </xf>
    <xf numFmtId="0" fontId="2" fillId="0" borderId="13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11" borderId="59" xfId="0" applyFont="1" applyFill="1" applyBorder="1" applyAlignment="1">
      <alignment vertical="center" wrapText="1"/>
    </xf>
    <xf numFmtId="0" fontId="11" fillId="11" borderId="60" xfId="0" applyFont="1" applyFill="1" applyBorder="1" applyAlignment="1">
      <alignment horizontal="center" vertical="center" wrapText="1"/>
    </xf>
    <xf numFmtId="0" fontId="11" fillId="11" borderId="42" xfId="0" applyFont="1" applyFill="1" applyBorder="1" applyAlignment="1">
      <alignment horizontal="center" vertical="center" wrapText="1"/>
    </xf>
    <xf numFmtId="0" fontId="11" fillId="11" borderId="51" xfId="0" applyFont="1" applyFill="1" applyBorder="1" applyAlignment="1">
      <alignment vertical="center" wrapText="1"/>
    </xf>
    <xf numFmtId="0" fontId="12" fillId="10" borderId="50" xfId="0" applyFont="1" applyFill="1" applyBorder="1" applyAlignment="1">
      <alignment horizontal="center" vertical="center" wrapText="1"/>
    </xf>
    <xf numFmtId="0" fontId="12" fillId="10" borderId="59" xfId="0" applyFont="1" applyFill="1" applyBorder="1" applyAlignment="1">
      <alignment horizontal="center" vertical="center" wrapText="1"/>
    </xf>
    <xf numFmtId="0" fontId="12" fillId="10" borderId="42" xfId="0" applyFont="1" applyFill="1" applyBorder="1" applyAlignment="1">
      <alignment horizontal="center" vertical="center" wrapText="1"/>
    </xf>
    <xf numFmtId="0" fontId="0" fillId="7" borderId="13" xfId="0" applyFill="1" applyBorder="1"/>
    <xf numFmtId="0" fontId="2" fillId="7" borderId="13" xfId="0" applyFont="1" applyFill="1" applyBorder="1"/>
    <xf numFmtId="1" fontId="0" fillId="0" borderId="0" xfId="0" applyNumberFormat="1"/>
    <xf numFmtId="164" fontId="0" fillId="4" borderId="1" xfId="0" applyNumberFormat="1" applyFill="1" applyBorder="1"/>
    <xf numFmtId="2" fontId="0" fillId="4" borderId="1" xfId="0" applyNumberFormat="1" applyFill="1" applyBorder="1"/>
    <xf numFmtId="2" fontId="0" fillId="4" borderId="1" xfId="0" applyNumberFormat="1" applyFill="1" applyBorder="1" applyAlignment="1">
      <alignment horizontal="left"/>
    </xf>
    <xf numFmtId="164" fontId="0" fillId="7" borderId="11" xfId="0" applyNumberFormat="1" applyFill="1" applyBorder="1"/>
    <xf numFmtId="0" fontId="0" fillId="0" borderId="1" xfId="0" applyBorder="1" applyAlignment="1">
      <alignment horizontal="center"/>
    </xf>
    <xf numFmtId="0" fontId="0" fillId="7" borderId="0" xfId="0" applyFill="1"/>
    <xf numFmtId="2" fontId="0" fillId="2" borderId="1" xfId="0" applyNumberFormat="1" applyFill="1" applyBorder="1" applyAlignment="1">
      <alignment horizontal="left"/>
    </xf>
    <xf numFmtId="0" fontId="3" fillId="0" borderId="35" xfId="0" applyFont="1" applyBorder="1"/>
    <xf numFmtId="0" fontId="0" fillId="13" borderId="1" xfId="0" applyFill="1" applyBorder="1"/>
    <xf numFmtId="0" fontId="2" fillId="7" borderId="4" xfId="0" applyFont="1" applyFill="1" applyBorder="1"/>
    <xf numFmtId="0" fontId="2" fillId="7" borderId="9" xfId="0" applyFont="1" applyFill="1" applyBorder="1"/>
    <xf numFmtId="0" fontId="2" fillId="7" borderId="10" xfId="0" applyFont="1" applyFill="1" applyBorder="1"/>
    <xf numFmtId="0" fontId="2" fillId="7" borderId="1" xfId="0" applyFont="1" applyFill="1" applyBorder="1"/>
    <xf numFmtId="2" fontId="2" fillId="7" borderId="9" xfId="0" applyNumberFormat="1" applyFont="1" applyFill="1" applyBorder="1"/>
    <xf numFmtId="164" fontId="2" fillId="7" borderId="10" xfId="0" applyNumberFormat="1" applyFont="1" applyFill="1" applyBorder="1"/>
    <xf numFmtId="0" fontId="0" fillId="7" borderId="23" xfId="0" applyFill="1" applyBorder="1"/>
    <xf numFmtId="0" fontId="2" fillId="7" borderId="23" xfId="0" applyFont="1" applyFill="1" applyBorder="1"/>
    <xf numFmtId="0" fontId="2" fillId="7" borderId="0" xfId="0" applyFont="1" applyFill="1"/>
    <xf numFmtId="0" fontId="0" fillId="0" borderId="23" xfId="0" applyBorder="1" applyAlignment="1">
      <alignment horizontal="center"/>
    </xf>
    <xf numFmtId="0" fontId="0" fillId="14" borderId="0" xfId="0" applyFill="1"/>
    <xf numFmtId="0" fontId="0" fillId="14" borderId="1" xfId="0" applyFill="1" applyBorder="1"/>
    <xf numFmtId="2" fontId="0" fillId="14" borderId="1" xfId="0" applyNumberFormat="1" applyFill="1" applyBorder="1" applyAlignment="1">
      <alignment horizontal="left"/>
    </xf>
    <xf numFmtId="0" fontId="0" fillId="15" borderId="1" xfId="0" applyFill="1" applyBorder="1"/>
    <xf numFmtId="0" fontId="0" fillId="15" borderId="15" xfId="0" applyFill="1" applyBorder="1" applyAlignment="1">
      <alignment horizont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0" fillId="16" borderId="0" xfId="0" applyFill="1"/>
    <xf numFmtId="10" fontId="0" fillId="0" borderId="0" xfId="5" applyNumberFormat="1" applyFont="1"/>
    <xf numFmtId="1" fontId="3" fillId="0" borderId="0" xfId="0" applyNumberFormat="1" applyFont="1" applyAlignment="1">
      <alignment horizontal="left" vertical="center"/>
    </xf>
    <xf numFmtId="166" fontId="0" fillId="0" borderId="1" xfId="0" applyNumberFormat="1" applyBorder="1"/>
    <xf numFmtId="2" fontId="0" fillId="0" borderId="11" xfId="0" applyNumberFormat="1" applyBorder="1"/>
    <xf numFmtId="0" fontId="2" fillId="0" borderId="13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9" xfId="0" applyFont="1" applyBorder="1" applyAlignment="1">
      <alignment horizontal="center" vertical="top" wrapText="1"/>
    </xf>
    <xf numFmtId="1" fontId="0" fillId="2" borderId="23" xfId="0" applyNumberFormat="1" applyFill="1" applyBorder="1"/>
    <xf numFmtId="0" fontId="0" fillId="0" borderId="0" xfId="0" applyAlignment="1">
      <alignment horizontal="left" indent="1"/>
    </xf>
    <xf numFmtId="0" fontId="0" fillId="20" borderId="1" xfId="0" applyFill="1" applyBorder="1"/>
    <xf numFmtId="2" fontId="1" fillId="8" borderId="1" xfId="0" applyNumberFormat="1" applyFont="1" applyFill="1" applyBorder="1" applyAlignment="1">
      <alignment horizontal="center" vertical="center" wrapText="1"/>
    </xf>
    <xf numFmtId="0" fontId="2" fillId="14" borderId="0" xfId="0" applyFont="1" applyFill="1"/>
    <xf numFmtId="0" fontId="2" fillId="0" borderId="1" xfId="0" applyFont="1" applyBorder="1"/>
    <xf numFmtId="0" fontId="2" fillId="14" borderId="1" xfId="0" applyFont="1" applyFill="1" applyBorder="1"/>
    <xf numFmtId="0" fontId="2" fillId="0" borderId="9" xfId="0" applyFont="1" applyBorder="1"/>
    <xf numFmtId="2" fontId="2" fillId="14" borderId="1" xfId="0" applyNumberFormat="1" applyFont="1" applyFill="1" applyBorder="1" applyAlignment="1">
      <alignment horizontal="left"/>
    </xf>
    <xf numFmtId="10" fontId="2" fillId="0" borderId="0" xfId="5" applyNumberFormat="1" applyFont="1"/>
    <xf numFmtId="1" fontId="0" fillId="22" borderId="1" xfId="0" applyNumberFormat="1" applyFill="1" applyBorder="1"/>
    <xf numFmtId="164" fontId="0" fillId="22" borderId="1" xfId="0" applyNumberFormat="1" applyFill="1" applyBorder="1"/>
    <xf numFmtId="0" fontId="0" fillId="9" borderId="0" xfId="0" applyFill="1"/>
    <xf numFmtId="0" fontId="0" fillId="9" borderId="1" xfId="0" applyFill="1" applyBorder="1"/>
    <xf numFmtId="0" fontId="0" fillId="9" borderId="9" xfId="0" applyFill="1" applyBorder="1"/>
    <xf numFmtId="2" fontId="0" fillId="9" borderId="1" xfId="0" applyNumberFormat="1" applyFill="1" applyBorder="1" applyAlignment="1">
      <alignment horizontal="left"/>
    </xf>
    <xf numFmtId="10" fontId="0" fillId="9" borderId="0" xfId="5" applyNumberFormat="1" applyFont="1" applyFill="1"/>
    <xf numFmtId="0" fontId="0" fillId="22" borderId="0" xfId="0" applyFill="1"/>
    <xf numFmtId="0" fontId="0" fillId="22" borderId="1" xfId="0" applyFill="1" applyBorder="1"/>
    <xf numFmtId="2" fontId="0" fillId="22" borderId="1" xfId="0" applyNumberFormat="1" applyFill="1" applyBorder="1"/>
    <xf numFmtId="0" fontId="0" fillId="22" borderId="9" xfId="0" applyFill="1" applyBorder="1"/>
    <xf numFmtId="2" fontId="0" fillId="22" borderId="1" xfId="0" applyNumberFormat="1" applyFill="1" applyBorder="1" applyAlignment="1">
      <alignment horizontal="left"/>
    </xf>
    <xf numFmtId="10" fontId="0" fillId="22" borderId="0" xfId="5" applyNumberFormat="1" applyFont="1" applyFill="1"/>
    <xf numFmtId="165" fontId="0" fillId="22" borderId="1" xfId="0" applyNumberFormat="1" applyFill="1" applyBorder="1"/>
    <xf numFmtId="0" fontId="16" fillId="22" borderId="1" xfId="0" applyFont="1" applyFill="1" applyBorder="1"/>
    <xf numFmtId="164" fontId="0" fillId="0" borderId="63" xfId="0" applyNumberFormat="1" applyBorder="1"/>
    <xf numFmtId="2" fontId="0" fillId="0" borderId="63" xfId="0" applyNumberFormat="1" applyBorder="1"/>
    <xf numFmtId="0" fontId="2" fillId="22" borderId="1" xfId="0" applyFont="1" applyFill="1" applyBorder="1"/>
    <xf numFmtId="0" fontId="16" fillId="0" borderId="1" xfId="0" applyFont="1" applyBorder="1"/>
    <xf numFmtId="0" fontId="17" fillId="0" borderId="0" xfId="0" applyFont="1"/>
    <xf numFmtId="0" fontId="17" fillId="0" borderId="1" xfId="0" applyFont="1" applyBorder="1"/>
    <xf numFmtId="165" fontId="17" fillId="0" borderId="1" xfId="0" applyNumberFormat="1" applyFont="1" applyBorder="1"/>
    <xf numFmtId="0" fontId="17" fillId="22" borderId="1" xfId="0" applyFont="1" applyFill="1" applyBorder="1"/>
    <xf numFmtId="0" fontId="17" fillId="0" borderId="9" xfId="0" applyFont="1" applyBorder="1"/>
    <xf numFmtId="2" fontId="17" fillId="0" borderId="1" xfId="0" applyNumberFormat="1" applyFont="1" applyBorder="1" applyAlignment="1">
      <alignment horizontal="left"/>
    </xf>
    <xf numFmtId="0" fontId="17" fillId="22" borderId="0" xfId="0" applyFont="1" applyFill="1"/>
    <xf numFmtId="1" fontId="17" fillId="22" borderId="1" xfId="0" applyNumberFormat="1" applyFont="1" applyFill="1" applyBorder="1"/>
    <xf numFmtId="0" fontId="17" fillId="22" borderId="9" xfId="0" applyFont="1" applyFill="1" applyBorder="1"/>
    <xf numFmtId="2" fontId="17" fillId="22" borderId="1" xfId="0" applyNumberFormat="1" applyFont="1" applyFill="1" applyBorder="1" applyAlignment="1">
      <alignment horizontal="left"/>
    </xf>
    <xf numFmtId="10" fontId="17" fillId="22" borderId="0" xfId="5" applyNumberFormat="1" applyFont="1" applyFill="1"/>
    <xf numFmtId="2" fontId="17" fillId="4" borderId="1" xfId="0" applyNumberFormat="1" applyFont="1" applyFill="1" applyBorder="1" applyAlignment="1">
      <alignment horizontal="left"/>
    </xf>
    <xf numFmtId="10" fontId="17" fillId="0" borderId="0" xfId="5" applyNumberFormat="1" applyFont="1"/>
    <xf numFmtId="0" fontId="17" fillId="19" borderId="0" xfId="0" applyFont="1" applyFill="1"/>
    <xf numFmtId="0" fontId="17" fillId="19" borderId="1" xfId="0" applyFont="1" applyFill="1" applyBorder="1"/>
    <xf numFmtId="0" fontId="17" fillId="20" borderId="1" xfId="0" applyFont="1" applyFill="1" applyBorder="1"/>
    <xf numFmtId="0" fontId="17" fillId="19" borderId="9" xfId="0" applyFont="1" applyFill="1" applyBorder="1"/>
    <xf numFmtId="2" fontId="17" fillId="19" borderId="1" xfId="0" applyNumberFormat="1" applyFont="1" applyFill="1" applyBorder="1" applyAlignment="1">
      <alignment horizontal="left"/>
    </xf>
    <xf numFmtId="10" fontId="17" fillId="19" borderId="0" xfId="5" applyNumberFormat="1" applyFont="1" applyFill="1"/>
    <xf numFmtId="0" fontId="17" fillId="0" borderId="4" xfId="0" applyFont="1" applyBorder="1"/>
    <xf numFmtId="0" fontId="17" fillId="2" borderId="9" xfId="0" applyFont="1" applyFill="1" applyBorder="1"/>
    <xf numFmtId="0" fontId="17" fillId="2" borderId="10" xfId="0" applyFont="1" applyFill="1" applyBorder="1"/>
    <xf numFmtId="0" fontId="17" fillId="3" borderId="1" xfId="0" applyFont="1" applyFill="1" applyBorder="1"/>
    <xf numFmtId="0" fontId="17" fillId="2" borderId="1" xfId="0" applyFont="1" applyFill="1" applyBorder="1"/>
    <xf numFmtId="2" fontId="17" fillId="2" borderId="9" xfId="0" applyNumberFormat="1" applyFont="1" applyFill="1" applyBorder="1"/>
    <xf numFmtId="164" fontId="17" fillId="2" borderId="10" xfId="0" applyNumberFormat="1" applyFont="1" applyFill="1" applyBorder="1"/>
    <xf numFmtId="0" fontId="17" fillId="0" borderId="13" xfId="0" applyFont="1" applyBorder="1"/>
    <xf numFmtId="0" fontId="17" fillId="3" borderId="13" xfId="0" applyFont="1" applyFill="1" applyBorder="1"/>
    <xf numFmtId="0" fontId="17" fillId="7" borderId="1" xfId="0" applyFont="1" applyFill="1" applyBorder="1"/>
    <xf numFmtId="0" fontId="17" fillId="9" borderId="13" xfId="0" applyFont="1" applyFill="1" applyBorder="1"/>
    <xf numFmtId="0" fontId="17" fillId="2" borderId="13" xfId="0" applyFont="1" applyFill="1" applyBorder="1"/>
    <xf numFmtId="0" fontId="17" fillId="2" borderId="23" xfId="0" applyFont="1" applyFill="1" applyBorder="1"/>
    <xf numFmtId="0" fontId="17" fillId="7" borderId="13" xfId="0" applyFont="1" applyFill="1" applyBorder="1"/>
    <xf numFmtId="1" fontId="17" fillId="0" borderId="1" xfId="0" applyNumberFormat="1" applyFont="1" applyBorder="1"/>
    <xf numFmtId="1" fontId="17" fillId="2" borderId="23" xfId="0" applyNumberFormat="1" applyFont="1" applyFill="1" applyBorder="1"/>
    <xf numFmtId="0" fontId="17" fillId="13" borderId="0" xfId="0" applyFont="1" applyFill="1"/>
    <xf numFmtId="0" fontId="17" fillId="13" borderId="1" xfId="0" applyFont="1" applyFill="1" applyBorder="1"/>
    <xf numFmtId="0" fontId="17" fillId="13" borderId="9" xfId="0" applyFont="1" applyFill="1" applyBorder="1"/>
    <xf numFmtId="2" fontId="17" fillId="13" borderId="1" xfId="0" applyNumberFormat="1" applyFont="1" applyFill="1" applyBorder="1" applyAlignment="1">
      <alignment horizontal="left"/>
    </xf>
    <xf numFmtId="0" fontId="17" fillId="7" borderId="0" xfId="0" applyFont="1" applyFill="1"/>
    <xf numFmtId="0" fontId="17" fillId="7" borderId="9" xfId="0" applyFont="1" applyFill="1" applyBorder="1"/>
    <xf numFmtId="2" fontId="17" fillId="7" borderId="1" xfId="0" applyNumberFormat="1" applyFont="1" applyFill="1" applyBorder="1" applyAlignment="1">
      <alignment horizontal="left"/>
    </xf>
    <xf numFmtId="10" fontId="17" fillId="7" borderId="0" xfId="5" applyNumberFormat="1" applyFont="1" applyFill="1"/>
    <xf numFmtId="2" fontId="17" fillId="0" borderId="1" xfId="0" applyNumberFormat="1" applyFont="1" applyBorder="1"/>
    <xf numFmtId="0" fontId="17" fillId="23" borderId="0" xfId="0" applyFont="1" applyFill="1"/>
    <xf numFmtId="0" fontId="17" fillId="23" borderId="1" xfId="0" applyFont="1" applyFill="1" applyBorder="1"/>
    <xf numFmtId="0" fontId="17" fillId="23" borderId="9" xfId="0" applyFont="1" applyFill="1" applyBorder="1"/>
    <xf numFmtId="2" fontId="17" fillId="23" borderId="1" xfId="0" applyNumberFormat="1" applyFont="1" applyFill="1" applyBorder="1" applyAlignment="1">
      <alignment horizontal="left"/>
    </xf>
    <xf numFmtId="0" fontId="17" fillId="12" borderId="0" xfId="0" applyFont="1" applyFill="1"/>
    <xf numFmtId="0" fontId="17" fillId="6" borderId="0" xfId="0" applyFont="1" applyFill="1"/>
    <xf numFmtId="0" fontId="17" fillId="6" borderId="1" xfId="0" applyFont="1" applyFill="1" applyBorder="1"/>
    <xf numFmtId="0" fontId="17" fillId="6" borderId="9" xfId="0" applyFont="1" applyFill="1" applyBorder="1"/>
    <xf numFmtId="2" fontId="17" fillId="6" borderId="1" xfId="0" applyNumberFormat="1" applyFont="1" applyFill="1" applyBorder="1" applyAlignment="1">
      <alignment horizontal="left"/>
    </xf>
    <xf numFmtId="10" fontId="17" fillId="6" borderId="0" xfId="5" applyNumberFormat="1" applyFont="1" applyFill="1"/>
    <xf numFmtId="167" fontId="17" fillId="0" borderId="1" xfId="0" applyNumberFormat="1" applyFont="1" applyBorder="1"/>
    <xf numFmtId="0" fontId="17" fillId="17" borderId="1" xfId="0" applyFont="1" applyFill="1" applyBorder="1"/>
    <xf numFmtId="0" fontId="17" fillId="18" borderId="1" xfId="0" applyFont="1" applyFill="1" applyBorder="1"/>
    <xf numFmtId="165" fontId="17" fillId="6" borderId="1" xfId="0" applyNumberFormat="1" applyFont="1" applyFill="1" applyBorder="1"/>
    <xf numFmtId="169" fontId="0" fillId="0" borderId="1" xfId="0" applyNumberFormat="1" applyBorder="1"/>
    <xf numFmtId="0" fontId="7" fillId="0" borderId="1" xfId="0" applyFont="1" applyBorder="1" applyAlignment="1">
      <alignment horizontal="center"/>
    </xf>
    <xf numFmtId="2" fontId="0" fillId="14" borderId="1" xfId="0" applyNumberFormat="1" applyFill="1" applyBorder="1"/>
    <xf numFmtId="167" fontId="0" fillId="22" borderId="1" xfId="0" applyNumberFormat="1" applyFill="1" applyBorder="1"/>
    <xf numFmtId="10" fontId="0" fillId="0" borderId="0" xfId="5" applyNumberFormat="1" applyFont="1" applyFill="1"/>
    <xf numFmtId="0" fontId="0" fillId="24" borderId="21" xfId="0" applyFill="1" applyBorder="1"/>
    <xf numFmtId="2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3" fillId="25" borderId="1" xfId="0" applyFon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2" fontId="0" fillId="2" borderId="10" xfId="0" applyNumberFormat="1" applyFill="1" applyBorder="1"/>
    <xf numFmtId="165" fontId="0" fillId="4" borderId="1" xfId="0" applyNumberFormat="1" applyFill="1" applyBorder="1"/>
    <xf numFmtId="165" fontId="0" fillId="7" borderId="1" xfId="0" applyNumberFormat="1" applyFill="1" applyBorder="1"/>
    <xf numFmtId="170" fontId="0" fillId="0" borderId="1" xfId="0" applyNumberFormat="1" applyBorder="1"/>
    <xf numFmtId="2" fontId="0" fillId="7" borderId="1" xfId="0" applyNumberFormat="1" applyFill="1" applyBorder="1"/>
    <xf numFmtId="2" fontId="0" fillId="9" borderId="1" xfId="0" applyNumberFormat="1" applyFill="1" applyBorder="1"/>
    <xf numFmtId="164" fontId="17" fillId="22" borderId="1" xfId="0" applyNumberFormat="1" applyFont="1" applyFill="1" applyBorder="1"/>
    <xf numFmtId="170" fontId="0" fillId="4" borderId="1" xfId="0" applyNumberFormat="1" applyFill="1" applyBorder="1"/>
    <xf numFmtId="164" fontId="2" fillId="22" borderId="1" xfId="0" applyNumberFormat="1" applyFont="1" applyFill="1" applyBorder="1"/>
    <xf numFmtId="2" fontId="3" fillId="25" borderId="1" xfId="0" applyNumberFormat="1" applyFont="1" applyFill="1" applyBorder="1"/>
    <xf numFmtId="1" fontId="17" fillId="13" borderId="1" xfId="0" applyNumberFormat="1" applyFont="1" applyFill="1" applyBorder="1"/>
    <xf numFmtId="165" fontId="17" fillId="7" borderId="1" xfId="0" applyNumberFormat="1" applyFont="1" applyFill="1" applyBorder="1"/>
    <xf numFmtId="164" fontId="17" fillId="23" borderId="1" xfId="0" applyNumberFormat="1" applyFont="1" applyFill="1" applyBorder="1"/>
    <xf numFmtId="164" fontId="17" fillId="17" borderId="1" xfId="0" applyNumberFormat="1" applyFont="1" applyFill="1" applyBorder="1"/>
    <xf numFmtId="165" fontId="3" fillId="25" borderId="1" xfId="0" applyNumberFormat="1" applyFont="1" applyFill="1" applyBorder="1"/>
    <xf numFmtId="0" fontId="0" fillId="12" borderId="1" xfId="0" applyFill="1" applyBorder="1"/>
    <xf numFmtId="0" fontId="0" fillId="0" borderId="2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26" borderId="27" xfId="0" applyFill="1" applyBorder="1" applyAlignment="1">
      <alignment horizontal="center"/>
    </xf>
    <xf numFmtId="0" fontId="0" fillId="26" borderId="40" xfId="0" applyFill="1" applyBorder="1" applyAlignment="1">
      <alignment horizontal="center"/>
    </xf>
    <xf numFmtId="0" fontId="0" fillId="26" borderId="33" xfId="0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0" fontId="0" fillId="12" borderId="40" xfId="0" applyFill="1" applyBorder="1" applyAlignment="1">
      <alignment horizontal="center"/>
    </xf>
    <xf numFmtId="0" fontId="0" fillId="12" borderId="33" xfId="0" applyFill="1" applyBorder="1" applyAlignment="1">
      <alignment horizontal="center"/>
    </xf>
    <xf numFmtId="0" fontId="0" fillId="17" borderId="17" xfId="0" applyFill="1" applyBorder="1" applyAlignment="1">
      <alignment horizontal="center"/>
    </xf>
    <xf numFmtId="0" fontId="0" fillId="17" borderId="20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17" borderId="27" xfId="0" applyFill="1" applyBorder="1" applyAlignment="1">
      <alignment horizontal="center"/>
    </xf>
    <xf numFmtId="0" fontId="0" fillId="17" borderId="40" xfId="0" applyFill="1" applyBorder="1" applyAlignment="1">
      <alignment horizontal="center"/>
    </xf>
    <xf numFmtId="0" fontId="0" fillId="17" borderId="3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1" borderId="6" xfId="0" applyFill="1" applyBorder="1" applyAlignment="1">
      <alignment horizontal="center"/>
    </xf>
    <xf numFmtId="0" fontId="0" fillId="21" borderId="7" xfId="0" applyFill="1" applyBorder="1" applyAlignment="1">
      <alignment horizontal="center"/>
    </xf>
    <xf numFmtId="0" fontId="0" fillId="21" borderId="8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5" borderId="13" xfId="0" applyFill="1" applyBorder="1" applyAlignment="1">
      <alignment horizontal="center" wrapText="1"/>
    </xf>
    <xf numFmtId="0" fontId="0" fillId="15" borderId="23" xfId="0" applyFill="1" applyBorder="1" applyAlignment="1">
      <alignment horizontal="center" wrapText="1"/>
    </xf>
    <xf numFmtId="0" fontId="0" fillId="15" borderId="2" xfId="0" applyFill="1" applyBorder="1" applyAlignment="1">
      <alignment horizontal="center" wrapText="1"/>
    </xf>
    <xf numFmtId="0" fontId="0" fillId="0" borderId="36" xfId="0" applyBorder="1" applyAlignment="1">
      <alignment horizontal="center"/>
    </xf>
    <xf numFmtId="0" fontId="0" fillId="0" borderId="34" xfId="0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2" fillId="0" borderId="13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8" borderId="13" xfId="0" applyFont="1" applyFill="1" applyBorder="1" applyAlignment="1">
      <alignment horizontal="left" vertical="center" wrapText="1"/>
    </xf>
    <xf numFmtId="0" fontId="1" fillId="8" borderId="23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1" fontId="2" fillId="0" borderId="29" xfId="0" applyNumberFormat="1" applyFont="1" applyBorder="1" applyAlignment="1">
      <alignment horizontal="center" vertical="top" wrapText="1"/>
    </xf>
    <xf numFmtId="1" fontId="2" fillId="0" borderId="52" xfId="0" applyNumberFormat="1" applyFont="1" applyBorder="1" applyAlignment="1">
      <alignment horizontal="center" vertical="top" wrapText="1"/>
    </xf>
    <xf numFmtId="1" fontId="2" fillId="0" borderId="26" xfId="0" applyNumberFormat="1" applyFont="1" applyBorder="1" applyAlignment="1">
      <alignment horizontal="center" vertical="top" wrapText="1"/>
    </xf>
    <xf numFmtId="0" fontId="1" fillId="7" borderId="13" xfId="0" applyFont="1" applyFill="1" applyBorder="1" applyAlignment="1">
      <alignment horizontal="left" vertical="center" wrapText="1"/>
    </xf>
    <xf numFmtId="0" fontId="1" fillId="7" borderId="23" xfId="0" applyFont="1" applyFill="1" applyBorder="1" applyAlignment="1">
      <alignment horizontal="left" vertical="center" wrapText="1"/>
    </xf>
    <xf numFmtId="0" fontId="1" fillId="7" borderId="48" xfId="0" applyFont="1" applyFill="1" applyBorder="1" applyAlignment="1">
      <alignment horizontal="left" vertical="center" wrapText="1"/>
    </xf>
    <xf numFmtId="0" fontId="1" fillId="8" borderId="54" xfId="0" applyFont="1" applyFill="1" applyBorder="1" applyAlignment="1">
      <alignment horizontal="left" vertical="center"/>
    </xf>
    <xf numFmtId="0" fontId="1" fillId="8" borderId="57" xfId="0" applyFont="1" applyFill="1" applyBorder="1" applyAlignment="1">
      <alignment horizontal="left" vertical="center"/>
    </xf>
    <xf numFmtId="0" fontId="1" fillId="8" borderId="28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center" vertical="top" wrapText="1"/>
    </xf>
    <xf numFmtId="0" fontId="2" fillId="0" borderId="52" xfId="0" applyFont="1" applyBorder="1" applyAlignment="1">
      <alignment horizontal="center" vertical="top" wrapText="1"/>
    </xf>
    <xf numFmtId="0" fontId="2" fillId="0" borderId="5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3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6" borderId="42" xfId="0" applyFont="1" applyFill="1" applyBorder="1" applyAlignment="1">
      <alignment horizontal="center" vertical="center" wrapText="1"/>
    </xf>
    <xf numFmtId="0" fontId="1" fillId="6" borderId="5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50" xfId="0" applyFont="1" applyFill="1" applyBorder="1" applyAlignment="1">
      <alignment horizontal="center" vertical="center" wrapText="1"/>
    </xf>
    <xf numFmtId="14" fontId="1" fillId="6" borderId="32" xfId="0" applyNumberFormat="1" applyFont="1" applyFill="1" applyBorder="1" applyAlignment="1">
      <alignment horizontal="center" vertical="center" wrapText="1"/>
    </xf>
    <xf numFmtId="0" fontId="1" fillId="7" borderId="52" xfId="0" applyFont="1" applyFill="1" applyBorder="1" applyAlignment="1">
      <alignment horizontal="left" vertical="center" wrapText="1"/>
    </xf>
    <xf numFmtId="0" fontId="1" fillId="7" borderId="43" xfId="0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1" fillId="7" borderId="12" xfId="0" applyFont="1" applyFill="1" applyBorder="1" applyAlignment="1">
      <alignment horizontal="left" vertical="center" wrapText="1"/>
    </xf>
    <xf numFmtId="0" fontId="1" fillId="7" borderId="45" xfId="0" applyFont="1" applyFill="1" applyBorder="1" applyAlignment="1">
      <alignment horizontal="left" vertical="center" wrapText="1"/>
    </xf>
    <xf numFmtId="0" fontId="1" fillId="7" borderId="32" xfId="0" applyFont="1" applyFill="1" applyBorder="1" applyAlignment="1">
      <alignment horizontal="left" vertical="center" wrapText="1"/>
    </xf>
    <xf numFmtId="0" fontId="1" fillId="7" borderId="53" xfId="0" applyFont="1" applyFill="1" applyBorder="1" applyAlignment="1">
      <alignment horizontal="left" vertical="center" wrapText="1"/>
    </xf>
    <xf numFmtId="0" fontId="1" fillId="7" borderId="25" xfId="0" applyFont="1" applyFill="1" applyBorder="1" applyAlignment="1">
      <alignment horizontal="center" vertical="center" wrapText="1"/>
    </xf>
    <xf numFmtId="0" fontId="1" fillId="7" borderId="44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7" borderId="55" xfId="0" applyFont="1" applyFill="1" applyBorder="1" applyAlignment="1">
      <alignment horizontal="center" vertical="center" wrapText="1"/>
    </xf>
    <xf numFmtId="0" fontId="1" fillId="7" borderId="58" xfId="0" applyFont="1" applyFill="1" applyBorder="1" applyAlignment="1">
      <alignment horizontal="center" vertical="center" wrapText="1"/>
    </xf>
    <xf numFmtId="14" fontId="1" fillId="6" borderId="19" xfId="0" applyNumberFormat="1" applyFont="1" applyFill="1" applyBorder="1" applyAlignment="1">
      <alignment horizontal="center" vertical="center" wrapText="1"/>
    </xf>
    <xf numFmtId="14" fontId="1" fillId="6" borderId="42" xfId="0" applyNumberFormat="1" applyFont="1" applyFill="1" applyBorder="1" applyAlignment="1">
      <alignment horizontal="center" vertical="center" wrapText="1"/>
    </xf>
    <xf numFmtId="0" fontId="1" fillId="7" borderId="61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40" xfId="0" applyFont="1" applyBorder="1" applyAlignment="1">
      <alignment horizontal="left" vertical="center" wrapText="1"/>
    </xf>
    <xf numFmtId="0" fontId="2" fillId="0" borderId="62" xfId="0" applyFont="1" applyBorder="1" applyAlignment="1">
      <alignment horizontal="left" vertical="center" wrapText="1"/>
    </xf>
  </cellXfs>
  <cellStyles count="8">
    <cellStyle name="Comma 2" xfId="4" xr:uid="{00000000-0005-0000-0000-000000000000}"/>
    <cellStyle name="Comma 2 2" xfId="7" xr:uid="{00000000-0005-0000-0000-000001000000}"/>
    <cellStyle name="Comma 3" xfId="6" xr:uid="{00000000-0005-0000-0000-000033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1" xr:uid="{00000000-0005-0000-0000-000004000000}"/>
    <cellStyle name="Percent" xfId="5" builtinId="5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DB935C2-BA16-424F-BE18-C1471B4CD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3BDAF09C-5439-4947-A242-1698ED74A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ADBB004E-B8D0-44CD-A49A-C7FB1A2B9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1D2C7B2-538B-4037-9796-BC0A3BE4B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5660FF22-B5B2-47A3-B841-D6487985A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DB8C4F3D-4ABB-4088-B909-DB3F0F94C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A5B3B97-2C90-488A-89ED-0E16422CB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9D59897C-E0BC-4392-866D-A792D15C7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6EECD469-13C1-429A-8871-A16F2234E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D83D4C34-CEA3-40FC-9200-6B84A83C4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66E1B236-CFD8-4282-85DB-DE99C11F7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8F8552E3-4DED-440F-83B1-C7217BA0C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F8E0300D-20EF-4504-A177-173AA731E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5342D7D7-C4E7-4D31-9FC7-3BA27823A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50593C50-240F-4847-9211-1F227689B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68123B23-A4BD-4ABA-B2E8-1CB3520CB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E41E1FA-371D-41FC-88DA-560E024A5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774B283F-DB07-4DA2-95F2-3008F7EB3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2B8C7F66-1F77-4622-BACA-FC200F803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A64FB0A7-0EC9-4A66-8629-DB23D54D2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29DB84D-DF0E-4DC5-B5A7-32F671C43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3346FB7E-9BC4-4AE7-955C-64992022D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C8F85DEA-4B34-4722-8C90-A1F384A0B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88E24B80-1FEF-4ED8-855C-AB7A78DA5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8F7EC7E8-EF32-49D2-8B0D-CA2443D78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B59F4E7-12CC-4450-AC64-37518BE1F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98E4E71C-0E51-4E75-ACF4-13A7384D5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87916E44-451C-4FE4-AC61-063C0C6D6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DA76899E-8892-41DE-B065-C0A973DEE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DEC1120B-690A-4F49-89CD-996852550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1CA97D2-5B97-43C5-A306-11F51ABC2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912E0678-3972-409F-9E4F-DB4E7C8CB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DD17125B-C414-4D12-AEC4-67E729D2B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16D9A244-CB20-45FE-A8DA-5909CFDFC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FEBAB34E-734B-401D-A1E3-8186777F9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A58D78B0-FC44-402D-80E7-CB3B18780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180EFACB-1E69-4975-8207-8130D83B8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348ADF65-D69F-4610-8B2A-AA1C94E57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B7FB207A-EEBE-45B3-9AB4-B7C0715F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16FF084B-96BC-4F17-B3A2-442E76ECB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629FEED2-A8B5-48AC-8D46-D76BF9DB8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454F3669-9C99-4ACF-8660-96E59B297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B717B909-0503-4CD5-BF73-3A0CB47D2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93ECA0BB-E745-4ADA-AF11-CA547C7D9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F6868B0F-644C-491D-A40A-E413BE45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5EC7FC3-69EC-4EC7-9605-D03B36A60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328F42EF-E8AE-4460-AA48-CF0071923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5" name="Picture 10" descr="http://www.lakecement.com/images/logo.jpg">
          <a:extLst>
            <a:ext uri="{FF2B5EF4-FFF2-40B4-BE49-F238E27FC236}">
              <a16:creationId xmlns:a16="http://schemas.microsoft.com/office/drawing/2014/main" id="{0E9318E5-AEAE-490C-AF5F-19E860308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3417" y="201083"/>
          <a:ext cx="497416" cy="582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D24DBFD9-BE1B-430D-8075-33E9DFDB3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769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44C14A59-A2F5-4050-B3E1-FCDC68B77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769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CB4A7F39-EBAC-4A55-872D-53D07ED67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418EF48-EA28-41C9-883C-109A5A6AF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203EC694-5232-480E-A243-737DABD8E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5FA5A179-E82F-428A-85F0-79A370EF5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58A2A825-D52F-4C62-9ED7-50C351868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CE241BCA-F8F8-44A6-9640-B58C597A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8F972853-5EBF-435F-B941-702DD82A9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C543CFA5-142A-4A13-8880-D91332703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64285F11-8BE6-487F-9F6C-E48E7C8F1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10584</xdr:colOff>
      <xdr:row>1</xdr:row>
      <xdr:rowOff>0</xdr:rowOff>
    </xdr:from>
    <xdr:to>
      <xdr:col>2</xdr:col>
      <xdr:colOff>285750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2A660335-4DF9-46A2-9F22-F3DD1DCA4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4001" y="201083"/>
          <a:ext cx="497416" cy="582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23106245-6CEC-4FFB-8DBE-767C0C550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B15694F8-471E-47D3-BC49-A8BBE603D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E68B80AB-BBFF-469E-9A19-28773542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8665233-884C-47B5-9B11-8D16776F9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C802F027-41D4-4F28-A93A-0C705D2C4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3FA96FB5-C2A9-4A34-BA00-F0420CC5F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87DB478C-3A29-4D32-8768-F12AB7392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F4C160B-A21F-4112-9915-661DEE149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9D11BA60-45E0-4959-8894-6AF402B46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BBC732D-5AD3-4074-9659-724E65C25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7EDDA8D1-89D5-4E54-A3BF-6B7160652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C069F9CE-0C22-472D-B5C2-5423E9E77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E5E9AA85-C164-4927-B62C-B96E9A8EA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C7BF2935-1E58-4439-82DC-4B940FFCF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5D557B2A-5CED-44C7-B3B7-A490140E9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EEEBF8EC-EF15-4B17-881B-4CB0FF711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64DB0932-7A7A-4D18-89FE-53A556579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F5F92EF9-5182-437E-9574-BA44922A4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CB0DD5AB-2DCE-40E1-AB29-D05D87F5E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6FD24043-7FE2-4093-A3B8-BE6D2BED7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kecementt-my.sharepoint.com/Users/user/Desktop/AUGUST%2021'/Master%20production%20report%20%20August%2021'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kecementt-my.sharepoint.com/personal/production_lakecement_co_tz/Documents/JULY%20-%202024/Master%20production%20report%20July%2024'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nes (2)"/>
      <sheetName val="Clinker"/>
      <sheetName val="Cement"/>
      <sheetName val="Production2"/>
      <sheetName val="CPP"/>
      <sheetName val="Daily Cement"/>
      <sheetName val="Daily unit"/>
      <sheetName val="Purchase clinker"/>
      <sheetName val="Internal use cement"/>
      <sheetName val="Return cemen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AS3">
            <v>1515</v>
          </cell>
        </row>
      </sheetData>
      <sheetData sheetId="2">
        <row r="3">
          <cell r="U3">
            <v>0</v>
          </cell>
        </row>
        <row r="4">
          <cell r="U4">
            <v>0</v>
          </cell>
        </row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25</v>
          </cell>
        </row>
        <row r="12">
          <cell r="U12">
            <v>38.999999772300001</v>
          </cell>
        </row>
        <row r="13">
          <cell r="U13">
            <v>37.000000639999996</v>
          </cell>
        </row>
        <row r="14">
          <cell r="U14">
            <v>44.999999389800003</v>
          </cell>
        </row>
        <row r="15">
          <cell r="U15">
            <v>65.999999844000001</v>
          </cell>
        </row>
        <row r="16">
          <cell r="U16">
            <v>67.000001315000006</v>
          </cell>
        </row>
        <row r="17">
          <cell r="U17">
            <v>96.999998670500005</v>
          </cell>
        </row>
        <row r="18">
          <cell r="U18">
            <v>90.999999552000006</v>
          </cell>
        </row>
        <row r="19">
          <cell r="U19">
            <v>74.999998418399997</v>
          </cell>
        </row>
        <row r="20">
          <cell r="U20">
            <v>93.999999290399998</v>
          </cell>
        </row>
        <row r="21">
          <cell r="U21">
            <v>106.00000272</v>
          </cell>
        </row>
        <row r="22">
          <cell r="U22">
            <v>103.9999993008</v>
          </cell>
        </row>
        <row r="23">
          <cell r="U23">
            <v>105.00000399999999</v>
          </cell>
        </row>
        <row r="24">
          <cell r="U24">
            <v>109.99999834079999</v>
          </cell>
        </row>
        <row r="25">
          <cell r="U25">
            <v>83.9999985356</v>
          </cell>
        </row>
        <row r="26">
          <cell r="U26">
            <v>118.99999991760001</v>
          </cell>
        </row>
        <row r="27">
          <cell r="U27">
            <v>100.99999891200001</v>
          </cell>
        </row>
        <row r="28">
          <cell r="U28">
            <v>97.999999883279997</v>
          </cell>
        </row>
        <row r="29">
          <cell r="U29">
            <v>102</v>
          </cell>
        </row>
        <row r="30">
          <cell r="U30">
            <v>0</v>
          </cell>
        </row>
        <row r="31">
          <cell r="U31">
            <v>87.999998972</v>
          </cell>
        </row>
        <row r="32">
          <cell r="U32">
            <v>0</v>
          </cell>
        </row>
      </sheetData>
      <sheetData sheetId="3">
        <row r="3">
          <cell r="J3">
            <v>2272.5</v>
          </cell>
        </row>
        <row r="33">
          <cell r="J33">
            <v>0</v>
          </cell>
          <cell r="M33">
            <v>0</v>
          </cell>
        </row>
      </sheetData>
      <sheetData sheetId="4">
        <row r="3">
          <cell r="E3">
            <v>32</v>
          </cell>
        </row>
      </sheetData>
      <sheetData sheetId="5">
        <row r="4">
          <cell r="Y4">
            <v>264.00000020481002</v>
          </cell>
          <cell r="AB4">
            <v>0</v>
          </cell>
        </row>
        <row r="5">
          <cell r="AB5">
            <v>0</v>
          </cell>
        </row>
        <row r="6">
          <cell r="AB6">
            <v>0</v>
          </cell>
        </row>
        <row r="7">
          <cell r="AB7">
            <v>0</v>
          </cell>
        </row>
        <row r="8">
          <cell r="AB8">
            <v>0</v>
          </cell>
        </row>
        <row r="9">
          <cell r="AB9">
            <v>0</v>
          </cell>
        </row>
        <row r="10">
          <cell r="AB10">
            <v>0</v>
          </cell>
        </row>
        <row r="11">
          <cell r="AB11">
            <v>0</v>
          </cell>
        </row>
        <row r="12">
          <cell r="AB12">
            <v>0</v>
          </cell>
        </row>
        <row r="13">
          <cell r="AB13">
            <v>0</v>
          </cell>
        </row>
        <row r="14">
          <cell r="AB14">
            <v>0</v>
          </cell>
        </row>
        <row r="15">
          <cell r="AB15">
            <v>0</v>
          </cell>
        </row>
        <row r="16">
          <cell r="AB16">
            <v>0</v>
          </cell>
        </row>
        <row r="17">
          <cell r="AB17">
            <v>0</v>
          </cell>
        </row>
        <row r="18">
          <cell r="AB18">
            <v>0</v>
          </cell>
        </row>
        <row r="19">
          <cell r="AB19">
            <v>0</v>
          </cell>
        </row>
        <row r="20">
          <cell r="AB20">
            <v>0</v>
          </cell>
        </row>
        <row r="21">
          <cell r="AB21">
            <v>0</v>
          </cell>
        </row>
        <row r="22">
          <cell r="AB22">
            <v>0</v>
          </cell>
        </row>
        <row r="23">
          <cell r="AB23">
            <v>0</v>
          </cell>
        </row>
        <row r="24">
          <cell r="AB24">
            <v>0</v>
          </cell>
        </row>
        <row r="25">
          <cell r="AB25">
            <v>0</v>
          </cell>
        </row>
        <row r="26">
          <cell r="AB26">
            <v>0</v>
          </cell>
        </row>
        <row r="27">
          <cell r="AB27">
            <v>0</v>
          </cell>
        </row>
        <row r="28">
          <cell r="AB28">
            <v>0</v>
          </cell>
        </row>
        <row r="29">
          <cell r="AB29">
            <v>0</v>
          </cell>
        </row>
        <row r="30">
          <cell r="AB30">
            <v>0</v>
          </cell>
        </row>
        <row r="31">
          <cell r="AB31">
            <v>0</v>
          </cell>
        </row>
        <row r="32">
          <cell r="AB32">
            <v>0</v>
          </cell>
        </row>
        <row r="33">
          <cell r="AB33">
            <v>0</v>
          </cell>
        </row>
        <row r="34">
          <cell r="AB3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nes (2)"/>
      <sheetName val="Clinker"/>
      <sheetName val="Cement"/>
      <sheetName val="Production2"/>
      <sheetName val="CPP"/>
      <sheetName val="Daily unit"/>
      <sheetName val="Daily CEM-1"/>
      <sheetName val="Daily  CEM - 2"/>
      <sheetName val="Internal use cement"/>
      <sheetName val="Return cemen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>
        <row r="30">
          <cell r="G30">
            <v>0.23999999999796273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EO40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bestFit="1" customWidth="1"/>
    <col min="6" max="6" width="15.5703125" bestFit="1" customWidth="1"/>
    <col min="7" max="7" width="16.28515625" bestFit="1" customWidth="1"/>
    <col min="8" max="8" width="12.7109375" bestFit="1" customWidth="1"/>
    <col min="9" max="9" width="18.42578125" bestFit="1" customWidth="1"/>
    <col min="10" max="10" width="15.140625" bestFit="1" customWidth="1"/>
    <col min="11" max="11" width="16.28515625" bestFit="1" customWidth="1"/>
    <col min="12" max="12" width="12.7109375" bestFit="1" customWidth="1"/>
    <col min="13" max="14" width="12.7109375" customWidth="1"/>
    <col min="15" max="15" width="15.140625" bestFit="1" customWidth="1"/>
    <col min="16" max="16" width="15.5703125" bestFit="1" customWidth="1"/>
    <col min="17" max="17" width="16.28515625" bestFit="1" customWidth="1"/>
    <col min="18" max="18" width="12.7109375" bestFit="1" customWidth="1"/>
    <col min="19" max="19" width="21.140625" bestFit="1" customWidth="1"/>
    <col min="20" max="20" width="15.42578125" bestFit="1" customWidth="1"/>
    <col min="21" max="21" width="21.28515625" bestFit="1" customWidth="1"/>
    <col min="22" max="22" width="15.5703125" bestFit="1" customWidth="1"/>
    <col min="23" max="23" width="16.28515625" bestFit="1" customWidth="1"/>
    <col min="24" max="24" width="12.7109375" bestFit="1" customWidth="1"/>
    <col min="25" max="25" width="12.7109375" customWidth="1"/>
    <col min="26" max="26" width="15.140625" bestFit="1" customWidth="1"/>
    <col min="27" max="27" width="15.5703125" bestFit="1" customWidth="1"/>
    <col min="28" max="28" width="16.28515625" bestFit="1" customWidth="1"/>
    <col min="29" max="29" width="12.7109375" bestFit="1" customWidth="1"/>
    <col min="30" max="30" width="15.140625" bestFit="1" customWidth="1"/>
    <col min="31" max="31" width="15.5703125" bestFit="1" customWidth="1"/>
    <col min="32" max="32" width="16.28515625" bestFit="1" customWidth="1"/>
    <col min="33" max="33" width="12.7109375" bestFit="1" customWidth="1"/>
    <col min="34" max="34" width="12.7109375" customWidth="1"/>
    <col min="35" max="35" width="15.140625" bestFit="1" customWidth="1"/>
    <col min="36" max="36" width="15.5703125" bestFit="1" customWidth="1"/>
    <col min="37" max="37" width="16.28515625" bestFit="1" customWidth="1"/>
    <col min="38" max="38" width="12.7109375" bestFit="1" customWidth="1"/>
    <col min="39" max="39" width="15.140625" bestFit="1" customWidth="1"/>
    <col min="40" max="40" width="15.5703125" bestFit="1" customWidth="1"/>
    <col min="41" max="41" width="16.28515625" bestFit="1" customWidth="1"/>
    <col min="42" max="42" width="12.7109375" bestFit="1" customWidth="1"/>
    <col min="43" max="43" width="15.140625" bestFit="1" customWidth="1"/>
    <col min="44" max="44" width="15.140625" customWidth="1"/>
    <col min="45" max="45" width="15.5703125" bestFit="1" customWidth="1"/>
    <col min="46" max="108" width="15.5703125" customWidth="1"/>
    <col min="109" max="109" width="15.5703125" style="96" customWidth="1"/>
    <col min="110" max="113" width="15.5703125" customWidth="1"/>
    <col min="114" max="114" width="15.5703125" style="96" customWidth="1"/>
    <col min="115" max="118" width="15.5703125" customWidth="1"/>
    <col min="119" max="119" width="15.5703125" style="96" customWidth="1"/>
    <col min="120" max="123" width="15.5703125" customWidth="1"/>
    <col min="124" max="124" width="15.5703125" style="96" customWidth="1"/>
    <col min="125" max="128" width="15.5703125" customWidth="1"/>
    <col min="129" max="129" width="15.5703125" style="96" customWidth="1"/>
    <col min="130" max="142" width="15.5703125" customWidth="1"/>
    <col min="143" max="143" width="12.5703125" bestFit="1" customWidth="1"/>
    <col min="144" max="144" width="12" bestFit="1" customWidth="1"/>
  </cols>
  <sheetData>
    <row r="1" spans="2:145" x14ac:dyDescent="0.25">
      <c r="B1" s="3" t="s">
        <v>0</v>
      </c>
      <c r="C1" s="251" t="s">
        <v>1</v>
      </c>
      <c r="D1" s="252"/>
      <c r="E1" s="252"/>
      <c r="F1" s="253"/>
      <c r="G1" s="254" t="s">
        <v>2</v>
      </c>
      <c r="H1" s="255"/>
      <c r="I1" s="255"/>
      <c r="J1" s="255"/>
      <c r="K1" s="254" t="s">
        <v>3</v>
      </c>
      <c r="L1" s="255"/>
      <c r="M1" s="255"/>
      <c r="N1" s="255"/>
      <c r="O1" s="255"/>
      <c r="P1" s="256"/>
      <c r="Q1" s="254" t="s">
        <v>4</v>
      </c>
      <c r="R1" s="255"/>
      <c r="S1" s="255"/>
      <c r="T1" s="257"/>
      <c r="U1" s="257"/>
      <c r="V1" s="256"/>
      <c r="W1" s="243" t="s">
        <v>5</v>
      </c>
      <c r="X1" s="244"/>
      <c r="Y1" s="244"/>
      <c r="Z1" s="244"/>
      <c r="AA1" s="245"/>
      <c r="AB1" s="240" t="s">
        <v>6</v>
      </c>
      <c r="AC1" s="241"/>
      <c r="AD1" s="241"/>
      <c r="AE1" s="242"/>
      <c r="AF1" s="258" t="s">
        <v>7</v>
      </c>
      <c r="AG1" s="259"/>
      <c r="AH1" s="259"/>
      <c r="AI1" s="259"/>
      <c r="AJ1" s="260"/>
      <c r="AK1" s="240" t="s">
        <v>8</v>
      </c>
      <c r="AL1" s="241"/>
      <c r="AM1" s="241"/>
      <c r="AN1" s="242"/>
      <c r="AO1" s="240" t="s">
        <v>9</v>
      </c>
      <c r="AP1" s="241"/>
      <c r="AQ1" s="241"/>
      <c r="AR1" s="241"/>
      <c r="AS1" s="242"/>
      <c r="AT1" s="243" t="s">
        <v>10</v>
      </c>
      <c r="AU1" s="244"/>
      <c r="AV1" s="244"/>
      <c r="AW1" s="244"/>
      <c r="AX1" s="245"/>
      <c r="AY1" s="246" t="s">
        <v>11</v>
      </c>
      <c r="AZ1" s="247"/>
      <c r="BA1" s="247"/>
      <c r="BB1" s="247"/>
      <c r="BC1" s="248"/>
      <c r="BD1" s="240" t="s">
        <v>12</v>
      </c>
      <c r="BE1" s="241"/>
      <c r="BF1" s="241"/>
      <c r="BG1" s="241"/>
      <c r="BH1" s="242"/>
      <c r="BI1" s="240" t="s">
        <v>13</v>
      </c>
      <c r="BJ1" s="241"/>
      <c r="BK1" s="241"/>
      <c r="BL1" s="241"/>
      <c r="BM1" s="242"/>
      <c r="BN1" s="240" t="s">
        <v>14</v>
      </c>
      <c r="BO1" s="241"/>
      <c r="BP1" s="241"/>
      <c r="BQ1" s="241"/>
      <c r="BR1" s="242"/>
      <c r="BS1" s="240" t="s">
        <v>15</v>
      </c>
      <c r="BT1" s="241"/>
      <c r="BU1" s="241"/>
      <c r="BV1" s="241"/>
      <c r="BW1" s="242"/>
      <c r="BX1" s="240" t="s">
        <v>16</v>
      </c>
      <c r="BY1" s="241"/>
      <c r="BZ1" s="241"/>
      <c r="CA1" s="241"/>
      <c r="CB1" s="241"/>
      <c r="CC1" s="261" t="s">
        <v>17</v>
      </c>
      <c r="CD1" s="261"/>
      <c r="CE1" s="261"/>
      <c r="CF1" s="261"/>
      <c r="CG1" s="95"/>
      <c r="CH1" s="261" t="s">
        <v>18</v>
      </c>
      <c r="CI1" s="261"/>
      <c r="CJ1" s="261"/>
      <c r="CK1" s="261"/>
      <c r="CL1" s="261"/>
      <c r="CM1" s="261" t="s">
        <v>19</v>
      </c>
      <c r="CN1" s="261"/>
      <c r="CO1" s="261"/>
      <c r="CP1" s="261"/>
      <c r="CQ1" s="261"/>
      <c r="CR1" s="249" t="s">
        <v>20</v>
      </c>
      <c r="CS1" s="250"/>
      <c r="CT1" s="250"/>
      <c r="CU1" s="250"/>
      <c r="CV1" s="250"/>
      <c r="CW1" s="262" t="s">
        <v>21</v>
      </c>
      <c r="CX1" s="239"/>
      <c r="CY1" s="239"/>
      <c r="CZ1" s="239"/>
      <c r="DA1" s="239"/>
      <c r="DB1" s="262" t="s">
        <v>22</v>
      </c>
      <c r="DC1" s="239"/>
      <c r="DD1" s="239"/>
      <c r="DE1" s="239"/>
      <c r="DF1" s="239"/>
      <c r="DG1" s="262" t="s">
        <v>23</v>
      </c>
      <c r="DH1" s="239"/>
      <c r="DI1" s="239"/>
      <c r="DJ1" s="239"/>
      <c r="DK1" s="239"/>
      <c r="DL1" s="250" t="s">
        <v>24</v>
      </c>
      <c r="DM1" s="250"/>
      <c r="DN1" s="250"/>
      <c r="DO1" s="250"/>
      <c r="DP1" s="250"/>
      <c r="DQ1" s="239" t="s">
        <v>25</v>
      </c>
      <c r="DR1" s="239"/>
      <c r="DS1" s="239"/>
      <c r="DT1" s="239"/>
      <c r="DU1" s="239"/>
      <c r="DV1" s="239" t="s">
        <v>26</v>
      </c>
      <c r="DW1" s="239"/>
      <c r="DX1" s="239"/>
      <c r="DY1" s="239"/>
      <c r="DZ1" s="239"/>
      <c r="EA1" s="241" t="s">
        <v>27</v>
      </c>
      <c r="EB1" s="241"/>
      <c r="EC1" s="241"/>
      <c r="ED1" s="242"/>
      <c r="EE1" s="240" t="s">
        <v>28</v>
      </c>
      <c r="EF1" s="241"/>
      <c r="EG1" s="241"/>
      <c r="EH1" s="242"/>
      <c r="EI1" s="241" t="s">
        <v>29</v>
      </c>
      <c r="EJ1" s="241"/>
      <c r="EK1" s="241"/>
      <c r="EL1" s="242"/>
    </row>
    <row r="2" spans="2:145" x14ac:dyDescent="0.25">
      <c r="B2" s="4" t="s">
        <v>30</v>
      </c>
      <c r="C2" s="6" t="s">
        <v>31</v>
      </c>
      <c r="D2" s="99" t="s">
        <v>32</v>
      </c>
      <c r="E2" s="99" t="s">
        <v>33</v>
      </c>
      <c r="F2" s="7" t="s">
        <v>34</v>
      </c>
      <c r="G2" s="6" t="s">
        <v>31</v>
      </c>
      <c r="H2" s="1" t="s">
        <v>32</v>
      </c>
      <c r="I2" s="1" t="s">
        <v>35</v>
      </c>
      <c r="J2" s="1" t="s">
        <v>34</v>
      </c>
      <c r="K2" s="6" t="s">
        <v>31</v>
      </c>
      <c r="L2" s="1" t="s">
        <v>32</v>
      </c>
      <c r="M2" s="1" t="s">
        <v>36</v>
      </c>
      <c r="N2" s="1" t="s">
        <v>37</v>
      </c>
      <c r="O2" s="1" t="s">
        <v>33</v>
      </c>
      <c r="P2" s="7" t="s">
        <v>34</v>
      </c>
      <c r="Q2" s="6" t="s">
        <v>31</v>
      </c>
      <c r="R2" s="1" t="s">
        <v>32</v>
      </c>
      <c r="S2" s="1" t="s">
        <v>38</v>
      </c>
      <c r="T2" s="19" t="s">
        <v>39</v>
      </c>
      <c r="U2" s="19" t="s">
        <v>40</v>
      </c>
      <c r="V2" s="7" t="s">
        <v>34</v>
      </c>
      <c r="W2" s="6" t="s">
        <v>31</v>
      </c>
      <c r="X2" s="1" t="s">
        <v>32</v>
      </c>
      <c r="Y2" s="1" t="s">
        <v>38</v>
      </c>
      <c r="Z2" s="1" t="s">
        <v>33</v>
      </c>
      <c r="AA2" s="7" t="s">
        <v>34</v>
      </c>
      <c r="AB2" s="6" t="s">
        <v>31</v>
      </c>
      <c r="AC2" s="1" t="s">
        <v>32</v>
      </c>
      <c r="AD2" s="1" t="s">
        <v>33</v>
      </c>
      <c r="AE2" s="7" t="s">
        <v>34</v>
      </c>
      <c r="AF2" s="6" t="s">
        <v>31</v>
      </c>
      <c r="AG2" s="99" t="s">
        <v>32</v>
      </c>
      <c r="AH2" s="99" t="s">
        <v>212</v>
      </c>
      <c r="AI2" s="1" t="s">
        <v>33</v>
      </c>
      <c r="AJ2" s="7" t="s">
        <v>34</v>
      </c>
      <c r="AK2" s="6" t="s">
        <v>31</v>
      </c>
      <c r="AL2" s="1" t="s">
        <v>32</v>
      </c>
      <c r="AM2" s="1" t="s">
        <v>33</v>
      </c>
      <c r="AN2" s="7" t="s">
        <v>34</v>
      </c>
      <c r="AO2" s="6" t="s">
        <v>31</v>
      </c>
      <c r="AP2" s="1" t="s">
        <v>32</v>
      </c>
      <c r="AQ2" s="1" t="s">
        <v>33</v>
      </c>
      <c r="AR2" s="19" t="s">
        <v>41</v>
      </c>
      <c r="AS2" s="7" t="s">
        <v>34</v>
      </c>
      <c r="AT2" s="6" t="s">
        <v>31</v>
      </c>
      <c r="AU2" s="1" t="s">
        <v>32</v>
      </c>
      <c r="AV2" s="1" t="s">
        <v>33</v>
      </c>
      <c r="AW2" s="19" t="s">
        <v>41</v>
      </c>
      <c r="AX2" s="7" t="s">
        <v>34</v>
      </c>
      <c r="AY2" s="6" t="s">
        <v>31</v>
      </c>
      <c r="AZ2" s="99" t="s">
        <v>32</v>
      </c>
      <c r="BA2" s="99" t="s">
        <v>33</v>
      </c>
      <c r="BB2" s="19" t="s">
        <v>41</v>
      </c>
      <c r="BC2" s="7" t="s">
        <v>34</v>
      </c>
      <c r="BD2" s="6" t="s">
        <v>31</v>
      </c>
      <c r="BE2" s="1" t="s">
        <v>32</v>
      </c>
      <c r="BF2" s="1" t="s">
        <v>33</v>
      </c>
      <c r="BG2" s="19" t="s">
        <v>41</v>
      </c>
      <c r="BH2" s="7" t="s">
        <v>34</v>
      </c>
      <c r="BI2" s="6" t="s">
        <v>31</v>
      </c>
      <c r="BJ2" s="1" t="s">
        <v>32</v>
      </c>
      <c r="BK2" s="1" t="s">
        <v>33</v>
      </c>
      <c r="BL2" s="19" t="s">
        <v>41</v>
      </c>
      <c r="BM2" s="7" t="s">
        <v>34</v>
      </c>
      <c r="BN2" s="6" t="s">
        <v>31</v>
      </c>
      <c r="BO2" s="99" t="s">
        <v>32</v>
      </c>
      <c r="BP2" s="1" t="s">
        <v>33</v>
      </c>
      <c r="BQ2" s="19" t="s">
        <v>41</v>
      </c>
      <c r="BR2" s="7" t="s">
        <v>34</v>
      </c>
      <c r="BS2" s="6" t="s">
        <v>31</v>
      </c>
      <c r="BT2" s="1" t="s">
        <v>32</v>
      </c>
      <c r="BU2" s="1" t="s">
        <v>33</v>
      </c>
      <c r="BV2" s="19" t="s">
        <v>41</v>
      </c>
      <c r="BW2" s="7" t="s">
        <v>34</v>
      </c>
      <c r="BX2" s="6" t="s">
        <v>31</v>
      </c>
      <c r="BY2" s="1" t="s">
        <v>32</v>
      </c>
      <c r="BZ2" s="1" t="s">
        <v>33</v>
      </c>
      <c r="CA2" s="19" t="s">
        <v>41</v>
      </c>
      <c r="CB2" s="19" t="s">
        <v>34</v>
      </c>
      <c r="CC2" s="1" t="s">
        <v>31</v>
      </c>
      <c r="CD2" s="1" t="s">
        <v>32</v>
      </c>
      <c r="CE2" s="1" t="s">
        <v>33</v>
      </c>
      <c r="CF2" s="1" t="s">
        <v>41</v>
      </c>
      <c r="CG2" s="1" t="s">
        <v>34</v>
      </c>
      <c r="CH2" s="1" t="s">
        <v>31</v>
      </c>
      <c r="CI2" s="1" t="s">
        <v>32</v>
      </c>
      <c r="CJ2" s="1" t="s">
        <v>33</v>
      </c>
      <c r="CK2" s="1" t="s">
        <v>41</v>
      </c>
      <c r="CL2" s="1" t="s">
        <v>34</v>
      </c>
      <c r="CM2" s="1" t="s">
        <v>31</v>
      </c>
      <c r="CN2" s="99" t="s">
        <v>32</v>
      </c>
      <c r="CO2" s="1" t="s">
        <v>33</v>
      </c>
      <c r="CP2" s="1" t="s">
        <v>41</v>
      </c>
      <c r="CQ2" s="1" t="s">
        <v>34</v>
      </c>
      <c r="CR2" s="1" t="s">
        <v>31</v>
      </c>
      <c r="CS2" s="1" t="s">
        <v>32</v>
      </c>
      <c r="CT2" s="1" t="s">
        <v>33</v>
      </c>
      <c r="CU2" s="1" t="s">
        <v>41</v>
      </c>
      <c r="CV2" s="1" t="s">
        <v>34</v>
      </c>
      <c r="CW2" s="1" t="s">
        <v>31</v>
      </c>
      <c r="CX2" s="1" t="s">
        <v>32</v>
      </c>
      <c r="CY2" s="1" t="s">
        <v>33</v>
      </c>
      <c r="CZ2" s="1" t="s">
        <v>41</v>
      </c>
      <c r="DA2" s="1" t="s">
        <v>34</v>
      </c>
      <c r="DB2" s="1" t="s">
        <v>31</v>
      </c>
      <c r="DC2" s="1" t="s">
        <v>32</v>
      </c>
      <c r="DD2" s="1" t="s">
        <v>33</v>
      </c>
      <c r="DE2" s="1" t="s">
        <v>41</v>
      </c>
      <c r="DF2" s="1" t="s">
        <v>34</v>
      </c>
      <c r="DG2" s="1" t="s">
        <v>31</v>
      </c>
      <c r="DH2" s="1" t="s">
        <v>32</v>
      </c>
      <c r="DI2" s="1" t="s">
        <v>33</v>
      </c>
      <c r="DJ2" s="1" t="s">
        <v>41</v>
      </c>
      <c r="DK2" s="1" t="s">
        <v>34</v>
      </c>
      <c r="DL2" s="1" t="s">
        <v>31</v>
      </c>
      <c r="DM2" s="99" t="s">
        <v>32</v>
      </c>
      <c r="DN2" s="1" t="s">
        <v>33</v>
      </c>
      <c r="DO2" s="1" t="s">
        <v>41</v>
      </c>
      <c r="DP2" s="1" t="s">
        <v>34</v>
      </c>
      <c r="DQ2" s="1" t="s">
        <v>31</v>
      </c>
      <c r="DR2" s="1" t="s">
        <v>32</v>
      </c>
      <c r="DS2" s="1" t="s">
        <v>33</v>
      </c>
      <c r="DT2" s="1" t="s">
        <v>41</v>
      </c>
      <c r="DU2" s="1" t="s">
        <v>34</v>
      </c>
      <c r="DV2" s="1" t="s">
        <v>31</v>
      </c>
      <c r="DW2" s="1" t="s">
        <v>32</v>
      </c>
      <c r="DX2" s="1" t="s">
        <v>33</v>
      </c>
      <c r="DY2" s="1" t="s">
        <v>41</v>
      </c>
      <c r="DZ2" s="1" t="s">
        <v>34</v>
      </c>
      <c r="EA2" s="2" t="s">
        <v>31</v>
      </c>
      <c r="EB2" s="1" t="s">
        <v>32</v>
      </c>
      <c r="EC2" s="1" t="s">
        <v>33</v>
      </c>
      <c r="ED2" s="7" t="s">
        <v>34</v>
      </c>
      <c r="EE2" s="6" t="s">
        <v>31</v>
      </c>
      <c r="EF2" s="1" t="s">
        <v>32</v>
      </c>
      <c r="EG2" s="1" t="s">
        <v>33</v>
      </c>
      <c r="EH2" s="7" t="s">
        <v>34</v>
      </c>
      <c r="EI2" s="2" t="s">
        <v>31</v>
      </c>
      <c r="EJ2" s="1" t="s">
        <v>32</v>
      </c>
      <c r="EK2" s="1" t="s">
        <v>33</v>
      </c>
      <c r="EL2" s="19" t="s">
        <v>34</v>
      </c>
      <c r="EM2" s="1" t="s">
        <v>42</v>
      </c>
      <c r="EN2" s="1" t="s">
        <v>43</v>
      </c>
    </row>
    <row r="3" spans="2:145" x14ac:dyDescent="0.25">
      <c r="B3" s="4">
        <v>1</v>
      </c>
      <c r="C3" s="31">
        <v>2647.92</v>
      </c>
      <c r="D3" s="1">
        <v>0</v>
      </c>
      <c r="E3" s="1">
        <v>52</v>
      </c>
      <c r="F3" s="9">
        <f t="shared" ref="F3:F33" si="0">C3+D3-E3</f>
        <v>2595.92</v>
      </c>
      <c r="G3" s="31">
        <v>1907.0495780221536</v>
      </c>
      <c r="H3" s="24">
        <v>0</v>
      </c>
      <c r="I3" s="24">
        <v>0</v>
      </c>
      <c r="J3" s="14">
        <f>G3+H3-I3-[1]Cement!U3</f>
        <v>1907.0495780221536</v>
      </c>
      <c r="K3" s="31">
        <v>0</v>
      </c>
      <c r="L3" s="1">
        <v>0</v>
      </c>
      <c r="M3" s="24">
        <f>CPP!D3</f>
        <v>0</v>
      </c>
      <c r="N3" s="1">
        <v>0</v>
      </c>
      <c r="O3" s="24">
        <f t="shared" ref="O3:O26" si="1">M3+N3</f>
        <v>0</v>
      </c>
      <c r="P3" s="33">
        <f t="shared" ref="P3:P26" si="2">K3+L3-O3</f>
        <v>0</v>
      </c>
      <c r="Q3" s="31">
        <v>0</v>
      </c>
      <c r="R3" s="1">
        <v>0</v>
      </c>
      <c r="S3" s="24">
        <f>CPP!E3</f>
        <v>0</v>
      </c>
      <c r="T3" s="19">
        <v>0</v>
      </c>
      <c r="U3" s="26">
        <f>S3+T3</f>
        <v>0</v>
      </c>
      <c r="V3" s="9">
        <f>Q3+R3-U3</f>
        <v>0</v>
      </c>
      <c r="W3" s="31">
        <v>1063.0399999999981</v>
      </c>
      <c r="X3" s="1">
        <v>0</v>
      </c>
      <c r="Y3" s="24">
        <f>CPP!H3</f>
        <v>0</v>
      </c>
      <c r="Z3" s="1">
        <v>0</v>
      </c>
      <c r="AA3" s="9">
        <f>W3+X3-Z3-Y3</f>
        <v>1063.0399999999981</v>
      </c>
      <c r="AB3" s="31">
        <v>0</v>
      </c>
      <c r="AC3" s="1">
        <v>0</v>
      </c>
      <c r="AD3" s="74">
        <f>CPP!F3</f>
        <v>0</v>
      </c>
      <c r="AE3" s="9">
        <f t="shared" ref="AE3:AE26" si="3">AB3+AC3-AD3</f>
        <v>0</v>
      </c>
      <c r="AF3" s="31">
        <v>4048.6699999999937</v>
      </c>
      <c r="AG3" s="1">
        <v>272.05</v>
      </c>
      <c r="AH3" s="1">
        <v>0</v>
      </c>
      <c r="AI3" s="24">
        <f>CPP!G3</f>
        <v>156</v>
      </c>
      <c r="AJ3" s="9">
        <f t="shared" ref="AJ3:AJ14" si="4">AF3+AG3-AI3</f>
        <v>4164.7199999999939</v>
      </c>
      <c r="AK3" s="31">
        <v>0</v>
      </c>
      <c r="AL3" s="1">
        <v>0</v>
      </c>
      <c r="AM3" s="1">
        <v>0</v>
      </c>
      <c r="AN3" s="9">
        <f t="shared" ref="AN3:AN26" si="5">AK3+AL3-AM3</f>
        <v>0</v>
      </c>
      <c r="AO3" s="31">
        <v>0</v>
      </c>
      <c r="AP3" s="1">
        <v>0</v>
      </c>
      <c r="AQ3" s="1">
        <v>0</v>
      </c>
      <c r="AR3" s="73">
        <f>CPP!I3</f>
        <v>0</v>
      </c>
      <c r="AS3" s="72">
        <f>AO3+AP3-AQ3-AR3</f>
        <v>0</v>
      </c>
      <c r="AT3" s="14">
        <v>2933.9000000000024</v>
      </c>
      <c r="AU3" s="1">
        <v>0</v>
      </c>
      <c r="AV3" s="1">
        <v>306.23</v>
      </c>
      <c r="AW3" s="74">
        <f>CPP!X3</f>
        <v>0</v>
      </c>
      <c r="AX3" s="14">
        <f>AT3+AU3-AV3-AW3</f>
        <v>2627.6700000000023</v>
      </c>
      <c r="AY3" s="14">
        <v>412.02699999999027</v>
      </c>
      <c r="AZ3" s="1">
        <v>121.76</v>
      </c>
      <c r="BA3" s="1">
        <v>0</v>
      </c>
      <c r="BB3" s="74">
        <f>CPP!M3</f>
        <v>0</v>
      </c>
      <c r="BC3" s="14">
        <f>AY3+AZ3-BA3-BB3</f>
        <v>533.78699999999026</v>
      </c>
      <c r="BD3" s="14">
        <v>0</v>
      </c>
      <c r="BE3" s="1">
        <v>0</v>
      </c>
      <c r="BF3" s="1">
        <v>0</v>
      </c>
      <c r="BG3" s="74">
        <f>CPP!K3</f>
        <v>0</v>
      </c>
      <c r="BH3" s="14">
        <f>BD3+BE3-BF3-BG3</f>
        <v>0</v>
      </c>
      <c r="BI3" s="14">
        <v>0</v>
      </c>
      <c r="BJ3" s="1">
        <v>0</v>
      </c>
      <c r="BK3" s="1">
        <v>0</v>
      </c>
      <c r="BL3" s="74">
        <f>CPP!L3</f>
        <v>0</v>
      </c>
      <c r="BM3" s="14">
        <f>BI3+BJ3-BK3-BL3</f>
        <v>0</v>
      </c>
      <c r="BN3" s="14">
        <v>0</v>
      </c>
      <c r="BO3" s="1">
        <v>0</v>
      </c>
      <c r="BP3" s="1">
        <v>0</v>
      </c>
      <c r="BQ3" s="74">
        <f>CPP!N3</f>
        <v>0</v>
      </c>
      <c r="BR3" s="14">
        <f>BN3+BO3-BP3-BQ3</f>
        <v>0</v>
      </c>
      <c r="BS3" s="14">
        <v>0</v>
      </c>
      <c r="BT3" s="1">
        <v>0</v>
      </c>
      <c r="BU3" s="1">
        <v>0</v>
      </c>
      <c r="BV3" s="74">
        <f>CPP!O3</f>
        <v>0</v>
      </c>
      <c r="BW3" s="14">
        <f>BS3+BT3-BU3-BV3</f>
        <v>0</v>
      </c>
      <c r="BX3" s="48">
        <v>0</v>
      </c>
      <c r="BY3" s="1">
        <v>0</v>
      </c>
      <c r="BZ3" s="1">
        <v>0</v>
      </c>
      <c r="CA3" s="74"/>
      <c r="CB3" s="48">
        <v>0</v>
      </c>
      <c r="CC3" s="14">
        <v>0</v>
      </c>
      <c r="CD3" s="1">
        <v>0</v>
      </c>
      <c r="CE3" s="1">
        <v>0</v>
      </c>
      <c r="CF3" s="74">
        <f>CPP!P3</f>
        <v>0</v>
      </c>
      <c r="CG3" s="14">
        <f>CC3+CD3-CE3-CF3</f>
        <v>0</v>
      </c>
      <c r="CH3" s="14">
        <v>0</v>
      </c>
      <c r="CI3" s="1">
        <v>0</v>
      </c>
      <c r="CJ3" s="1">
        <v>0</v>
      </c>
      <c r="CK3" s="74">
        <f>CPP!Q3</f>
        <v>0</v>
      </c>
      <c r="CL3" s="14">
        <f>CH3+CI3-CJ3-CK3</f>
        <v>0</v>
      </c>
      <c r="CM3" s="14">
        <v>5.0000000000181899E-2</v>
      </c>
      <c r="CN3" s="1">
        <v>0</v>
      </c>
      <c r="CO3" s="1">
        <v>0</v>
      </c>
      <c r="CP3" s="74">
        <f>CPP!R3</f>
        <v>0</v>
      </c>
      <c r="CQ3" s="14">
        <f>CM3+CN3-CP3</f>
        <v>5.0000000000181899E-2</v>
      </c>
      <c r="CR3" s="14">
        <v>0</v>
      </c>
      <c r="CS3" s="1">
        <v>0</v>
      </c>
      <c r="CT3" s="1">
        <v>0</v>
      </c>
      <c r="CU3" s="74">
        <f>CPP!S3</f>
        <v>0</v>
      </c>
      <c r="CV3" s="14">
        <f>CR3+CS3-CT3-CU3</f>
        <v>0</v>
      </c>
      <c r="CW3" s="14">
        <v>0</v>
      </c>
      <c r="CX3" s="1">
        <v>0</v>
      </c>
      <c r="CY3" s="1">
        <v>0</v>
      </c>
      <c r="CZ3" s="74">
        <f>CPP!T3</f>
        <v>0</v>
      </c>
      <c r="DA3" s="14">
        <f>CW3+CX3-CY3-CZ3</f>
        <v>0</v>
      </c>
      <c r="DB3" s="14">
        <v>7.1100000000000136</v>
      </c>
      <c r="DC3" s="1">
        <v>0</v>
      </c>
      <c r="DD3" s="1">
        <v>7.1</v>
      </c>
      <c r="DE3" s="74">
        <f>CPP!U3</f>
        <v>0</v>
      </c>
      <c r="DF3" s="14">
        <f>DB3+DC3-DD3-DE3</f>
        <v>1.0000000000013998E-2</v>
      </c>
      <c r="DG3" s="14">
        <v>0</v>
      </c>
      <c r="DH3" s="1">
        <v>0</v>
      </c>
      <c r="DI3" s="1">
        <v>0</v>
      </c>
      <c r="DJ3" s="74">
        <f>CPP!V3</f>
        <v>0</v>
      </c>
      <c r="DK3" s="14">
        <f>DG3+DH3-DI3-DJ3</f>
        <v>0</v>
      </c>
      <c r="DL3" s="14">
        <v>212</v>
      </c>
      <c r="DM3" s="1">
        <v>30</v>
      </c>
      <c r="DN3" s="1">
        <v>0</v>
      </c>
      <c r="DO3" s="74">
        <f>CPP!W3</f>
        <v>0</v>
      </c>
      <c r="DP3" s="14">
        <f>DL3+DM3-DN3-DO3</f>
        <v>242</v>
      </c>
      <c r="DQ3" s="14">
        <v>0</v>
      </c>
      <c r="DR3" s="1">
        <v>0</v>
      </c>
      <c r="DS3" s="1">
        <v>0</v>
      </c>
      <c r="DT3" s="74">
        <f>CPP!J3</f>
        <v>0</v>
      </c>
      <c r="DU3" s="14">
        <f>DQ3+DR3-DS3-DT3</f>
        <v>0</v>
      </c>
      <c r="DV3" s="14">
        <v>0</v>
      </c>
      <c r="DW3" s="1">
        <v>0</v>
      </c>
      <c r="DX3" s="1">
        <v>0</v>
      </c>
      <c r="DY3" s="74">
        <v>0</v>
      </c>
      <c r="DZ3" s="14">
        <f>DV3+DW3-DX3-DY3</f>
        <v>0</v>
      </c>
      <c r="EA3" s="48">
        <v>2159.8139999999971</v>
      </c>
      <c r="EB3" s="1">
        <v>0</v>
      </c>
      <c r="EC3" s="1">
        <v>0</v>
      </c>
      <c r="ED3" s="48">
        <v>6228.9000000000005</v>
      </c>
      <c r="EE3" s="14">
        <v>12495.049999999992</v>
      </c>
      <c r="EF3" s="14">
        <f t="shared" ref="EF3:EF33" si="6">R3+AC3+AG3</f>
        <v>272.05</v>
      </c>
      <c r="EG3" s="14">
        <f>CPP!D3+CPP!E3+CPP!F3+CPP!G3+CPP!H3+CPP!I3+CPP!J3+CPP!M3+BG3</f>
        <v>156</v>
      </c>
      <c r="EH3" s="14">
        <f>EE3+EF3-EG3</f>
        <v>12611.099999999991</v>
      </c>
      <c r="EI3" s="48">
        <v>31251.90208780696</v>
      </c>
      <c r="EJ3" s="1">
        <f>EM3+EN3</f>
        <v>1970</v>
      </c>
      <c r="EK3" s="135">
        <f>'DAILY CEM1'!AG4+'DAILY CEM2'!AF4</f>
        <v>1611.3400000000015</v>
      </c>
      <c r="EL3" s="125">
        <f>EI3+EJ3-EK3</f>
        <v>31610.562087806957</v>
      </c>
      <c r="EM3" s="1">
        <v>1970</v>
      </c>
      <c r="EN3" s="1">
        <v>0</v>
      </c>
      <c r="EO3">
        <v>0</v>
      </c>
    </row>
    <row r="4" spans="2:145" x14ac:dyDescent="0.25">
      <c r="B4" s="4">
        <v>2</v>
      </c>
      <c r="C4" s="27">
        <f t="shared" ref="C4:C33" si="7">F3</f>
        <v>2595.92</v>
      </c>
      <c r="D4" s="1">
        <v>0</v>
      </c>
      <c r="E4" s="1">
        <v>49</v>
      </c>
      <c r="F4" s="9">
        <f t="shared" si="0"/>
        <v>2546.92</v>
      </c>
      <c r="G4" s="27">
        <f t="shared" ref="G4:G33" si="8">J3</f>
        <v>1907.0495780221536</v>
      </c>
      <c r="H4" s="24">
        <v>0</v>
      </c>
      <c r="I4" s="24">
        <v>0</v>
      </c>
      <c r="J4" s="14">
        <f>G4+H4-I4-[1]Cement!U4</f>
        <v>1907.0495780221536</v>
      </c>
      <c r="K4" s="27">
        <f t="shared" ref="K4:K33" si="9">P3</f>
        <v>0</v>
      </c>
      <c r="L4" s="1">
        <v>0</v>
      </c>
      <c r="M4" s="24">
        <f>CPP!D4</f>
        <v>0</v>
      </c>
      <c r="N4" s="1">
        <v>0</v>
      </c>
      <c r="O4" s="24">
        <f t="shared" si="1"/>
        <v>0</v>
      </c>
      <c r="P4" s="9">
        <f t="shared" si="2"/>
        <v>0</v>
      </c>
      <c r="Q4" s="27">
        <f t="shared" ref="Q4:Q33" si="10">V3</f>
        <v>0</v>
      </c>
      <c r="R4" s="1">
        <v>0</v>
      </c>
      <c r="S4" s="24">
        <f>CPP!E4</f>
        <v>0</v>
      </c>
      <c r="T4" s="19">
        <v>0</v>
      </c>
      <c r="U4" s="26">
        <f t="shared" ref="U4:U33" si="11">S4+T4</f>
        <v>0</v>
      </c>
      <c r="V4" s="9">
        <f t="shared" ref="V4:V33" si="12">Q4+R4-U4</f>
        <v>0</v>
      </c>
      <c r="W4" s="27">
        <f t="shared" ref="W4:W33" si="13">AA3</f>
        <v>1063.0399999999981</v>
      </c>
      <c r="X4" s="1">
        <v>0</v>
      </c>
      <c r="Y4" s="24">
        <f>CPP!H4</f>
        <v>0</v>
      </c>
      <c r="Z4" s="1">
        <v>0</v>
      </c>
      <c r="AA4" s="9">
        <f t="shared" ref="AA4:AA33" si="14">W4+X4-Z4-Y4</f>
        <v>1063.0399999999981</v>
      </c>
      <c r="AB4" s="27">
        <f t="shared" ref="AB4:AB33" si="15">AE3</f>
        <v>0</v>
      </c>
      <c r="AC4" s="1">
        <v>0</v>
      </c>
      <c r="AD4" s="74">
        <f>CPP!F4</f>
        <v>0</v>
      </c>
      <c r="AE4" s="9">
        <f t="shared" si="3"/>
        <v>0</v>
      </c>
      <c r="AF4" s="27">
        <f t="shared" ref="AF4:AF33" si="16">AJ3</f>
        <v>4164.7199999999939</v>
      </c>
      <c r="AG4" s="1">
        <v>150.1</v>
      </c>
      <c r="AH4" s="1">
        <v>0</v>
      </c>
      <c r="AI4" s="24">
        <f>CPP!G4</f>
        <v>130</v>
      </c>
      <c r="AJ4" s="9">
        <f t="shared" si="4"/>
        <v>4184.8199999999943</v>
      </c>
      <c r="AK4" s="27">
        <f t="shared" ref="AK4:AK33" si="17">AN3</f>
        <v>0</v>
      </c>
      <c r="AL4" s="1">
        <v>0</v>
      </c>
      <c r="AM4" s="1">
        <v>0</v>
      </c>
      <c r="AN4" s="9">
        <f t="shared" si="5"/>
        <v>0</v>
      </c>
      <c r="AO4" s="27">
        <f t="shared" ref="AO4:AO33" si="18">AS3</f>
        <v>0</v>
      </c>
      <c r="AP4" s="1">
        <v>0</v>
      </c>
      <c r="AQ4" s="1">
        <v>0</v>
      </c>
      <c r="AR4" s="73">
        <f>CPP!I4</f>
        <v>0</v>
      </c>
      <c r="AS4" s="72">
        <f t="shared" ref="AS4:AS33" si="19">AO4+AP4-AQ4-AR4</f>
        <v>0</v>
      </c>
      <c r="AT4" s="14">
        <f>AX3</f>
        <v>2627.6700000000023</v>
      </c>
      <c r="AU4" s="1">
        <v>0</v>
      </c>
      <c r="AV4" s="1">
        <v>277.77999999999997</v>
      </c>
      <c r="AW4" s="74">
        <f>CPP!X4</f>
        <v>0</v>
      </c>
      <c r="AX4" s="14">
        <f t="shared" ref="AX4:AX33" si="20">AT4+AU4-AV4-AW4</f>
        <v>2349.8900000000021</v>
      </c>
      <c r="AY4" s="14">
        <f>BC3</f>
        <v>533.78699999999026</v>
      </c>
      <c r="AZ4" s="1">
        <v>156.97999999999999</v>
      </c>
      <c r="BA4" s="1">
        <v>0</v>
      </c>
      <c r="BB4" s="74">
        <f>CPP!M4</f>
        <v>0</v>
      </c>
      <c r="BC4" s="14">
        <f t="shared" ref="BC4:BC33" si="21">AY4+AZ4-BA4-BB4</f>
        <v>690.76699999999028</v>
      </c>
      <c r="BD4" s="14">
        <f>BH3</f>
        <v>0</v>
      </c>
      <c r="BE4" s="1">
        <v>0</v>
      </c>
      <c r="BF4" s="1">
        <v>0</v>
      </c>
      <c r="BG4" s="74">
        <f>CPP!K4</f>
        <v>0</v>
      </c>
      <c r="BH4" s="14">
        <f t="shared" ref="BH4:BH33" si="22">BD4+BE4-BF4-BG4</f>
        <v>0</v>
      </c>
      <c r="BI4" s="14">
        <f>BM3</f>
        <v>0</v>
      </c>
      <c r="BJ4" s="22">
        <v>0</v>
      </c>
      <c r="BK4" s="22">
        <v>0</v>
      </c>
      <c r="BL4" s="74">
        <f>CPP!L4</f>
        <v>0</v>
      </c>
      <c r="BM4" s="14">
        <f t="shared" ref="BM4:BM33" si="23">BI4+BJ4-BK4-BL4</f>
        <v>0</v>
      </c>
      <c r="BN4" s="14">
        <f>BR3</f>
        <v>0</v>
      </c>
      <c r="BO4" s="1">
        <v>0</v>
      </c>
      <c r="BP4" s="1">
        <v>0</v>
      </c>
      <c r="BQ4" s="74">
        <f>CPP!N4</f>
        <v>0</v>
      </c>
      <c r="BR4" s="14">
        <f t="shared" ref="BR4:BR33" si="24">BN4+BO4-BP4-BQ4</f>
        <v>0</v>
      </c>
      <c r="BS4" s="14">
        <f>BW3</f>
        <v>0</v>
      </c>
      <c r="BT4" s="1">
        <v>0</v>
      </c>
      <c r="BU4" s="1">
        <v>0</v>
      </c>
      <c r="BV4" s="74">
        <f>CPP!O4</f>
        <v>0</v>
      </c>
      <c r="BW4" s="14">
        <f t="shared" ref="BW4:BW33" si="25">BS4+BT4-BU4-BV4</f>
        <v>0</v>
      </c>
      <c r="BX4" s="48">
        <f>CB3</f>
        <v>0</v>
      </c>
      <c r="BY4" s="1">
        <v>0</v>
      </c>
      <c r="BZ4" s="1">
        <v>0</v>
      </c>
      <c r="CA4" s="74"/>
      <c r="CB4" s="48">
        <f t="shared" ref="CB4:CB33" si="26">BX4+BY4-BZ4-CA4</f>
        <v>0</v>
      </c>
      <c r="CC4" s="14">
        <f>CG3</f>
        <v>0</v>
      </c>
      <c r="CD4" s="1">
        <v>0</v>
      </c>
      <c r="CE4" s="1">
        <v>0</v>
      </c>
      <c r="CF4" s="74">
        <f>CPP!P4</f>
        <v>0</v>
      </c>
      <c r="CG4" s="14">
        <f t="shared" ref="CG4:CG33" si="27">CC4+CD4-CE4-CF4</f>
        <v>0</v>
      </c>
      <c r="CH4" s="14">
        <f>CL3</f>
        <v>0</v>
      </c>
      <c r="CI4" s="1">
        <v>0</v>
      </c>
      <c r="CJ4" s="1">
        <v>0</v>
      </c>
      <c r="CK4" s="74">
        <f>CPP!Q4</f>
        <v>0</v>
      </c>
      <c r="CL4" s="14">
        <f t="shared" ref="CL4:CL33" si="28">CH4+CI4-CJ4-CK4</f>
        <v>0</v>
      </c>
      <c r="CM4" s="14">
        <f>CQ3</f>
        <v>5.0000000000181899E-2</v>
      </c>
      <c r="CN4" s="1">
        <v>0</v>
      </c>
      <c r="CO4" s="1">
        <v>0</v>
      </c>
      <c r="CP4" s="74">
        <f>CPP!R4</f>
        <v>0</v>
      </c>
      <c r="CQ4" s="14">
        <f t="shared" ref="CQ4:CQ33" si="29">CM4+CN4-CP4</f>
        <v>5.0000000000181899E-2</v>
      </c>
      <c r="CR4" s="14">
        <f>CV3</f>
        <v>0</v>
      </c>
      <c r="CS4" s="1">
        <v>0</v>
      </c>
      <c r="CT4" s="1">
        <v>0</v>
      </c>
      <c r="CU4" s="74">
        <f>CPP!S4</f>
        <v>0</v>
      </c>
      <c r="CV4" s="14">
        <f t="shared" ref="CV4:CV33" si="30">CR4+CS4-CT4-CU4</f>
        <v>0</v>
      </c>
      <c r="CW4" s="14">
        <f>DA3</f>
        <v>0</v>
      </c>
      <c r="CX4" s="1">
        <v>0</v>
      </c>
      <c r="CY4" s="1">
        <v>0</v>
      </c>
      <c r="CZ4" s="74">
        <f>CPP!T4</f>
        <v>0</v>
      </c>
      <c r="DA4" s="14">
        <f t="shared" ref="DA4:DA33" si="31">CW4+CX4-CY4-CZ4</f>
        <v>0</v>
      </c>
      <c r="DB4" s="14">
        <f>DF3</f>
        <v>1.0000000000013998E-2</v>
      </c>
      <c r="DC4" s="1">
        <v>0</v>
      </c>
      <c r="DD4" s="1">
        <v>0</v>
      </c>
      <c r="DE4" s="74">
        <f>CPP!U4</f>
        <v>0</v>
      </c>
      <c r="DF4" s="14">
        <f t="shared" ref="DF4:DF33" si="32">DB4+DC4-DD4-DE4</f>
        <v>1.0000000000013998E-2</v>
      </c>
      <c r="DG4" s="14">
        <f>DK3</f>
        <v>0</v>
      </c>
      <c r="DH4" s="1">
        <v>0</v>
      </c>
      <c r="DI4" s="1">
        <v>0</v>
      </c>
      <c r="DJ4" s="74">
        <f>CPP!V4</f>
        <v>0</v>
      </c>
      <c r="DK4" s="14">
        <f t="shared" ref="DK4:DK33" si="33">DG4+DH4-DI4-DJ4</f>
        <v>0</v>
      </c>
      <c r="DL4" s="14">
        <f>DP3</f>
        <v>242</v>
      </c>
      <c r="DM4" s="22">
        <v>30</v>
      </c>
      <c r="DN4" s="22">
        <v>0</v>
      </c>
      <c r="DO4" s="74">
        <f>CPP!W4</f>
        <v>0</v>
      </c>
      <c r="DP4" s="14">
        <f t="shared" ref="DP4:DP33" si="34">DL4+DM4-DN4-DO4</f>
        <v>272</v>
      </c>
      <c r="DQ4" s="14">
        <f>DU3</f>
        <v>0</v>
      </c>
      <c r="DR4" s="1">
        <v>0</v>
      </c>
      <c r="DS4" s="1">
        <v>0</v>
      </c>
      <c r="DT4" s="74">
        <f>CPP!J4</f>
        <v>0</v>
      </c>
      <c r="DU4" s="14">
        <f t="shared" ref="DU4:DU33" si="35">DQ4+DR4-DS4-DT4</f>
        <v>0</v>
      </c>
      <c r="DV4" s="14">
        <f>DZ3</f>
        <v>0</v>
      </c>
      <c r="DW4" s="1">
        <v>0</v>
      </c>
      <c r="DX4" s="1">
        <v>0</v>
      </c>
      <c r="DY4" s="74">
        <v>0</v>
      </c>
      <c r="DZ4" s="14">
        <f t="shared" ref="DZ4:DZ33" si="36">DV4+DW4-DX4-DY4</f>
        <v>0</v>
      </c>
      <c r="EA4" s="48">
        <f t="shared" ref="EA4:EA33" si="37">K4+W4+AK4+AO4+AT4+AY4</f>
        <v>4224.4969999999903</v>
      </c>
      <c r="EB4" s="1">
        <v>0</v>
      </c>
      <c r="EC4" s="1">
        <v>0</v>
      </c>
      <c r="ED4" s="48">
        <f t="shared" ref="ED4:ED33" si="38">EA4+EB4-EC4</f>
        <v>4224.4969999999903</v>
      </c>
      <c r="EE4" s="14">
        <f t="shared" ref="EE4:EE33" si="39">Q4+AB4+AF4</f>
        <v>4164.7199999999939</v>
      </c>
      <c r="EF4" s="14">
        <f t="shared" si="6"/>
        <v>150.1</v>
      </c>
      <c r="EG4" s="14">
        <f>CPP!D4+CPP!E4+CPP!F4+CPP!G4+CPP!H4+CPP!I4+CPP!J4+CPP!M4+BG4</f>
        <v>130</v>
      </c>
      <c r="EH4" s="14">
        <f t="shared" ref="EH4:EH33" si="40">EE4+EF4-EG4</f>
        <v>4184.8199999999943</v>
      </c>
      <c r="EI4" s="125">
        <f>EL3</f>
        <v>31610.562087806957</v>
      </c>
      <c r="EJ4" s="1">
        <f t="shared" ref="EJ4:EJ33" si="41">EM4+EN4</f>
        <v>1615</v>
      </c>
      <c r="EK4" s="135">
        <f>'DAILY CEM1'!AG5+'DAILY CEM2'!AF5</f>
        <v>1783.0079999999998</v>
      </c>
      <c r="EL4" s="125">
        <f t="shared" ref="EL4:EL32" si="42">EI4+EJ4-EK4</f>
        <v>31442.554087806959</v>
      </c>
      <c r="EM4" s="1">
        <v>1615</v>
      </c>
      <c r="EN4" s="1">
        <v>0</v>
      </c>
      <c r="EO4">
        <v>0</v>
      </c>
    </row>
    <row r="5" spans="2:145" x14ac:dyDescent="0.25">
      <c r="B5" s="4">
        <v>3</v>
      </c>
      <c r="C5" s="27">
        <f t="shared" si="7"/>
        <v>2546.92</v>
      </c>
      <c r="D5" s="1">
        <v>0</v>
      </c>
      <c r="E5" s="1">
        <v>67</v>
      </c>
      <c r="F5" s="9">
        <f t="shared" si="0"/>
        <v>2479.92</v>
      </c>
      <c r="G5" s="27">
        <f t="shared" si="8"/>
        <v>1907.0495780221536</v>
      </c>
      <c r="H5" s="24">
        <v>0</v>
      </c>
      <c r="I5" s="24">
        <v>0</v>
      </c>
      <c r="J5" s="14">
        <f>G5+H5-I5-[1]Cement!U5</f>
        <v>1907.0495780221536</v>
      </c>
      <c r="K5" s="27">
        <f t="shared" si="9"/>
        <v>0</v>
      </c>
      <c r="L5" s="1">
        <v>0</v>
      </c>
      <c r="M5" s="24">
        <f>CPP!D5</f>
        <v>0</v>
      </c>
      <c r="N5" s="1">
        <v>0</v>
      </c>
      <c r="O5" s="24">
        <f t="shared" si="1"/>
        <v>0</v>
      </c>
      <c r="P5" s="9">
        <f t="shared" si="2"/>
        <v>0</v>
      </c>
      <c r="Q5" s="27">
        <f t="shared" si="10"/>
        <v>0</v>
      </c>
      <c r="R5" s="1">
        <v>0</v>
      </c>
      <c r="S5" s="24">
        <f>CPP!E5</f>
        <v>0</v>
      </c>
      <c r="T5" s="19">
        <v>0</v>
      </c>
      <c r="U5" s="26">
        <f t="shared" si="11"/>
        <v>0</v>
      </c>
      <c r="V5" s="9">
        <f t="shared" si="12"/>
        <v>0</v>
      </c>
      <c r="W5" s="27">
        <f t="shared" si="13"/>
        <v>1063.0399999999981</v>
      </c>
      <c r="X5" s="1">
        <v>0</v>
      </c>
      <c r="Y5" s="24">
        <f>CPP!H5</f>
        <v>0</v>
      </c>
      <c r="Z5" s="1">
        <v>0</v>
      </c>
      <c r="AA5" s="9">
        <f t="shared" si="14"/>
        <v>1063.0399999999981</v>
      </c>
      <c r="AB5" s="27">
        <f t="shared" si="15"/>
        <v>0</v>
      </c>
      <c r="AC5" s="1">
        <v>0</v>
      </c>
      <c r="AD5" s="74">
        <f>CPP!F5</f>
        <v>0</v>
      </c>
      <c r="AE5" s="9">
        <f t="shared" si="3"/>
        <v>0</v>
      </c>
      <c r="AF5" s="27">
        <f t="shared" si="16"/>
        <v>4184.8199999999943</v>
      </c>
      <c r="AG5" s="1">
        <v>397.15</v>
      </c>
      <c r="AH5" s="1">
        <v>0</v>
      </c>
      <c r="AI5" s="24">
        <f>CPP!G5</f>
        <v>138</v>
      </c>
      <c r="AJ5" s="9">
        <f t="shared" si="4"/>
        <v>4443.9699999999939</v>
      </c>
      <c r="AK5" s="27">
        <f t="shared" si="17"/>
        <v>0</v>
      </c>
      <c r="AL5" s="1">
        <v>0</v>
      </c>
      <c r="AM5" s="1">
        <v>0</v>
      </c>
      <c r="AN5" s="9">
        <f t="shared" si="5"/>
        <v>0</v>
      </c>
      <c r="AO5" s="27">
        <f t="shared" si="18"/>
        <v>0</v>
      </c>
      <c r="AP5" s="1">
        <v>0</v>
      </c>
      <c r="AQ5" s="1">
        <v>0</v>
      </c>
      <c r="AR5" s="73">
        <f>CPP!I5</f>
        <v>0</v>
      </c>
      <c r="AS5" s="72">
        <f t="shared" si="19"/>
        <v>0</v>
      </c>
      <c r="AT5" s="14">
        <f>AX4</f>
        <v>2349.8900000000021</v>
      </c>
      <c r="AU5" s="1">
        <v>0</v>
      </c>
      <c r="AV5" s="1">
        <v>239</v>
      </c>
      <c r="AW5" s="74">
        <f>CPP!X5</f>
        <v>0</v>
      </c>
      <c r="AX5" s="14">
        <f t="shared" si="20"/>
        <v>2110.8900000000021</v>
      </c>
      <c r="AY5" s="14">
        <f t="shared" ref="AY5:AY33" si="43">BC4</f>
        <v>690.76699999999028</v>
      </c>
      <c r="AZ5" s="1">
        <v>221.94</v>
      </c>
      <c r="BA5" s="1">
        <v>0</v>
      </c>
      <c r="BB5" s="74">
        <f>CPP!M5</f>
        <v>0</v>
      </c>
      <c r="BC5" s="14">
        <f t="shared" si="21"/>
        <v>912.70699999999033</v>
      </c>
      <c r="BD5" s="14">
        <f t="shared" ref="BD5:BD33" si="44">BH4</f>
        <v>0</v>
      </c>
      <c r="BE5" s="1">
        <v>0</v>
      </c>
      <c r="BF5" s="1">
        <v>0</v>
      </c>
      <c r="BG5" s="74">
        <f>CPP!K5</f>
        <v>0</v>
      </c>
      <c r="BH5" s="14">
        <f t="shared" si="22"/>
        <v>0</v>
      </c>
      <c r="BI5" s="14">
        <f t="shared" ref="BI5:BI33" si="45">BM4</f>
        <v>0</v>
      </c>
      <c r="BJ5" s="1">
        <v>0</v>
      </c>
      <c r="BK5" s="1">
        <v>0</v>
      </c>
      <c r="BL5" s="74">
        <f>CPP!L5</f>
        <v>0</v>
      </c>
      <c r="BM5" s="14">
        <f t="shared" si="23"/>
        <v>0</v>
      </c>
      <c r="BN5" s="14">
        <f t="shared" ref="BN5:BN33" si="46">BR4</f>
        <v>0</v>
      </c>
      <c r="BO5" s="1">
        <v>0</v>
      </c>
      <c r="BP5" s="1">
        <v>0</v>
      </c>
      <c r="BQ5" s="74">
        <f>CPP!N5</f>
        <v>0</v>
      </c>
      <c r="BR5" s="14">
        <f t="shared" si="24"/>
        <v>0</v>
      </c>
      <c r="BS5" s="14">
        <f t="shared" ref="BS5:BS33" si="47">BW4</f>
        <v>0</v>
      </c>
      <c r="BT5" s="1">
        <v>0</v>
      </c>
      <c r="BU5" s="1">
        <v>0</v>
      </c>
      <c r="BV5" s="74">
        <f>CPP!O5</f>
        <v>0</v>
      </c>
      <c r="BW5" s="14">
        <f t="shared" si="25"/>
        <v>0</v>
      </c>
      <c r="BX5" s="48">
        <f t="shared" ref="BX5:BX33" si="48">CB4</f>
        <v>0</v>
      </c>
      <c r="BY5" s="1">
        <v>0</v>
      </c>
      <c r="BZ5" s="1">
        <v>0</v>
      </c>
      <c r="CA5" s="74"/>
      <c r="CB5" s="48">
        <f t="shared" si="26"/>
        <v>0</v>
      </c>
      <c r="CC5" s="14">
        <f t="shared" ref="CC5:CC33" si="49">CG4</f>
        <v>0</v>
      </c>
      <c r="CD5" s="1">
        <v>0</v>
      </c>
      <c r="CE5" s="1">
        <v>0</v>
      </c>
      <c r="CF5" s="74">
        <f>CPP!P5</f>
        <v>0</v>
      </c>
      <c r="CG5" s="14">
        <f t="shared" si="27"/>
        <v>0</v>
      </c>
      <c r="CH5" s="14">
        <f t="shared" ref="CH5:CH33" si="50">CL4</f>
        <v>0</v>
      </c>
      <c r="CI5" s="1">
        <v>0</v>
      </c>
      <c r="CJ5" s="1">
        <v>0</v>
      </c>
      <c r="CK5" s="74">
        <f>CPP!Q5</f>
        <v>0</v>
      </c>
      <c r="CL5" s="14">
        <f t="shared" si="28"/>
        <v>0</v>
      </c>
      <c r="CM5" s="14">
        <f t="shared" ref="CM5:CM33" si="51">CQ4</f>
        <v>5.0000000000181899E-2</v>
      </c>
      <c r="CN5" s="1">
        <v>0</v>
      </c>
      <c r="CO5" s="1">
        <v>0</v>
      </c>
      <c r="CP5" s="74">
        <f>CPP!R5</f>
        <v>0</v>
      </c>
      <c r="CQ5" s="14">
        <f t="shared" si="29"/>
        <v>5.0000000000181899E-2</v>
      </c>
      <c r="CR5" s="14">
        <f t="shared" ref="CR5:CR33" si="52">CV4</f>
        <v>0</v>
      </c>
      <c r="CS5" s="1">
        <v>0</v>
      </c>
      <c r="CT5" s="1">
        <v>0</v>
      </c>
      <c r="CU5" s="74">
        <f>CPP!S5</f>
        <v>0</v>
      </c>
      <c r="CV5" s="14">
        <f t="shared" si="30"/>
        <v>0</v>
      </c>
      <c r="CW5" s="14">
        <f t="shared" ref="CW5:CW33" si="53">DA4</f>
        <v>0</v>
      </c>
      <c r="CX5" s="1">
        <v>0</v>
      </c>
      <c r="CY5" s="1">
        <v>0</v>
      </c>
      <c r="CZ5" s="74">
        <f>CPP!T5</f>
        <v>0</v>
      </c>
      <c r="DA5" s="14">
        <f t="shared" si="31"/>
        <v>0</v>
      </c>
      <c r="DB5" s="14">
        <f t="shared" ref="DB5:DB33" si="54">DF4</f>
        <v>1.0000000000013998E-2</v>
      </c>
      <c r="DC5" s="1">
        <v>0</v>
      </c>
      <c r="DD5" s="1">
        <v>0</v>
      </c>
      <c r="DE5" s="74">
        <f>CPP!U5</f>
        <v>0</v>
      </c>
      <c r="DF5" s="14">
        <f t="shared" si="32"/>
        <v>1.0000000000013998E-2</v>
      </c>
      <c r="DG5" s="14">
        <f t="shared" ref="DG5:DG33" si="55">DK4</f>
        <v>0</v>
      </c>
      <c r="DH5" s="1">
        <v>0</v>
      </c>
      <c r="DI5" s="1">
        <v>0</v>
      </c>
      <c r="DJ5" s="74">
        <f>CPP!V5</f>
        <v>0</v>
      </c>
      <c r="DK5" s="14">
        <f t="shared" si="33"/>
        <v>0</v>
      </c>
      <c r="DL5" s="14">
        <f t="shared" ref="DL5:DL33" si="56">DP4</f>
        <v>272</v>
      </c>
      <c r="DM5" s="1">
        <v>0</v>
      </c>
      <c r="DN5" s="1">
        <v>0</v>
      </c>
      <c r="DO5" s="74">
        <f>CPP!W5</f>
        <v>0</v>
      </c>
      <c r="DP5" s="14">
        <f t="shared" si="34"/>
        <v>272</v>
      </c>
      <c r="DQ5" s="14">
        <f t="shared" ref="DQ5:DQ33" si="57">DU4</f>
        <v>0</v>
      </c>
      <c r="DR5" s="1">
        <v>0</v>
      </c>
      <c r="DS5" s="1">
        <v>0</v>
      </c>
      <c r="DT5" s="74">
        <f>CPP!J5</f>
        <v>0</v>
      </c>
      <c r="DU5" s="14">
        <f t="shared" si="35"/>
        <v>0</v>
      </c>
      <c r="DV5" s="14">
        <f t="shared" ref="DV5:DV33" si="58">DZ4</f>
        <v>0</v>
      </c>
      <c r="DW5" s="1">
        <v>0</v>
      </c>
      <c r="DX5" s="1">
        <v>0</v>
      </c>
      <c r="DY5" s="74">
        <v>0</v>
      </c>
      <c r="DZ5" s="14">
        <f t="shared" si="36"/>
        <v>0</v>
      </c>
      <c r="EA5" s="48">
        <f t="shared" si="37"/>
        <v>4103.696999999991</v>
      </c>
      <c r="EB5" s="1">
        <v>0</v>
      </c>
      <c r="EC5" s="1">
        <v>0</v>
      </c>
      <c r="ED5" s="48">
        <f t="shared" si="38"/>
        <v>4103.696999999991</v>
      </c>
      <c r="EE5" s="14">
        <f t="shared" si="39"/>
        <v>4184.8199999999943</v>
      </c>
      <c r="EF5" s="14">
        <f t="shared" si="6"/>
        <v>397.15</v>
      </c>
      <c r="EG5" s="14">
        <f>CPP!D5+CPP!E5+CPP!F5+CPP!G5+CPP!H5+CPP!I5+CPP!J5+CPP!M5+BG5</f>
        <v>138</v>
      </c>
      <c r="EH5" s="14">
        <f t="shared" si="40"/>
        <v>4443.9699999999939</v>
      </c>
      <c r="EI5" s="125">
        <f t="shared" ref="EI5:EI33" si="59">EL4</f>
        <v>31442.554087806959</v>
      </c>
      <c r="EJ5" s="1">
        <f>EM5+EN5</f>
        <v>1408</v>
      </c>
      <c r="EK5" s="136">
        <f>'DAILY CEM1'!AG6+'DAILY CEM2'!AF6</f>
        <v>2274.2399999999998</v>
      </c>
      <c r="EL5" s="125">
        <f t="shared" si="42"/>
        <v>30576.314087806961</v>
      </c>
      <c r="EM5" s="1">
        <v>1408</v>
      </c>
      <c r="EN5" s="1">
        <v>0</v>
      </c>
      <c r="EO5">
        <v>0</v>
      </c>
    </row>
    <row r="6" spans="2:145" x14ac:dyDescent="0.25">
      <c r="B6" s="4">
        <v>4</v>
      </c>
      <c r="C6" s="27">
        <f t="shared" si="7"/>
        <v>2479.92</v>
      </c>
      <c r="D6" s="1">
        <v>0</v>
      </c>
      <c r="E6" s="1">
        <v>82</v>
      </c>
      <c r="F6" s="9">
        <f t="shared" si="0"/>
        <v>2397.92</v>
      </c>
      <c r="G6" s="27">
        <f t="shared" si="8"/>
        <v>1907.0495780221536</v>
      </c>
      <c r="H6" s="24">
        <v>0</v>
      </c>
      <c r="I6" s="24">
        <v>0</v>
      </c>
      <c r="J6" s="14">
        <f>G6+H6-I6-[1]Cement!U6</f>
        <v>1907.0495780221536</v>
      </c>
      <c r="K6" s="27">
        <f t="shared" si="9"/>
        <v>0</v>
      </c>
      <c r="L6" s="1">
        <v>0</v>
      </c>
      <c r="M6" s="24">
        <f>CPP!D6</f>
        <v>0</v>
      </c>
      <c r="N6" s="1">
        <v>0</v>
      </c>
      <c r="O6" s="24">
        <f t="shared" si="1"/>
        <v>0</v>
      </c>
      <c r="P6" s="9">
        <f t="shared" si="2"/>
        <v>0</v>
      </c>
      <c r="Q6" s="27">
        <f t="shared" si="10"/>
        <v>0</v>
      </c>
      <c r="R6" s="1">
        <v>0</v>
      </c>
      <c r="S6" s="24">
        <f>CPP!E6</f>
        <v>0</v>
      </c>
      <c r="T6" s="19">
        <v>0</v>
      </c>
      <c r="U6" s="26">
        <f t="shared" si="11"/>
        <v>0</v>
      </c>
      <c r="V6" s="9">
        <f t="shared" si="12"/>
        <v>0</v>
      </c>
      <c r="W6" s="27">
        <f t="shared" si="13"/>
        <v>1063.0399999999981</v>
      </c>
      <c r="X6" s="1">
        <v>0</v>
      </c>
      <c r="Y6" s="24">
        <f>CPP!H6</f>
        <v>0</v>
      </c>
      <c r="Z6" s="1">
        <v>0</v>
      </c>
      <c r="AA6" s="9">
        <f t="shared" si="14"/>
        <v>1063.0399999999981</v>
      </c>
      <c r="AB6" s="27">
        <f t="shared" si="15"/>
        <v>0</v>
      </c>
      <c r="AC6" s="1">
        <v>0</v>
      </c>
      <c r="AD6" s="74">
        <f>CPP!F6</f>
        <v>0</v>
      </c>
      <c r="AE6" s="9">
        <f t="shared" si="3"/>
        <v>0</v>
      </c>
      <c r="AF6" s="27">
        <f t="shared" si="16"/>
        <v>4443.9699999999939</v>
      </c>
      <c r="AG6" s="1">
        <v>120.2</v>
      </c>
      <c r="AH6" s="1">
        <v>0</v>
      </c>
      <c r="AI6" s="24">
        <f>CPP!G6</f>
        <v>158</v>
      </c>
      <c r="AJ6" s="9">
        <f t="shared" si="4"/>
        <v>4406.1699999999937</v>
      </c>
      <c r="AK6" s="27">
        <f t="shared" si="17"/>
        <v>0</v>
      </c>
      <c r="AL6" s="1">
        <v>0</v>
      </c>
      <c r="AM6" s="1">
        <v>0</v>
      </c>
      <c r="AN6" s="9">
        <f t="shared" si="5"/>
        <v>0</v>
      </c>
      <c r="AO6" s="27">
        <f t="shared" si="18"/>
        <v>0</v>
      </c>
      <c r="AP6" s="1">
        <v>0</v>
      </c>
      <c r="AQ6" s="1">
        <v>0</v>
      </c>
      <c r="AR6" s="73">
        <f>CPP!I6</f>
        <v>0</v>
      </c>
      <c r="AS6" s="72">
        <f t="shared" si="19"/>
        <v>0</v>
      </c>
      <c r="AT6" s="14">
        <f t="shared" ref="AT6:AT33" si="60">AX5</f>
        <v>2110.8900000000021</v>
      </c>
      <c r="AU6" s="1">
        <v>0</v>
      </c>
      <c r="AV6" s="1">
        <v>316.67</v>
      </c>
      <c r="AW6" s="74">
        <f>CPP!X6</f>
        <v>0</v>
      </c>
      <c r="AX6" s="14">
        <f t="shared" si="20"/>
        <v>1794.2200000000021</v>
      </c>
      <c r="AY6" s="14">
        <f t="shared" si="43"/>
        <v>912.70699999999033</v>
      </c>
      <c r="AZ6" s="1">
        <v>92.16</v>
      </c>
      <c r="BA6" s="1">
        <v>0</v>
      </c>
      <c r="BB6" s="74">
        <f>CPP!M6</f>
        <v>0</v>
      </c>
      <c r="BC6" s="14">
        <f t="shared" si="21"/>
        <v>1004.8669999999903</v>
      </c>
      <c r="BD6" s="14">
        <f t="shared" si="44"/>
        <v>0</v>
      </c>
      <c r="BE6" s="1">
        <v>0</v>
      </c>
      <c r="BF6" s="1">
        <v>0</v>
      </c>
      <c r="BG6" s="74">
        <f>CPP!K6</f>
        <v>0</v>
      </c>
      <c r="BH6" s="14">
        <f t="shared" si="22"/>
        <v>0</v>
      </c>
      <c r="BI6" s="14">
        <f t="shared" si="45"/>
        <v>0</v>
      </c>
      <c r="BJ6" s="22">
        <v>0</v>
      </c>
      <c r="BK6" s="22">
        <v>0</v>
      </c>
      <c r="BL6" s="74">
        <f>CPP!L6</f>
        <v>0</v>
      </c>
      <c r="BM6" s="14">
        <f t="shared" si="23"/>
        <v>0</v>
      </c>
      <c r="BN6" s="14">
        <f t="shared" si="46"/>
        <v>0</v>
      </c>
      <c r="BO6" s="1">
        <v>0</v>
      </c>
      <c r="BP6" s="1">
        <v>0</v>
      </c>
      <c r="BQ6" s="74">
        <f>CPP!N6</f>
        <v>0</v>
      </c>
      <c r="BR6" s="14">
        <f t="shared" si="24"/>
        <v>0</v>
      </c>
      <c r="BS6" s="14">
        <f t="shared" si="47"/>
        <v>0</v>
      </c>
      <c r="BT6" s="1">
        <v>0</v>
      </c>
      <c r="BU6" s="1">
        <v>0</v>
      </c>
      <c r="BV6" s="74">
        <f>CPP!O6</f>
        <v>0</v>
      </c>
      <c r="BW6" s="14">
        <f t="shared" si="25"/>
        <v>0</v>
      </c>
      <c r="BX6" s="48">
        <f t="shared" si="48"/>
        <v>0</v>
      </c>
      <c r="BY6" s="1">
        <v>0</v>
      </c>
      <c r="BZ6" s="1">
        <v>0</v>
      </c>
      <c r="CA6" s="88"/>
      <c r="CB6" s="72">
        <f t="shared" si="26"/>
        <v>0</v>
      </c>
      <c r="CC6" s="14">
        <f t="shared" si="49"/>
        <v>0</v>
      </c>
      <c r="CD6" s="1">
        <v>0</v>
      </c>
      <c r="CE6" s="1">
        <v>0</v>
      </c>
      <c r="CF6" s="74">
        <f>CPP!P6</f>
        <v>0</v>
      </c>
      <c r="CG6" s="14">
        <f t="shared" si="27"/>
        <v>0</v>
      </c>
      <c r="CH6" s="14">
        <f t="shared" si="50"/>
        <v>0</v>
      </c>
      <c r="CI6" s="1">
        <v>0</v>
      </c>
      <c r="CJ6" s="1">
        <v>0</v>
      </c>
      <c r="CK6" s="74">
        <f>CPP!Q6</f>
        <v>0</v>
      </c>
      <c r="CL6" s="14">
        <f t="shared" si="28"/>
        <v>0</v>
      </c>
      <c r="CM6" s="14">
        <f t="shared" si="51"/>
        <v>5.0000000000181899E-2</v>
      </c>
      <c r="CN6" s="1">
        <v>0</v>
      </c>
      <c r="CO6" s="1">
        <v>0</v>
      </c>
      <c r="CP6" s="74">
        <f>CPP!R6</f>
        <v>0</v>
      </c>
      <c r="CQ6" s="14">
        <f t="shared" si="29"/>
        <v>5.0000000000181899E-2</v>
      </c>
      <c r="CR6" s="14">
        <f t="shared" si="52"/>
        <v>0</v>
      </c>
      <c r="CS6" s="1">
        <v>0</v>
      </c>
      <c r="CT6" s="1">
        <v>0</v>
      </c>
      <c r="CU6" s="74">
        <f>CPP!S6</f>
        <v>0</v>
      </c>
      <c r="CV6" s="14">
        <f t="shared" si="30"/>
        <v>0</v>
      </c>
      <c r="CW6" s="14">
        <f t="shared" si="53"/>
        <v>0</v>
      </c>
      <c r="CX6" s="1">
        <v>0</v>
      </c>
      <c r="CY6" s="1">
        <v>0</v>
      </c>
      <c r="CZ6" s="74">
        <f>CPP!T6</f>
        <v>0</v>
      </c>
      <c r="DA6" s="14">
        <f t="shared" si="31"/>
        <v>0</v>
      </c>
      <c r="DB6" s="14">
        <f t="shared" si="54"/>
        <v>1.0000000000013998E-2</v>
      </c>
      <c r="DC6" s="1">
        <v>0</v>
      </c>
      <c r="DD6" s="1">
        <v>0</v>
      </c>
      <c r="DE6" s="74">
        <f>CPP!U6</f>
        <v>0</v>
      </c>
      <c r="DF6" s="14">
        <f t="shared" si="32"/>
        <v>1.0000000000013998E-2</v>
      </c>
      <c r="DG6" s="14">
        <f t="shared" si="55"/>
        <v>0</v>
      </c>
      <c r="DH6" s="1">
        <v>0</v>
      </c>
      <c r="DI6" s="1">
        <v>0</v>
      </c>
      <c r="DJ6" s="74">
        <f>CPP!V6</f>
        <v>0</v>
      </c>
      <c r="DK6" s="14">
        <f t="shared" si="33"/>
        <v>0</v>
      </c>
      <c r="DL6" s="14">
        <f t="shared" si="56"/>
        <v>272</v>
      </c>
      <c r="DM6" s="22">
        <v>32</v>
      </c>
      <c r="DN6" s="22">
        <v>0</v>
      </c>
      <c r="DO6" s="74">
        <f>CPP!W6</f>
        <v>0</v>
      </c>
      <c r="DP6" s="14">
        <f t="shared" si="34"/>
        <v>304</v>
      </c>
      <c r="DQ6" s="14">
        <f t="shared" si="57"/>
        <v>0</v>
      </c>
      <c r="DR6" s="1">
        <v>0</v>
      </c>
      <c r="DS6" s="1">
        <v>0</v>
      </c>
      <c r="DT6" s="74">
        <f>CPP!J6</f>
        <v>0</v>
      </c>
      <c r="DU6" s="14">
        <f t="shared" si="35"/>
        <v>0</v>
      </c>
      <c r="DV6" s="14">
        <f t="shared" si="58"/>
        <v>0</v>
      </c>
      <c r="DW6" s="1">
        <v>0</v>
      </c>
      <c r="DX6" s="1">
        <v>0</v>
      </c>
      <c r="DY6" s="74">
        <v>0</v>
      </c>
      <c r="DZ6" s="14">
        <f t="shared" si="36"/>
        <v>0</v>
      </c>
      <c r="EA6" s="48">
        <f t="shared" si="37"/>
        <v>4086.6369999999906</v>
      </c>
      <c r="EB6" s="1">
        <v>0</v>
      </c>
      <c r="EC6" s="1">
        <v>0</v>
      </c>
      <c r="ED6" s="48">
        <f t="shared" si="38"/>
        <v>4086.6369999999906</v>
      </c>
      <c r="EE6" s="14">
        <f t="shared" si="39"/>
        <v>4443.9699999999939</v>
      </c>
      <c r="EF6" s="14">
        <f t="shared" si="6"/>
        <v>120.2</v>
      </c>
      <c r="EG6" s="14">
        <f>CPP!D6+CPP!E6+CPP!F6+CPP!G6+CPP!H6+CPP!I6+CPP!J6+CPP!M6+BG6</f>
        <v>158</v>
      </c>
      <c r="EH6" s="14">
        <f t="shared" si="40"/>
        <v>4406.1699999999937</v>
      </c>
      <c r="EI6" s="125">
        <f t="shared" si="59"/>
        <v>30576.314087806961</v>
      </c>
      <c r="EJ6" s="1">
        <f t="shared" si="41"/>
        <v>1790</v>
      </c>
      <c r="EK6" s="135">
        <f>'DAILY CEM1'!AG7+'DAILY CEM2'!AF7</f>
        <v>2000.1199999957621</v>
      </c>
      <c r="EL6" s="125">
        <f t="shared" si="42"/>
        <v>30366.1940878112</v>
      </c>
      <c r="EM6" s="1">
        <v>1790</v>
      </c>
      <c r="EN6" s="1">
        <v>0</v>
      </c>
      <c r="EO6">
        <v>281.82</v>
      </c>
    </row>
    <row r="7" spans="2:145" x14ac:dyDescent="0.25">
      <c r="B7" s="4">
        <v>5</v>
      </c>
      <c r="C7" s="27">
        <f t="shared" si="7"/>
        <v>2397.92</v>
      </c>
      <c r="D7" s="1">
        <v>0</v>
      </c>
      <c r="E7" s="1">
        <v>73</v>
      </c>
      <c r="F7" s="9">
        <f t="shared" si="0"/>
        <v>2324.92</v>
      </c>
      <c r="G7" s="27">
        <f t="shared" si="8"/>
        <v>1907.0495780221536</v>
      </c>
      <c r="H7" s="24">
        <v>0</v>
      </c>
      <c r="I7" s="24">
        <v>0</v>
      </c>
      <c r="J7" s="14">
        <f>G7+H7-I7-[1]Cement!U7</f>
        <v>1907.0495780221536</v>
      </c>
      <c r="K7" s="27">
        <f t="shared" si="9"/>
        <v>0</v>
      </c>
      <c r="L7" s="1">
        <v>0</v>
      </c>
      <c r="M7" s="24">
        <f>CPP!D7</f>
        <v>0</v>
      </c>
      <c r="N7" s="1">
        <v>0</v>
      </c>
      <c r="O7" s="24">
        <f t="shared" si="1"/>
        <v>0</v>
      </c>
      <c r="P7" s="9">
        <f t="shared" si="2"/>
        <v>0</v>
      </c>
      <c r="Q7" s="27">
        <f t="shared" si="10"/>
        <v>0</v>
      </c>
      <c r="R7" s="1">
        <v>0</v>
      </c>
      <c r="S7" s="24">
        <f>CPP!E7</f>
        <v>0</v>
      </c>
      <c r="T7" s="19">
        <v>0</v>
      </c>
      <c r="U7" s="26">
        <f t="shared" si="11"/>
        <v>0</v>
      </c>
      <c r="V7" s="9">
        <f t="shared" si="12"/>
        <v>0</v>
      </c>
      <c r="W7" s="27">
        <f t="shared" si="13"/>
        <v>1063.0399999999981</v>
      </c>
      <c r="X7" s="1">
        <v>0</v>
      </c>
      <c r="Y7" s="24">
        <f>CPP!H7</f>
        <v>0</v>
      </c>
      <c r="Z7" s="1">
        <v>0</v>
      </c>
      <c r="AA7" s="9">
        <f t="shared" si="14"/>
        <v>1063.0399999999981</v>
      </c>
      <c r="AB7" s="27">
        <f t="shared" si="15"/>
        <v>0</v>
      </c>
      <c r="AC7" s="1">
        <v>0</v>
      </c>
      <c r="AD7" s="74">
        <f>CPP!F7</f>
        <v>0</v>
      </c>
      <c r="AE7" s="9">
        <f t="shared" si="3"/>
        <v>0</v>
      </c>
      <c r="AF7" s="27">
        <f t="shared" si="16"/>
        <v>4406.1699999999937</v>
      </c>
      <c r="AG7" s="1">
        <v>30</v>
      </c>
      <c r="AH7" s="1">
        <v>0</v>
      </c>
      <c r="AI7" s="24">
        <f>CPP!G7</f>
        <v>140</v>
      </c>
      <c r="AJ7" s="9">
        <f t="shared" si="4"/>
        <v>4296.1699999999937</v>
      </c>
      <c r="AK7" s="27">
        <f t="shared" si="17"/>
        <v>0</v>
      </c>
      <c r="AL7" s="1">
        <v>0</v>
      </c>
      <c r="AM7" s="1">
        <v>0</v>
      </c>
      <c r="AN7" s="9">
        <f t="shared" si="5"/>
        <v>0</v>
      </c>
      <c r="AO7" s="27">
        <f t="shared" si="18"/>
        <v>0</v>
      </c>
      <c r="AP7" s="1">
        <v>0</v>
      </c>
      <c r="AQ7" s="1">
        <v>0</v>
      </c>
      <c r="AR7" s="73">
        <f>CPP!I7</f>
        <v>0</v>
      </c>
      <c r="AS7" s="72">
        <f t="shared" si="19"/>
        <v>0</v>
      </c>
      <c r="AT7" s="14">
        <f t="shared" si="60"/>
        <v>1794.2200000000021</v>
      </c>
      <c r="AU7" s="1">
        <v>0</v>
      </c>
      <c r="AV7" s="1">
        <v>292.22000000000003</v>
      </c>
      <c r="AW7" s="74">
        <f>CPP!X7</f>
        <v>0</v>
      </c>
      <c r="AX7" s="14">
        <f t="shared" si="20"/>
        <v>1502.000000000002</v>
      </c>
      <c r="AY7" s="14">
        <f t="shared" si="43"/>
        <v>1004.8669999999903</v>
      </c>
      <c r="AZ7" s="1">
        <v>0</v>
      </c>
      <c r="BA7" s="1">
        <v>0</v>
      </c>
      <c r="BB7" s="74">
        <f>CPP!M7</f>
        <v>0</v>
      </c>
      <c r="BC7" s="14">
        <f t="shared" si="21"/>
        <v>1004.8669999999903</v>
      </c>
      <c r="BD7" s="14">
        <f t="shared" si="44"/>
        <v>0</v>
      </c>
      <c r="BE7" s="1">
        <v>0</v>
      </c>
      <c r="BF7" s="1">
        <v>0</v>
      </c>
      <c r="BG7" s="74">
        <f>CPP!K7</f>
        <v>0</v>
      </c>
      <c r="BH7" s="14">
        <f t="shared" si="22"/>
        <v>0</v>
      </c>
      <c r="BI7" s="14">
        <f t="shared" si="45"/>
        <v>0</v>
      </c>
      <c r="BJ7" s="1">
        <v>0</v>
      </c>
      <c r="BK7" s="1">
        <v>0</v>
      </c>
      <c r="BL7" s="74">
        <f>CPP!L7</f>
        <v>0</v>
      </c>
      <c r="BM7" s="14">
        <f t="shared" si="23"/>
        <v>0</v>
      </c>
      <c r="BN7" s="14">
        <f t="shared" si="46"/>
        <v>0</v>
      </c>
      <c r="BO7" s="1">
        <v>0</v>
      </c>
      <c r="BP7" s="1">
        <v>0</v>
      </c>
      <c r="BQ7" s="74">
        <f>CPP!N7</f>
        <v>0</v>
      </c>
      <c r="BR7" s="14">
        <f t="shared" si="24"/>
        <v>0</v>
      </c>
      <c r="BS7" s="14">
        <f t="shared" si="47"/>
        <v>0</v>
      </c>
      <c r="BT7" s="1">
        <v>0</v>
      </c>
      <c r="BU7" s="1">
        <v>0</v>
      </c>
      <c r="BV7" s="74">
        <f>CPP!O7</f>
        <v>0</v>
      </c>
      <c r="BW7" s="14">
        <f t="shared" si="25"/>
        <v>0</v>
      </c>
      <c r="BX7" s="48">
        <f t="shared" si="48"/>
        <v>0</v>
      </c>
      <c r="BY7" s="1">
        <v>0</v>
      </c>
      <c r="BZ7" s="1">
        <v>0</v>
      </c>
      <c r="CA7" s="88"/>
      <c r="CB7" s="72">
        <f t="shared" si="26"/>
        <v>0</v>
      </c>
      <c r="CC7" s="14">
        <f t="shared" si="49"/>
        <v>0</v>
      </c>
      <c r="CD7" s="1">
        <v>0</v>
      </c>
      <c r="CE7" s="1">
        <v>0</v>
      </c>
      <c r="CF7" s="74">
        <f>CPP!P7</f>
        <v>0</v>
      </c>
      <c r="CG7" s="14">
        <f t="shared" si="27"/>
        <v>0</v>
      </c>
      <c r="CH7" s="14">
        <f t="shared" si="50"/>
        <v>0</v>
      </c>
      <c r="CI7" s="1">
        <v>0</v>
      </c>
      <c r="CJ7" s="1">
        <v>0</v>
      </c>
      <c r="CK7" s="74">
        <f>CPP!Q7</f>
        <v>0</v>
      </c>
      <c r="CL7" s="14">
        <f t="shared" si="28"/>
        <v>0</v>
      </c>
      <c r="CM7" s="14">
        <f t="shared" si="51"/>
        <v>5.0000000000181899E-2</v>
      </c>
      <c r="CN7" s="1">
        <v>0</v>
      </c>
      <c r="CO7" s="1">
        <v>0</v>
      </c>
      <c r="CP7" s="74">
        <f>CPP!R7</f>
        <v>0</v>
      </c>
      <c r="CQ7" s="14">
        <f t="shared" si="29"/>
        <v>5.0000000000181899E-2</v>
      </c>
      <c r="CR7" s="14">
        <f t="shared" si="52"/>
        <v>0</v>
      </c>
      <c r="CS7" s="1">
        <v>0</v>
      </c>
      <c r="CT7" s="1">
        <v>0</v>
      </c>
      <c r="CU7" s="74">
        <f>CPP!S7</f>
        <v>0</v>
      </c>
      <c r="CV7" s="14">
        <f t="shared" si="30"/>
        <v>0</v>
      </c>
      <c r="CW7" s="14">
        <f t="shared" si="53"/>
        <v>0</v>
      </c>
      <c r="CX7" s="1">
        <v>0</v>
      </c>
      <c r="CY7" s="1">
        <v>0</v>
      </c>
      <c r="CZ7" s="74">
        <f>CPP!T7</f>
        <v>0</v>
      </c>
      <c r="DA7" s="14">
        <f t="shared" si="31"/>
        <v>0</v>
      </c>
      <c r="DB7" s="14">
        <f t="shared" si="54"/>
        <v>1.0000000000013998E-2</v>
      </c>
      <c r="DC7" s="1">
        <v>0</v>
      </c>
      <c r="DD7" s="1">
        <v>0</v>
      </c>
      <c r="DE7" s="74">
        <f>CPP!U7</f>
        <v>0</v>
      </c>
      <c r="DF7" s="14">
        <f t="shared" si="32"/>
        <v>1.0000000000013998E-2</v>
      </c>
      <c r="DG7" s="14">
        <f t="shared" si="55"/>
        <v>0</v>
      </c>
      <c r="DH7" s="1">
        <v>0</v>
      </c>
      <c r="DI7" s="1">
        <v>0</v>
      </c>
      <c r="DJ7" s="74">
        <f>CPP!V7</f>
        <v>0</v>
      </c>
      <c r="DK7" s="14">
        <f t="shared" si="33"/>
        <v>0</v>
      </c>
      <c r="DL7" s="14">
        <f t="shared" si="56"/>
        <v>304</v>
      </c>
      <c r="DM7" s="22">
        <v>0</v>
      </c>
      <c r="DN7" s="1">
        <v>0</v>
      </c>
      <c r="DO7" s="74">
        <f>CPP!W7</f>
        <v>0</v>
      </c>
      <c r="DP7" s="14">
        <f t="shared" si="34"/>
        <v>304</v>
      </c>
      <c r="DQ7" s="14">
        <f t="shared" si="57"/>
        <v>0</v>
      </c>
      <c r="DR7" s="1">
        <v>0</v>
      </c>
      <c r="DS7" s="1">
        <v>0</v>
      </c>
      <c r="DT7" s="74">
        <f>CPP!J7</f>
        <v>0</v>
      </c>
      <c r="DU7" s="14">
        <f t="shared" si="35"/>
        <v>0</v>
      </c>
      <c r="DV7" s="14">
        <f t="shared" si="58"/>
        <v>0</v>
      </c>
      <c r="DW7" s="1">
        <v>0</v>
      </c>
      <c r="DX7" s="1">
        <v>0</v>
      </c>
      <c r="DY7" s="74">
        <v>0</v>
      </c>
      <c r="DZ7" s="14">
        <f t="shared" si="36"/>
        <v>0</v>
      </c>
      <c r="EA7" s="48">
        <f t="shared" si="37"/>
        <v>3862.1269999999904</v>
      </c>
      <c r="EB7" s="1">
        <v>0</v>
      </c>
      <c r="EC7" s="1">
        <v>0</v>
      </c>
      <c r="ED7" s="48">
        <f t="shared" si="38"/>
        <v>3862.1269999999904</v>
      </c>
      <c r="EE7" s="14">
        <f t="shared" si="39"/>
        <v>4406.1699999999937</v>
      </c>
      <c r="EF7" s="14">
        <f t="shared" si="6"/>
        <v>30</v>
      </c>
      <c r="EG7" s="14">
        <f>CPP!D7+CPP!E7+CPP!F7+CPP!G7+CPP!H7+CPP!I7+CPP!J7+CPP!M7+BG7</f>
        <v>140</v>
      </c>
      <c r="EH7" s="14">
        <f t="shared" si="40"/>
        <v>4296.1699999999937</v>
      </c>
      <c r="EI7" s="125">
        <f t="shared" si="59"/>
        <v>30366.1940878112</v>
      </c>
      <c r="EJ7" s="1">
        <f t="shared" si="41"/>
        <v>1690</v>
      </c>
      <c r="EK7" s="135">
        <f>'DAILY CEM1'!AG8+'DAILY CEM2'!AF8</f>
        <v>1825.61500178914</v>
      </c>
      <c r="EL7" s="125">
        <f t="shared" si="42"/>
        <v>30230.579086022059</v>
      </c>
      <c r="EM7" s="1">
        <v>1690</v>
      </c>
      <c r="EN7" s="1">
        <v>0</v>
      </c>
      <c r="EO7">
        <v>1348.5</v>
      </c>
    </row>
    <row r="8" spans="2:145" x14ac:dyDescent="0.25">
      <c r="B8" s="4">
        <v>6</v>
      </c>
      <c r="C8" s="27">
        <f t="shared" si="7"/>
        <v>2324.92</v>
      </c>
      <c r="D8" s="1">
        <v>0</v>
      </c>
      <c r="E8" s="1">
        <v>62</v>
      </c>
      <c r="F8" s="9">
        <f>C8+D8-E8</f>
        <v>2262.92</v>
      </c>
      <c r="G8" s="27">
        <f t="shared" si="8"/>
        <v>1907.0495780221536</v>
      </c>
      <c r="H8" s="24">
        <v>0</v>
      </c>
      <c r="I8" s="24">
        <v>0</v>
      </c>
      <c r="J8" s="14">
        <f>G8+H8-I8-[1]Cement!U8</f>
        <v>1907.0495780221536</v>
      </c>
      <c r="K8" s="27">
        <f t="shared" si="9"/>
        <v>0</v>
      </c>
      <c r="L8" s="1">
        <v>0</v>
      </c>
      <c r="M8" s="24">
        <f>CPP!D8</f>
        <v>0</v>
      </c>
      <c r="N8" s="1">
        <v>0</v>
      </c>
      <c r="O8" s="24">
        <f t="shared" si="1"/>
        <v>0</v>
      </c>
      <c r="P8" s="9">
        <f>K8+L8-O8</f>
        <v>0</v>
      </c>
      <c r="Q8" s="27">
        <f t="shared" si="10"/>
        <v>0</v>
      </c>
      <c r="R8" s="1">
        <v>0</v>
      </c>
      <c r="S8" s="24">
        <f>CPP!E8</f>
        <v>0</v>
      </c>
      <c r="T8" s="19">
        <v>0</v>
      </c>
      <c r="U8" s="26">
        <f t="shared" si="11"/>
        <v>0</v>
      </c>
      <c r="V8" s="9">
        <f t="shared" si="12"/>
        <v>0</v>
      </c>
      <c r="W8" s="27">
        <f t="shared" si="13"/>
        <v>1063.0399999999981</v>
      </c>
      <c r="X8" s="1">
        <v>0</v>
      </c>
      <c r="Y8" s="24">
        <f>CPP!H8</f>
        <v>0</v>
      </c>
      <c r="Z8" s="1">
        <v>0</v>
      </c>
      <c r="AA8" s="9">
        <f t="shared" si="14"/>
        <v>1063.0399999999981</v>
      </c>
      <c r="AB8" s="27">
        <f t="shared" si="15"/>
        <v>0</v>
      </c>
      <c r="AC8" s="1">
        <v>0</v>
      </c>
      <c r="AD8" s="74">
        <f>CPP!F8</f>
        <v>0</v>
      </c>
      <c r="AE8" s="9">
        <f t="shared" si="3"/>
        <v>0</v>
      </c>
      <c r="AF8" s="27">
        <f t="shared" si="16"/>
        <v>4296.1699999999937</v>
      </c>
      <c r="AG8" s="1">
        <v>0</v>
      </c>
      <c r="AH8" s="1">
        <v>0</v>
      </c>
      <c r="AI8" s="24">
        <f>CPP!G8</f>
        <v>140</v>
      </c>
      <c r="AJ8" s="9">
        <f t="shared" si="4"/>
        <v>4156.1699999999937</v>
      </c>
      <c r="AK8" s="27">
        <f t="shared" si="17"/>
        <v>0</v>
      </c>
      <c r="AL8" s="1">
        <v>0</v>
      </c>
      <c r="AM8" s="1">
        <v>0</v>
      </c>
      <c r="AN8" s="9">
        <f t="shared" si="5"/>
        <v>0</v>
      </c>
      <c r="AO8" s="27">
        <f t="shared" si="18"/>
        <v>0</v>
      </c>
      <c r="AP8" s="1">
        <v>0</v>
      </c>
      <c r="AQ8" s="1">
        <v>0</v>
      </c>
      <c r="AR8" s="73">
        <f>CPP!I8</f>
        <v>0</v>
      </c>
      <c r="AS8" s="72">
        <f t="shared" si="19"/>
        <v>0</v>
      </c>
      <c r="AT8" s="14">
        <f t="shared" si="60"/>
        <v>1502.000000000002</v>
      </c>
      <c r="AU8" s="1">
        <v>0</v>
      </c>
      <c r="AV8" s="1">
        <v>265.56</v>
      </c>
      <c r="AW8" s="74">
        <f>CPP!X8</f>
        <v>0</v>
      </c>
      <c r="AX8" s="14">
        <f t="shared" si="20"/>
        <v>1236.4400000000021</v>
      </c>
      <c r="AY8" s="14">
        <f t="shared" si="43"/>
        <v>1004.8669999999903</v>
      </c>
      <c r="AZ8" s="1">
        <v>0</v>
      </c>
      <c r="BA8" s="1">
        <v>0</v>
      </c>
      <c r="BB8" s="74">
        <f>CPP!M8</f>
        <v>0</v>
      </c>
      <c r="BC8" s="14">
        <f t="shared" si="21"/>
        <v>1004.8669999999903</v>
      </c>
      <c r="BD8" s="14">
        <f t="shared" si="44"/>
        <v>0</v>
      </c>
      <c r="BE8" s="1">
        <v>0</v>
      </c>
      <c r="BF8" s="1">
        <v>0</v>
      </c>
      <c r="BG8" s="74">
        <f>CPP!K8</f>
        <v>0</v>
      </c>
      <c r="BH8" s="14">
        <f t="shared" si="22"/>
        <v>0</v>
      </c>
      <c r="BI8" s="14">
        <f t="shared" si="45"/>
        <v>0</v>
      </c>
      <c r="BJ8" s="22">
        <v>0</v>
      </c>
      <c r="BK8" s="22">
        <v>0</v>
      </c>
      <c r="BL8" s="74">
        <f>CPP!L8</f>
        <v>0</v>
      </c>
      <c r="BM8" s="14">
        <f t="shared" si="23"/>
        <v>0</v>
      </c>
      <c r="BN8" s="14">
        <f t="shared" si="46"/>
        <v>0</v>
      </c>
      <c r="BO8" s="1">
        <v>0</v>
      </c>
      <c r="BP8" s="1">
        <v>0</v>
      </c>
      <c r="BQ8" s="74">
        <f>CPP!N8</f>
        <v>0</v>
      </c>
      <c r="BR8" s="14">
        <f t="shared" si="24"/>
        <v>0</v>
      </c>
      <c r="BS8" s="14">
        <f t="shared" si="47"/>
        <v>0</v>
      </c>
      <c r="BT8" s="1">
        <v>0</v>
      </c>
      <c r="BU8" s="1">
        <v>0</v>
      </c>
      <c r="BV8" s="74">
        <f>CPP!O8</f>
        <v>0</v>
      </c>
      <c r="BW8" s="14">
        <f t="shared" si="25"/>
        <v>0</v>
      </c>
      <c r="BX8" s="48">
        <f t="shared" si="48"/>
        <v>0</v>
      </c>
      <c r="BY8" s="1">
        <v>0</v>
      </c>
      <c r="BZ8" s="1">
        <v>0</v>
      </c>
      <c r="CA8" s="88"/>
      <c r="CB8" s="72">
        <f t="shared" si="26"/>
        <v>0</v>
      </c>
      <c r="CC8" s="14">
        <f t="shared" si="49"/>
        <v>0</v>
      </c>
      <c r="CD8" s="1">
        <v>0</v>
      </c>
      <c r="CE8" s="1">
        <v>0</v>
      </c>
      <c r="CF8" s="74">
        <f>CPP!P8</f>
        <v>0</v>
      </c>
      <c r="CG8" s="14">
        <f t="shared" si="27"/>
        <v>0</v>
      </c>
      <c r="CH8" s="14">
        <f t="shared" si="50"/>
        <v>0</v>
      </c>
      <c r="CI8" s="1">
        <v>0</v>
      </c>
      <c r="CJ8" s="1">
        <v>0</v>
      </c>
      <c r="CK8" s="74">
        <f>CPP!Q8</f>
        <v>0</v>
      </c>
      <c r="CL8" s="14">
        <f t="shared" si="28"/>
        <v>0</v>
      </c>
      <c r="CM8" s="14">
        <f t="shared" si="51"/>
        <v>5.0000000000181899E-2</v>
      </c>
      <c r="CN8" s="1">
        <v>0</v>
      </c>
      <c r="CO8" s="1">
        <v>0</v>
      </c>
      <c r="CP8" s="74">
        <f>CPP!R8</f>
        <v>0</v>
      </c>
      <c r="CQ8" s="14">
        <f t="shared" si="29"/>
        <v>5.0000000000181899E-2</v>
      </c>
      <c r="CR8" s="14">
        <f t="shared" si="52"/>
        <v>0</v>
      </c>
      <c r="CS8" s="1">
        <v>0</v>
      </c>
      <c r="CT8" s="1">
        <v>0</v>
      </c>
      <c r="CU8" s="74">
        <f>CPP!S8</f>
        <v>0</v>
      </c>
      <c r="CV8" s="14">
        <f t="shared" si="30"/>
        <v>0</v>
      </c>
      <c r="CW8" s="14">
        <f t="shared" si="53"/>
        <v>0</v>
      </c>
      <c r="CX8" s="1">
        <v>0</v>
      </c>
      <c r="CY8" s="1">
        <v>0</v>
      </c>
      <c r="CZ8" s="74">
        <f>CPP!T8</f>
        <v>0</v>
      </c>
      <c r="DA8" s="14">
        <f t="shared" si="31"/>
        <v>0</v>
      </c>
      <c r="DB8" s="14">
        <f t="shared" si="54"/>
        <v>1.0000000000013998E-2</v>
      </c>
      <c r="DC8" s="1">
        <v>0</v>
      </c>
      <c r="DD8" s="1">
        <v>0</v>
      </c>
      <c r="DE8" s="74">
        <f>CPP!U8</f>
        <v>0</v>
      </c>
      <c r="DF8" s="14">
        <f t="shared" si="32"/>
        <v>1.0000000000013998E-2</v>
      </c>
      <c r="DG8" s="14">
        <f t="shared" si="55"/>
        <v>0</v>
      </c>
      <c r="DH8" s="1">
        <v>0</v>
      </c>
      <c r="DI8" s="1">
        <v>0</v>
      </c>
      <c r="DJ8" s="74">
        <f>CPP!V8</f>
        <v>0</v>
      </c>
      <c r="DK8" s="14">
        <f t="shared" si="33"/>
        <v>0</v>
      </c>
      <c r="DL8" s="14">
        <f t="shared" si="56"/>
        <v>304</v>
      </c>
      <c r="DM8" s="1">
        <v>0</v>
      </c>
      <c r="DN8" s="22">
        <v>0</v>
      </c>
      <c r="DO8" s="74">
        <f>CPP!W8</f>
        <v>0</v>
      </c>
      <c r="DP8" s="14">
        <f t="shared" si="34"/>
        <v>304</v>
      </c>
      <c r="DQ8" s="14">
        <f t="shared" si="57"/>
        <v>0</v>
      </c>
      <c r="DR8" s="1">
        <v>0</v>
      </c>
      <c r="DS8" s="1">
        <v>0</v>
      </c>
      <c r="DT8" s="74">
        <f>CPP!J8</f>
        <v>0</v>
      </c>
      <c r="DU8" s="14">
        <f t="shared" si="35"/>
        <v>0</v>
      </c>
      <c r="DV8" s="14">
        <f t="shared" si="58"/>
        <v>0</v>
      </c>
      <c r="DW8" s="1">
        <v>0</v>
      </c>
      <c r="DX8" s="1">
        <v>0</v>
      </c>
      <c r="DY8" s="74">
        <v>0</v>
      </c>
      <c r="DZ8" s="14">
        <f t="shared" si="36"/>
        <v>0</v>
      </c>
      <c r="EA8" s="48">
        <f t="shared" si="37"/>
        <v>3569.9069999999901</v>
      </c>
      <c r="EB8" s="1">
        <v>0</v>
      </c>
      <c r="EC8" s="1">
        <v>0</v>
      </c>
      <c r="ED8" s="48">
        <f>EA8+EB8-EC8</f>
        <v>3569.9069999999901</v>
      </c>
      <c r="EE8" s="14">
        <f t="shared" si="39"/>
        <v>4296.1699999999937</v>
      </c>
      <c r="EF8" s="14">
        <f t="shared" si="6"/>
        <v>0</v>
      </c>
      <c r="EG8" s="14">
        <f>CPP!D8+CPP!E8+CPP!F8+CPP!G8+CPP!H8+CPP!I8+CPP!J8+CPP!M8+BG8</f>
        <v>140</v>
      </c>
      <c r="EH8" s="14">
        <f t="shared" si="40"/>
        <v>4156.1699999999937</v>
      </c>
      <c r="EI8" s="125">
        <f t="shared" si="59"/>
        <v>30230.579086022059</v>
      </c>
      <c r="EJ8" s="1">
        <f t="shared" si="41"/>
        <v>1505</v>
      </c>
      <c r="EK8" s="135">
        <f>'DAILY CEM1'!AG9+'DAILY CEM2'!AF9</f>
        <v>1714.5940009825999</v>
      </c>
      <c r="EL8" s="125">
        <f t="shared" si="42"/>
        <v>30020.985085039458</v>
      </c>
      <c r="EM8" s="1">
        <v>1505</v>
      </c>
      <c r="EN8" s="1">
        <v>0</v>
      </c>
      <c r="EO8">
        <v>1147.3</v>
      </c>
    </row>
    <row r="9" spans="2:145" x14ac:dyDescent="0.25">
      <c r="B9" s="4">
        <v>7</v>
      </c>
      <c r="C9" s="27">
        <f t="shared" si="7"/>
        <v>2262.92</v>
      </c>
      <c r="D9" s="1">
        <v>0</v>
      </c>
      <c r="E9" s="1">
        <v>77</v>
      </c>
      <c r="F9" s="9">
        <f>C9+D9-E9</f>
        <v>2185.92</v>
      </c>
      <c r="G9" s="27">
        <f t="shared" si="8"/>
        <v>1907.0495780221536</v>
      </c>
      <c r="H9" s="24">
        <v>0</v>
      </c>
      <c r="I9" s="24">
        <v>0</v>
      </c>
      <c r="J9" s="14">
        <f>G9+H9-I9-[1]Cement!U9</f>
        <v>1907.0495780221536</v>
      </c>
      <c r="K9" s="27">
        <f t="shared" si="9"/>
        <v>0</v>
      </c>
      <c r="L9" s="1">
        <v>0</v>
      </c>
      <c r="M9" s="24">
        <f>CPP!D9</f>
        <v>0</v>
      </c>
      <c r="N9" s="1">
        <v>0</v>
      </c>
      <c r="O9" s="24">
        <f t="shared" si="1"/>
        <v>0</v>
      </c>
      <c r="P9" s="9">
        <f>K9+L9-O9</f>
        <v>0</v>
      </c>
      <c r="Q9" s="27">
        <f t="shared" si="10"/>
        <v>0</v>
      </c>
      <c r="R9" s="1">
        <v>0</v>
      </c>
      <c r="S9" s="24">
        <f>CPP!E9</f>
        <v>0</v>
      </c>
      <c r="T9" s="19">
        <v>0</v>
      </c>
      <c r="U9" s="26">
        <f t="shared" si="11"/>
        <v>0</v>
      </c>
      <c r="V9" s="9">
        <f t="shared" si="12"/>
        <v>0</v>
      </c>
      <c r="W9" s="27">
        <f t="shared" si="13"/>
        <v>1063.0399999999981</v>
      </c>
      <c r="X9" s="1">
        <v>0</v>
      </c>
      <c r="Y9" s="24">
        <f>CPP!H9</f>
        <v>0</v>
      </c>
      <c r="Z9" s="1">
        <v>0</v>
      </c>
      <c r="AA9" s="9">
        <f t="shared" si="14"/>
        <v>1063.0399999999981</v>
      </c>
      <c r="AB9" s="27">
        <f t="shared" si="15"/>
        <v>0</v>
      </c>
      <c r="AC9" s="1">
        <v>0</v>
      </c>
      <c r="AD9" s="74">
        <f>CPP!F9</f>
        <v>0</v>
      </c>
      <c r="AE9" s="9">
        <f t="shared" si="3"/>
        <v>0</v>
      </c>
      <c r="AF9" s="27">
        <f t="shared" si="16"/>
        <v>4156.1699999999937</v>
      </c>
      <c r="AG9" s="1">
        <v>0</v>
      </c>
      <c r="AH9" s="1">
        <v>0</v>
      </c>
      <c r="AI9" s="24">
        <f>CPP!G9</f>
        <v>138</v>
      </c>
      <c r="AJ9" s="9">
        <f t="shared" si="4"/>
        <v>4018.1699999999937</v>
      </c>
      <c r="AK9" s="27">
        <f t="shared" si="17"/>
        <v>0</v>
      </c>
      <c r="AL9" s="1">
        <v>0</v>
      </c>
      <c r="AM9" s="1">
        <v>0</v>
      </c>
      <c r="AN9" s="9">
        <f t="shared" si="5"/>
        <v>0</v>
      </c>
      <c r="AO9" s="27">
        <f t="shared" si="18"/>
        <v>0</v>
      </c>
      <c r="AP9" s="1">
        <v>0</v>
      </c>
      <c r="AQ9" s="1">
        <v>0</v>
      </c>
      <c r="AR9" s="73">
        <f>CPP!I9</f>
        <v>0</v>
      </c>
      <c r="AS9" s="72">
        <f t="shared" si="19"/>
        <v>0</v>
      </c>
      <c r="AT9" s="14">
        <f t="shared" si="60"/>
        <v>1236.4400000000021</v>
      </c>
      <c r="AU9" s="1">
        <v>0</v>
      </c>
      <c r="AV9" s="1">
        <v>250</v>
      </c>
      <c r="AW9" s="74">
        <f>CPP!X9</f>
        <v>0</v>
      </c>
      <c r="AX9" s="14">
        <f t="shared" si="20"/>
        <v>986.4400000000021</v>
      </c>
      <c r="AY9" s="14">
        <f t="shared" si="43"/>
        <v>1004.8669999999903</v>
      </c>
      <c r="AZ9" s="1">
        <v>0</v>
      </c>
      <c r="BA9" s="1">
        <v>0</v>
      </c>
      <c r="BB9" s="74">
        <f>CPP!M9</f>
        <v>0</v>
      </c>
      <c r="BC9" s="14">
        <f t="shared" si="21"/>
        <v>1004.8669999999903</v>
      </c>
      <c r="BD9" s="14">
        <f t="shared" si="44"/>
        <v>0</v>
      </c>
      <c r="BE9" s="1">
        <v>0</v>
      </c>
      <c r="BF9" s="1">
        <v>0</v>
      </c>
      <c r="BG9" s="74">
        <f>CPP!K9</f>
        <v>0</v>
      </c>
      <c r="BH9" s="14">
        <f t="shared" si="22"/>
        <v>0</v>
      </c>
      <c r="BI9" s="14">
        <f t="shared" si="45"/>
        <v>0</v>
      </c>
      <c r="BJ9" s="1">
        <v>0</v>
      </c>
      <c r="BK9" s="1">
        <v>0</v>
      </c>
      <c r="BL9" s="74">
        <f>CPP!L9</f>
        <v>0</v>
      </c>
      <c r="BM9" s="14">
        <f t="shared" si="23"/>
        <v>0</v>
      </c>
      <c r="BN9" s="14">
        <f t="shared" si="46"/>
        <v>0</v>
      </c>
      <c r="BO9" s="1">
        <v>0</v>
      </c>
      <c r="BP9" s="1">
        <v>0</v>
      </c>
      <c r="BQ9" s="74">
        <f>CPP!N9</f>
        <v>0</v>
      </c>
      <c r="BR9" s="14">
        <f t="shared" si="24"/>
        <v>0</v>
      </c>
      <c r="BS9" s="14">
        <f t="shared" si="47"/>
        <v>0</v>
      </c>
      <c r="BT9" s="1">
        <v>0</v>
      </c>
      <c r="BU9" s="1">
        <v>0</v>
      </c>
      <c r="BV9" s="74">
        <f>CPP!O9</f>
        <v>0</v>
      </c>
      <c r="BW9" s="14">
        <f t="shared" si="25"/>
        <v>0</v>
      </c>
      <c r="BX9" s="48">
        <f t="shared" si="48"/>
        <v>0</v>
      </c>
      <c r="BY9" s="1">
        <v>0</v>
      </c>
      <c r="BZ9" s="1">
        <v>0</v>
      </c>
      <c r="CA9" s="88"/>
      <c r="CB9" s="72">
        <f t="shared" si="26"/>
        <v>0</v>
      </c>
      <c r="CC9" s="14">
        <f t="shared" si="49"/>
        <v>0</v>
      </c>
      <c r="CD9" s="1">
        <v>0</v>
      </c>
      <c r="CE9" s="1">
        <v>0</v>
      </c>
      <c r="CF9" s="74">
        <f>CPP!P9</f>
        <v>0</v>
      </c>
      <c r="CG9" s="14">
        <f t="shared" si="27"/>
        <v>0</v>
      </c>
      <c r="CH9" s="14">
        <f t="shared" si="50"/>
        <v>0</v>
      </c>
      <c r="CI9" s="1">
        <v>0</v>
      </c>
      <c r="CJ9" s="1">
        <v>0</v>
      </c>
      <c r="CK9" s="74">
        <f>CPP!Q9</f>
        <v>0</v>
      </c>
      <c r="CL9" s="14">
        <f t="shared" si="28"/>
        <v>0</v>
      </c>
      <c r="CM9" s="14">
        <f t="shared" si="51"/>
        <v>5.0000000000181899E-2</v>
      </c>
      <c r="CN9" s="1">
        <v>0</v>
      </c>
      <c r="CO9" s="1">
        <v>0</v>
      </c>
      <c r="CP9" s="74">
        <f>CPP!R9</f>
        <v>0</v>
      </c>
      <c r="CQ9" s="14">
        <f t="shared" si="29"/>
        <v>5.0000000000181899E-2</v>
      </c>
      <c r="CR9" s="14">
        <f t="shared" si="52"/>
        <v>0</v>
      </c>
      <c r="CS9" s="1">
        <v>0</v>
      </c>
      <c r="CT9" s="1">
        <v>0</v>
      </c>
      <c r="CU9" s="74">
        <f>CPP!S9</f>
        <v>0</v>
      </c>
      <c r="CV9" s="14">
        <f t="shared" si="30"/>
        <v>0</v>
      </c>
      <c r="CW9" s="14">
        <f t="shared" si="53"/>
        <v>0</v>
      </c>
      <c r="CX9" s="1">
        <v>0</v>
      </c>
      <c r="CY9" s="1">
        <v>0</v>
      </c>
      <c r="CZ9" s="74">
        <f>CPP!T9</f>
        <v>0</v>
      </c>
      <c r="DA9" s="14">
        <f t="shared" si="31"/>
        <v>0</v>
      </c>
      <c r="DB9" s="14">
        <f t="shared" si="54"/>
        <v>1.0000000000013998E-2</v>
      </c>
      <c r="DC9" s="1">
        <v>0</v>
      </c>
      <c r="DD9" s="1">
        <v>0</v>
      </c>
      <c r="DE9" s="74">
        <f>CPP!U9</f>
        <v>0</v>
      </c>
      <c r="DF9" s="14">
        <f t="shared" si="32"/>
        <v>1.0000000000013998E-2</v>
      </c>
      <c r="DG9" s="14">
        <f t="shared" si="55"/>
        <v>0</v>
      </c>
      <c r="DH9" s="1">
        <v>0</v>
      </c>
      <c r="DI9" s="1">
        <v>0</v>
      </c>
      <c r="DJ9" s="74">
        <f>CPP!V9</f>
        <v>0</v>
      </c>
      <c r="DK9" s="14">
        <f t="shared" si="33"/>
        <v>0</v>
      </c>
      <c r="DL9" s="14">
        <f t="shared" si="56"/>
        <v>304</v>
      </c>
      <c r="DM9" s="22">
        <v>0</v>
      </c>
      <c r="DN9" s="1">
        <v>0</v>
      </c>
      <c r="DO9" s="74">
        <f>CPP!W9</f>
        <v>0</v>
      </c>
      <c r="DP9" s="14">
        <f t="shared" si="34"/>
        <v>304</v>
      </c>
      <c r="DQ9" s="14">
        <f t="shared" si="57"/>
        <v>0</v>
      </c>
      <c r="DR9" s="1">
        <v>0</v>
      </c>
      <c r="DS9" s="1">
        <v>0</v>
      </c>
      <c r="DT9" s="74">
        <f>CPP!J9</f>
        <v>0</v>
      </c>
      <c r="DU9" s="14">
        <f t="shared" si="35"/>
        <v>0</v>
      </c>
      <c r="DV9" s="14">
        <f t="shared" si="58"/>
        <v>0</v>
      </c>
      <c r="DW9" s="1">
        <v>0</v>
      </c>
      <c r="DX9" s="1">
        <v>0</v>
      </c>
      <c r="DY9" s="74">
        <v>0</v>
      </c>
      <c r="DZ9" s="14">
        <f t="shared" si="36"/>
        <v>0</v>
      </c>
      <c r="EA9" s="48">
        <f t="shared" si="37"/>
        <v>3304.3469999999907</v>
      </c>
      <c r="EB9" s="1">
        <v>0</v>
      </c>
      <c r="EC9" s="1">
        <v>0</v>
      </c>
      <c r="ED9" s="48">
        <f t="shared" si="38"/>
        <v>3304.3469999999907</v>
      </c>
      <c r="EE9" s="14">
        <f t="shared" si="39"/>
        <v>4156.1699999999937</v>
      </c>
      <c r="EF9" s="14">
        <f t="shared" si="6"/>
        <v>0</v>
      </c>
      <c r="EG9" s="14">
        <f>CPP!D9+CPP!E9+CPP!F9+CPP!G9+CPP!H9+CPP!I9+CPP!J9+CPP!M9+BG9</f>
        <v>138</v>
      </c>
      <c r="EH9" s="14">
        <f t="shared" si="40"/>
        <v>4018.1699999999937</v>
      </c>
      <c r="EI9" s="125">
        <f t="shared" si="59"/>
        <v>30020.985085039458</v>
      </c>
      <c r="EJ9" s="1">
        <f t="shared" si="41"/>
        <v>1480</v>
      </c>
      <c r="EK9" s="135">
        <f>'DAILY CEM1'!AG10+'DAILY CEM2'!AF10</f>
        <v>1090.8039989680001</v>
      </c>
      <c r="EL9" s="125">
        <f t="shared" si="42"/>
        <v>30410.181086071458</v>
      </c>
      <c r="EM9" s="1">
        <v>1480</v>
      </c>
      <c r="EN9" s="1">
        <v>0</v>
      </c>
      <c r="EO9">
        <v>1790.4300002270202</v>
      </c>
    </row>
    <row r="10" spans="2:145" x14ac:dyDescent="0.25">
      <c r="B10" s="4">
        <v>8</v>
      </c>
      <c r="C10" s="27">
        <f t="shared" si="7"/>
        <v>2185.92</v>
      </c>
      <c r="D10" s="1">
        <v>0</v>
      </c>
      <c r="E10" s="1">
        <v>64</v>
      </c>
      <c r="F10" s="9">
        <f>C10+D10-E10</f>
        <v>2121.92</v>
      </c>
      <c r="G10" s="27">
        <f t="shared" si="8"/>
        <v>1907.0495780221536</v>
      </c>
      <c r="H10" s="24">
        <v>0</v>
      </c>
      <c r="I10" s="24">
        <v>0</v>
      </c>
      <c r="J10" s="14">
        <f>G10+H10-I10-[1]Cement!U10</f>
        <v>1907.0495780221536</v>
      </c>
      <c r="K10" s="27">
        <f t="shared" si="9"/>
        <v>0</v>
      </c>
      <c r="L10" s="1">
        <v>0</v>
      </c>
      <c r="M10" s="24">
        <f>CPP!D10</f>
        <v>0</v>
      </c>
      <c r="N10" s="1">
        <v>0</v>
      </c>
      <c r="O10" s="24">
        <f t="shared" si="1"/>
        <v>0</v>
      </c>
      <c r="P10" s="9">
        <f>K10+L10-O10</f>
        <v>0</v>
      </c>
      <c r="Q10" s="27">
        <f t="shared" si="10"/>
        <v>0</v>
      </c>
      <c r="R10" s="1">
        <v>0</v>
      </c>
      <c r="S10" s="24">
        <f>CPP!E10</f>
        <v>0</v>
      </c>
      <c r="T10" s="19">
        <v>0</v>
      </c>
      <c r="U10" s="26">
        <f t="shared" si="11"/>
        <v>0</v>
      </c>
      <c r="V10" s="9">
        <f t="shared" si="12"/>
        <v>0</v>
      </c>
      <c r="W10" s="27">
        <f t="shared" si="13"/>
        <v>1063.0399999999981</v>
      </c>
      <c r="X10" s="1">
        <v>0</v>
      </c>
      <c r="Y10" s="24">
        <f>CPP!H10</f>
        <v>0</v>
      </c>
      <c r="Z10" s="1">
        <v>0</v>
      </c>
      <c r="AA10" s="9">
        <f t="shared" si="14"/>
        <v>1063.0399999999981</v>
      </c>
      <c r="AB10" s="27">
        <f t="shared" si="15"/>
        <v>0</v>
      </c>
      <c r="AC10" s="1">
        <v>0</v>
      </c>
      <c r="AD10" s="74">
        <f>CPP!F10</f>
        <v>0</v>
      </c>
      <c r="AE10" s="9">
        <f t="shared" si="3"/>
        <v>0</v>
      </c>
      <c r="AF10" s="27">
        <f t="shared" si="16"/>
        <v>4018.1699999999937</v>
      </c>
      <c r="AG10" s="1">
        <v>0</v>
      </c>
      <c r="AH10" s="1">
        <v>0</v>
      </c>
      <c r="AI10" s="24">
        <f>CPP!G10</f>
        <v>137</v>
      </c>
      <c r="AJ10" s="9">
        <f t="shared" si="4"/>
        <v>3881.1699999999937</v>
      </c>
      <c r="AK10" s="27">
        <f t="shared" si="17"/>
        <v>0</v>
      </c>
      <c r="AL10" s="1">
        <v>0</v>
      </c>
      <c r="AM10" s="1">
        <v>0</v>
      </c>
      <c r="AN10" s="9">
        <f t="shared" si="5"/>
        <v>0</v>
      </c>
      <c r="AO10" s="27">
        <f t="shared" si="18"/>
        <v>0</v>
      </c>
      <c r="AP10" s="1">
        <v>0</v>
      </c>
      <c r="AQ10" s="1">
        <v>0</v>
      </c>
      <c r="AR10" s="73">
        <f>CPP!I10</f>
        <v>0</v>
      </c>
      <c r="AS10" s="72">
        <f t="shared" si="19"/>
        <v>0</v>
      </c>
      <c r="AT10" s="14">
        <f t="shared" si="60"/>
        <v>986.4400000000021</v>
      </c>
      <c r="AU10" s="1">
        <v>0</v>
      </c>
      <c r="AV10" s="1">
        <v>233.33</v>
      </c>
      <c r="AW10" s="74">
        <f>CPP!X10</f>
        <v>0</v>
      </c>
      <c r="AX10" s="14">
        <f t="shared" si="20"/>
        <v>753.11000000000206</v>
      </c>
      <c r="AY10" s="14">
        <f t="shared" si="43"/>
        <v>1004.8669999999903</v>
      </c>
      <c r="AZ10" s="1">
        <v>0</v>
      </c>
      <c r="BA10" s="1">
        <v>0</v>
      </c>
      <c r="BB10" s="74">
        <f>CPP!M10</f>
        <v>0</v>
      </c>
      <c r="BC10" s="14">
        <f t="shared" si="21"/>
        <v>1004.8669999999903</v>
      </c>
      <c r="BD10" s="14">
        <f t="shared" si="44"/>
        <v>0</v>
      </c>
      <c r="BE10" s="1">
        <v>0</v>
      </c>
      <c r="BF10" s="1">
        <v>0</v>
      </c>
      <c r="BG10" s="74">
        <f>CPP!K10</f>
        <v>0</v>
      </c>
      <c r="BH10" s="14">
        <f t="shared" si="22"/>
        <v>0</v>
      </c>
      <c r="BI10" s="14">
        <f t="shared" si="45"/>
        <v>0</v>
      </c>
      <c r="BJ10" s="22">
        <v>0</v>
      </c>
      <c r="BK10" s="22">
        <v>0</v>
      </c>
      <c r="BL10" s="74">
        <f>CPP!L10</f>
        <v>0</v>
      </c>
      <c r="BM10" s="14">
        <f t="shared" si="23"/>
        <v>0</v>
      </c>
      <c r="BN10" s="14">
        <f t="shared" si="46"/>
        <v>0</v>
      </c>
      <c r="BO10" s="1">
        <v>0</v>
      </c>
      <c r="BP10" s="1">
        <v>0</v>
      </c>
      <c r="BQ10" s="74">
        <f>CPP!N10</f>
        <v>0</v>
      </c>
      <c r="BR10" s="14">
        <f t="shared" si="24"/>
        <v>0</v>
      </c>
      <c r="BS10" s="14">
        <f t="shared" si="47"/>
        <v>0</v>
      </c>
      <c r="BT10" s="1">
        <v>0</v>
      </c>
      <c r="BU10" s="1">
        <v>0</v>
      </c>
      <c r="BV10" s="74">
        <f>CPP!O10</f>
        <v>0</v>
      </c>
      <c r="BW10" s="14">
        <f t="shared" si="25"/>
        <v>0</v>
      </c>
      <c r="BX10" s="48">
        <f t="shared" si="48"/>
        <v>0</v>
      </c>
      <c r="BY10" s="1">
        <v>0</v>
      </c>
      <c r="BZ10" s="1">
        <v>0</v>
      </c>
      <c r="CA10" s="88"/>
      <c r="CB10" s="72">
        <f t="shared" si="26"/>
        <v>0</v>
      </c>
      <c r="CC10" s="14">
        <f t="shared" si="49"/>
        <v>0</v>
      </c>
      <c r="CD10" s="1">
        <v>0</v>
      </c>
      <c r="CE10" s="1">
        <v>0</v>
      </c>
      <c r="CF10" s="74">
        <f>CPP!P10</f>
        <v>0</v>
      </c>
      <c r="CG10" s="14">
        <f t="shared" si="27"/>
        <v>0</v>
      </c>
      <c r="CH10" s="14">
        <f t="shared" si="50"/>
        <v>0</v>
      </c>
      <c r="CI10" s="1">
        <v>0</v>
      </c>
      <c r="CJ10" s="1">
        <v>0</v>
      </c>
      <c r="CK10" s="74">
        <f>CPP!Q10</f>
        <v>0</v>
      </c>
      <c r="CL10" s="14">
        <f t="shared" si="28"/>
        <v>0</v>
      </c>
      <c r="CM10" s="14">
        <f t="shared" si="51"/>
        <v>5.0000000000181899E-2</v>
      </c>
      <c r="CN10" s="1">
        <v>0</v>
      </c>
      <c r="CO10" s="1">
        <v>0</v>
      </c>
      <c r="CP10" s="74">
        <f>CPP!R10</f>
        <v>0</v>
      </c>
      <c r="CQ10" s="14">
        <f t="shared" si="29"/>
        <v>5.0000000000181899E-2</v>
      </c>
      <c r="CR10" s="14">
        <f t="shared" si="52"/>
        <v>0</v>
      </c>
      <c r="CS10" s="1">
        <v>0</v>
      </c>
      <c r="CT10" s="1">
        <v>0</v>
      </c>
      <c r="CU10" s="74">
        <f>CPP!S10</f>
        <v>0</v>
      </c>
      <c r="CV10" s="14">
        <f t="shared" si="30"/>
        <v>0</v>
      </c>
      <c r="CW10" s="14">
        <f t="shared" si="53"/>
        <v>0</v>
      </c>
      <c r="CX10" s="1">
        <v>0</v>
      </c>
      <c r="CY10" s="1">
        <v>0</v>
      </c>
      <c r="CZ10" s="74">
        <f>CPP!T10</f>
        <v>0</v>
      </c>
      <c r="DA10" s="14">
        <f t="shared" si="31"/>
        <v>0</v>
      </c>
      <c r="DB10" s="14">
        <f t="shared" si="54"/>
        <v>1.0000000000013998E-2</v>
      </c>
      <c r="DC10" s="1">
        <v>0</v>
      </c>
      <c r="DD10" s="1">
        <v>0</v>
      </c>
      <c r="DE10" s="74">
        <f>CPP!U10</f>
        <v>0</v>
      </c>
      <c r="DF10" s="14">
        <f t="shared" si="32"/>
        <v>1.0000000000013998E-2</v>
      </c>
      <c r="DG10" s="14">
        <f t="shared" si="55"/>
        <v>0</v>
      </c>
      <c r="DH10" s="1">
        <v>0</v>
      </c>
      <c r="DI10" s="1">
        <v>0</v>
      </c>
      <c r="DJ10" s="74">
        <f>CPP!V10</f>
        <v>0</v>
      </c>
      <c r="DK10" s="14">
        <f t="shared" si="33"/>
        <v>0</v>
      </c>
      <c r="DL10" s="14">
        <f t="shared" si="56"/>
        <v>304</v>
      </c>
      <c r="DM10" s="22">
        <v>0</v>
      </c>
      <c r="DN10" s="22">
        <v>0</v>
      </c>
      <c r="DO10" s="74">
        <f>CPP!W10</f>
        <v>0</v>
      </c>
      <c r="DP10" s="14">
        <f t="shared" si="34"/>
        <v>304</v>
      </c>
      <c r="DQ10" s="14">
        <f t="shared" si="57"/>
        <v>0</v>
      </c>
      <c r="DR10" s="1">
        <v>0</v>
      </c>
      <c r="DS10" s="1">
        <v>0</v>
      </c>
      <c r="DT10" s="74">
        <f>CPP!J10</f>
        <v>0</v>
      </c>
      <c r="DU10" s="14">
        <f t="shared" si="35"/>
        <v>0</v>
      </c>
      <c r="DV10" s="14">
        <f t="shared" si="58"/>
        <v>0</v>
      </c>
      <c r="DW10" s="1">
        <v>0</v>
      </c>
      <c r="DX10" s="1">
        <v>0</v>
      </c>
      <c r="DY10" s="74">
        <v>0</v>
      </c>
      <c r="DZ10" s="14">
        <f t="shared" si="36"/>
        <v>0</v>
      </c>
      <c r="EA10" s="48">
        <f t="shared" si="37"/>
        <v>3054.3469999999907</v>
      </c>
      <c r="EB10" s="1">
        <v>0</v>
      </c>
      <c r="EC10" s="1">
        <v>0</v>
      </c>
      <c r="ED10" s="48">
        <f t="shared" si="38"/>
        <v>3054.3469999999907</v>
      </c>
      <c r="EE10" s="14">
        <f t="shared" si="39"/>
        <v>4018.1699999999937</v>
      </c>
      <c r="EF10" s="14">
        <f t="shared" si="6"/>
        <v>0</v>
      </c>
      <c r="EG10" s="14">
        <f>CPP!D10+CPP!E10+CPP!F10+CPP!G10+CPP!H10+CPP!I10+CPP!J10+CPP!M10+BG10</f>
        <v>137</v>
      </c>
      <c r="EH10" s="14">
        <f t="shared" si="40"/>
        <v>3881.1699999999937</v>
      </c>
      <c r="EI10" s="125">
        <f t="shared" si="59"/>
        <v>30410.181086071458</v>
      </c>
      <c r="EJ10" s="1">
        <f t="shared" si="41"/>
        <v>1390</v>
      </c>
      <c r="EK10" s="135">
        <f>'DAILY CEM1'!AG11+'DAILY CEM2'!AF11</f>
        <v>1204.14149999503</v>
      </c>
      <c r="EL10" s="125">
        <f t="shared" si="42"/>
        <v>30596.039586076429</v>
      </c>
      <c r="EM10" s="1">
        <v>1390</v>
      </c>
      <c r="EN10" s="1">
        <v>0</v>
      </c>
      <c r="EO10">
        <v>2512.0599999931014</v>
      </c>
    </row>
    <row r="11" spans="2:145" x14ac:dyDescent="0.25">
      <c r="B11" s="4">
        <v>9</v>
      </c>
      <c r="C11" s="27">
        <f t="shared" si="7"/>
        <v>2121.92</v>
      </c>
      <c r="D11" s="1">
        <v>0</v>
      </c>
      <c r="E11" s="1">
        <v>73</v>
      </c>
      <c r="F11" s="9">
        <f t="shared" si="0"/>
        <v>2048.92</v>
      </c>
      <c r="G11" s="27">
        <f t="shared" si="8"/>
        <v>1907.0495780221536</v>
      </c>
      <c r="H11" s="24">
        <v>0</v>
      </c>
      <c r="I11" s="24">
        <v>0</v>
      </c>
      <c r="J11" s="14">
        <f>G11+H11-I11-[1]Cement!U11</f>
        <v>1882.0495780221536</v>
      </c>
      <c r="K11" s="27">
        <f t="shared" si="9"/>
        <v>0</v>
      </c>
      <c r="L11" s="1">
        <v>0</v>
      </c>
      <c r="M11" s="24">
        <f>CPP!D11</f>
        <v>0</v>
      </c>
      <c r="N11" s="1">
        <v>0</v>
      </c>
      <c r="O11" s="24">
        <f t="shared" si="1"/>
        <v>0</v>
      </c>
      <c r="P11" s="9">
        <f t="shared" si="2"/>
        <v>0</v>
      </c>
      <c r="Q11" s="27">
        <f t="shared" si="10"/>
        <v>0</v>
      </c>
      <c r="R11" s="1">
        <v>0</v>
      </c>
      <c r="S11" s="24">
        <f>CPP!E11</f>
        <v>0</v>
      </c>
      <c r="T11" s="19">
        <v>0</v>
      </c>
      <c r="U11" s="26">
        <f t="shared" si="11"/>
        <v>0</v>
      </c>
      <c r="V11" s="9">
        <f t="shared" si="12"/>
        <v>0</v>
      </c>
      <c r="W11" s="27">
        <f t="shared" si="13"/>
        <v>1063.0399999999981</v>
      </c>
      <c r="X11" s="1">
        <v>0</v>
      </c>
      <c r="Y11" s="24">
        <f>CPP!H11</f>
        <v>0</v>
      </c>
      <c r="Z11" s="1">
        <v>0</v>
      </c>
      <c r="AA11" s="9">
        <f t="shared" si="14"/>
        <v>1063.0399999999981</v>
      </c>
      <c r="AB11" s="27">
        <f t="shared" si="15"/>
        <v>0</v>
      </c>
      <c r="AC11" s="1">
        <v>0</v>
      </c>
      <c r="AD11" s="74">
        <f>CPP!F11</f>
        <v>0</v>
      </c>
      <c r="AE11" s="9">
        <f t="shared" si="3"/>
        <v>0</v>
      </c>
      <c r="AF11" s="27">
        <f t="shared" si="16"/>
        <v>3881.1699999999937</v>
      </c>
      <c r="AG11" s="1">
        <v>344.15</v>
      </c>
      <c r="AH11" s="1">
        <v>0</v>
      </c>
      <c r="AI11" s="24">
        <f>CPP!G11</f>
        <v>130</v>
      </c>
      <c r="AJ11" s="9">
        <f t="shared" si="4"/>
        <v>4095.3199999999933</v>
      </c>
      <c r="AK11" s="27">
        <f t="shared" si="17"/>
        <v>0</v>
      </c>
      <c r="AL11" s="1">
        <v>0</v>
      </c>
      <c r="AM11" s="1">
        <v>0</v>
      </c>
      <c r="AN11" s="9">
        <f t="shared" si="5"/>
        <v>0</v>
      </c>
      <c r="AO11" s="27">
        <f t="shared" si="18"/>
        <v>0</v>
      </c>
      <c r="AP11" s="1">
        <v>0</v>
      </c>
      <c r="AQ11" s="1">
        <v>0</v>
      </c>
      <c r="AR11" s="73">
        <f>CPP!I11</f>
        <v>0</v>
      </c>
      <c r="AS11" s="72">
        <f t="shared" si="19"/>
        <v>0</v>
      </c>
      <c r="AT11" s="14">
        <f t="shared" si="60"/>
        <v>753.11000000000206</v>
      </c>
      <c r="AU11" s="1">
        <v>0</v>
      </c>
      <c r="AV11" s="1">
        <v>250</v>
      </c>
      <c r="AW11" s="74">
        <f>CPP!X11</f>
        <v>0</v>
      </c>
      <c r="AX11" s="14">
        <f t="shared" si="20"/>
        <v>503.11000000000206</v>
      </c>
      <c r="AY11" s="14">
        <f t="shared" si="43"/>
        <v>1004.8669999999903</v>
      </c>
      <c r="AZ11" s="1">
        <v>942.44</v>
      </c>
      <c r="BA11" s="1">
        <v>0</v>
      </c>
      <c r="BB11" s="74">
        <f>CPP!M11</f>
        <v>0</v>
      </c>
      <c r="BC11" s="14">
        <f t="shared" si="21"/>
        <v>1947.3069999999902</v>
      </c>
      <c r="BD11" s="14">
        <f t="shared" si="44"/>
        <v>0</v>
      </c>
      <c r="BE11" s="1">
        <v>0</v>
      </c>
      <c r="BF11" s="1">
        <v>0</v>
      </c>
      <c r="BG11" s="74">
        <f>CPP!K11</f>
        <v>0</v>
      </c>
      <c r="BH11" s="14">
        <f t="shared" si="22"/>
        <v>0</v>
      </c>
      <c r="BI11" s="14">
        <f t="shared" si="45"/>
        <v>0</v>
      </c>
      <c r="BJ11" s="1">
        <v>0</v>
      </c>
      <c r="BK11" s="1">
        <v>0</v>
      </c>
      <c r="BL11" s="74">
        <f>CPP!L11</f>
        <v>0</v>
      </c>
      <c r="BM11" s="14">
        <f t="shared" si="23"/>
        <v>0</v>
      </c>
      <c r="BN11" s="14">
        <f t="shared" si="46"/>
        <v>0</v>
      </c>
      <c r="BO11" s="1">
        <v>0</v>
      </c>
      <c r="BP11" s="1">
        <v>0</v>
      </c>
      <c r="BQ11" s="74">
        <f>CPP!N11</f>
        <v>0</v>
      </c>
      <c r="BR11" s="14">
        <f t="shared" si="24"/>
        <v>0</v>
      </c>
      <c r="BS11" s="14">
        <f t="shared" si="47"/>
        <v>0</v>
      </c>
      <c r="BT11" s="1">
        <v>0</v>
      </c>
      <c r="BU11" s="1">
        <v>0</v>
      </c>
      <c r="BV11" s="74">
        <f>CPP!O11</f>
        <v>0</v>
      </c>
      <c r="BW11" s="14">
        <f t="shared" si="25"/>
        <v>0</v>
      </c>
      <c r="BX11" s="48">
        <f t="shared" si="48"/>
        <v>0</v>
      </c>
      <c r="BY11" s="1">
        <v>0</v>
      </c>
      <c r="BZ11" s="1">
        <v>0</v>
      </c>
      <c r="CA11" s="88"/>
      <c r="CB11" s="72">
        <f t="shared" si="26"/>
        <v>0</v>
      </c>
      <c r="CC11" s="14">
        <f t="shared" si="49"/>
        <v>0</v>
      </c>
      <c r="CD11" s="1">
        <v>0</v>
      </c>
      <c r="CE11" s="1">
        <v>0</v>
      </c>
      <c r="CF11" s="74">
        <f>CPP!P11</f>
        <v>0</v>
      </c>
      <c r="CG11" s="14">
        <f t="shared" si="27"/>
        <v>0</v>
      </c>
      <c r="CH11" s="14">
        <f t="shared" si="50"/>
        <v>0</v>
      </c>
      <c r="CI11" s="1">
        <v>0</v>
      </c>
      <c r="CJ11" s="1">
        <v>0</v>
      </c>
      <c r="CK11" s="74">
        <f>CPP!Q11</f>
        <v>0</v>
      </c>
      <c r="CL11" s="14">
        <f t="shared" si="28"/>
        <v>0</v>
      </c>
      <c r="CM11" s="14">
        <f t="shared" si="51"/>
        <v>5.0000000000181899E-2</v>
      </c>
      <c r="CN11" s="1">
        <v>0</v>
      </c>
      <c r="CO11" s="1">
        <v>0</v>
      </c>
      <c r="CP11" s="74">
        <f>CPP!R11</f>
        <v>0</v>
      </c>
      <c r="CQ11" s="14">
        <f t="shared" si="29"/>
        <v>5.0000000000181899E-2</v>
      </c>
      <c r="CR11" s="14">
        <f t="shared" si="52"/>
        <v>0</v>
      </c>
      <c r="CS11" s="1">
        <v>0</v>
      </c>
      <c r="CT11" s="1">
        <v>0</v>
      </c>
      <c r="CU11" s="74">
        <f>CPP!S11</f>
        <v>0</v>
      </c>
      <c r="CV11" s="14">
        <f t="shared" si="30"/>
        <v>0</v>
      </c>
      <c r="CW11" s="14">
        <f t="shared" si="53"/>
        <v>0</v>
      </c>
      <c r="CX11" s="1">
        <v>0</v>
      </c>
      <c r="CY11" s="1">
        <v>0</v>
      </c>
      <c r="CZ11" s="74">
        <f>CPP!T11</f>
        <v>0</v>
      </c>
      <c r="DA11" s="14">
        <f t="shared" si="31"/>
        <v>0</v>
      </c>
      <c r="DB11" s="14">
        <f t="shared" si="54"/>
        <v>1.0000000000013998E-2</v>
      </c>
      <c r="DC11" s="1">
        <v>0</v>
      </c>
      <c r="DD11" s="1">
        <v>0</v>
      </c>
      <c r="DE11" s="74">
        <f>CPP!U11</f>
        <v>0</v>
      </c>
      <c r="DF11" s="14">
        <f t="shared" si="32"/>
        <v>1.0000000000013998E-2</v>
      </c>
      <c r="DG11" s="14">
        <f t="shared" si="55"/>
        <v>0</v>
      </c>
      <c r="DH11" s="1">
        <v>0</v>
      </c>
      <c r="DI11" s="1">
        <v>0</v>
      </c>
      <c r="DJ11" s="74">
        <f>CPP!V11</f>
        <v>0</v>
      </c>
      <c r="DK11" s="14">
        <f t="shared" si="33"/>
        <v>0</v>
      </c>
      <c r="DL11" s="14">
        <f t="shared" si="56"/>
        <v>304</v>
      </c>
      <c r="DM11" s="1">
        <v>0</v>
      </c>
      <c r="DN11" s="1">
        <v>0</v>
      </c>
      <c r="DO11" s="74">
        <f>CPP!W11</f>
        <v>0</v>
      </c>
      <c r="DP11" s="14">
        <f t="shared" si="34"/>
        <v>304</v>
      </c>
      <c r="DQ11" s="14">
        <f t="shared" si="57"/>
        <v>0</v>
      </c>
      <c r="DR11" s="1">
        <v>0</v>
      </c>
      <c r="DS11" s="1">
        <v>0</v>
      </c>
      <c r="DT11" s="74">
        <f>CPP!J11</f>
        <v>0</v>
      </c>
      <c r="DU11" s="14">
        <f t="shared" si="35"/>
        <v>0</v>
      </c>
      <c r="DV11" s="14">
        <f t="shared" si="58"/>
        <v>0</v>
      </c>
      <c r="DW11" s="1">
        <v>0</v>
      </c>
      <c r="DX11" s="1">
        <v>0</v>
      </c>
      <c r="DY11" s="74">
        <v>0</v>
      </c>
      <c r="DZ11" s="14">
        <f t="shared" si="36"/>
        <v>0</v>
      </c>
      <c r="EA11" s="48">
        <f t="shared" si="37"/>
        <v>2821.0169999999903</v>
      </c>
      <c r="EB11" s="1">
        <v>0</v>
      </c>
      <c r="EC11" s="1">
        <v>0</v>
      </c>
      <c r="ED11" s="48">
        <f t="shared" si="38"/>
        <v>2821.0169999999903</v>
      </c>
      <c r="EE11" s="14">
        <f t="shared" si="39"/>
        <v>3881.1699999999937</v>
      </c>
      <c r="EF11" s="14">
        <f t="shared" si="6"/>
        <v>344.15</v>
      </c>
      <c r="EG11" s="14">
        <f>CPP!D11+CPP!E11+CPP!F11+CPP!G11+CPP!H11+CPP!I11+CPP!J11+CPP!M11+BG11</f>
        <v>130</v>
      </c>
      <c r="EH11" s="14">
        <f t="shared" si="40"/>
        <v>4095.3199999999933</v>
      </c>
      <c r="EI11" s="125">
        <f t="shared" si="59"/>
        <v>30596.039586076429</v>
      </c>
      <c r="EJ11" s="1">
        <f t="shared" si="41"/>
        <v>1430</v>
      </c>
      <c r="EK11" s="135">
        <f>'DAILY CEM1'!AG12+'DAILY CEM2'!AF12</f>
        <v>1365.6830000450011</v>
      </c>
      <c r="EL11" s="125">
        <f t="shared" si="42"/>
        <v>30660.356586031427</v>
      </c>
      <c r="EM11" s="1">
        <v>1430</v>
      </c>
      <c r="EN11" s="1">
        <v>0</v>
      </c>
      <c r="EO11">
        <v>2398.8700001885809</v>
      </c>
    </row>
    <row r="12" spans="2:145" x14ac:dyDescent="0.25">
      <c r="B12" s="4">
        <v>10</v>
      </c>
      <c r="C12" s="27">
        <f t="shared" si="7"/>
        <v>2048.92</v>
      </c>
      <c r="D12" s="1">
        <v>0</v>
      </c>
      <c r="E12" s="1">
        <v>95</v>
      </c>
      <c r="F12" s="9">
        <f t="shared" si="0"/>
        <v>1953.92</v>
      </c>
      <c r="G12" s="27">
        <f t="shared" si="8"/>
        <v>1882.0495780221536</v>
      </c>
      <c r="H12" s="24">
        <v>0</v>
      </c>
      <c r="I12" s="24">
        <v>0</v>
      </c>
      <c r="J12" s="14">
        <f>G12+H12-I12-[1]Cement!U12</f>
        <v>1843.0495782498535</v>
      </c>
      <c r="K12" s="27">
        <f t="shared" si="9"/>
        <v>0</v>
      </c>
      <c r="L12" s="1">
        <v>0</v>
      </c>
      <c r="M12" s="24">
        <f>CPP!D12</f>
        <v>0</v>
      </c>
      <c r="N12" s="1">
        <v>0</v>
      </c>
      <c r="O12" s="24">
        <f t="shared" si="1"/>
        <v>0</v>
      </c>
      <c r="P12" s="9">
        <f t="shared" si="2"/>
        <v>0</v>
      </c>
      <c r="Q12" s="27">
        <f t="shared" si="10"/>
        <v>0</v>
      </c>
      <c r="R12" s="1">
        <v>0</v>
      </c>
      <c r="S12" s="24">
        <f>CPP!E12</f>
        <v>0</v>
      </c>
      <c r="T12" s="19">
        <v>0</v>
      </c>
      <c r="U12" s="26">
        <f t="shared" si="11"/>
        <v>0</v>
      </c>
      <c r="V12" s="9">
        <f t="shared" si="12"/>
        <v>0</v>
      </c>
      <c r="W12" s="27">
        <f t="shared" si="13"/>
        <v>1063.0399999999981</v>
      </c>
      <c r="X12" s="1">
        <v>0</v>
      </c>
      <c r="Y12" s="24">
        <f>CPP!H12</f>
        <v>0</v>
      </c>
      <c r="Z12" s="1">
        <v>0</v>
      </c>
      <c r="AA12" s="9">
        <f t="shared" si="14"/>
        <v>1063.0399999999981</v>
      </c>
      <c r="AB12" s="27">
        <f t="shared" si="15"/>
        <v>0</v>
      </c>
      <c r="AC12" s="1">
        <v>0</v>
      </c>
      <c r="AD12" s="74">
        <f>CPP!F12</f>
        <v>0</v>
      </c>
      <c r="AE12" s="9">
        <f t="shared" si="3"/>
        <v>0</v>
      </c>
      <c r="AF12" s="27">
        <f t="shared" si="16"/>
        <v>4095.3199999999933</v>
      </c>
      <c r="AG12" s="1">
        <v>251.7</v>
      </c>
      <c r="AH12" s="1">
        <v>0</v>
      </c>
      <c r="AI12" s="24">
        <f>CPP!G12</f>
        <v>131</v>
      </c>
      <c r="AJ12" s="9">
        <f t="shared" si="4"/>
        <v>4216.0199999999932</v>
      </c>
      <c r="AK12" s="27">
        <f t="shared" si="17"/>
        <v>0</v>
      </c>
      <c r="AL12" s="1">
        <v>0</v>
      </c>
      <c r="AM12" s="1">
        <v>0</v>
      </c>
      <c r="AN12" s="9">
        <f t="shared" si="5"/>
        <v>0</v>
      </c>
      <c r="AO12" s="27">
        <f t="shared" si="18"/>
        <v>0</v>
      </c>
      <c r="AP12" s="1">
        <v>0</v>
      </c>
      <c r="AQ12" s="1">
        <v>0</v>
      </c>
      <c r="AR12" s="73">
        <f>CPP!I12</f>
        <v>0</v>
      </c>
      <c r="AS12" s="72">
        <f t="shared" si="19"/>
        <v>0</v>
      </c>
      <c r="AT12" s="14">
        <f t="shared" si="60"/>
        <v>503.11000000000206</v>
      </c>
      <c r="AU12" s="1">
        <v>0</v>
      </c>
      <c r="AV12" s="1">
        <v>260</v>
      </c>
      <c r="AW12" s="74">
        <f>CPP!X12</f>
        <v>0</v>
      </c>
      <c r="AX12" s="14">
        <f t="shared" si="20"/>
        <v>243.11000000000206</v>
      </c>
      <c r="AY12" s="14">
        <f t="shared" si="43"/>
        <v>1947.3069999999902</v>
      </c>
      <c r="AZ12" s="1">
        <v>191.78</v>
      </c>
      <c r="BA12" s="1">
        <v>0</v>
      </c>
      <c r="BB12" s="74">
        <f>CPP!M12</f>
        <v>0</v>
      </c>
      <c r="BC12" s="14">
        <f t="shared" si="21"/>
        <v>2139.0869999999904</v>
      </c>
      <c r="BD12" s="14">
        <f t="shared" si="44"/>
        <v>0</v>
      </c>
      <c r="BE12" s="1">
        <v>0</v>
      </c>
      <c r="BF12" s="1">
        <v>0</v>
      </c>
      <c r="BG12" s="74">
        <f>CPP!K12</f>
        <v>0</v>
      </c>
      <c r="BH12" s="14">
        <f t="shared" si="22"/>
        <v>0</v>
      </c>
      <c r="BI12" s="14">
        <f t="shared" si="45"/>
        <v>0</v>
      </c>
      <c r="BJ12" s="22">
        <v>0</v>
      </c>
      <c r="BK12" s="22">
        <v>0</v>
      </c>
      <c r="BL12" s="74">
        <f>CPP!L12</f>
        <v>0</v>
      </c>
      <c r="BM12" s="14">
        <f t="shared" si="23"/>
        <v>0</v>
      </c>
      <c r="BN12" s="14">
        <f t="shared" si="46"/>
        <v>0</v>
      </c>
      <c r="BO12" s="1">
        <v>0</v>
      </c>
      <c r="BP12" s="1">
        <v>0</v>
      </c>
      <c r="BQ12" s="74">
        <f>CPP!N12</f>
        <v>0</v>
      </c>
      <c r="BR12" s="14">
        <f t="shared" si="24"/>
        <v>0</v>
      </c>
      <c r="BS12" s="14">
        <f t="shared" si="47"/>
        <v>0</v>
      </c>
      <c r="BT12" s="1">
        <v>0</v>
      </c>
      <c r="BU12" s="1">
        <v>0</v>
      </c>
      <c r="BV12" s="74">
        <f>CPP!O12</f>
        <v>0</v>
      </c>
      <c r="BW12" s="14">
        <f t="shared" si="25"/>
        <v>0</v>
      </c>
      <c r="BX12" s="48">
        <f t="shared" si="48"/>
        <v>0</v>
      </c>
      <c r="BY12" s="1">
        <v>0</v>
      </c>
      <c r="BZ12" s="1">
        <v>0</v>
      </c>
      <c r="CA12" s="88"/>
      <c r="CB12" s="72">
        <f t="shared" si="26"/>
        <v>0</v>
      </c>
      <c r="CC12" s="14">
        <f t="shared" si="49"/>
        <v>0</v>
      </c>
      <c r="CD12" s="1">
        <v>0</v>
      </c>
      <c r="CE12" s="1">
        <v>0</v>
      </c>
      <c r="CF12" s="74">
        <f>CPP!P12</f>
        <v>0</v>
      </c>
      <c r="CG12" s="14">
        <f t="shared" si="27"/>
        <v>0</v>
      </c>
      <c r="CH12" s="14">
        <f t="shared" si="50"/>
        <v>0</v>
      </c>
      <c r="CI12" s="1">
        <v>0</v>
      </c>
      <c r="CJ12" s="1">
        <v>0</v>
      </c>
      <c r="CK12" s="74">
        <f>CPP!Q12</f>
        <v>0</v>
      </c>
      <c r="CL12" s="14">
        <f t="shared" si="28"/>
        <v>0</v>
      </c>
      <c r="CM12" s="14">
        <f t="shared" si="51"/>
        <v>5.0000000000181899E-2</v>
      </c>
      <c r="CN12" s="1">
        <v>0</v>
      </c>
      <c r="CO12" s="1">
        <v>0</v>
      </c>
      <c r="CP12" s="74">
        <f>CPP!R12</f>
        <v>0</v>
      </c>
      <c r="CQ12" s="14">
        <f t="shared" si="29"/>
        <v>5.0000000000181899E-2</v>
      </c>
      <c r="CR12" s="14">
        <f t="shared" si="52"/>
        <v>0</v>
      </c>
      <c r="CS12" s="1">
        <v>0</v>
      </c>
      <c r="CT12" s="1">
        <v>0</v>
      </c>
      <c r="CU12" s="74">
        <f>CPP!S12</f>
        <v>0</v>
      </c>
      <c r="CV12" s="14">
        <f t="shared" si="30"/>
        <v>0</v>
      </c>
      <c r="CW12" s="14">
        <f t="shared" si="53"/>
        <v>0</v>
      </c>
      <c r="CX12" s="1">
        <v>0</v>
      </c>
      <c r="CY12" s="1">
        <v>0</v>
      </c>
      <c r="CZ12" s="74">
        <f>CPP!T12</f>
        <v>0</v>
      </c>
      <c r="DA12" s="14">
        <f t="shared" si="31"/>
        <v>0</v>
      </c>
      <c r="DB12" s="14">
        <f t="shared" si="54"/>
        <v>1.0000000000013998E-2</v>
      </c>
      <c r="DC12" s="1">
        <v>0</v>
      </c>
      <c r="DD12" s="1">
        <v>0</v>
      </c>
      <c r="DE12" s="74">
        <f>CPP!U12</f>
        <v>0</v>
      </c>
      <c r="DF12" s="14">
        <f t="shared" si="32"/>
        <v>1.0000000000013998E-2</v>
      </c>
      <c r="DG12" s="14">
        <f t="shared" si="55"/>
        <v>0</v>
      </c>
      <c r="DH12" s="1">
        <v>0</v>
      </c>
      <c r="DI12" s="1">
        <v>0</v>
      </c>
      <c r="DJ12" s="74">
        <f>CPP!V12</f>
        <v>0</v>
      </c>
      <c r="DK12" s="14">
        <f t="shared" si="33"/>
        <v>0</v>
      </c>
      <c r="DL12" s="14">
        <f t="shared" si="56"/>
        <v>304</v>
      </c>
      <c r="DM12" s="22">
        <v>0</v>
      </c>
      <c r="DN12" s="22">
        <v>0</v>
      </c>
      <c r="DO12" s="74">
        <f>CPP!W12</f>
        <v>0</v>
      </c>
      <c r="DP12" s="14">
        <f t="shared" si="34"/>
        <v>304</v>
      </c>
      <c r="DQ12" s="14">
        <f t="shared" si="57"/>
        <v>0</v>
      </c>
      <c r="DR12" s="1">
        <v>0</v>
      </c>
      <c r="DS12" s="1">
        <v>0</v>
      </c>
      <c r="DT12" s="74">
        <f>CPP!J12</f>
        <v>0</v>
      </c>
      <c r="DU12" s="14">
        <f t="shared" si="35"/>
        <v>0</v>
      </c>
      <c r="DV12" s="14">
        <f t="shared" si="58"/>
        <v>0</v>
      </c>
      <c r="DW12" s="1">
        <v>0</v>
      </c>
      <c r="DX12" s="1">
        <v>0</v>
      </c>
      <c r="DY12" s="74">
        <v>0</v>
      </c>
      <c r="DZ12" s="14">
        <f t="shared" si="36"/>
        <v>0</v>
      </c>
      <c r="EA12" s="48">
        <f t="shared" si="37"/>
        <v>3513.4569999999903</v>
      </c>
      <c r="EB12" s="1">
        <v>0</v>
      </c>
      <c r="EC12" s="1">
        <v>0</v>
      </c>
      <c r="ED12" s="48">
        <f t="shared" si="38"/>
        <v>3513.4569999999903</v>
      </c>
      <c r="EE12" s="14">
        <f t="shared" si="39"/>
        <v>4095.3199999999933</v>
      </c>
      <c r="EF12" s="14">
        <f t="shared" si="6"/>
        <v>251.7</v>
      </c>
      <c r="EG12" s="14">
        <f>CPP!D12+CPP!E12+CPP!F12+CPP!G12+CPP!H12+CPP!I12+CPP!J12+CPP!M12+BG12</f>
        <v>131</v>
      </c>
      <c r="EH12" s="14">
        <f t="shared" si="40"/>
        <v>4216.0199999999932</v>
      </c>
      <c r="EI12" s="125">
        <f t="shared" si="59"/>
        <v>30660.356586031427</v>
      </c>
      <c r="EJ12" s="1">
        <f t="shared" si="41"/>
        <v>1510</v>
      </c>
      <c r="EK12" s="135">
        <f>'DAILY CEM1'!AG13+'DAILY CEM2'!AF13</f>
        <v>2075.320000048001</v>
      </c>
      <c r="EL12" s="125">
        <f t="shared" si="42"/>
        <v>30095.036585983427</v>
      </c>
      <c r="EM12" s="1">
        <v>1510</v>
      </c>
      <c r="EN12" s="1">
        <v>0</v>
      </c>
      <c r="EO12">
        <v>2254.0400000000009</v>
      </c>
    </row>
    <row r="13" spans="2:145" x14ac:dyDescent="0.25">
      <c r="B13" s="4">
        <v>11</v>
      </c>
      <c r="C13" s="27">
        <f t="shared" si="7"/>
        <v>1953.92</v>
      </c>
      <c r="D13" s="1">
        <v>0</v>
      </c>
      <c r="E13" s="1">
        <v>47</v>
      </c>
      <c r="F13" s="9">
        <f t="shared" si="0"/>
        <v>1906.92</v>
      </c>
      <c r="G13" s="27">
        <f t="shared" si="8"/>
        <v>1843.0495782498535</v>
      </c>
      <c r="H13" s="24">
        <v>0</v>
      </c>
      <c r="I13" s="24">
        <v>0</v>
      </c>
      <c r="J13" s="14">
        <f>G13+H13-I13-[1]Cement!U13</f>
        <v>1806.0495776098535</v>
      </c>
      <c r="K13" s="27">
        <f t="shared" si="9"/>
        <v>0</v>
      </c>
      <c r="L13" s="1">
        <v>0</v>
      </c>
      <c r="M13" s="24">
        <f>CPP!D13</f>
        <v>0</v>
      </c>
      <c r="N13" s="1">
        <v>0</v>
      </c>
      <c r="O13" s="24">
        <f t="shared" si="1"/>
        <v>0</v>
      </c>
      <c r="P13" s="9">
        <f t="shared" si="2"/>
        <v>0</v>
      </c>
      <c r="Q13" s="27">
        <f t="shared" si="10"/>
        <v>0</v>
      </c>
      <c r="R13" s="1">
        <v>0</v>
      </c>
      <c r="S13" s="24">
        <f>CPP!E13</f>
        <v>0</v>
      </c>
      <c r="T13" s="19">
        <v>0</v>
      </c>
      <c r="U13" s="26">
        <f t="shared" si="11"/>
        <v>0</v>
      </c>
      <c r="V13" s="9">
        <f t="shared" si="12"/>
        <v>0</v>
      </c>
      <c r="W13" s="27">
        <f t="shared" si="13"/>
        <v>1063.0399999999981</v>
      </c>
      <c r="X13" s="1">
        <v>0</v>
      </c>
      <c r="Y13" s="24">
        <f>CPP!H13</f>
        <v>0</v>
      </c>
      <c r="Z13" s="1">
        <v>0</v>
      </c>
      <c r="AA13" s="9">
        <f t="shared" si="14"/>
        <v>1063.0399999999981</v>
      </c>
      <c r="AB13" s="27">
        <f t="shared" si="15"/>
        <v>0</v>
      </c>
      <c r="AC13" s="1">
        <v>0</v>
      </c>
      <c r="AD13" s="74">
        <f>CPP!F13</f>
        <v>0</v>
      </c>
      <c r="AE13" s="9">
        <f t="shared" si="3"/>
        <v>0</v>
      </c>
      <c r="AF13" s="27">
        <f t="shared" si="16"/>
        <v>4216.0199999999932</v>
      </c>
      <c r="AG13" s="1">
        <v>0</v>
      </c>
      <c r="AH13" s="1">
        <v>0</v>
      </c>
      <c r="AI13" s="24">
        <f>CPP!G13</f>
        <v>137</v>
      </c>
      <c r="AJ13" s="9">
        <f t="shared" si="4"/>
        <v>4079.0199999999932</v>
      </c>
      <c r="AK13" s="27">
        <f t="shared" si="17"/>
        <v>0</v>
      </c>
      <c r="AL13" s="1">
        <v>0</v>
      </c>
      <c r="AM13" s="1">
        <v>0</v>
      </c>
      <c r="AN13" s="9">
        <f t="shared" si="5"/>
        <v>0</v>
      </c>
      <c r="AO13" s="27">
        <f t="shared" si="18"/>
        <v>0</v>
      </c>
      <c r="AP13" s="1">
        <v>0</v>
      </c>
      <c r="AQ13" s="1">
        <v>0</v>
      </c>
      <c r="AR13" s="73">
        <f>CPP!I13</f>
        <v>0</v>
      </c>
      <c r="AS13" s="72">
        <f t="shared" si="19"/>
        <v>0</v>
      </c>
      <c r="AT13" s="14">
        <f t="shared" si="60"/>
        <v>243.11000000000206</v>
      </c>
      <c r="AU13" s="1">
        <v>0</v>
      </c>
      <c r="AV13" s="1">
        <v>215</v>
      </c>
      <c r="AW13" s="74">
        <f>CPP!X13</f>
        <v>0</v>
      </c>
      <c r="AX13" s="14">
        <f t="shared" si="20"/>
        <v>28.11000000000206</v>
      </c>
      <c r="AY13" s="14">
        <f t="shared" si="43"/>
        <v>2139.0869999999904</v>
      </c>
      <c r="AZ13" s="1">
        <v>157.12</v>
      </c>
      <c r="BA13" s="1">
        <v>0</v>
      </c>
      <c r="BB13" s="74">
        <f>CPP!M13</f>
        <v>0</v>
      </c>
      <c r="BC13" s="14">
        <f t="shared" si="21"/>
        <v>2296.2069999999903</v>
      </c>
      <c r="BD13" s="14">
        <f t="shared" si="44"/>
        <v>0</v>
      </c>
      <c r="BE13" s="1">
        <v>0</v>
      </c>
      <c r="BF13" s="1">
        <v>0</v>
      </c>
      <c r="BG13" s="74">
        <f>CPP!K13</f>
        <v>0</v>
      </c>
      <c r="BH13" s="14">
        <f t="shared" si="22"/>
        <v>0</v>
      </c>
      <c r="BI13" s="14">
        <f t="shared" si="45"/>
        <v>0</v>
      </c>
      <c r="BJ13" s="1">
        <v>0</v>
      </c>
      <c r="BK13" s="1">
        <v>0</v>
      </c>
      <c r="BL13" s="74">
        <f>CPP!L13</f>
        <v>0</v>
      </c>
      <c r="BM13" s="14">
        <f t="shared" si="23"/>
        <v>0</v>
      </c>
      <c r="BN13" s="14">
        <f t="shared" si="46"/>
        <v>0</v>
      </c>
      <c r="BO13" s="1">
        <v>0</v>
      </c>
      <c r="BP13" s="1">
        <v>0</v>
      </c>
      <c r="BQ13" s="74">
        <f>CPP!N13</f>
        <v>0</v>
      </c>
      <c r="BR13" s="14">
        <f t="shared" si="24"/>
        <v>0</v>
      </c>
      <c r="BS13" s="14">
        <f t="shared" si="47"/>
        <v>0</v>
      </c>
      <c r="BT13" s="1">
        <v>0</v>
      </c>
      <c r="BU13" s="1">
        <v>0</v>
      </c>
      <c r="BV13" s="74">
        <f>CPP!O13</f>
        <v>0</v>
      </c>
      <c r="BW13" s="14">
        <f t="shared" si="25"/>
        <v>0</v>
      </c>
      <c r="BX13" s="48">
        <f t="shared" si="48"/>
        <v>0</v>
      </c>
      <c r="BY13" s="1">
        <v>0</v>
      </c>
      <c r="BZ13" s="1">
        <v>0</v>
      </c>
      <c r="CA13" s="88"/>
      <c r="CB13" s="72">
        <f t="shared" si="26"/>
        <v>0</v>
      </c>
      <c r="CC13" s="14">
        <f t="shared" si="49"/>
        <v>0</v>
      </c>
      <c r="CD13" s="1">
        <v>0</v>
      </c>
      <c r="CE13" s="1">
        <v>0</v>
      </c>
      <c r="CF13" s="74">
        <f>CPP!P13</f>
        <v>0</v>
      </c>
      <c r="CG13" s="14">
        <f t="shared" si="27"/>
        <v>0</v>
      </c>
      <c r="CH13" s="14">
        <f t="shared" si="50"/>
        <v>0</v>
      </c>
      <c r="CI13" s="1">
        <v>0</v>
      </c>
      <c r="CJ13" s="1">
        <v>0</v>
      </c>
      <c r="CK13" s="74">
        <f>CPP!Q13</f>
        <v>0</v>
      </c>
      <c r="CL13" s="14">
        <f t="shared" si="28"/>
        <v>0</v>
      </c>
      <c r="CM13" s="14">
        <f t="shared" si="51"/>
        <v>5.0000000000181899E-2</v>
      </c>
      <c r="CN13" s="1">
        <v>0</v>
      </c>
      <c r="CO13" s="1">
        <v>0</v>
      </c>
      <c r="CP13" s="74">
        <f>CPP!R13</f>
        <v>0</v>
      </c>
      <c r="CQ13" s="14">
        <f t="shared" si="29"/>
        <v>5.0000000000181899E-2</v>
      </c>
      <c r="CR13" s="14">
        <f t="shared" si="52"/>
        <v>0</v>
      </c>
      <c r="CS13" s="1">
        <v>0</v>
      </c>
      <c r="CT13" s="1">
        <v>0</v>
      </c>
      <c r="CU13" s="74">
        <f>CPP!S13</f>
        <v>0</v>
      </c>
      <c r="CV13" s="14">
        <f t="shared" si="30"/>
        <v>0</v>
      </c>
      <c r="CW13" s="14">
        <f t="shared" si="53"/>
        <v>0</v>
      </c>
      <c r="CX13" s="1">
        <v>0</v>
      </c>
      <c r="CY13" s="1">
        <v>0</v>
      </c>
      <c r="CZ13" s="74">
        <f>CPP!T13</f>
        <v>0</v>
      </c>
      <c r="DA13" s="14">
        <f t="shared" si="31"/>
        <v>0</v>
      </c>
      <c r="DB13" s="14">
        <f t="shared" si="54"/>
        <v>1.0000000000013998E-2</v>
      </c>
      <c r="DC13" s="1">
        <v>0</v>
      </c>
      <c r="DD13" s="1">
        <v>0</v>
      </c>
      <c r="DE13" s="74">
        <f>CPP!U13</f>
        <v>0</v>
      </c>
      <c r="DF13" s="14">
        <f t="shared" si="32"/>
        <v>1.0000000000013998E-2</v>
      </c>
      <c r="DG13" s="14">
        <f t="shared" si="55"/>
        <v>0</v>
      </c>
      <c r="DH13" s="1">
        <v>0</v>
      </c>
      <c r="DI13" s="1">
        <v>0</v>
      </c>
      <c r="DJ13" s="74">
        <f>CPP!V13</f>
        <v>0</v>
      </c>
      <c r="DK13" s="14">
        <f t="shared" si="33"/>
        <v>0</v>
      </c>
      <c r="DL13" s="14">
        <f t="shared" si="56"/>
        <v>304</v>
      </c>
      <c r="DM13" s="22">
        <v>0</v>
      </c>
      <c r="DN13" s="1">
        <v>0</v>
      </c>
      <c r="DO13" s="74">
        <f>CPP!W13</f>
        <v>0</v>
      </c>
      <c r="DP13" s="14">
        <f t="shared" si="34"/>
        <v>304</v>
      </c>
      <c r="DQ13" s="14">
        <f t="shared" si="57"/>
        <v>0</v>
      </c>
      <c r="DR13" s="1">
        <v>0</v>
      </c>
      <c r="DS13" s="1">
        <v>0</v>
      </c>
      <c r="DT13" s="74">
        <f>CPP!J13</f>
        <v>0</v>
      </c>
      <c r="DU13" s="14">
        <f t="shared" si="35"/>
        <v>0</v>
      </c>
      <c r="DV13" s="14">
        <f t="shared" si="58"/>
        <v>0</v>
      </c>
      <c r="DW13" s="1">
        <v>0</v>
      </c>
      <c r="DX13" s="1">
        <v>0</v>
      </c>
      <c r="DY13" s="74">
        <v>0</v>
      </c>
      <c r="DZ13" s="14">
        <f t="shared" si="36"/>
        <v>0</v>
      </c>
      <c r="EA13" s="48">
        <f t="shared" si="37"/>
        <v>3445.2369999999905</v>
      </c>
      <c r="EB13" s="1">
        <v>0</v>
      </c>
      <c r="EC13" s="1">
        <v>0</v>
      </c>
      <c r="ED13" s="48">
        <f t="shared" si="38"/>
        <v>3445.2369999999905</v>
      </c>
      <c r="EE13" s="14">
        <f t="shared" si="39"/>
        <v>4216.0199999999932</v>
      </c>
      <c r="EF13" s="14">
        <f t="shared" si="6"/>
        <v>0</v>
      </c>
      <c r="EG13" s="14">
        <f>CPP!D13+CPP!E13+CPP!F13+CPP!G13+CPP!H13+CPP!I13+CPP!J13+CPP!M13+BG13</f>
        <v>137</v>
      </c>
      <c r="EH13" s="14">
        <f t="shared" si="40"/>
        <v>4079.0199999999932</v>
      </c>
      <c r="EI13" s="125">
        <f t="shared" si="59"/>
        <v>30095.036585983427</v>
      </c>
      <c r="EJ13" s="1">
        <f t="shared" si="41"/>
        <v>1290</v>
      </c>
      <c r="EK13" s="135">
        <f>'DAILY CEM1'!AG14+'DAILY CEM2'!AF14</f>
        <v>2303.9999999999854</v>
      </c>
      <c r="EL13" s="125">
        <f t="shared" si="42"/>
        <v>29081.036585983442</v>
      </c>
      <c r="EM13" s="1">
        <v>1290</v>
      </c>
      <c r="EN13" s="1">
        <v>0</v>
      </c>
      <c r="EO13">
        <v>1778.3499999929645</v>
      </c>
    </row>
    <row r="14" spans="2:145" x14ac:dyDescent="0.25">
      <c r="B14" s="4">
        <v>12</v>
      </c>
      <c r="C14" s="27">
        <f t="shared" si="7"/>
        <v>1906.92</v>
      </c>
      <c r="D14" s="1">
        <v>0</v>
      </c>
      <c r="E14" s="1">
        <v>59</v>
      </c>
      <c r="F14" s="9">
        <f t="shared" si="0"/>
        <v>1847.92</v>
      </c>
      <c r="G14" s="27">
        <f t="shared" si="8"/>
        <v>1806.0495776098535</v>
      </c>
      <c r="H14" s="24">
        <v>0</v>
      </c>
      <c r="I14" s="24">
        <v>0</v>
      </c>
      <c r="J14" s="14">
        <f>G14+H14-I14-[1]Cement!U14</f>
        <v>1761.0495782200535</v>
      </c>
      <c r="K14" s="27">
        <f t="shared" si="9"/>
        <v>0</v>
      </c>
      <c r="L14" s="1">
        <v>0</v>
      </c>
      <c r="M14" s="24">
        <f>CPP!D14</f>
        <v>0</v>
      </c>
      <c r="N14" s="1">
        <v>0</v>
      </c>
      <c r="O14" s="24">
        <f t="shared" si="1"/>
        <v>0</v>
      </c>
      <c r="P14" s="9">
        <f t="shared" si="2"/>
        <v>0</v>
      </c>
      <c r="Q14" s="27">
        <f t="shared" si="10"/>
        <v>0</v>
      </c>
      <c r="R14" s="1">
        <v>0</v>
      </c>
      <c r="S14" s="24">
        <f>CPP!E14</f>
        <v>0</v>
      </c>
      <c r="T14" s="19">
        <v>0</v>
      </c>
      <c r="U14" s="26">
        <f t="shared" si="11"/>
        <v>0</v>
      </c>
      <c r="V14" s="9">
        <f t="shared" si="12"/>
        <v>0</v>
      </c>
      <c r="W14" s="27">
        <f t="shared" si="13"/>
        <v>1063.0399999999981</v>
      </c>
      <c r="X14" s="1">
        <v>0</v>
      </c>
      <c r="Y14" s="24">
        <f>CPP!H14</f>
        <v>0</v>
      </c>
      <c r="Z14" s="1">
        <v>286.67</v>
      </c>
      <c r="AA14" s="9">
        <f t="shared" si="14"/>
        <v>776.36999999999807</v>
      </c>
      <c r="AB14" s="27">
        <f t="shared" si="15"/>
        <v>0</v>
      </c>
      <c r="AC14" s="1">
        <v>0</v>
      </c>
      <c r="AD14" s="74">
        <f>CPP!F14</f>
        <v>0</v>
      </c>
      <c r="AE14" s="9">
        <f t="shared" si="3"/>
        <v>0</v>
      </c>
      <c r="AF14" s="27">
        <f t="shared" si="16"/>
        <v>4079.0199999999932</v>
      </c>
      <c r="AG14" s="1">
        <v>95</v>
      </c>
      <c r="AH14" s="1">
        <v>0</v>
      </c>
      <c r="AI14" s="24">
        <f>CPP!G14</f>
        <v>137</v>
      </c>
      <c r="AJ14" s="9">
        <f t="shared" si="4"/>
        <v>4037.0199999999932</v>
      </c>
      <c r="AK14" s="27">
        <f t="shared" si="17"/>
        <v>0</v>
      </c>
      <c r="AL14" s="1">
        <v>0</v>
      </c>
      <c r="AM14" s="1">
        <v>0</v>
      </c>
      <c r="AN14" s="9">
        <f t="shared" si="5"/>
        <v>0</v>
      </c>
      <c r="AO14" s="27">
        <f t="shared" si="18"/>
        <v>0</v>
      </c>
      <c r="AP14" s="1">
        <v>0</v>
      </c>
      <c r="AQ14" s="1">
        <v>0</v>
      </c>
      <c r="AR14" s="73">
        <f>CPP!I14</f>
        <v>0</v>
      </c>
      <c r="AS14" s="72">
        <f t="shared" si="19"/>
        <v>0</v>
      </c>
      <c r="AT14" s="14">
        <f t="shared" si="60"/>
        <v>28.11000000000206</v>
      </c>
      <c r="AU14" s="1">
        <v>0</v>
      </c>
      <c r="AV14" s="1">
        <v>0</v>
      </c>
      <c r="AW14" s="74">
        <f>CPP!X14</f>
        <v>0</v>
      </c>
      <c r="AX14" s="14">
        <f t="shared" si="20"/>
        <v>28.11000000000206</v>
      </c>
      <c r="AY14" s="14">
        <f t="shared" si="43"/>
        <v>2296.2069999999903</v>
      </c>
      <c r="AZ14" s="1">
        <v>186.68</v>
      </c>
      <c r="BA14" s="1">
        <v>0</v>
      </c>
      <c r="BB14" s="74">
        <f>CPP!M14</f>
        <v>0</v>
      </c>
      <c r="BC14" s="14">
        <f t="shared" si="21"/>
        <v>2482.8869999999902</v>
      </c>
      <c r="BD14" s="14">
        <f t="shared" si="44"/>
        <v>0</v>
      </c>
      <c r="BE14" s="1">
        <v>0</v>
      </c>
      <c r="BF14" s="1">
        <v>0</v>
      </c>
      <c r="BG14" s="74">
        <f>CPP!K14</f>
        <v>0</v>
      </c>
      <c r="BH14" s="14">
        <f t="shared" si="22"/>
        <v>0</v>
      </c>
      <c r="BI14" s="14">
        <f t="shared" si="45"/>
        <v>0</v>
      </c>
      <c r="BJ14" s="22">
        <v>0</v>
      </c>
      <c r="BK14" s="22">
        <v>0</v>
      </c>
      <c r="BL14" s="74">
        <f>CPP!L14</f>
        <v>0</v>
      </c>
      <c r="BM14" s="14">
        <f t="shared" si="23"/>
        <v>0</v>
      </c>
      <c r="BN14" s="14">
        <f t="shared" si="46"/>
        <v>0</v>
      </c>
      <c r="BO14" s="1">
        <v>0</v>
      </c>
      <c r="BP14" s="1">
        <v>0</v>
      </c>
      <c r="BQ14" s="74">
        <f>CPP!N14</f>
        <v>0</v>
      </c>
      <c r="BR14" s="14">
        <f t="shared" si="24"/>
        <v>0</v>
      </c>
      <c r="BS14" s="14">
        <f t="shared" si="47"/>
        <v>0</v>
      </c>
      <c r="BT14" s="1">
        <v>0</v>
      </c>
      <c r="BU14" s="1">
        <v>0</v>
      </c>
      <c r="BV14" s="74">
        <f>CPP!O14</f>
        <v>0</v>
      </c>
      <c r="BW14" s="14">
        <f t="shared" si="25"/>
        <v>0</v>
      </c>
      <c r="BX14" s="48">
        <f t="shared" si="48"/>
        <v>0</v>
      </c>
      <c r="BY14" s="1">
        <v>0</v>
      </c>
      <c r="BZ14" s="1">
        <v>0</v>
      </c>
      <c r="CA14" s="88"/>
      <c r="CB14" s="72">
        <f t="shared" si="26"/>
        <v>0</v>
      </c>
      <c r="CC14" s="14">
        <f t="shared" si="49"/>
        <v>0</v>
      </c>
      <c r="CD14" s="1">
        <v>0</v>
      </c>
      <c r="CE14" s="1">
        <v>0</v>
      </c>
      <c r="CF14" s="74">
        <f>CPP!P14</f>
        <v>0</v>
      </c>
      <c r="CG14" s="14">
        <f t="shared" si="27"/>
        <v>0</v>
      </c>
      <c r="CH14" s="14">
        <f t="shared" si="50"/>
        <v>0</v>
      </c>
      <c r="CI14" s="1">
        <v>0</v>
      </c>
      <c r="CJ14" s="1">
        <v>0</v>
      </c>
      <c r="CK14" s="74">
        <f>CPP!Q14</f>
        <v>0</v>
      </c>
      <c r="CL14" s="14">
        <f t="shared" si="28"/>
        <v>0</v>
      </c>
      <c r="CM14" s="14">
        <f t="shared" si="51"/>
        <v>5.0000000000181899E-2</v>
      </c>
      <c r="CN14" s="1">
        <v>0</v>
      </c>
      <c r="CO14" s="1">
        <v>0</v>
      </c>
      <c r="CP14" s="74">
        <f>CPP!R14</f>
        <v>0</v>
      </c>
      <c r="CQ14" s="14">
        <f t="shared" si="29"/>
        <v>5.0000000000181899E-2</v>
      </c>
      <c r="CR14" s="14">
        <f t="shared" si="52"/>
        <v>0</v>
      </c>
      <c r="CS14" s="1">
        <v>0</v>
      </c>
      <c r="CT14" s="1">
        <v>0</v>
      </c>
      <c r="CU14" s="74">
        <f>CPP!S14</f>
        <v>0</v>
      </c>
      <c r="CV14" s="14">
        <f t="shared" si="30"/>
        <v>0</v>
      </c>
      <c r="CW14" s="14">
        <f t="shared" si="53"/>
        <v>0</v>
      </c>
      <c r="CX14" s="1">
        <v>0</v>
      </c>
      <c r="CY14" s="1">
        <v>0</v>
      </c>
      <c r="CZ14" s="74">
        <f>CPP!T14</f>
        <v>0</v>
      </c>
      <c r="DA14" s="14">
        <f t="shared" si="31"/>
        <v>0</v>
      </c>
      <c r="DB14" s="14">
        <f t="shared" si="54"/>
        <v>1.0000000000013998E-2</v>
      </c>
      <c r="DC14" s="1">
        <v>0</v>
      </c>
      <c r="DD14" s="1">
        <v>0</v>
      </c>
      <c r="DE14" s="74">
        <f>CPP!U14</f>
        <v>0</v>
      </c>
      <c r="DF14" s="14">
        <f t="shared" si="32"/>
        <v>1.0000000000013998E-2</v>
      </c>
      <c r="DG14" s="14">
        <f t="shared" si="55"/>
        <v>0</v>
      </c>
      <c r="DH14" s="1">
        <v>0</v>
      </c>
      <c r="DI14" s="1">
        <v>0</v>
      </c>
      <c r="DJ14" s="74">
        <f>CPP!V14</f>
        <v>0</v>
      </c>
      <c r="DK14" s="14">
        <f t="shared" si="33"/>
        <v>0</v>
      </c>
      <c r="DL14" s="14">
        <f t="shared" si="56"/>
        <v>304</v>
      </c>
      <c r="DM14" s="1">
        <v>0</v>
      </c>
      <c r="DN14" s="22">
        <v>0</v>
      </c>
      <c r="DO14" s="74">
        <f>CPP!W14</f>
        <v>0</v>
      </c>
      <c r="DP14" s="14">
        <f t="shared" si="34"/>
        <v>304</v>
      </c>
      <c r="DQ14" s="14">
        <f t="shared" si="57"/>
        <v>0</v>
      </c>
      <c r="DR14" s="1">
        <v>0</v>
      </c>
      <c r="DS14" s="1">
        <v>0</v>
      </c>
      <c r="DT14" s="74">
        <f>CPP!J14</f>
        <v>0</v>
      </c>
      <c r="DU14" s="14">
        <f t="shared" si="35"/>
        <v>0</v>
      </c>
      <c r="DV14" s="14">
        <f t="shared" si="58"/>
        <v>0</v>
      </c>
      <c r="DW14" s="1">
        <v>0</v>
      </c>
      <c r="DX14" s="1">
        <v>0</v>
      </c>
      <c r="DY14" s="74">
        <v>0</v>
      </c>
      <c r="DZ14" s="14">
        <f t="shared" si="36"/>
        <v>0</v>
      </c>
      <c r="EA14" s="48">
        <f t="shared" si="37"/>
        <v>3387.3569999999904</v>
      </c>
      <c r="EB14" s="1">
        <v>0</v>
      </c>
      <c r="EC14" s="1">
        <v>0</v>
      </c>
      <c r="ED14" s="48">
        <f t="shared" si="38"/>
        <v>3387.3569999999904</v>
      </c>
      <c r="EE14" s="14">
        <f t="shared" si="39"/>
        <v>4079.0199999999932</v>
      </c>
      <c r="EF14" s="14">
        <f t="shared" si="6"/>
        <v>95</v>
      </c>
      <c r="EG14" s="14">
        <f>CPP!D14+CPP!E14+CPP!F14+CPP!G14+CPP!H14+CPP!I14+CPP!J14+CPP!M14+BG14</f>
        <v>137</v>
      </c>
      <c r="EH14" s="14">
        <f t="shared" si="40"/>
        <v>4037.0199999999932</v>
      </c>
      <c r="EI14" s="125">
        <f t="shared" si="59"/>
        <v>29081.036585983442</v>
      </c>
      <c r="EJ14" s="1">
        <f t="shared" si="41"/>
        <v>1710</v>
      </c>
      <c r="EK14" s="135">
        <f>'DAILY CEM1'!AG15+'DAILY CEM2'!AF15</f>
        <v>2081.5040027619998</v>
      </c>
      <c r="EL14" s="125">
        <f t="shared" si="42"/>
        <v>28709.532583221444</v>
      </c>
      <c r="EM14" s="1">
        <v>1710</v>
      </c>
      <c r="EN14" s="1">
        <v>0</v>
      </c>
      <c r="EO14">
        <v>1958.6600000088099</v>
      </c>
    </row>
    <row r="15" spans="2:145" x14ac:dyDescent="0.25">
      <c r="B15" s="4">
        <v>13</v>
      </c>
      <c r="C15" s="27">
        <f t="shared" si="7"/>
        <v>1847.92</v>
      </c>
      <c r="D15" s="1">
        <v>0</v>
      </c>
      <c r="E15" s="1">
        <v>46</v>
      </c>
      <c r="F15" s="9">
        <f t="shared" si="0"/>
        <v>1801.92</v>
      </c>
      <c r="G15" s="27">
        <f t="shared" si="8"/>
        <v>1761.0495782200535</v>
      </c>
      <c r="H15" s="24">
        <v>0</v>
      </c>
      <c r="I15" s="24">
        <v>0</v>
      </c>
      <c r="J15" s="14">
        <f>G15+H15-I15-[1]Cement!U15</f>
        <v>1695.0495783760534</v>
      </c>
      <c r="K15" s="27">
        <f t="shared" si="9"/>
        <v>0</v>
      </c>
      <c r="L15" s="1">
        <v>0</v>
      </c>
      <c r="M15" s="24">
        <f>CPP!D15</f>
        <v>0</v>
      </c>
      <c r="N15" s="1">
        <v>0</v>
      </c>
      <c r="O15" s="24">
        <f t="shared" si="1"/>
        <v>0</v>
      </c>
      <c r="P15" s="9">
        <f t="shared" si="2"/>
        <v>0</v>
      </c>
      <c r="Q15" s="27">
        <f t="shared" si="10"/>
        <v>0</v>
      </c>
      <c r="R15" s="1">
        <v>0</v>
      </c>
      <c r="S15" s="24">
        <f>CPP!E15</f>
        <v>0</v>
      </c>
      <c r="T15" s="19">
        <v>0</v>
      </c>
      <c r="U15" s="26">
        <f t="shared" si="11"/>
        <v>0</v>
      </c>
      <c r="V15" s="9">
        <f t="shared" si="12"/>
        <v>0</v>
      </c>
      <c r="W15" s="27">
        <f t="shared" si="13"/>
        <v>776.36999999999807</v>
      </c>
      <c r="X15" s="1">
        <v>0</v>
      </c>
      <c r="Y15" s="24">
        <f>CPP!H15</f>
        <v>0</v>
      </c>
      <c r="Z15" s="1">
        <v>242.22</v>
      </c>
      <c r="AA15" s="9">
        <f t="shared" si="14"/>
        <v>534.14999999999804</v>
      </c>
      <c r="AB15" s="27">
        <f t="shared" si="15"/>
        <v>0</v>
      </c>
      <c r="AC15" s="1">
        <v>0</v>
      </c>
      <c r="AD15" s="74">
        <f>CPP!F15</f>
        <v>0</v>
      </c>
      <c r="AE15" s="9">
        <f t="shared" si="3"/>
        <v>0</v>
      </c>
      <c r="AF15" s="27">
        <f t="shared" si="16"/>
        <v>4037.0199999999932</v>
      </c>
      <c r="AG15" s="1">
        <v>0</v>
      </c>
      <c r="AH15" s="1">
        <v>0</v>
      </c>
      <c r="AI15" s="24">
        <f>CPP!G15</f>
        <v>126</v>
      </c>
      <c r="AJ15" s="9">
        <f>AF15+AG15-AH15-AI15</f>
        <v>3911.0199999999932</v>
      </c>
      <c r="AK15" s="27">
        <f t="shared" si="17"/>
        <v>0</v>
      </c>
      <c r="AL15" s="1">
        <v>0</v>
      </c>
      <c r="AM15" s="1">
        <v>0</v>
      </c>
      <c r="AN15" s="9">
        <f t="shared" si="5"/>
        <v>0</v>
      </c>
      <c r="AO15" s="27">
        <f t="shared" si="18"/>
        <v>0</v>
      </c>
      <c r="AP15" s="1">
        <v>0</v>
      </c>
      <c r="AQ15" s="1">
        <v>0</v>
      </c>
      <c r="AR15" s="73">
        <f>CPP!I15</f>
        <v>0</v>
      </c>
      <c r="AS15" s="72">
        <f t="shared" si="19"/>
        <v>0</v>
      </c>
      <c r="AT15" s="14">
        <f t="shared" si="60"/>
        <v>28.11000000000206</v>
      </c>
      <c r="AU15" s="1">
        <v>0</v>
      </c>
      <c r="AV15" s="1">
        <v>0</v>
      </c>
      <c r="AW15" s="74">
        <f>CPP!X15</f>
        <v>0</v>
      </c>
      <c r="AX15" s="14">
        <f t="shared" si="20"/>
        <v>28.11000000000206</v>
      </c>
      <c r="AY15" s="14">
        <f t="shared" si="43"/>
        <v>2482.8869999999902</v>
      </c>
      <c r="AZ15" s="1">
        <v>0</v>
      </c>
      <c r="BA15" s="1">
        <v>0</v>
      </c>
      <c r="BB15" s="74">
        <f>CPP!M15</f>
        <v>0</v>
      </c>
      <c r="BC15" s="14">
        <f t="shared" si="21"/>
        <v>2482.8869999999902</v>
      </c>
      <c r="BD15" s="14">
        <f t="shared" si="44"/>
        <v>0</v>
      </c>
      <c r="BE15" s="1">
        <v>0</v>
      </c>
      <c r="BF15" s="1">
        <v>0</v>
      </c>
      <c r="BG15" s="74">
        <f>CPP!K15</f>
        <v>0</v>
      </c>
      <c r="BH15" s="14">
        <f t="shared" si="22"/>
        <v>0</v>
      </c>
      <c r="BI15" s="14">
        <f t="shared" si="45"/>
        <v>0</v>
      </c>
      <c r="BJ15" s="1">
        <v>0</v>
      </c>
      <c r="BK15" s="1">
        <v>0</v>
      </c>
      <c r="BL15" s="74">
        <f>CPP!L15</f>
        <v>0</v>
      </c>
      <c r="BM15" s="14">
        <f t="shared" si="23"/>
        <v>0</v>
      </c>
      <c r="BN15" s="14">
        <f t="shared" si="46"/>
        <v>0</v>
      </c>
      <c r="BO15" s="1">
        <v>0</v>
      </c>
      <c r="BP15" s="1">
        <v>0</v>
      </c>
      <c r="BQ15" s="74">
        <f>CPP!N15</f>
        <v>0</v>
      </c>
      <c r="BR15" s="14">
        <f t="shared" si="24"/>
        <v>0</v>
      </c>
      <c r="BS15" s="14">
        <f t="shared" si="47"/>
        <v>0</v>
      </c>
      <c r="BT15" s="1">
        <v>0</v>
      </c>
      <c r="BU15" s="1">
        <v>0</v>
      </c>
      <c r="BV15" s="74">
        <f>CPP!O15</f>
        <v>0</v>
      </c>
      <c r="BW15" s="14">
        <f t="shared" si="25"/>
        <v>0</v>
      </c>
      <c r="BX15" s="48">
        <f t="shared" si="48"/>
        <v>0</v>
      </c>
      <c r="BY15" s="1">
        <v>0</v>
      </c>
      <c r="BZ15" s="1">
        <v>0</v>
      </c>
      <c r="CA15" s="88"/>
      <c r="CB15" s="72">
        <f t="shared" si="26"/>
        <v>0</v>
      </c>
      <c r="CC15" s="14">
        <f t="shared" si="49"/>
        <v>0</v>
      </c>
      <c r="CD15" s="1">
        <v>0</v>
      </c>
      <c r="CE15" s="1">
        <v>0</v>
      </c>
      <c r="CF15" s="74">
        <f>CPP!P15</f>
        <v>0</v>
      </c>
      <c r="CG15" s="14">
        <f t="shared" si="27"/>
        <v>0</v>
      </c>
      <c r="CH15" s="14">
        <f t="shared" si="50"/>
        <v>0</v>
      </c>
      <c r="CI15" s="1">
        <v>0</v>
      </c>
      <c r="CJ15" s="1">
        <v>0</v>
      </c>
      <c r="CK15" s="74">
        <f>CPP!Q15</f>
        <v>0</v>
      </c>
      <c r="CL15" s="14">
        <f t="shared" si="28"/>
        <v>0</v>
      </c>
      <c r="CM15" s="14">
        <f t="shared" si="51"/>
        <v>5.0000000000181899E-2</v>
      </c>
      <c r="CN15" s="1">
        <v>0</v>
      </c>
      <c r="CO15" s="1">
        <v>0</v>
      </c>
      <c r="CP15" s="74">
        <f>CPP!R15</f>
        <v>0</v>
      </c>
      <c r="CQ15" s="14">
        <f t="shared" si="29"/>
        <v>5.0000000000181899E-2</v>
      </c>
      <c r="CR15" s="14">
        <f t="shared" si="52"/>
        <v>0</v>
      </c>
      <c r="CS15" s="1">
        <v>0</v>
      </c>
      <c r="CT15" s="1">
        <v>0</v>
      </c>
      <c r="CU15" s="74">
        <f>CPP!S15</f>
        <v>0</v>
      </c>
      <c r="CV15" s="14">
        <f t="shared" si="30"/>
        <v>0</v>
      </c>
      <c r="CW15" s="14">
        <f t="shared" si="53"/>
        <v>0</v>
      </c>
      <c r="CX15" s="1">
        <v>0</v>
      </c>
      <c r="CY15" s="1">
        <v>0</v>
      </c>
      <c r="CZ15" s="74">
        <f>CPP!T15</f>
        <v>0</v>
      </c>
      <c r="DA15" s="14">
        <f t="shared" si="31"/>
        <v>0</v>
      </c>
      <c r="DB15" s="14">
        <f t="shared" si="54"/>
        <v>1.0000000000013998E-2</v>
      </c>
      <c r="DC15" s="1">
        <v>0</v>
      </c>
      <c r="DD15" s="1">
        <v>0</v>
      </c>
      <c r="DE15" s="74">
        <f>CPP!U15</f>
        <v>0</v>
      </c>
      <c r="DF15" s="14">
        <f t="shared" si="32"/>
        <v>1.0000000000013998E-2</v>
      </c>
      <c r="DG15" s="14">
        <f t="shared" si="55"/>
        <v>0</v>
      </c>
      <c r="DH15" s="1">
        <v>0</v>
      </c>
      <c r="DI15" s="1">
        <v>0</v>
      </c>
      <c r="DJ15" s="74">
        <f>CPP!V15</f>
        <v>0</v>
      </c>
      <c r="DK15" s="14">
        <f t="shared" si="33"/>
        <v>0</v>
      </c>
      <c r="DL15" s="14">
        <f t="shared" si="56"/>
        <v>304</v>
      </c>
      <c r="DM15" s="22">
        <v>0</v>
      </c>
      <c r="DN15" s="1">
        <v>0</v>
      </c>
      <c r="DO15" s="74">
        <f>CPP!W15</f>
        <v>0</v>
      </c>
      <c r="DP15" s="14">
        <f t="shared" si="34"/>
        <v>304</v>
      </c>
      <c r="DQ15" s="14">
        <f t="shared" si="57"/>
        <v>0</v>
      </c>
      <c r="DR15" s="1">
        <v>0</v>
      </c>
      <c r="DS15" s="1">
        <v>0</v>
      </c>
      <c r="DT15" s="74">
        <f>CPP!J15</f>
        <v>0</v>
      </c>
      <c r="DU15" s="14">
        <f t="shared" si="35"/>
        <v>0</v>
      </c>
      <c r="DV15" s="14">
        <f t="shared" si="58"/>
        <v>0</v>
      </c>
      <c r="DW15" s="1">
        <v>0</v>
      </c>
      <c r="DX15" s="1">
        <v>0</v>
      </c>
      <c r="DY15" s="74">
        <v>0</v>
      </c>
      <c r="DZ15" s="14">
        <f t="shared" si="36"/>
        <v>0</v>
      </c>
      <c r="EA15" s="48">
        <f t="shared" si="37"/>
        <v>3287.3669999999902</v>
      </c>
      <c r="EB15" s="1">
        <v>0</v>
      </c>
      <c r="EC15" s="1">
        <v>0</v>
      </c>
      <c r="ED15" s="48">
        <f t="shared" si="38"/>
        <v>3287.3669999999902</v>
      </c>
      <c r="EE15" s="14">
        <f t="shared" si="39"/>
        <v>4037.0199999999932</v>
      </c>
      <c r="EF15" s="14">
        <f t="shared" si="6"/>
        <v>0</v>
      </c>
      <c r="EG15" s="14">
        <f>CPP!D15+CPP!E15+CPP!F15+CPP!G15+CPP!H15+CPP!I15+CPP!J15+CPP!M15+BG15</f>
        <v>126</v>
      </c>
      <c r="EH15" s="14">
        <f t="shared" si="40"/>
        <v>3911.0199999999932</v>
      </c>
      <c r="EI15" s="125">
        <f t="shared" si="59"/>
        <v>28709.532583221444</v>
      </c>
      <c r="EJ15" s="1">
        <f t="shared" si="41"/>
        <v>1304</v>
      </c>
      <c r="EK15" s="135">
        <f>'DAILY CEM1'!AG16+'DAILY CEM2'!AF16</f>
        <v>2171.6030015528004</v>
      </c>
      <c r="EL15" s="125">
        <f t="shared" si="42"/>
        <v>27841.929581668643</v>
      </c>
      <c r="EM15" s="1">
        <v>1304</v>
      </c>
      <c r="EN15" s="1">
        <v>0</v>
      </c>
      <c r="EO15">
        <v>2155.4700000000012</v>
      </c>
    </row>
    <row r="16" spans="2:145" x14ac:dyDescent="0.25">
      <c r="B16" s="4">
        <v>14</v>
      </c>
      <c r="C16" s="27">
        <f t="shared" si="7"/>
        <v>1801.92</v>
      </c>
      <c r="D16" s="1">
        <v>0</v>
      </c>
      <c r="E16" s="1">
        <v>61</v>
      </c>
      <c r="F16" s="9">
        <f t="shared" si="0"/>
        <v>1740.92</v>
      </c>
      <c r="G16" s="27">
        <f t="shared" si="8"/>
        <v>1695.0495783760534</v>
      </c>
      <c r="H16" s="24">
        <v>0</v>
      </c>
      <c r="I16" s="24">
        <v>0</v>
      </c>
      <c r="J16" s="14">
        <f>G16+H16-I16-[1]Cement!U16</f>
        <v>1628.0495770610535</v>
      </c>
      <c r="K16" s="27">
        <f t="shared" si="9"/>
        <v>0</v>
      </c>
      <c r="L16" s="1">
        <v>0</v>
      </c>
      <c r="M16" s="24">
        <f>CPP!D16</f>
        <v>0</v>
      </c>
      <c r="N16" s="1">
        <v>0</v>
      </c>
      <c r="O16" s="24">
        <f t="shared" si="1"/>
        <v>0</v>
      </c>
      <c r="P16" s="9">
        <f t="shared" si="2"/>
        <v>0</v>
      </c>
      <c r="Q16" s="27">
        <f t="shared" si="10"/>
        <v>0</v>
      </c>
      <c r="R16" s="1">
        <v>0</v>
      </c>
      <c r="S16" s="24">
        <f>CPP!E16</f>
        <v>0</v>
      </c>
      <c r="T16" s="19">
        <v>0</v>
      </c>
      <c r="U16" s="26">
        <f t="shared" si="11"/>
        <v>0</v>
      </c>
      <c r="V16" s="9">
        <f t="shared" si="12"/>
        <v>0</v>
      </c>
      <c r="W16" s="27">
        <f t="shared" si="13"/>
        <v>534.14999999999804</v>
      </c>
      <c r="X16" s="1">
        <v>0</v>
      </c>
      <c r="Y16" s="24">
        <f>CPP!H16</f>
        <v>0</v>
      </c>
      <c r="Z16" s="1">
        <v>227.78</v>
      </c>
      <c r="AA16" s="9">
        <f t="shared" si="14"/>
        <v>306.36999999999807</v>
      </c>
      <c r="AB16" s="27">
        <f t="shared" si="15"/>
        <v>0</v>
      </c>
      <c r="AC16" s="1">
        <v>0</v>
      </c>
      <c r="AD16" s="74">
        <f>CPP!F16</f>
        <v>0</v>
      </c>
      <c r="AE16" s="9">
        <f t="shared" si="3"/>
        <v>0</v>
      </c>
      <c r="AF16" s="27">
        <f t="shared" si="16"/>
        <v>3911.0199999999932</v>
      </c>
      <c r="AG16" s="1">
        <v>0</v>
      </c>
      <c r="AH16" s="1">
        <v>0</v>
      </c>
      <c r="AI16" s="24">
        <f>CPP!G16</f>
        <v>130</v>
      </c>
      <c r="AJ16" s="9">
        <f t="shared" ref="AJ16:AJ33" si="61">AF16+AG16-AH16-AI16</f>
        <v>3781.0199999999932</v>
      </c>
      <c r="AK16" s="27">
        <f t="shared" si="17"/>
        <v>0</v>
      </c>
      <c r="AL16" s="1">
        <v>0</v>
      </c>
      <c r="AM16" s="1">
        <v>0</v>
      </c>
      <c r="AN16" s="9">
        <f t="shared" si="5"/>
        <v>0</v>
      </c>
      <c r="AO16" s="27">
        <f t="shared" si="18"/>
        <v>0</v>
      </c>
      <c r="AP16" s="1">
        <v>0</v>
      </c>
      <c r="AQ16" s="1">
        <v>0</v>
      </c>
      <c r="AR16" s="73">
        <f>CPP!I16</f>
        <v>0</v>
      </c>
      <c r="AS16" s="72">
        <f t="shared" si="19"/>
        <v>0</v>
      </c>
      <c r="AT16" s="14">
        <f t="shared" si="60"/>
        <v>28.11000000000206</v>
      </c>
      <c r="AU16" s="1">
        <v>0</v>
      </c>
      <c r="AV16" s="1">
        <v>0</v>
      </c>
      <c r="AW16" s="74">
        <f>CPP!X16</f>
        <v>0</v>
      </c>
      <c r="AX16" s="14">
        <f t="shared" si="20"/>
        <v>28.11000000000206</v>
      </c>
      <c r="AY16" s="14">
        <f t="shared" si="43"/>
        <v>2482.8869999999902</v>
      </c>
      <c r="AZ16" s="1">
        <v>0</v>
      </c>
      <c r="BA16" s="1">
        <v>0</v>
      </c>
      <c r="BB16" s="74">
        <f>CPP!M16</f>
        <v>0</v>
      </c>
      <c r="BC16" s="14">
        <f t="shared" si="21"/>
        <v>2482.8869999999902</v>
      </c>
      <c r="BD16" s="14">
        <f t="shared" si="44"/>
        <v>0</v>
      </c>
      <c r="BE16" s="1">
        <v>0</v>
      </c>
      <c r="BF16" s="1">
        <v>0</v>
      </c>
      <c r="BG16" s="74">
        <f>CPP!K16</f>
        <v>0</v>
      </c>
      <c r="BH16" s="14">
        <f t="shared" si="22"/>
        <v>0</v>
      </c>
      <c r="BI16" s="14">
        <f t="shared" si="45"/>
        <v>0</v>
      </c>
      <c r="BJ16" s="22">
        <v>0</v>
      </c>
      <c r="BK16" s="22">
        <v>0</v>
      </c>
      <c r="BL16" s="74">
        <f>CPP!L16</f>
        <v>0</v>
      </c>
      <c r="BM16" s="14">
        <f t="shared" si="23"/>
        <v>0</v>
      </c>
      <c r="BN16" s="14">
        <f t="shared" si="46"/>
        <v>0</v>
      </c>
      <c r="BO16" s="1">
        <v>0</v>
      </c>
      <c r="BP16" s="1">
        <v>0</v>
      </c>
      <c r="BQ16" s="74">
        <f>CPP!N16</f>
        <v>0</v>
      </c>
      <c r="BR16" s="14">
        <f t="shared" si="24"/>
        <v>0</v>
      </c>
      <c r="BS16" s="14">
        <f t="shared" si="47"/>
        <v>0</v>
      </c>
      <c r="BT16" s="1">
        <v>0</v>
      </c>
      <c r="BU16" s="1">
        <v>0</v>
      </c>
      <c r="BV16" s="74">
        <f>CPP!O16</f>
        <v>0</v>
      </c>
      <c r="BW16" s="14">
        <f t="shared" si="25"/>
        <v>0</v>
      </c>
      <c r="BX16" s="48">
        <f t="shared" si="48"/>
        <v>0</v>
      </c>
      <c r="BY16" s="1">
        <v>0</v>
      </c>
      <c r="BZ16" s="1">
        <v>0</v>
      </c>
      <c r="CA16" s="88"/>
      <c r="CB16" s="72">
        <f t="shared" si="26"/>
        <v>0</v>
      </c>
      <c r="CC16" s="14">
        <f t="shared" si="49"/>
        <v>0</v>
      </c>
      <c r="CD16" s="1">
        <v>0</v>
      </c>
      <c r="CE16" s="1">
        <v>0</v>
      </c>
      <c r="CF16" s="74">
        <f>CPP!P16</f>
        <v>0</v>
      </c>
      <c r="CG16" s="14">
        <f t="shared" si="27"/>
        <v>0</v>
      </c>
      <c r="CH16" s="14">
        <f t="shared" si="50"/>
        <v>0</v>
      </c>
      <c r="CI16" s="1">
        <v>0</v>
      </c>
      <c r="CJ16" s="1">
        <v>0</v>
      </c>
      <c r="CK16" s="74">
        <f>CPP!Q16</f>
        <v>0</v>
      </c>
      <c r="CL16" s="14">
        <f t="shared" si="28"/>
        <v>0</v>
      </c>
      <c r="CM16" s="14">
        <f t="shared" si="51"/>
        <v>5.0000000000181899E-2</v>
      </c>
      <c r="CN16" s="1">
        <v>0</v>
      </c>
      <c r="CO16" s="1">
        <v>0</v>
      </c>
      <c r="CP16" s="74">
        <f>CPP!R16</f>
        <v>0</v>
      </c>
      <c r="CQ16" s="14">
        <f t="shared" si="29"/>
        <v>5.0000000000181899E-2</v>
      </c>
      <c r="CR16" s="14">
        <f t="shared" si="52"/>
        <v>0</v>
      </c>
      <c r="CS16" s="1">
        <v>0</v>
      </c>
      <c r="CT16" s="1">
        <v>0</v>
      </c>
      <c r="CU16" s="74">
        <f>CPP!S16</f>
        <v>0</v>
      </c>
      <c r="CV16" s="14">
        <f t="shared" si="30"/>
        <v>0</v>
      </c>
      <c r="CW16" s="14">
        <f t="shared" si="53"/>
        <v>0</v>
      </c>
      <c r="CX16" s="1">
        <v>0</v>
      </c>
      <c r="CY16" s="1">
        <v>0</v>
      </c>
      <c r="CZ16" s="74">
        <f>CPP!T16</f>
        <v>0</v>
      </c>
      <c r="DA16" s="14">
        <f t="shared" si="31"/>
        <v>0</v>
      </c>
      <c r="DB16" s="14">
        <f t="shared" si="54"/>
        <v>1.0000000000013998E-2</v>
      </c>
      <c r="DC16" s="1">
        <v>0</v>
      </c>
      <c r="DD16" s="1">
        <v>0</v>
      </c>
      <c r="DE16" s="74">
        <f>CPP!U16</f>
        <v>0</v>
      </c>
      <c r="DF16" s="14">
        <f t="shared" si="32"/>
        <v>1.0000000000013998E-2</v>
      </c>
      <c r="DG16" s="14">
        <f t="shared" si="55"/>
        <v>0</v>
      </c>
      <c r="DH16" s="1">
        <v>0</v>
      </c>
      <c r="DI16" s="1">
        <v>0</v>
      </c>
      <c r="DJ16" s="74">
        <f>CPP!V16</f>
        <v>0</v>
      </c>
      <c r="DK16" s="14">
        <f t="shared" si="33"/>
        <v>0</v>
      </c>
      <c r="DL16" s="14">
        <f t="shared" si="56"/>
        <v>304</v>
      </c>
      <c r="DM16" s="22">
        <v>0</v>
      </c>
      <c r="DN16" s="22">
        <v>0</v>
      </c>
      <c r="DO16" s="74">
        <f>CPP!W16</f>
        <v>0</v>
      </c>
      <c r="DP16" s="14">
        <f t="shared" si="34"/>
        <v>304</v>
      </c>
      <c r="DQ16" s="14">
        <f t="shared" si="57"/>
        <v>0</v>
      </c>
      <c r="DR16" s="1">
        <v>0</v>
      </c>
      <c r="DS16" s="1">
        <v>0</v>
      </c>
      <c r="DT16" s="74">
        <f>CPP!J16</f>
        <v>0</v>
      </c>
      <c r="DU16" s="14">
        <f t="shared" si="35"/>
        <v>0</v>
      </c>
      <c r="DV16" s="14">
        <f t="shared" si="58"/>
        <v>0</v>
      </c>
      <c r="DW16" s="1">
        <v>0</v>
      </c>
      <c r="DX16" s="1">
        <v>0</v>
      </c>
      <c r="DY16" s="74">
        <v>0</v>
      </c>
      <c r="DZ16" s="14">
        <f t="shared" si="36"/>
        <v>0</v>
      </c>
      <c r="EA16" s="48">
        <f t="shared" si="37"/>
        <v>3045.1469999999904</v>
      </c>
      <c r="EB16" s="1">
        <v>0</v>
      </c>
      <c r="EC16" s="1">
        <v>0</v>
      </c>
      <c r="ED16" s="48">
        <f t="shared" si="38"/>
        <v>3045.1469999999904</v>
      </c>
      <c r="EE16" s="14">
        <f t="shared" si="39"/>
        <v>3911.0199999999932</v>
      </c>
      <c r="EF16" s="14">
        <f t="shared" si="6"/>
        <v>0</v>
      </c>
      <c r="EG16" s="14">
        <f>CPP!D16+CPP!E16+CPP!F16+CPP!G16+CPP!H16+CPP!I16+CPP!J16+CPP!M16+BG16</f>
        <v>130</v>
      </c>
      <c r="EH16" s="14">
        <f t="shared" si="40"/>
        <v>3781.0199999999932</v>
      </c>
      <c r="EI16" s="125">
        <f t="shared" si="59"/>
        <v>27841.929581668643</v>
      </c>
      <c r="EJ16" s="1">
        <f>EM16+EN16</f>
        <v>1305</v>
      </c>
      <c r="EK16" s="135">
        <f>'DAILY CEM1'!AG17+'DAILY CEM2'!AF17</f>
        <v>2083.5799999910705</v>
      </c>
      <c r="EL16" s="125">
        <f t="shared" si="42"/>
        <v>27063.349581677572</v>
      </c>
      <c r="EM16" s="1">
        <v>1305</v>
      </c>
      <c r="EN16" s="1">
        <v>0</v>
      </c>
      <c r="EO16">
        <v>1826.060000000002</v>
      </c>
    </row>
    <row r="17" spans="2:145" x14ac:dyDescent="0.25">
      <c r="B17" s="4">
        <v>15</v>
      </c>
      <c r="C17" s="27">
        <f t="shared" si="7"/>
        <v>1740.92</v>
      </c>
      <c r="D17" s="1">
        <v>0</v>
      </c>
      <c r="E17" s="1">
        <v>63</v>
      </c>
      <c r="F17" s="9">
        <f>C17+D17-E17</f>
        <v>1677.92</v>
      </c>
      <c r="G17" s="27">
        <f t="shared" si="8"/>
        <v>1628.0495770610535</v>
      </c>
      <c r="H17" s="24">
        <v>0</v>
      </c>
      <c r="I17" s="24">
        <v>0</v>
      </c>
      <c r="J17" s="14">
        <f>G17+H17-I17-[1]Cement!U17</f>
        <v>1531.0495783905535</v>
      </c>
      <c r="K17" s="27">
        <f t="shared" si="9"/>
        <v>0</v>
      </c>
      <c r="L17" s="1">
        <v>0</v>
      </c>
      <c r="M17" s="24">
        <f>CPP!D17</f>
        <v>0</v>
      </c>
      <c r="N17" s="1">
        <v>0</v>
      </c>
      <c r="O17" s="24">
        <f t="shared" si="1"/>
        <v>0</v>
      </c>
      <c r="P17" s="28">
        <f>K17+L17-O17</f>
        <v>0</v>
      </c>
      <c r="Q17" s="27">
        <f t="shared" si="10"/>
        <v>0</v>
      </c>
      <c r="R17" s="1">
        <v>0</v>
      </c>
      <c r="S17" s="24">
        <f>CPP!E17</f>
        <v>0</v>
      </c>
      <c r="T17" s="19">
        <v>0</v>
      </c>
      <c r="U17" s="26">
        <f t="shared" si="11"/>
        <v>0</v>
      </c>
      <c r="V17" s="9">
        <f t="shared" si="12"/>
        <v>0</v>
      </c>
      <c r="W17" s="27">
        <f t="shared" si="13"/>
        <v>306.36999999999807</v>
      </c>
      <c r="X17" s="1">
        <v>0</v>
      </c>
      <c r="Y17" s="24">
        <f>CPP!H17</f>
        <v>0</v>
      </c>
      <c r="Z17" s="1">
        <v>205.23</v>
      </c>
      <c r="AA17" s="9">
        <f t="shared" si="14"/>
        <v>101.13999999999808</v>
      </c>
      <c r="AB17" s="27">
        <f t="shared" si="15"/>
        <v>0</v>
      </c>
      <c r="AC17" s="1">
        <v>0</v>
      </c>
      <c r="AD17" s="74">
        <f>CPP!F17</f>
        <v>0</v>
      </c>
      <c r="AE17" s="9">
        <f t="shared" si="3"/>
        <v>0</v>
      </c>
      <c r="AF17" s="27">
        <f t="shared" si="16"/>
        <v>3781.0199999999932</v>
      </c>
      <c r="AG17" s="1">
        <v>764.75</v>
      </c>
      <c r="AH17" s="1">
        <v>0</v>
      </c>
      <c r="AI17" s="24">
        <f>CPP!G17</f>
        <v>147</v>
      </c>
      <c r="AJ17" s="9">
        <f t="shared" si="61"/>
        <v>4398.7699999999932</v>
      </c>
      <c r="AK17" s="27">
        <f t="shared" si="17"/>
        <v>0</v>
      </c>
      <c r="AL17" s="1">
        <v>0</v>
      </c>
      <c r="AM17" s="1">
        <v>0</v>
      </c>
      <c r="AN17" s="9">
        <f t="shared" si="5"/>
        <v>0</v>
      </c>
      <c r="AO17" s="27">
        <f t="shared" si="18"/>
        <v>0</v>
      </c>
      <c r="AP17" s="1">
        <v>0</v>
      </c>
      <c r="AQ17" s="1">
        <v>0</v>
      </c>
      <c r="AR17" s="73">
        <f>CPP!I17</f>
        <v>0</v>
      </c>
      <c r="AS17" s="72">
        <f t="shared" si="19"/>
        <v>0</v>
      </c>
      <c r="AT17" s="14">
        <f t="shared" si="60"/>
        <v>28.11000000000206</v>
      </c>
      <c r="AU17" s="1">
        <v>0</v>
      </c>
      <c r="AV17" s="1">
        <v>28.1</v>
      </c>
      <c r="AW17" s="74">
        <f>CPP!X17</f>
        <v>0</v>
      </c>
      <c r="AX17" s="14">
        <f t="shared" si="20"/>
        <v>1.0000000002058584E-2</v>
      </c>
      <c r="AY17" s="14">
        <f t="shared" si="43"/>
        <v>2482.8869999999902</v>
      </c>
      <c r="AZ17" s="1">
        <v>155.24</v>
      </c>
      <c r="BA17" s="1">
        <v>0</v>
      </c>
      <c r="BB17" s="74">
        <f>CPP!M17</f>
        <v>0</v>
      </c>
      <c r="BC17" s="14">
        <f t="shared" si="21"/>
        <v>2638.1269999999904</v>
      </c>
      <c r="BD17" s="14">
        <f t="shared" si="44"/>
        <v>0</v>
      </c>
      <c r="BE17" s="1">
        <v>0</v>
      </c>
      <c r="BF17" s="1">
        <v>0</v>
      </c>
      <c r="BG17" s="74">
        <f>CPP!K17</f>
        <v>0</v>
      </c>
      <c r="BH17" s="14">
        <f t="shared" si="22"/>
        <v>0</v>
      </c>
      <c r="BI17" s="14">
        <f t="shared" si="45"/>
        <v>0</v>
      </c>
      <c r="BJ17" s="1">
        <v>0</v>
      </c>
      <c r="BK17" s="1">
        <v>0</v>
      </c>
      <c r="BL17" s="74">
        <f>CPP!L17</f>
        <v>0</v>
      </c>
      <c r="BM17" s="14">
        <f t="shared" si="23"/>
        <v>0</v>
      </c>
      <c r="BN17" s="14">
        <f t="shared" si="46"/>
        <v>0</v>
      </c>
      <c r="BO17" s="1">
        <v>0</v>
      </c>
      <c r="BP17" s="1">
        <v>0</v>
      </c>
      <c r="BQ17" s="74">
        <f>CPP!N17</f>
        <v>0</v>
      </c>
      <c r="BR17" s="14">
        <f t="shared" si="24"/>
        <v>0</v>
      </c>
      <c r="BS17" s="14">
        <f t="shared" si="47"/>
        <v>0</v>
      </c>
      <c r="BT17" s="1">
        <v>0</v>
      </c>
      <c r="BU17" s="1">
        <v>0</v>
      </c>
      <c r="BV17" s="74">
        <f>CPP!O17</f>
        <v>0</v>
      </c>
      <c r="BW17" s="14">
        <f t="shared" si="25"/>
        <v>0</v>
      </c>
      <c r="BX17" s="48">
        <f t="shared" si="48"/>
        <v>0</v>
      </c>
      <c r="BY17" s="1">
        <v>0</v>
      </c>
      <c r="BZ17" s="1">
        <v>0</v>
      </c>
      <c r="CA17" s="88"/>
      <c r="CB17" s="72">
        <f t="shared" si="26"/>
        <v>0</v>
      </c>
      <c r="CC17" s="14">
        <f t="shared" si="49"/>
        <v>0</v>
      </c>
      <c r="CD17" s="1">
        <v>0</v>
      </c>
      <c r="CE17" s="1">
        <v>0</v>
      </c>
      <c r="CF17" s="74">
        <f>CPP!P17</f>
        <v>0</v>
      </c>
      <c r="CG17" s="14">
        <f t="shared" si="27"/>
        <v>0</v>
      </c>
      <c r="CH17" s="14">
        <f t="shared" si="50"/>
        <v>0</v>
      </c>
      <c r="CI17" s="1">
        <v>0</v>
      </c>
      <c r="CJ17" s="1">
        <v>0</v>
      </c>
      <c r="CK17" s="74">
        <f>CPP!Q17</f>
        <v>0</v>
      </c>
      <c r="CL17" s="14">
        <f t="shared" si="28"/>
        <v>0</v>
      </c>
      <c r="CM17" s="14">
        <f t="shared" si="51"/>
        <v>5.0000000000181899E-2</v>
      </c>
      <c r="CN17" s="1">
        <v>0</v>
      </c>
      <c r="CO17" s="1">
        <v>0</v>
      </c>
      <c r="CP17" s="74">
        <f>CPP!R17</f>
        <v>0</v>
      </c>
      <c r="CQ17" s="14">
        <f t="shared" si="29"/>
        <v>5.0000000000181899E-2</v>
      </c>
      <c r="CR17" s="14">
        <f t="shared" si="52"/>
        <v>0</v>
      </c>
      <c r="CS17" s="1">
        <v>0</v>
      </c>
      <c r="CT17" s="1">
        <v>0</v>
      </c>
      <c r="CU17" s="74">
        <f>CPP!S17</f>
        <v>0</v>
      </c>
      <c r="CV17" s="14">
        <f t="shared" si="30"/>
        <v>0</v>
      </c>
      <c r="CW17" s="14">
        <f t="shared" si="53"/>
        <v>0</v>
      </c>
      <c r="CX17" s="1">
        <v>0</v>
      </c>
      <c r="CY17" s="1">
        <v>0</v>
      </c>
      <c r="CZ17" s="74">
        <f>CPP!T17</f>
        <v>0</v>
      </c>
      <c r="DA17" s="14">
        <f t="shared" si="31"/>
        <v>0</v>
      </c>
      <c r="DB17" s="14">
        <f t="shared" si="54"/>
        <v>1.0000000000013998E-2</v>
      </c>
      <c r="DC17" s="1">
        <v>0</v>
      </c>
      <c r="DD17" s="1">
        <v>0</v>
      </c>
      <c r="DE17" s="74">
        <f>CPP!U17</f>
        <v>0</v>
      </c>
      <c r="DF17" s="14">
        <f t="shared" si="32"/>
        <v>1.0000000000013998E-2</v>
      </c>
      <c r="DG17" s="14">
        <f t="shared" si="55"/>
        <v>0</v>
      </c>
      <c r="DH17" s="1">
        <v>0</v>
      </c>
      <c r="DI17" s="1">
        <v>0</v>
      </c>
      <c r="DJ17" s="74">
        <f>CPP!V17</f>
        <v>0</v>
      </c>
      <c r="DK17" s="14">
        <f t="shared" si="33"/>
        <v>0</v>
      </c>
      <c r="DL17" s="14">
        <f t="shared" si="56"/>
        <v>304</v>
      </c>
      <c r="DM17" s="1">
        <v>0</v>
      </c>
      <c r="DN17" s="1">
        <v>0</v>
      </c>
      <c r="DO17" s="74">
        <f>CPP!W17</f>
        <v>0</v>
      </c>
      <c r="DP17" s="14">
        <f t="shared" si="34"/>
        <v>304</v>
      </c>
      <c r="DQ17" s="14">
        <f t="shared" si="57"/>
        <v>0</v>
      </c>
      <c r="DR17" s="1">
        <v>0</v>
      </c>
      <c r="DS17" s="1">
        <v>0</v>
      </c>
      <c r="DT17" s="74">
        <f>CPP!J17</f>
        <v>0</v>
      </c>
      <c r="DU17" s="14">
        <f t="shared" si="35"/>
        <v>0</v>
      </c>
      <c r="DV17" s="14">
        <f t="shared" si="58"/>
        <v>0</v>
      </c>
      <c r="DW17" s="1">
        <v>0</v>
      </c>
      <c r="DX17" s="1">
        <v>0</v>
      </c>
      <c r="DY17" s="74">
        <v>0</v>
      </c>
      <c r="DZ17" s="14">
        <f t="shared" si="36"/>
        <v>0</v>
      </c>
      <c r="EA17" s="48">
        <f t="shared" si="37"/>
        <v>2817.3669999999902</v>
      </c>
      <c r="EB17" s="1">
        <v>0</v>
      </c>
      <c r="EC17" s="1">
        <v>0</v>
      </c>
      <c r="ED17" s="48">
        <f t="shared" si="38"/>
        <v>2817.3669999999902</v>
      </c>
      <c r="EE17" s="14">
        <f t="shared" si="39"/>
        <v>3781.0199999999932</v>
      </c>
      <c r="EF17" s="14">
        <f t="shared" si="6"/>
        <v>764.75</v>
      </c>
      <c r="EG17" s="14">
        <f>CPP!D17+CPP!E17+CPP!F17+CPP!G17+CPP!H17+CPP!I17+CPP!J17+CPP!M17+BG17</f>
        <v>147</v>
      </c>
      <c r="EH17" s="14">
        <f t="shared" si="40"/>
        <v>4398.7699999999932</v>
      </c>
      <c r="EI17" s="125">
        <f t="shared" si="59"/>
        <v>27063.349581677572</v>
      </c>
      <c r="EJ17" s="1">
        <f t="shared" si="41"/>
        <v>1350</v>
      </c>
      <c r="EK17" s="135">
        <f>'DAILY CEM1'!AG18+'DAILY CEM2'!AF18</f>
        <v>1946.6680100003696</v>
      </c>
      <c r="EL17" s="125">
        <f t="shared" si="42"/>
        <v>26466.681571677203</v>
      </c>
      <c r="EM17" s="1">
        <v>1350</v>
      </c>
      <c r="EN17" s="1">
        <v>0</v>
      </c>
      <c r="EO17">
        <v>2287.6200000000022</v>
      </c>
    </row>
    <row r="18" spans="2:145" x14ac:dyDescent="0.25">
      <c r="B18" s="4">
        <v>16</v>
      </c>
      <c r="C18" s="27">
        <f t="shared" si="7"/>
        <v>1677.92</v>
      </c>
      <c r="D18" s="1">
        <v>0</v>
      </c>
      <c r="E18" s="1">
        <v>72</v>
      </c>
      <c r="F18" s="9">
        <f t="shared" si="0"/>
        <v>1605.92</v>
      </c>
      <c r="G18" s="27">
        <f t="shared" si="8"/>
        <v>1531.0495783905535</v>
      </c>
      <c r="H18" s="24">
        <v>0</v>
      </c>
      <c r="I18" s="24">
        <v>0</v>
      </c>
      <c r="J18" s="14">
        <f>G18+H18-I18-[1]Cement!U18</f>
        <v>1440.0495788385535</v>
      </c>
      <c r="K18" s="32">
        <f t="shared" si="9"/>
        <v>0</v>
      </c>
      <c r="L18" s="1">
        <v>0</v>
      </c>
      <c r="M18" s="24">
        <f>CPP!D18</f>
        <v>0</v>
      </c>
      <c r="N18" s="1">
        <v>0</v>
      </c>
      <c r="O18" s="24">
        <f>M18+N18</f>
        <v>0</v>
      </c>
      <c r="P18" s="28">
        <f>K18+L18-O18</f>
        <v>0</v>
      </c>
      <c r="Q18" s="27">
        <f t="shared" si="10"/>
        <v>0</v>
      </c>
      <c r="R18" s="1">
        <v>0</v>
      </c>
      <c r="S18" s="24">
        <f>CPP!E18</f>
        <v>0</v>
      </c>
      <c r="T18" s="19">
        <v>0</v>
      </c>
      <c r="U18" s="26">
        <f t="shared" si="11"/>
        <v>0</v>
      </c>
      <c r="V18" s="9">
        <f t="shared" si="12"/>
        <v>0</v>
      </c>
      <c r="W18" s="27">
        <f t="shared" si="13"/>
        <v>101.13999999999808</v>
      </c>
      <c r="X18" s="1">
        <v>0</v>
      </c>
      <c r="Y18" s="24">
        <f>CPP!H18</f>
        <v>0</v>
      </c>
      <c r="Z18" s="1">
        <v>101.1</v>
      </c>
      <c r="AA18" s="9">
        <f t="shared" si="14"/>
        <v>3.9999999998087787E-2</v>
      </c>
      <c r="AB18" s="27">
        <f t="shared" si="15"/>
        <v>0</v>
      </c>
      <c r="AC18" s="1">
        <v>0</v>
      </c>
      <c r="AD18" s="74">
        <f>CPP!F18</f>
        <v>0</v>
      </c>
      <c r="AE18" s="9">
        <f t="shared" si="3"/>
        <v>0</v>
      </c>
      <c r="AF18" s="27">
        <f t="shared" si="16"/>
        <v>4398.7699999999932</v>
      </c>
      <c r="AG18" s="1">
        <v>124.25</v>
      </c>
      <c r="AH18" s="1">
        <v>0</v>
      </c>
      <c r="AI18" s="24">
        <f>CPP!G18</f>
        <v>172</v>
      </c>
      <c r="AJ18" s="9">
        <f t="shared" si="61"/>
        <v>4351.0199999999932</v>
      </c>
      <c r="AK18" s="27">
        <f t="shared" si="17"/>
        <v>0</v>
      </c>
      <c r="AL18" s="1">
        <v>0</v>
      </c>
      <c r="AM18" s="1">
        <v>0</v>
      </c>
      <c r="AN18" s="9">
        <f t="shared" si="5"/>
        <v>0</v>
      </c>
      <c r="AO18" s="27">
        <f t="shared" si="18"/>
        <v>0</v>
      </c>
      <c r="AP18" s="1">
        <v>0</v>
      </c>
      <c r="AQ18" s="1">
        <v>0</v>
      </c>
      <c r="AR18" s="73">
        <f>CPP!I18</f>
        <v>0</v>
      </c>
      <c r="AS18" s="72">
        <f t="shared" si="19"/>
        <v>0</v>
      </c>
      <c r="AT18" s="14">
        <f t="shared" si="60"/>
        <v>1.0000000002058584E-2</v>
      </c>
      <c r="AU18" s="1">
        <v>0</v>
      </c>
      <c r="AV18" s="1">
        <v>0</v>
      </c>
      <c r="AW18" s="74">
        <f>CPP!X18</f>
        <v>0</v>
      </c>
      <c r="AX18" s="14">
        <f t="shared" si="20"/>
        <v>1.0000000002058584E-2</v>
      </c>
      <c r="AY18" s="14">
        <f t="shared" si="43"/>
        <v>2638.1269999999904</v>
      </c>
      <c r="AZ18" s="1">
        <v>123.28</v>
      </c>
      <c r="BA18" s="1">
        <v>143.34</v>
      </c>
      <c r="BB18" s="74">
        <f>CPP!M18</f>
        <v>0</v>
      </c>
      <c r="BC18" s="14">
        <f t="shared" si="21"/>
        <v>2618.0669999999905</v>
      </c>
      <c r="BD18" s="14">
        <f t="shared" si="44"/>
        <v>0</v>
      </c>
      <c r="BE18" s="1">
        <v>0</v>
      </c>
      <c r="BF18" s="1">
        <v>0</v>
      </c>
      <c r="BG18" s="74">
        <f>CPP!K18</f>
        <v>0</v>
      </c>
      <c r="BH18" s="14">
        <f t="shared" si="22"/>
        <v>0</v>
      </c>
      <c r="BI18" s="14">
        <f t="shared" si="45"/>
        <v>0</v>
      </c>
      <c r="BJ18" s="22">
        <v>0</v>
      </c>
      <c r="BK18" s="22">
        <v>0</v>
      </c>
      <c r="BL18" s="74">
        <f>CPP!L18</f>
        <v>0</v>
      </c>
      <c r="BM18" s="14">
        <f t="shared" si="23"/>
        <v>0</v>
      </c>
      <c r="BN18" s="14">
        <f t="shared" si="46"/>
        <v>0</v>
      </c>
      <c r="BO18" s="1">
        <v>0</v>
      </c>
      <c r="BP18" s="1">
        <v>0</v>
      </c>
      <c r="BQ18" s="74">
        <f>CPP!N18</f>
        <v>0</v>
      </c>
      <c r="BR18" s="14">
        <f t="shared" si="24"/>
        <v>0</v>
      </c>
      <c r="BS18" s="14">
        <f t="shared" si="47"/>
        <v>0</v>
      </c>
      <c r="BT18" s="1">
        <v>0</v>
      </c>
      <c r="BU18" s="1">
        <v>0</v>
      </c>
      <c r="BV18" s="74">
        <f>CPP!O18</f>
        <v>0</v>
      </c>
      <c r="BW18" s="14">
        <f t="shared" si="25"/>
        <v>0</v>
      </c>
      <c r="BX18" s="48">
        <f t="shared" si="48"/>
        <v>0</v>
      </c>
      <c r="BY18" s="1">
        <v>0</v>
      </c>
      <c r="BZ18" s="1">
        <v>0</v>
      </c>
      <c r="CA18" s="88"/>
      <c r="CB18" s="72">
        <f t="shared" si="26"/>
        <v>0</v>
      </c>
      <c r="CC18" s="14">
        <f t="shared" si="49"/>
        <v>0</v>
      </c>
      <c r="CD18" s="1">
        <v>0</v>
      </c>
      <c r="CE18" s="1">
        <v>0</v>
      </c>
      <c r="CF18" s="74">
        <f>CPP!P18</f>
        <v>0</v>
      </c>
      <c r="CG18" s="14">
        <f t="shared" si="27"/>
        <v>0</v>
      </c>
      <c r="CH18" s="14">
        <f t="shared" si="50"/>
        <v>0</v>
      </c>
      <c r="CI18" s="1">
        <v>0</v>
      </c>
      <c r="CJ18" s="1">
        <v>0</v>
      </c>
      <c r="CK18" s="74">
        <f>CPP!Q18</f>
        <v>0</v>
      </c>
      <c r="CL18" s="14">
        <f t="shared" si="28"/>
        <v>0</v>
      </c>
      <c r="CM18" s="14">
        <f t="shared" si="51"/>
        <v>5.0000000000181899E-2</v>
      </c>
      <c r="CN18" s="1">
        <v>0</v>
      </c>
      <c r="CO18" s="1">
        <v>0</v>
      </c>
      <c r="CP18" s="74">
        <f>CPP!R18</f>
        <v>0</v>
      </c>
      <c r="CQ18" s="14">
        <f t="shared" si="29"/>
        <v>5.0000000000181899E-2</v>
      </c>
      <c r="CR18" s="14">
        <f t="shared" si="52"/>
        <v>0</v>
      </c>
      <c r="CS18" s="1">
        <v>0</v>
      </c>
      <c r="CT18" s="1">
        <v>0</v>
      </c>
      <c r="CU18" s="74">
        <f>CPP!S18</f>
        <v>0</v>
      </c>
      <c r="CV18" s="14">
        <f t="shared" si="30"/>
        <v>0</v>
      </c>
      <c r="CW18" s="14">
        <f t="shared" si="53"/>
        <v>0</v>
      </c>
      <c r="CX18" s="1">
        <v>0</v>
      </c>
      <c r="CY18" s="1">
        <v>0</v>
      </c>
      <c r="CZ18" s="74">
        <f>CPP!T18</f>
        <v>0</v>
      </c>
      <c r="DA18" s="14">
        <f t="shared" si="31"/>
        <v>0</v>
      </c>
      <c r="DB18" s="14">
        <f t="shared" si="54"/>
        <v>1.0000000000013998E-2</v>
      </c>
      <c r="DC18" s="1">
        <v>0</v>
      </c>
      <c r="DD18" s="1">
        <v>0</v>
      </c>
      <c r="DE18" s="74">
        <f>CPP!U18</f>
        <v>0</v>
      </c>
      <c r="DF18" s="14">
        <f t="shared" si="32"/>
        <v>1.0000000000013998E-2</v>
      </c>
      <c r="DG18" s="14">
        <f t="shared" si="55"/>
        <v>0</v>
      </c>
      <c r="DH18" s="1">
        <v>0</v>
      </c>
      <c r="DI18" s="1">
        <v>0</v>
      </c>
      <c r="DJ18" s="74">
        <f>CPP!V18</f>
        <v>0</v>
      </c>
      <c r="DK18" s="14">
        <f t="shared" si="33"/>
        <v>0</v>
      </c>
      <c r="DL18" s="14">
        <f t="shared" si="56"/>
        <v>304</v>
      </c>
      <c r="DM18" s="22">
        <v>0</v>
      </c>
      <c r="DN18" s="22">
        <v>0</v>
      </c>
      <c r="DO18" s="74">
        <f>CPP!W18</f>
        <v>0</v>
      </c>
      <c r="DP18" s="14">
        <f t="shared" si="34"/>
        <v>304</v>
      </c>
      <c r="DQ18" s="14">
        <f t="shared" si="57"/>
        <v>0</v>
      </c>
      <c r="DR18" s="1">
        <v>0</v>
      </c>
      <c r="DS18" s="1">
        <v>0</v>
      </c>
      <c r="DT18" s="74">
        <f>CPP!J18</f>
        <v>0</v>
      </c>
      <c r="DU18" s="14">
        <f t="shared" si="35"/>
        <v>0</v>
      </c>
      <c r="DV18" s="14">
        <f t="shared" si="58"/>
        <v>0</v>
      </c>
      <c r="DW18" s="1">
        <v>0</v>
      </c>
      <c r="DX18" s="1">
        <v>0</v>
      </c>
      <c r="DY18" s="74">
        <v>0</v>
      </c>
      <c r="DZ18" s="14">
        <f t="shared" si="36"/>
        <v>0</v>
      </c>
      <c r="EA18" s="48">
        <f t="shared" si="37"/>
        <v>2739.2769999999905</v>
      </c>
      <c r="EB18" s="1">
        <v>0</v>
      </c>
      <c r="EC18" s="1">
        <v>0</v>
      </c>
      <c r="ED18" s="48">
        <f t="shared" si="38"/>
        <v>2739.2769999999905</v>
      </c>
      <c r="EE18" s="14">
        <f t="shared" si="39"/>
        <v>4398.7699999999932</v>
      </c>
      <c r="EF18" s="14">
        <f t="shared" si="6"/>
        <v>124.25</v>
      </c>
      <c r="EG18" s="14">
        <f>CPP!D18+CPP!E18+CPP!F18+CPP!G18+CPP!H18+CPP!I18+CPP!J18+CPP!M18+BG18</f>
        <v>172</v>
      </c>
      <c r="EH18" s="14">
        <f t="shared" si="40"/>
        <v>4351.0199999999932</v>
      </c>
      <c r="EI18" s="125">
        <f t="shared" si="59"/>
        <v>26466.681571677203</v>
      </c>
      <c r="EJ18" s="1">
        <f t="shared" si="41"/>
        <v>1390</v>
      </c>
      <c r="EK18" s="135">
        <f>'DAILY CEM1'!AG19+'DAILY CEM2'!AF19</f>
        <v>2298.5289999570005</v>
      </c>
      <c r="EL18" s="125">
        <f t="shared" si="42"/>
        <v>25558.152571720202</v>
      </c>
      <c r="EM18" s="1">
        <v>1390</v>
      </c>
      <c r="EN18" s="1">
        <v>0</v>
      </c>
      <c r="EO18">
        <v>2324.5000000000323</v>
      </c>
    </row>
    <row r="19" spans="2:145" s="154" customFormat="1" x14ac:dyDescent="0.25">
      <c r="B19" s="173">
        <v>17</v>
      </c>
      <c r="C19" s="174">
        <f t="shared" si="7"/>
        <v>1605.92</v>
      </c>
      <c r="D19" s="1">
        <v>0</v>
      </c>
      <c r="E19" s="1">
        <v>47</v>
      </c>
      <c r="F19" s="175">
        <f t="shared" si="0"/>
        <v>1558.92</v>
      </c>
      <c r="G19" s="174">
        <f t="shared" si="8"/>
        <v>1440.0495788385535</v>
      </c>
      <c r="H19" s="176">
        <v>0</v>
      </c>
      <c r="I19" s="176">
        <v>0</v>
      </c>
      <c r="J19" s="177">
        <f>G19+H19-I19-[1]Cement!U19</f>
        <v>1365.0495804201535</v>
      </c>
      <c r="K19" s="178">
        <f t="shared" si="9"/>
        <v>0</v>
      </c>
      <c r="L19" s="155">
        <v>0</v>
      </c>
      <c r="M19" s="176">
        <f>CPP!D19</f>
        <v>0</v>
      </c>
      <c r="N19" s="155">
        <v>0</v>
      </c>
      <c r="O19" s="176">
        <f t="shared" si="1"/>
        <v>0</v>
      </c>
      <c r="P19" s="179">
        <f>K19+L19-O19</f>
        <v>0</v>
      </c>
      <c r="Q19" s="174">
        <f t="shared" si="10"/>
        <v>0</v>
      </c>
      <c r="R19" s="155">
        <v>0</v>
      </c>
      <c r="S19" s="176">
        <f>CPP!E19</f>
        <v>0</v>
      </c>
      <c r="T19" s="180">
        <v>0</v>
      </c>
      <c r="U19" s="181">
        <f t="shared" si="11"/>
        <v>0</v>
      </c>
      <c r="V19" s="175">
        <f t="shared" si="12"/>
        <v>0</v>
      </c>
      <c r="W19" s="174">
        <f t="shared" si="13"/>
        <v>3.9999999998087787E-2</v>
      </c>
      <c r="X19" s="1">
        <v>0</v>
      </c>
      <c r="Y19" s="176">
        <f>CPP!H19</f>
        <v>0</v>
      </c>
      <c r="Z19" s="1">
        <v>0</v>
      </c>
      <c r="AA19" s="175">
        <f t="shared" si="14"/>
        <v>3.9999999998087787E-2</v>
      </c>
      <c r="AB19" s="174">
        <f t="shared" si="15"/>
        <v>0</v>
      </c>
      <c r="AC19" s="155">
        <v>0</v>
      </c>
      <c r="AD19" s="182">
        <f>CPP!F19</f>
        <v>0</v>
      </c>
      <c r="AE19" s="175">
        <f t="shared" si="3"/>
        <v>0</v>
      </c>
      <c r="AF19" s="174">
        <f t="shared" si="16"/>
        <v>4351.0199999999932</v>
      </c>
      <c r="AG19" s="1">
        <v>32</v>
      </c>
      <c r="AH19" s="1">
        <v>0</v>
      </c>
      <c r="AI19" s="176">
        <f>CPP!G19</f>
        <v>155</v>
      </c>
      <c r="AJ19" s="9">
        <f t="shared" si="61"/>
        <v>4228.0199999999932</v>
      </c>
      <c r="AK19" s="174">
        <f t="shared" si="17"/>
        <v>0</v>
      </c>
      <c r="AL19" s="155">
        <v>0</v>
      </c>
      <c r="AM19" s="155">
        <v>0</v>
      </c>
      <c r="AN19" s="175">
        <f t="shared" si="5"/>
        <v>0</v>
      </c>
      <c r="AO19" s="174">
        <f t="shared" si="18"/>
        <v>0</v>
      </c>
      <c r="AP19" s="155">
        <v>0</v>
      </c>
      <c r="AQ19" s="155">
        <v>0</v>
      </c>
      <c r="AR19" s="183">
        <f>CPP!I19</f>
        <v>0</v>
      </c>
      <c r="AS19" s="184">
        <f t="shared" si="19"/>
        <v>0</v>
      </c>
      <c r="AT19" s="177">
        <f t="shared" si="60"/>
        <v>1.0000000002058584E-2</v>
      </c>
      <c r="AU19" s="1">
        <v>0</v>
      </c>
      <c r="AV19" s="1">
        <v>0</v>
      </c>
      <c r="AW19" s="74">
        <f>CPP!X19</f>
        <v>0</v>
      </c>
      <c r="AX19" s="177">
        <f t="shared" si="20"/>
        <v>1.0000000002058584E-2</v>
      </c>
      <c r="AY19" s="177">
        <f t="shared" si="43"/>
        <v>2618.0669999999905</v>
      </c>
      <c r="AZ19" s="1">
        <v>64.14</v>
      </c>
      <c r="BA19" s="1">
        <v>244.44</v>
      </c>
      <c r="BB19" s="182">
        <f>CPP!M19</f>
        <v>0</v>
      </c>
      <c r="BC19" s="177">
        <f t="shared" si="21"/>
        <v>2437.7669999999903</v>
      </c>
      <c r="BD19" s="177">
        <f t="shared" si="44"/>
        <v>0</v>
      </c>
      <c r="BE19" s="155">
        <v>0</v>
      </c>
      <c r="BF19" s="155">
        <v>0</v>
      </c>
      <c r="BG19" s="182">
        <f>CPP!K19</f>
        <v>0</v>
      </c>
      <c r="BH19" s="177">
        <f t="shared" si="22"/>
        <v>0</v>
      </c>
      <c r="BI19" s="177">
        <f t="shared" si="45"/>
        <v>0</v>
      </c>
      <c r="BJ19" s="155">
        <v>0</v>
      </c>
      <c r="BK19" s="155">
        <v>0</v>
      </c>
      <c r="BL19" s="182">
        <f>CPP!L19</f>
        <v>0</v>
      </c>
      <c r="BM19" s="177">
        <f t="shared" si="23"/>
        <v>0</v>
      </c>
      <c r="BN19" s="177">
        <f t="shared" si="46"/>
        <v>0</v>
      </c>
      <c r="BO19" s="155">
        <v>0</v>
      </c>
      <c r="BP19" s="155">
        <v>0</v>
      </c>
      <c r="BQ19" s="182">
        <f>CPP!N19</f>
        <v>0</v>
      </c>
      <c r="BR19" s="177">
        <f t="shared" si="24"/>
        <v>0</v>
      </c>
      <c r="BS19" s="177">
        <f t="shared" si="47"/>
        <v>0</v>
      </c>
      <c r="BT19" s="155">
        <v>0</v>
      </c>
      <c r="BU19" s="155">
        <v>0</v>
      </c>
      <c r="BV19" s="182">
        <f>CPP!O19</f>
        <v>0</v>
      </c>
      <c r="BW19" s="177">
        <f t="shared" si="25"/>
        <v>0</v>
      </c>
      <c r="BX19" s="185">
        <f t="shared" si="48"/>
        <v>0</v>
      </c>
      <c r="BY19" s="155">
        <v>0</v>
      </c>
      <c r="BZ19" s="155">
        <v>0</v>
      </c>
      <c r="CA19" s="186"/>
      <c r="CB19" s="184">
        <f t="shared" si="26"/>
        <v>0</v>
      </c>
      <c r="CC19" s="177">
        <f t="shared" si="49"/>
        <v>0</v>
      </c>
      <c r="CD19" s="155">
        <v>0</v>
      </c>
      <c r="CE19" s="155">
        <v>0</v>
      </c>
      <c r="CF19" s="182">
        <f>CPP!P19</f>
        <v>0</v>
      </c>
      <c r="CG19" s="177">
        <f t="shared" si="27"/>
        <v>0</v>
      </c>
      <c r="CH19" s="177">
        <f t="shared" si="50"/>
        <v>0</v>
      </c>
      <c r="CI19" s="155">
        <v>0</v>
      </c>
      <c r="CJ19" s="155">
        <v>0</v>
      </c>
      <c r="CK19" s="182">
        <f>CPP!Q19</f>
        <v>0</v>
      </c>
      <c r="CL19" s="177">
        <f t="shared" si="28"/>
        <v>0</v>
      </c>
      <c r="CM19" s="177">
        <f t="shared" si="51"/>
        <v>5.0000000000181899E-2</v>
      </c>
      <c r="CN19" s="155">
        <v>0</v>
      </c>
      <c r="CO19" s="155">
        <v>0</v>
      </c>
      <c r="CP19" s="182">
        <f>CPP!R19</f>
        <v>0</v>
      </c>
      <c r="CQ19" s="177">
        <f t="shared" si="29"/>
        <v>5.0000000000181899E-2</v>
      </c>
      <c r="CR19" s="177">
        <f t="shared" si="52"/>
        <v>0</v>
      </c>
      <c r="CS19" s="155">
        <v>0</v>
      </c>
      <c r="CT19" s="155">
        <v>0</v>
      </c>
      <c r="CU19" s="182">
        <f>CPP!S19</f>
        <v>0</v>
      </c>
      <c r="CV19" s="177">
        <f t="shared" si="30"/>
        <v>0</v>
      </c>
      <c r="CW19" s="177">
        <f t="shared" si="53"/>
        <v>0</v>
      </c>
      <c r="CX19" s="155">
        <v>0</v>
      </c>
      <c r="CY19" s="155">
        <v>0</v>
      </c>
      <c r="CZ19" s="182">
        <f>CPP!T19</f>
        <v>0</v>
      </c>
      <c r="DA19" s="177">
        <f t="shared" si="31"/>
        <v>0</v>
      </c>
      <c r="DB19" s="177">
        <f t="shared" si="54"/>
        <v>1.0000000000013998E-2</v>
      </c>
      <c r="DC19" s="155">
        <v>0</v>
      </c>
      <c r="DD19" s="155">
        <v>0</v>
      </c>
      <c r="DE19" s="182">
        <f>CPP!U19</f>
        <v>0</v>
      </c>
      <c r="DF19" s="177">
        <f t="shared" si="32"/>
        <v>1.0000000000013998E-2</v>
      </c>
      <c r="DG19" s="177">
        <f t="shared" si="55"/>
        <v>0</v>
      </c>
      <c r="DH19" s="155">
        <v>0</v>
      </c>
      <c r="DI19" s="155">
        <v>0</v>
      </c>
      <c r="DJ19" s="182">
        <f>CPP!V19</f>
        <v>0</v>
      </c>
      <c r="DK19" s="177">
        <f t="shared" si="33"/>
        <v>0</v>
      </c>
      <c r="DL19" s="177">
        <f t="shared" si="56"/>
        <v>304</v>
      </c>
      <c r="DM19" s="187">
        <v>0</v>
      </c>
      <c r="DN19" s="155">
        <v>0</v>
      </c>
      <c r="DO19" s="182">
        <f>CPP!W19</f>
        <v>0</v>
      </c>
      <c r="DP19" s="177">
        <f t="shared" si="34"/>
        <v>304</v>
      </c>
      <c r="DQ19" s="177">
        <f t="shared" si="57"/>
        <v>0</v>
      </c>
      <c r="DR19" s="1">
        <v>0</v>
      </c>
      <c r="DS19" s="155">
        <v>0</v>
      </c>
      <c r="DT19" s="74">
        <f>CPP!J19</f>
        <v>0</v>
      </c>
      <c r="DU19" s="177">
        <f t="shared" si="35"/>
        <v>0</v>
      </c>
      <c r="DV19" s="177">
        <f t="shared" si="58"/>
        <v>0</v>
      </c>
      <c r="DW19" s="155">
        <v>0</v>
      </c>
      <c r="DX19" s="155">
        <v>0</v>
      </c>
      <c r="DY19" s="182">
        <v>0</v>
      </c>
      <c r="DZ19" s="177">
        <f t="shared" si="36"/>
        <v>0</v>
      </c>
      <c r="EA19" s="185">
        <f t="shared" si="37"/>
        <v>2618.1169999999906</v>
      </c>
      <c r="EB19" s="155">
        <v>0</v>
      </c>
      <c r="EC19" s="155">
        <v>0</v>
      </c>
      <c r="ED19" s="185">
        <f t="shared" si="38"/>
        <v>2618.1169999999906</v>
      </c>
      <c r="EE19" s="177">
        <f t="shared" si="39"/>
        <v>4351.0199999999932</v>
      </c>
      <c r="EF19" s="177">
        <f t="shared" si="6"/>
        <v>32</v>
      </c>
      <c r="EG19" s="177">
        <f>CPP!D19+CPP!E19+CPP!F19+CPP!G19+CPP!H19+CPP!I19+CPP!J19+CPP!M19+BG19</f>
        <v>155</v>
      </c>
      <c r="EH19" s="177">
        <f t="shared" si="40"/>
        <v>4228.0199999999932</v>
      </c>
      <c r="EI19" s="188">
        <f t="shared" si="59"/>
        <v>25558.152571720202</v>
      </c>
      <c r="EJ19" s="1">
        <f>EM19+EN19</f>
        <v>1425</v>
      </c>
      <c r="EK19" s="161">
        <f>'DAILY CEM1'!AG20+'DAILY CEM2'!AF20</f>
        <v>2169.6900000001551</v>
      </c>
      <c r="EL19" s="188">
        <f>EI19+EJ19-EK19</f>
        <v>24813.462571720047</v>
      </c>
      <c r="EM19" s="1">
        <v>1425</v>
      </c>
      <c r="EN19" s="1">
        <v>0</v>
      </c>
      <c r="EO19" s="154">
        <v>2176.7800000001903</v>
      </c>
    </row>
    <row r="20" spans="2:145" x14ac:dyDescent="0.25">
      <c r="B20" s="4">
        <v>18</v>
      </c>
      <c r="C20" s="27">
        <f t="shared" si="7"/>
        <v>1558.92</v>
      </c>
      <c r="D20" s="1">
        <v>0</v>
      </c>
      <c r="E20" s="1">
        <v>88</v>
      </c>
      <c r="F20" s="9">
        <f t="shared" si="0"/>
        <v>1470.92</v>
      </c>
      <c r="G20" s="27">
        <f t="shared" si="8"/>
        <v>1365.0495804201535</v>
      </c>
      <c r="H20" s="24">
        <v>0</v>
      </c>
      <c r="I20" s="24">
        <v>0</v>
      </c>
      <c r="J20" s="14">
        <f>G20+H20-I20-[1]Cement!U20</f>
        <v>1271.0495811297535</v>
      </c>
      <c r="K20" s="32">
        <f t="shared" si="9"/>
        <v>0</v>
      </c>
      <c r="L20" s="1">
        <v>0</v>
      </c>
      <c r="M20" s="24">
        <f>CPP!D20</f>
        <v>0</v>
      </c>
      <c r="N20" s="1">
        <v>0</v>
      </c>
      <c r="O20" s="24">
        <f t="shared" si="1"/>
        <v>0</v>
      </c>
      <c r="P20" s="28">
        <f t="shared" si="2"/>
        <v>0</v>
      </c>
      <c r="Q20" s="27">
        <f t="shared" si="10"/>
        <v>0</v>
      </c>
      <c r="R20" s="1">
        <v>0</v>
      </c>
      <c r="S20" s="24">
        <f>CPP!E20</f>
        <v>0</v>
      </c>
      <c r="T20" s="19">
        <v>0</v>
      </c>
      <c r="U20" s="26">
        <f t="shared" si="11"/>
        <v>0</v>
      </c>
      <c r="V20" s="9">
        <f t="shared" si="12"/>
        <v>0</v>
      </c>
      <c r="W20" s="27">
        <f t="shared" si="13"/>
        <v>3.9999999998087787E-2</v>
      </c>
      <c r="X20" s="1">
        <v>0</v>
      </c>
      <c r="Y20" s="24">
        <f>CPP!H20</f>
        <v>0</v>
      </c>
      <c r="Z20" s="1">
        <v>0</v>
      </c>
      <c r="AA20" s="9">
        <f t="shared" si="14"/>
        <v>3.9999999998087787E-2</v>
      </c>
      <c r="AB20" s="27">
        <f t="shared" si="15"/>
        <v>0</v>
      </c>
      <c r="AC20" s="1">
        <v>0</v>
      </c>
      <c r="AD20" s="74">
        <f>CPP!F20</f>
        <v>0</v>
      </c>
      <c r="AE20" s="9">
        <f t="shared" si="3"/>
        <v>0</v>
      </c>
      <c r="AF20" s="27">
        <f t="shared" si="16"/>
        <v>4228.0199999999932</v>
      </c>
      <c r="AG20" s="1">
        <v>251.7</v>
      </c>
      <c r="AH20" s="1">
        <v>0</v>
      </c>
      <c r="AI20" s="24">
        <f>CPP!G20</f>
        <v>164</v>
      </c>
      <c r="AJ20" s="9">
        <f t="shared" si="61"/>
        <v>4315.719999999993</v>
      </c>
      <c r="AK20" s="27">
        <f t="shared" si="17"/>
        <v>0</v>
      </c>
      <c r="AL20" s="1">
        <v>0</v>
      </c>
      <c r="AM20" s="1">
        <v>0</v>
      </c>
      <c r="AN20" s="9">
        <f t="shared" si="5"/>
        <v>0</v>
      </c>
      <c r="AO20" s="27">
        <f t="shared" si="18"/>
        <v>0</v>
      </c>
      <c r="AP20" s="1">
        <v>0</v>
      </c>
      <c r="AQ20" s="1">
        <v>0</v>
      </c>
      <c r="AR20" s="73">
        <f>CPP!I20</f>
        <v>0</v>
      </c>
      <c r="AS20" s="72">
        <f t="shared" si="19"/>
        <v>0</v>
      </c>
      <c r="AT20" s="14">
        <f t="shared" si="60"/>
        <v>1.0000000002058584E-2</v>
      </c>
      <c r="AU20" s="1">
        <v>0</v>
      </c>
      <c r="AV20" s="1">
        <v>0</v>
      </c>
      <c r="AW20" s="74">
        <f>CPP!X20</f>
        <v>0</v>
      </c>
      <c r="AX20" s="14">
        <f t="shared" si="20"/>
        <v>1.0000000002058584E-2</v>
      </c>
      <c r="AY20" s="14">
        <f t="shared" si="43"/>
        <v>2437.7669999999903</v>
      </c>
      <c r="AZ20" s="1">
        <v>186.46</v>
      </c>
      <c r="BA20" s="1">
        <v>237.78</v>
      </c>
      <c r="BB20" s="74">
        <f>CPP!M20</f>
        <v>0</v>
      </c>
      <c r="BC20" s="14">
        <f t="shared" si="21"/>
        <v>2386.4469999999901</v>
      </c>
      <c r="BD20" s="14">
        <f t="shared" si="44"/>
        <v>0</v>
      </c>
      <c r="BE20" s="1">
        <v>0</v>
      </c>
      <c r="BF20" s="1">
        <v>0</v>
      </c>
      <c r="BG20" s="74">
        <f>CPP!K20</f>
        <v>0</v>
      </c>
      <c r="BH20" s="14">
        <f t="shared" si="22"/>
        <v>0</v>
      </c>
      <c r="BI20" s="14">
        <f t="shared" si="45"/>
        <v>0</v>
      </c>
      <c r="BJ20" s="22">
        <v>0</v>
      </c>
      <c r="BK20" s="22">
        <v>0</v>
      </c>
      <c r="BL20" s="74">
        <f>CPP!L20</f>
        <v>0</v>
      </c>
      <c r="BM20" s="14">
        <f t="shared" si="23"/>
        <v>0</v>
      </c>
      <c r="BN20" s="14">
        <f t="shared" si="46"/>
        <v>0</v>
      </c>
      <c r="BO20" s="1">
        <v>0</v>
      </c>
      <c r="BP20" s="1">
        <v>0</v>
      </c>
      <c r="BQ20" s="74">
        <f>CPP!N20</f>
        <v>0</v>
      </c>
      <c r="BR20" s="14">
        <f t="shared" si="24"/>
        <v>0</v>
      </c>
      <c r="BS20" s="14">
        <f t="shared" si="47"/>
        <v>0</v>
      </c>
      <c r="BT20" s="1">
        <v>0</v>
      </c>
      <c r="BU20" s="1">
        <v>0</v>
      </c>
      <c r="BV20" s="74">
        <f>CPP!O20</f>
        <v>0</v>
      </c>
      <c r="BW20" s="14">
        <f t="shared" si="25"/>
        <v>0</v>
      </c>
      <c r="BX20" s="48">
        <f t="shared" si="48"/>
        <v>0</v>
      </c>
      <c r="BY20" s="1">
        <v>0</v>
      </c>
      <c r="BZ20" s="1">
        <v>0</v>
      </c>
      <c r="CA20" s="88"/>
      <c r="CB20" s="72">
        <f t="shared" si="26"/>
        <v>0</v>
      </c>
      <c r="CC20" s="14">
        <f t="shared" si="49"/>
        <v>0</v>
      </c>
      <c r="CD20" s="1">
        <v>0</v>
      </c>
      <c r="CE20" s="1">
        <v>0</v>
      </c>
      <c r="CF20" s="74">
        <f>CPP!P20</f>
        <v>0</v>
      </c>
      <c r="CG20" s="14">
        <f t="shared" si="27"/>
        <v>0</v>
      </c>
      <c r="CH20" s="14">
        <f t="shared" si="50"/>
        <v>0</v>
      </c>
      <c r="CI20" s="1">
        <v>0</v>
      </c>
      <c r="CJ20" s="1">
        <v>0</v>
      </c>
      <c r="CK20" s="74">
        <f>CPP!Q20</f>
        <v>0</v>
      </c>
      <c r="CL20" s="14">
        <f t="shared" si="28"/>
        <v>0</v>
      </c>
      <c r="CM20" s="14">
        <f t="shared" si="51"/>
        <v>5.0000000000181899E-2</v>
      </c>
      <c r="CN20" s="1">
        <v>0</v>
      </c>
      <c r="CO20" s="1">
        <v>0</v>
      </c>
      <c r="CP20" s="74">
        <f>CPP!R20</f>
        <v>0</v>
      </c>
      <c r="CQ20" s="14">
        <f t="shared" si="29"/>
        <v>5.0000000000181899E-2</v>
      </c>
      <c r="CR20" s="14">
        <f t="shared" si="52"/>
        <v>0</v>
      </c>
      <c r="CS20" s="1">
        <v>0</v>
      </c>
      <c r="CT20" s="1">
        <v>0</v>
      </c>
      <c r="CU20" s="74">
        <f>CPP!S20</f>
        <v>0</v>
      </c>
      <c r="CV20" s="14">
        <f t="shared" si="30"/>
        <v>0</v>
      </c>
      <c r="CW20" s="14">
        <f t="shared" si="53"/>
        <v>0</v>
      </c>
      <c r="CX20" s="1">
        <v>0</v>
      </c>
      <c r="CY20" s="1">
        <v>0</v>
      </c>
      <c r="CZ20" s="74">
        <f>CPP!T20</f>
        <v>0</v>
      </c>
      <c r="DA20" s="14">
        <f t="shared" si="31"/>
        <v>0</v>
      </c>
      <c r="DB20" s="14">
        <f t="shared" si="54"/>
        <v>1.0000000000013998E-2</v>
      </c>
      <c r="DC20" s="1">
        <v>0</v>
      </c>
      <c r="DD20" s="1">
        <v>0</v>
      </c>
      <c r="DE20" s="74">
        <f>CPP!U20</f>
        <v>0</v>
      </c>
      <c r="DF20" s="14">
        <f t="shared" si="32"/>
        <v>1.0000000000013998E-2</v>
      </c>
      <c r="DG20" s="14">
        <f t="shared" si="55"/>
        <v>0</v>
      </c>
      <c r="DH20" s="1">
        <v>0</v>
      </c>
      <c r="DI20" s="1">
        <v>0</v>
      </c>
      <c r="DJ20" s="74">
        <f>CPP!V20</f>
        <v>0</v>
      </c>
      <c r="DK20" s="14">
        <f t="shared" si="33"/>
        <v>0</v>
      </c>
      <c r="DL20" s="14">
        <f t="shared" si="56"/>
        <v>304</v>
      </c>
      <c r="DM20" s="1">
        <v>0</v>
      </c>
      <c r="DN20" s="22">
        <v>0</v>
      </c>
      <c r="DO20" s="74">
        <f>CPP!W20</f>
        <v>0</v>
      </c>
      <c r="DP20" s="14">
        <f t="shared" si="34"/>
        <v>304</v>
      </c>
      <c r="DQ20" s="14">
        <f t="shared" si="57"/>
        <v>0</v>
      </c>
      <c r="DR20" s="1">
        <v>0</v>
      </c>
      <c r="DS20" s="1">
        <v>0</v>
      </c>
      <c r="DT20" s="74">
        <f>CPP!J20</f>
        <v>0</v>
      </c>
      <c r="DU20" s="14">
        <f t="shared" si="35"/>
        <v>0</v>
      </c>
      <c r="DV20" s="14">
        <f t="shared" si="58"/>
        <v>0</v>
      </c>
      <c r="DW20" s="1">
        <v>0</v>
      </c>
      <c r="DX20" s="1">
        <v>0</v>
      </c>
      <c r="DY20" s="74">
        <v>0</v>
      </c>
      <c r="DZ20" s="14">
        <f t="shared" si="36"/>
        <v>0</v>
      </c>
      <c r="EA20" s="48">
        <f t="shared" si="37"/>
        <v>2437.8169999999905</v>
      </c>
      <c r="EB20" s="1">
        <v>0</v>
      </c>
      <c r="EC20" s="1">
        <v>0</v>
      </c>
      <c r="ED20" s="48">
        <f t="shared" si="38"/>
        <v>2437.8169999999905</v>
      </c>
      <c r="EE20" s="14">
        <f t="shared" si="39"/>
        <v>4228.0199999999932</v>
      </c>
      <c r="EF20" s="14">
        <f t="shared" si="6"/>
        <v>251.7</v>
      </c>
      <c r="EG20" s="14">
        <f>CPP!D20+CPP!E20+CPP!F20+CPP!G20+CPP!H20+CPP!I20+CPP!J20+CPP!M20+BG20</f>
        <v>164</v>
      </c>
      <c r="EH20" s="14">
        <f t="shared" si="40"/>
        <v>4315.719999999993</v>
      </c>
      <c r="EI20" s="125">
        <f t="shared" si="59"/>
        <v>24813.462571720047</v>
      </c>
      <c r="EJ20" s="1">
        <f t="shared" si="41"/>
        <v>1350</v>
      </c>
      <c r="EK20" s="135">
        <f>'DAILY CEM1'!AG21+'DAILY CEM2'!AF21</f>
        <v>2232.5500000000015</v>
      </c>
      <c r="EL20" s="125">
        <f>EI20+EJ20-EK20</f>
        <v>23930.912571720044</v>
      </c>
      <c r="EM20" s="1">
        <v>1350</v>
      </c>
      <c r="EN20" s="1">
        <v>0</v>
      </c>
      <c r="EO20">
        <v>2219.0999999720702</v>
      </c>
    </row>
    <row r="21" spans="2:145" s="154" customFormat="1" x14ac:dyDescent="0.25">
      <c r="B21" s="173">
        <v>19</v>
      </c>
      <c r="C21" s="174">
        <f t="shared" si="7"/>
        <v>1470.92</v>
      </c>
      <c r="D21" s="1">
        <v>0</v>
      </c>
      <c r="E21" s="1">
        <v>80</v>
      </c>
      <c r="F21" s="175">
        <f t="shared" si="0"/>
        <v>1390.92</v>
      </c>
      <c r="G21" s="174">
        <f t="shared" si="8"/>
        <v>1271.0495811297535</v>
      </c>
      <c r="H21" s="176">
        <v>0</v>
      </c>
      <c r="I21" s="176">
        <v>0</v>
      </c>
      <c r="J21" s="177">
        <f>G21+H21-I21-[1]Cement!U21</f>
        <v>1165.0495784097534</v>
      </c>
      <c r="K21" s="178">
        <f t="shared" si="9"/>
        <v>0</v>
      </c>
      <c r="L21" s="155">
        <v>0</v>
      </c>
      <c r="M21" s="176">
        <f>CPP!D21</f>
        <v>0</v>
      </c>
      <c r="N21" s="155">
        <v>0</v>
      </c>
      <c r="O21" s="176">
        <f t="shared" si="1"/>
        <v>0</v>
      </c>
      <c r="P21" s="179">
        <f t="shared" si="2"/>
        <v>0</v>
      </c>
      <c r="Q21" s="174">
        <f t="shared" si="10"/>
        <v>0</v>
      </c>
      <c r="R21" s="155">
        <v>0</v>
      </c>
      <c r="S21" s="176">
        <f>CPP!E21</f>
        <v>0</v>
      </c>
      <c r="T21" s="180">
        <v>0</v>
      </c>
      <c r="U21" s="181">
        <f t="shared" si="11"/>
        <v>0</v>
      </c>
      <c r="V21" s="175">
        <f t="shared" si="12"/>
        <v>0</v>
      </c>
      <c r="W21" s="174">
        <f t="shared" si="13"/>
        <v>3.9999999998087787E-2</v>
      </c>
      <c r="X21" s="1">
        <v>0</v>
      </c>
      <c r="Y21" s="176">
        <f>CPP!H21</f>
        <v>0</v>
      </c>
      <c r="Z21" s="1">
        <v>0</v>
      </c>
      <c r="AA21" s="175">
        <f t="shared" si="14"/>
        <v>3.9999999998087787E-2</v>
      </c>
      <c r="AB21" s="174">
        <f t="shared" si="15"/>
        <v>0</v>
      </c>
      <c r="AC21" s="155">
        <v>0</v>
      </c>
      <c r="AD21" s="182">
        <f>CPP!F21</f>
        <v>0</v>
      </c>
      <c r="AE21" s="175">
        <f t="shared" si="3"/>
        <v>0</v>
      </c>
      <c r="AF21" s="174">
        <f t="shared" si="16"/>
        <v>4315.719999999993</v>
      </c>
      <c r="AG21" s="1">
        <v>59.3</v>
      </c>
      <c r="AH21" s="1">
        <v>0</v>
      </c>
      <c r="AI21" s="176">
        <f>CPP!G21</f>
        <v>172</v>
      </c>
      <c r="AJ21" s="9">
        <f t="shared" si="61"/>
        <v>4203.0199999999932</v>
      </c>
      <c r="AK21" s="174">
        <f t="shared" si="17"/>
        <v>0</v>
      </c>
      <c r="AL21" s="155">
        <v>0</v>
      </c>
      <c r="AM21" s="155">
        <v>0</v>
      </c>
      <c r="AN21" s="175">
        <f t="shared" si="5"/>
        <v>0</v>
      </c>
      <c r="AO21" s="174">
        <f t="shared" si="18"/>
        <v>0</v>
      </c>
      <c r="AP21" s="155">
        <v>0</v>
      </c>
      <c r="AQ21" s="155">
        <v>0</v>
      </c>
      <c r="AR21" s="183">
        <f>CPP!I21</f>
        <v>0</v>
      </c>
      <c r="AS21" s="184">
        <f t="shared" si="19"/>
        <v>0</v>
      </c>
      <c r="AT21" s="177">
        <f t="shared" si="60"/>
        <v>1.0000000002058584E-2</v>
      </c>
      <c r="AU21" s="1">
        <v>0</v>
      </c>
      <c r="AV21" s="1">
        <v>0</v>
      </c>
      <c r="AW21" s="74">
        <f>CPP!X21</f>
        <v>0</v>
      </c>
      <c r="AX21" s="177">
        <f t="shared" si="20"/>
        <v>1.0000000002058584E-2</v>
      </c>
      <c r="AY21" s="177">
        <f t="shared" si="43"/>
        <v>2386.4469999999901</v>
      </c>
      <c r="AZ21" s="1">
        <v>120.74</v>
      </c>
      <c r="BA21" s="1">
        <v>236.67</v>
      </c>
      <c r="BB21" s="182">
        <f>CPP!M21</f>
        <v>0</v>
      </c>
      <c r="BC21" s="177">
        <f t="shared" si="21"/>
        <v>2270.5169999999898</v>
      </c>
      <c r="BD21" s="177">
        <f t="shared" si="44"/>
        <v>0</v>
      </c>
      <c r="BE21" s="155">
        <v>0</v>
      </c>
      <c r="BF21" s="155">
        <v>0</v>
      </c>
      <c r="BG21" s="182">
        <f>CPP!K21</f>
        <v>0</v>
      </c>
      <c r="BH21" s="177">
        <f t="shared" si="22"/>
        <v>0</v>
      </c>
      <c r="BI21" s="177">
        <f t="shared" si="45"/>
        <v>0</v>
      </c>
      <c r="BJ21" s="155">
        <v>0</v>
      </c>
      <c r="BK21" s="155">
        <v>0</v>
      </c>
      <c r="BL21" s="182">
        <f>CPP!L21</f>
        <v>0</v>
      </c>
      <c r="BM21" s="177">
        <f t="shared" si="23"/>
        <v>0</v>
      </c>
      <c r="BN21" s="177">
        <f t="shared" si="46"/>
        <v>0</v>
      </c>
      <c r="BO21" s="155">
        <v>0</v>
      </c>
      <c r="BP21" s="155">
        <v>0</v>
      </c>
      <c r="BQ21" s="182">
        <f>CPP!N21</f>
        <v>0</v>
      </c>
      <c r="BR21" s="177">
        <f t="shared" si="24"/>
        <v>0</v>
      </c>
      <c r="BS21" s="177">
        <f t="shared" si="47"/>
        <v>0</v>
      </c>
      <c r="BT21" s="155">
        <v>0</v>
      </c>
      <c r="BU21" s="155">
        <v>0</v>
      </c>
      <c r="BV21" s="182">
        <f>CPP!O21</f>
        <v>0</v>
      </c>
      <c r="BW21" s="177">
        <f t="shared" si="25"/>
        <v>0</v>
      </c>
      <c r="BX21" s="185">
        <f t="shared" si="48"/>
        <v>0</v>
      </c>
      <c r="BY21" s="155">
        <v>0</v>
      </c>
      <c r="BZ21" s="155">
        <v>0</v>
      </c>
      <c r="CA21" s="186"/>
      <c r="CB21" s="184">
        <f t="shared" si="26"/>
        <v>0</v>
      </c>
      <c r="CC21" s="177">
        <f t="shared" si="49"/>
        <v>0</v>
      </c>
      <c r="CD21" s="155">
        <v>0</v>
      </c>
      <c r="CE21" s="155">
        <v>0</v>
      </c>
      <c r="CF21" s="182">
        <f>CPP!P21</f>
        <v>0</v>
      </c>
      <c r="CG21" s="177">
        <f t="shared" si="27"/>
        <v>0</v>
      </c>
      <c r="CH21" s="177">
        <f t="shared" si="50"/>
        <v>0</v>
      </c>
      <c r="CI21" s="155">
        <v>0</v>
      </c>
      <c r="CJ21" s="155">
        <v>0</v>
      </c>
      <c r="CK21" s="182">
        <f>CPP!Q21</f>
        <v>0</v>
      </c>
      <c r="CL21" s="177">
        <f t="shared" si="28"/>
        <v>0</v>
      </c>
      <c r="CM21" s="177">
        <f t="shared" si="51"/>
        <v>5.0000000000181899E-2</v>
      </c>
      <c r="CN21" s="155">
        <v>0</v>
      </c>
      <c r="CO21" s="155">
        <v>0</v>
      </c>
      <c r="CP21" s="182">
        <f>CPP!R21</f>
        <v>0</v>
      </c>
      <c r="CQ21" s="177">
        <f t="shared" si="29"/>
        <v>5.0000000000181899E-2</v>
      </c>
      <c r="CR21" s="177">
        <f t="shared" si="52"/>
        <v>0</v>
      </c>
      <c r="CS21" s="155">
        <v>0</v>
      </c>
      <c r="CT21" s="155">
        <v>0</v>
      </c>
      <c r="CU21" s="182">
        <f>CPP!S21</f>
        <v>0</v>
      </c>
      <c r="CV21" s="177">
        <f t="shared" si="30"/>
        <v>0</v>
      </c>
      <c r="CW21" s="177">
        <f t="shared" si="53"/>
        <v>0</v>
      </c>
      <c r="CX21" s="155">
        <v>0</v>
      </c>
      <c r="CY21" s="155">
        <v>0</v>
      </c>
      <c r="CZ21" s="182">
        <f>CPP!T21</f>
        <v>0</v>
      </c>
      <c r="DA21" s="177">
        <f t="shared" si="31"/>
        <v>0</v>
      </c>
      <c r="DB21" s="177">
        <f t="shared" si="54"/>
        <v>1.0000000000013998E-2</v>
      </c>
      <c r="DC21" s="155">
        <v>0</v>
      </c>
      <c r="DD21" s="1">
        <v>0</v>
      </c>
      <c r="DE21" s="182">
        <f>CPP!U21</f>
        <v>0</v>
      </c>
      <c r="DF21" s="177">
        <f t="shared" si="32"/>
        <v>1.0000000000013998E-2</v>
      </c>
      <c r="DG21" s="177">
        <f t="shared" si="55"/>
        <v>0</v>
      </c>
      <c r="DH21" s="155">
        <v>0</v>
      </c>
      <c r="DI21" s="155">
        <v>0</v>
      </c>
      <c r="DJ21" s="182">
        <f>CPP!V21</f>
        <v>0</v>
      </c>
      <c r="DK21" s="177">
        <f t="shared" si="33"/>
        <v>0</v>
      </c>
      <c r="DL21" s="177">
        <f t="shared" si="56"/>
        <v>304</v>
      </c>
      <c r="DM21" s="187">
        <v>0</v>
      </c>
      <c r="DN21" s="155">
        <v>0</v>
      </c>
      <c r="DO21" s="182">
        <f>CPP!W21</f>
        <v>0</v>
      </c>
      <c r="DP21" s="177">
        <f t="shared" si="34"/>
        <v>304</v>
      </c>
      <c r="DQ21" s="177">
        <f t="shared" si="57"/>
        <v>0</v>
      </c>
      <c r="DR21" s="1">
        <v>0</v>
      </c>
      <c r="DS21" s="155">
        <v>0</v>
      </c>
      <c r="DT21" s="74">
        <f>CPP!J21</f>
        <v>0</v>
      </c>
      <c r="DU21" s="177">
        <f t="shared" si="35"/>
        <v>0</v>
      </c>
      <c r="DV21" s="177">
        <f t="shared" si="58"/>
        <v>0</v>
      </c>
      <c r="DW21" s="155">
        <v>0</v>
      </c>
      <c r="DX21" s="155">
        <v>0</v>
      </c>
      <c r="DY21" s="182">
        <v>0</v>
      </c>
      <c r="DZ21" s="177">
        <f t="shared" si="36"/>
        <v>0</v>
      </c>
      <c r="EA21" s="185">
        <f t="shared" si="37"/>
        <v>2386.4969999999903</v>
      </c>
      <c r="EB21" s="155">
        <v>0</v>
      </c>
      <c r="EC21" s="155">
        <v>0</v>
      </c>
      <c r="ED21" s="185">
        <f t="shared" si="38"/>
        <v>2386.4969999999903</v>
      </c>
      <c r="EE21" s="177">
        <f t="shared" si="39"/>
        <v>4315.719999999993</v>
      </c>
      <c r="EF21" s="177">
        <f t="shared" si="6"/>
        <v>59.3</v>
      </c>
      <c r="EG21" s="177">
        <f>CPP!D21+CPP!E21+CPP!F21+CPP!G21+CPP!H21+CPP!I21+CPP!J21+CPP!M21+BG21</f>
        <v>172</v>
      </c>
      <c r="EH21" s="177">
        <f t="shared" si="40"/>
        <v>4203.0199999999932</v>
      </c>
      <c r="EI21" s="188">
        <f t="shared" si="59"/>
        <v>23930.912571720044</v>
      </c>
      <c r="EJ21" s="1">
        <f>EM21+EN21</f>
        <v>1335</v>
      </c>
      <c r="EK21" s="161">
        <f>'DAILY CEM1'!AG22+'DAILY CEM2'!AF22</f>
        <v>2382.8080021814003</v>
      </c>
      <c r="EL21" s="188">
        <f t="shared" si="42"/>
        <v>22883.104569538642</v>
      </c>
      <c r="EM21" s="1">
        <v>1335</v>
      </c>
      <c r="EN21" s="1">
        <v>0</v>
      </c>
      <c r="EO21" s="154">
        <v>2143.6000000000113</v>
      </c>
    </row>
    <row r="22" spans="2:145" s="154" customFormat="1" x14ac:dyDescent="0.25">
      <c r="B22" s="173">
        <v>20</v>
      </c>
      <c r="C22" s="174">
        <f t="shared" si="7"/>
        <v>1390.92</v>
      </c>
      <c r="D22" s="1">
        <v>0</v>
      </c>
      <c r="E22" s="1">
        <v>68</v>
      </c>
      <c r="F22" s="175">
        <f t="shared" si="0"/>
        <v>1322.92</v>
      </c>
      <c r="G22" s="174">
        <f t="shared" si="8"/>
        <v>1165.0495784097534</v>
      </c>
      <c r="H22" s="176">
        <v>0</v>
      </c>
      <c r="I22" s="176">
        <v>0</v>
      </c>
      <c r="J22" s="177">
        <f>G22+H22-I22-[1]Cement!U22</f>
        <v>1061.0495791089534</v>
      </c>
      <c r="K22" s="178">
        <f t="shared" si="9"/>
        <v>0</v>
      </c>
      <c r="L22" s="155">
        <v>0</v>
      </c>
      <c r="M22" s="176">
        <f>CPP!D22</f>
        <v>0</v>
      </c>
      <c r="N22" s="155">
        <v>0</v>
      </c>
      <c r="O22" s="176">
        <f t="shared" si="1"/>
        <v>0</v>
      </c>
      <c r="P22" s="179">
        <f t="shared" si="2"/>
        <v>0</v>
      </c>
      <c r="Q22" s="174">
        <f t="shared" si="10"/>
        <v>0</v>
      </c>
      <c r="R22" s="155">
        <v>0</v>
      </c>
      <c r="S22" s="176">
        <f>CPP!E22</f>
        <v>0</v>
      </c>
      <c r="T22" s="180">
        <v>0</v>
      </c>
      <c r="U22" s="181">
        <f t="shared" si="11"/>
        <v>0</v>
      </c>
      <c r="V22" s="175">
        <f t="shared" si="12"/>
        <v>0</v>
      </c>
      <c r="W22" s="174">
        <f t="shared" si="13"/>
        <v>3.9999999998087787E-2</v>
      </c>
      <c r="X22" s="1">
        <v>0</v>
      </c>
      <c r="Y22" s="176">
        <f>CPP!H22</f>
        <v>0</v>
      </c>
      <c r="Z22" s="1">
        <v>0</v>
      </c>
      <c r="AA22" s="175">
        <f t="shared" si="14"/>
        <v>3.9999999998087787E-2</v>
      </c>
      <c r="AB22" s="174">
        <f t="shared" si="15"/>
        <v>0</v>
      </c>
      <c r="AC22" s="155">
        <v>0</v>
      </c>
      <c r="AD22" s="182">
        <f>CPP!F22</f>
        <v>0</v>
      </c>
      <c r="AE22" s="175">
        <f t="shared" si="3"/>
        <v>0</v>
      </c>
      <c r="AF22" s="174">
        <f t="shared" si="16"/>
        <v>4203.0199999999932</v>
      </c>
      <c r="AG22" s="1">
        <v>0</v>
      </c>
      <c r="AH22" s="1">
        <v>0</v>
      </c>
      <c r="AI22" s="176">
        <f>CPP!G22</f>
        <v>171</v>
      </c>
      <c r="AJ22" s="9">
        <f t="shared" si="61"/>
        <v>4032.0199999999932</v>
      </c>
      <c r="AK22" s="174">
        <f t="shared" si="17"/>
        <v>0</v>
      </c>
      <c r="AL22" s="155">
        <v>0</v>
      </c>
      <c r="AM22" s="155">
        <v>0</v>
      </c>
      <c r="AN22" s="175">
        <f t="shared" si="5"/>
        <v>0</v>
      </c>
      <c r="AO22" s="174">
        <f t="shared" si="18"/>
        <v>0</v>
      </c>
      <c r="AP22" s="155">
        <v>0</v>
      </c>
      <c r="AQ22" s="155">
        <v>0</v>
      </c>
      <c r="AR22" s="183">
        <f>CPP!I22</f>
        <v>0</v>
      </c>
      <c r="AS22" s="184">
        <f t="shared" si="19"/>
        <v>0</v>
      </c>
      <c r="AT22" s="177">
        <f t="shared" si="60"/>
        <v>1.0000000002058584E-2</v>
      </c>
      <c r="AU22" s="1">
        <v>0</v>
      </c>
      <c r="AV22" s="1">
        <v>0</v>
      </c>
      <c r="AW22" s="74">
        <f>CPP!X22</f>
        <v>0</v>
      </c>
      <c r="AX22" s="177">
        <f t="shared" si="20"/>
        <v>1.0000000002058584E-2</v>
      </c>
      <c r="AY22" s="177">
        <f t="shared" si="43"/>
        <v>2270.5169999999898</v>
      </c>
      <c r="AZ22" s="1">
        <v>0</v>
      </c>
      <c r="BA22" s="1">
        <v>227.78</v>
      </c>
      <c r="BB22" s="182">
        <f>CPP!M22</f>
        <v>0</v>
      </c>
      <c r="BC22" s="177">
        <f t="shared" si="21"/>
        <v>2042.7369999999898</v>
      </c>
      <c r="BD22" s="177">
        <f t="shared" si="44"/>
        <v>0</v>
      </c>
      <c r="BE22" s="155">
        <v>0</v>
      </c>
      <c r="BF22" s="155">
        <v>0</v>
      </c>
      <c r="BG22" s="182">
        <f>CPP!K22</f>
        <v>0</v>
      </c>
      <c r="BH22" s="177">
        <f t="shared" si="22"/>
        <v>0</v>
      </c>
      <c r="BI22" s="177">
        <f t="shared" si="45"/>
        <v>0</v>
      </c>
      <c r="BJ22" s="187">
        <v>0</v>
      </c>
      <c r="BK22" s="187">
        <v>0</v>
      </c>
      <c r="BL22" s="182">
        <f>CPP!L22</f>
        <v>0</v>
      </c>
      <c r="BM22" s="177">
        <f t="shared" si="23"/>
        <v>0</v>
      </c>
      <c r="BN22" s="177">
        <f t="shared" si="46"/>
        <v>0</v>
      </c>
      <c r="BO22" s="155">
        <v>0</v>
      </c>
      <c r="BP22" s="155">
        <v>0</v>
      </c>
      <c r="BQ22" s="182">
        <f>CPP!N22</f>
        <v>0</v>
      </c>
      <c r="BR22" s="177">
        <f t="shared" si="24"/>
        <v>0</v>
      </c>
      <c r="BS22" s="177">
        <f t="shared" si="47"/>
        <v>0</v>
      </c>
      <c r="BT22" s="155">
        <v>0</v>
      </c>
      <c r="BU22" s="155">
        <v>0</v>
      </c>
      <c r="BV22" s="182">
        <f>CPP!O22</f>
        <v>0</v>
      </c>
      <c r="BW22" s="177">
        <f t="shared" si="25"/>
        <v>0</v>
      </c>
      <c r="BX22" s="185">
        <f t="shared" si="48"/>
        <v>0</v>
      </c>
      <c r="BY22" s="155">
        <v>0</v>
      </c>
      <c r="BZ22" s="155">
        <v>0</v>
      </c>
      <c r="CA22" s="186"/>
      <c r="CB22" s="184">
        <f t="shared" si="26"/>
        <v>0</v>
      </c>
      <c r="CC22" s="177">
        <f t="shared" si="49"/>
        <v>0</v>
      </c>
      <c r="CD22" s="155">
        <v>0</v>
      </c>
      <c r="CE22" s="155">
        <v>0</v>
      </c>
      <c r="CF22" s="182">
        <f>CPP!P22</f>
        <v>0</v>
      </c>
      <c r="CG22" s="177">
        <f t="shared" si="27"/>
        <v>0</v>
      </c>
      <c r="CH22" s="177">
        <f t="shared" si="50"/>
        <v>0</v>
      </c>
      <c r="CI22" s="155">
        <v>0</v>
      </c>
      <c r="CJ22" s="155">
        <v>0</v>
      </c>
      <c r="CK22" s="182">
        <f>CPP!Q22</f>
        <v>0</v>
      </c>
      <c r="CL22" s="177">
        <f t="shared" si="28"/>
        <v>0</v>
      </c>
      <c r="CM22" s="177">
        <f t="shared" si="51"/>
        <v>5.0000000000181899E-2</v>
      </c>
      <c r="CN22" s="155">
        <v>0</v>
      </c>
      <c r="CO22" s="155">
        <v>0</v>
      </c>
      <c r="CP22" s="182">
        <f>CPP!R22</f>
        <v>0</v>
      </c>
      <c r="CQ22" s="177">
        <f t="shared" si="29"/>
        <v>5.0000000000181899E-2</v>
      </c>
      <c r="CR22" s="177">
        <f t="shared" si="52"/>
        <v>0</v>
      </c>
      <c r="CS22" s="155">
        <v>0</v>
      </c>
      <c r="CT22" s="155">
        <v>0</v>
      </c>
      <c r="CU22" s="182">
        <f>CPP!S22</f>
        <v>0</v>
      </c>
      <c r="CV22" s="177">
        <f t="shared" si="30"/>
        <v>0</v>
      </c>
      <c r="CW22" s="177">
        <f t="shared" si="53"/>
        <v>0</v>
      </c>
      <c r="CX22" s="155">
        <v>0</v>
      </c>
      <c r="CY22" s="155">
        <v>0</v>
      </c>
      <c r="CZ22" s="182">
        <f>CPP!T22</f>
        <v>0</v>
      </c>
      <c r="DA22" s="177">
        <f t="shared" si="31"/>
        <v>0</v>
      </c>
      <c r="DB22" s="177">
        <f t="shared" si="54"/>
        <v>1.0000000000013998E-2</v>
      </c>
      <c r="DC22" s="155">
        <v>0</v>
      </c>
      <c r="DD22" s="1">
        <v>0</v>
      </c>
      <c r="DE22" s="182">
        <f>CPP!U22</f>
        <v>0</v>
      </c>
      <c r="DF22" s="177">
        <f t="shared" si="32"/>
        <v>1.0000000000013998E-2</v>
      </c>
      <c r="DG22" s="177">
        <f t="shared" si="55"/>
        <v>0</v>
      </c>
      <c r="DH22" s="155">
        <v>0</v>
      </c>
      <c r="DI22" s="155">
        <v>0</v>
      </c>
      <c r="DJ22" s="182">
        <f>CPP!V22</f>
        <v>0</v>
      </c>
      <c r="DK22" s="177">
        <f t="shared" si="33"/>
        <v>0</v>
      </c>
      <c r="DL22" s="177">
        <f t="shared" si="56"/>
        <v>304</v>
      </c>
      <c r="DM22" s="187">
        <v>0</v>
      </c>
      <c r="DN22" s="187">
        <v>0</v>
      </c>
      <c r="DO22" s="182">
        <f>CPP!W22</f>
        <v>0</v>
      </c>
      <c r="DP22" s="177">
        <f t="shared" si="34"/>
        <v>304</v>
      </c>
      <c r="DQ22" s="177">
        <f t="shared" si="57"/>
        <v>0</v>
      </c>
      <c r="DR22" s="1">
        <v>0</v>
      </c>
      <c r="DS22" s="155">
        <v>0</v>
      </c>
      <c r="DT22" s="74">
        <f>CPP!J22</f>
        <v>0</v>
      </c>
      <c r="DU22" s="177">
        <f t="shared" si="35"/>
        <v>0</v>
      </c>
      <c r="DV22" s="177">
        <f t="shared" si="58"/>
        <v>0</v>
      </c>
      <c r="DW22" s="155">
        <v>0</v>
      </c>
      <c r="DX22" s="155">
        <v>0</v>
      </c>
      <c r="DY22" s="182">
        <v>0</v>
      </c>
      <c r="DZ22" s="177">
        <f t="shared" si="36"/>
        <v>0</v>
      </c>
      <c r="EA22" s="185">
        <f t="shared" si="37"/>
        <v>2270.56699999999</v>
      </c>
      <c r="EB22" s="155">
        <v>0</v>
      </c>
      <c r="EC22" s="155">
        <v>0</v>
      </c>
      <c r="ED22" s="185">
        <f t="shared" si="38"/>
        <v>2270.56699999999</v>
      </c>
      <c r="EE22" s="177">
        <f t="shared" si="39"/>
        <v>4203.0199999999932</v>
      </c>
      <c r="EF22" s="177">
        <f t="shared" si="6"/>
        <v>0</v>
      </c>
      <c r="EG22" s="177">
        <f>CPP!D22+CPP!E22+CPP!F22+CPP!G22+CPP!H22+CPP!I22+CPP!J22+CPP!M22+BG22</f>
        <v>171</v>
      </c>
      <c r="EH22" s="177">
        <f t="shared" si="40"/>
        <v>4032.0199999999932</v>
      </c>
      <c r="EI22" s="188">
        <f t="shared" si="59"/>
        <v>22883.104569538642</v>
      </c>
      <c r="EJ22" s="1">
        <f>EM22+EN22</f>
        <v>1270</v>
      </c>
      <c r="EK22" s="161">
        <f>'DAILY CEM1'!AG23+'DAILY CEM2'!AF23</f>
        <v>2446.5670030946003</v>
      </c>
      <c r="EL22" s="188">
        <f t="shared" si="42"/>
        <v>21706.537566444043</v>
      </c>
      <c r="EM22" s="1">
        <v>1270</v>
      </c>
      <c r="EN22" s="1">
        <v>0</v>
      </c>
      <c r="EO22" s="154">
        <v>2112.92999980788</v>
      </c>
    </row>
    <row r="23" spans="2:145" x14ac:dyDescent="0.25">
      <c r="B23" s="4">
        <v>21</v>
      </c>
      <c r="C23" s="27">
        <f t="shared" si="7"/>
        <v>1322.92</v>
      </c>
      <c r="D23" s="1">
        <v>0</v>
      </c>
      <c r="E23" s="1">
        <v>42</v>
      </c>
      <c r="F23" s="9">
        <f t="shared" si="0"/>
        <v>1280.92</v>
      </c>
      <c r="G23" s="27">
        <f t="shared" si="8"/>
        <v>1061.0495791089534</v>
      </c>
      <c r="H23" s="24">
        <v>0</v>
      </c>
      <c r="I23" s="24">
        <v>0</v>
      </c>
      <c r="J23" s="14">
        <f>G23+H23-I23-[1]Cement!U23</f>
        <v>956.04957510895338</v>
      </c>
      <c r="K23" s="32">
        <f t="shared" si="9"/>
        <v>0</v>
      </c>
      <c r="L23" s="1">
        <v>0</v>
      </c>
      <c r="M23" s="24">
        <f>CPP!D23</f>
        <v>0</v>
      </c>
      <c r="N23" s="1">
        <v>0</v>
      </c>
      <c r="O23" s="24">
        <f t="shared" si="1"/>
        <v>0</v>
      </c>
      <c r="P23" s="28">
        <f t="shared" si="2"/>
        <v>0</v>
      </c>
      <c r="Q23" s="27">
        <f t="shared" si="10"/>
        <v>0</v>
      </c>
      <c r="R23" s="1">
        <v>0</v>
      </c>
      <c r="S23" s="24">
        <f>CPP!E23</f>
        <v>0</v>
      </c>
      <c r="T23" s="19">
        <v>0</v>
      </c>
      <c r="U23" s="26">
        <f t="shared" si="11"/>
        <v>0</v>
      </c>
      <c r="V23" s="9">
        <f t="shared" si="12"/>
        <v>0</v>
      </c>
      <c r="W23" s="27">
        <f t="shared" si="13"/>
        <v>3.9999999998087787E-2</v>
      </c>
      <c r="X23" s="1">
        <v>0</v>
      </c>
      <c r="Y23" s="24">
        <f>CPP!H23</f>
        <v>0</v>
      </c>
      <c r="Z23" s="1">
        <v>0</v>
      </c>
      <c r="AA23" s="9">
        <f t="shared" si="14"/>
        <v>3.9999999998087787E-2</v>
      </c>
      <c r="AB23" s="27">
        <f t="shared" si="15"/>
        <v>0</v>
      </c>
      <c r="AC23" s="1">
        <v>0</v>
      </c>
      <c r="AD23" s="74">
        <f>CPP!F23</f>
        <v>0</v>
      </c>
      <c r="AE23" s="9">
        <f t="shared" si="3"/>
        <v>0</v>
      </c>
      <c r="AF23" s="27">
        <f t="shared" si="16"/>
        <v>4032.0199999999932</v>
      </c>
      <c r="AG23" s="1">
        <v>0</v>
      </c>
      <c r="AH23" s="1">
        <v>0</v>
      </c>
      <c r="AI23" s="24">
        <f>CPP!G23</f>
        <v>144</v>
      </c>
      <c r="AJ23" s="9">
        <f t="shared" si="61"/>
        <v>3888.0199999999932</v>
      </c>
      <c r="AK23" s="27">
        <f t="shared" si="17"/>
        <v>0</v>
      </c>
      <c r="AL23" s="1">
        <v>0</v>
      </c>
      <c r="AM23" s="1">
        <v>0</v>
      </c>
      <c r="AN23" s="9">
        <f t="shared" si="5"/>
        <v>0</v>
      </c>
      <c r="AO23" s="27">
        <f t="shared" si="18"/>
        <v>0</v>
      </c>
      <c r="AP23" s="1">
        <v>0</v>
      </c>
      <c r="AQ23" s="1">
        <v>0</v>
      </c>
      <c r="AR23" s="73">
        <f>CPP!I23</f>
        <v>0</v>
      </c>
      <c r="AS23" s="72">
        <f t="shared" si="19"/>
        <v>0</v>
      </c>
      <c r="AT23" s="14">
        <f t="shared" si="60"/>
        <v>1.0000000002058584E-2</v>
      </c>
      <c r="AU23" s="1">
        <v>0</v>
      </c>
      <c r="AV23" s="1">
        <v>0</v>
      </c>
      <c r="AW23" s="74">
        <f>CPP!X23</f>
        <v>0</v>
      </c>
      <c r="AX23" s="14">
        <f t="shared" si="20"/>
        <v>1.0000000002058584E-2</v>
      </c>
      <c r="AY23" s="14">
        <f t="shared" si="43"/>
        <v>2042.7369999999898</v>
      </c>
      <c r="AZ23" s="1">
        <v>0</v>
      </c>
      <c r="BA23" s="1">
        <v>211.11</v>
      </c>
      <c r="BB23" s="74">
        <f>CPP!M23</f>
        <v>0</v>
      </c>
      <c r="BC23" s="14">
        <f t="shared" si="21"/>
        <v>1831.6269999999899</v>
      </c>
      <c r="BD23" s="14">
        <f t="shared" si="44"/>
        <v>0</v>
      </c>
      <c r="BE23" s="1">
        <v>0</v>
      </c>
      <c r="BF23" s="1">
        <v>0</v>
      </c>
      <c r="BG23" s="74">
        <f>CPP!K23</f>
        <v>0</v>
      </c>
      <c r="BH23" s="14">
        <f t="shared" si="22"/>
        <v>0</v>
      </c>
      <c r="BI23" s="14">
        <f t="shared" si="45"/>
        <v>0</v>
      </c>
      <c r="BJ23" s="1">
        <v>0</v>
      </c>
      <c r="BK23" s="1">
        <v>0</v>
      </c>
      <c r="BL23" s="74">
        <f>CPP!L23</f>
        <v>0</v>
      </c>
      <c r="BM23" s="14">
        <f t="shared" si="23"/>
        <v>0</v>
      </c>
      <c r="BN23" s="14">
        <f t="shared" si="46"/>
        <v>0</v>
      </c>
      <c r="BO23" s="1">
        <v>0</v>
      </c>
      <c r="BP23" s="1">
        <v>0</v>
      </c>
      <c r="BQ23" s="74">
        <f>CPP!N23</f>
        <v>0</v>
      </c>
      <c r="BR23" s="14">
        <f t="shared" si="24"/>
        <v>0</v>
      </c>
      <c r="BS23" s="14">
        <f t="shared" si="47"/>
        <v>0</v>
      </c>
      <c r="BT23" s="1">
        <v>0</v>
      </c>
      <c r="BU23" s="1">
        <v>0</v>
      </c>
      <c r="BV23" s="74">
        <f>CPP!O23</f>
        <v>0</v>
      </c>
      <c r="BW23" s="14">
        <f t="shared" si="25"/>
        <v>0</v>
      </c>
      <c r="BX23" s="48">
        <f t="shared" si="48"/>
        <v>0</v>
      </c>
      <c r="BY23" s="1">
        <v>0</v>
      </c>
      <c r="BZ23" s="1">
        <v>0</v>
      </c>
      <c r="CA23" s="88"/>
      <c r="CB23" s="72">
        <f t="shared" si="26"/>
        <v>0</v>
      </c>
      <c r="CC23" s="14">
        <f t="shared" si="49"/>
        <v>0</v>
      </c>
      <c r="CD23" s="1">
        <v>0</v>
      </c>
      <c r="CE23" s="1">
        <v>0</v>
      </c>
      <c r="CF23" s="74">
        <f>CPP!P23</f>
        <v>0</v>
      </c>
      <c r="CG23" s="14">
        <f t="shared" si="27"/>
        <v>0</v>
      </c>
      <c r="CH23" s="14">
        <f t="shared" si="50"/>
        <v>0</v>
      </c>
      <c r="CI23" s="1">
        <v>0</v>
      </c>
      <c r="CJ23" s="1">
        <v>0</v>
      </c>
      <c r="CK23" s="74">
        <f>CPP!Q23</f>
        <v>0</v>
      </c>
      <c r="CL23" s="14">
        <f t="shared" si="28"/>
        <v>0</v>
      </c>
      <c r="CM23" s="14">
        <f t="shared" si="51"/>
        <v>5.0000000000181899E-2</v>
      </c>
      <c r="CN23" s="1">
        <v>0</v>
      </c>
      <c r="CO23" s="1">
        <v>0</v>
      </c>
      <c r="CP23" s="74">
        <f>CPP!R23</f>
        <v>0</v>
      </c>
      <c r="CQ23" s="14">
        <f t="shared" si="29"/>
        <v>5.0000000000181899E-2</v>
      </c>
      <c r="CR23" s="14">
        <f t="shared" si="52"/>
        <v>0</v>
      </c>
      <c r="CS23" s="1">
        <v>0</v>
      </c>
      <c r="CT23" s="1">
        <v>0</v>
      </c>
      <c r="CU23" s="74">
        <f>CPP!S23</f>
        <v>0</v>
      </c>
      <c r="CV23" s="14">
        <f t="shared" si="30"/>
        <v>0</v>
      </c>
      <c r="CW23" s="14">
        <f t="shared" si="53"/>
        <v>0</v>
      </c>
      <c r="CX23" s="1">
        <v>0</v>
      </c>
      <c r="CY23" s="1">
        <v>0</v>
      </c>
      <c r="CZ23" s="74">
        <f>CPP!T23</f>
        <v>0</v>
      </c>
      <c r="DA23" s="14">
        <f t="shared" si="31"/>
        <v>0</v>
      </c>
      <c r="DB23" s="14">
        <f t="shared" si="54"/>
        <v>1.0000000000013998E-2</v>
      </c>
      <c r="DC23" s="1">
        <v>0</v>
      </c>
      <c r="DD23" s="1">
        <v>0</v>
      </c>
      <c r="DE23" s="74">
        <f>CPP!U23</f>
        <v>0</v>
      </c>
      <c r="DF23" s="14">
        <f t="shared" si="32"/>
        <v>1.0000000000013998E-2</v>
      </c>
      <c r="DG23" s="14">
        <f t="shared" si="55"/>
        <v>0</v>
      </c>
      <c r="DH23" s="1">
        <v>0</v>
      </c>
      <c r="DI23" s="1">
        <v>0</v>
      </c>
      <c r="DJ23" s="74">
        <f>CPP!V23</f>
        <v>0</v>
      </c>
      <c r="DK23" s="14">
        <f t="shared" si="33"/>
        <v>0</v>
      </c>
      <c r="DL23" s="14">
        <f t="shared" si="56"/>
        <v>304</v>
      </c>
      <c r="DM23" s="187">
        <v>0</v>
      </c>
      <c r="DN23" s="155">
        <v>0</v>
      </c>
      <c r="DO23" s="74">
        <f>CPP!W23</f>
        <v>0</v>
      </c>
      <c r="DP23" s="14">
        <f t="shared" si="34"/>
        <v>304</v>
      </c>
      <c r="DQ23" s="14">
        <f t="shared" si="57"/>
        <v>0</v>
      </c>
      <c r="DR23" s="1">
        <v>0</v>
      </c>
      <c r="DS23" s="1">
        <v>0</v>
      </c>
      <c r="DT23" s="74">
        <f>CPP!J23</f>
        <v>0</v>
      </c>
      <c r="DU23" s="14">
        <f t="shared" si="35"/>
        <v>0</v>
      </c>
      <c r="DV23" s="14">
        <f t="shared" si="58"/>
        <v>0</v>
      </c>
      <c r="DW23" s="1">
        <v>0</v>
      </c>
      <c r="DX23" s="1">
        <v>0</v>
      </c>
      <c r="DY23" s="74">
        <v>0</v>
      </c>
      <c r="DZ23" s="14">
        <f t="shared" si="36"/>
        <v>0</v>
      </c>
      <c r="EA23" s="48">
        <f t="shared" si="37"/>
        <v>2042.78699999999</v>
      </c>
      <c r="EB23" s="1">
        <v>0</v>
      </c>
      <c r="EC23" s="1">
        <v>0</v>
      </c>
      <c r="ED23" s="48">
        <f t="shared" si="38"/>
        <v>2042.78699999999</v>
      </c>
      <c r="EE23" s="14">
        <f t="shared" si="39"/>
        <v>4032.0199999999932</v>
      </c>
      <c r="EF23" s="14">
        <f t="shared" si="6"/>
        <v>0</v>
      </c>
      <c r="EG23" s="14">
        <f>CPP!D23+CPP!E23+CPP!F23+CPP!G23+CPP!H23+CPP!I23+CPP!J23+CPP!M23+BG23</f>
        <v>144</v>
      </c>
      <c r="EH23" s="14">
        <f t="shared" si="40"/>
        <v>3888.0199999999932</v>
      </c>
      <c r="EI23" s="125">
        <f t="shared" si="59"/>
        <v>21706.537566444043</v>
      </c>
      <c r="EJ23" s="1">
        <f>EM23+EN23</f>
        <v>1160</v>
      </c>
      <c r="EK23" s="135">
        <f>'DAILY CEM1'!AG24+'DAILY CEM2'!AF24</f>
        <v>2484.0400000000009</v>
      </c>
      <c r="EL23" s="125">
        <f t="shared" si="42"/>
        <v>20382.497566444043</v>
      </c>
      <c r="EM23" s="1">
        <v>1160</v>
      </c>
      <c r="EN23" s="1">
        <v>0</v>
      </c>
      <c r="EO23">
        <v>2267.2999999984977</v>
      </c>
    </row>
    <row r="24" spans="2:145" x14ac:dyDescent="0.25">
      <c r="B24" s="4">
        <v>22</v>
      </c>
      <c r="C24" s="27">
        <f t="shared" si="7"/>
        <v>1280.92</v>
      </c>
      <c r="D24" s="1">
        <v>29.72</v>
      </c>
      <c r="E24" s="1">
        <v>55</v>
      </c>
      <c r="F24" s="9">
        <f t="shared" si="0"/>
        <v>1255.6400000000001</v>
      </c>
      <c r="G24" s="27">
        <f t="shared" si="8"/>
        <v>956.04957510895338</v>
      </c>
      <c r="H24" s="24">
        <v>0</v>
      </c>
      <c r="I24" s="24">
        <v>0</v>
      </c>
      <c r="J24" s="14">
        <f>G24+H24-I24-[1]Cement!U24</f>
        <v>846.04957676815343</v>
      </c>
      <c r="K24" s="32">
        <f t="shared" si="9"/>
        <v>0</v>
      </c>
      <c r="L24" s="1">
        <v>0</v>
      </c>
      <c r="M24" s="24">
        <f>CPP!D24</f>
        <v>0</v>
      </c>
      <c r="N24" s="1">
        <v>0</v>
      </c>
      <c r="O24" s="24">
        <f t="shared" si="1"/>
        <v>0</v>
      </c>
      <c r="P24" s="28">
        <f t="shared" si="2"/>
        <v>0</v>
      </c>
      <c r="Q24" s="27">
        <f t="shared" si="10"/>
        <v>0</v>
      </c>
      <c r="R24" s="1">
        <v>0</v>
      </c>
      <c r="S24" s="24">
        <f>CPP!E24</f>
        <v>0</v>
      </c>
      <c r="T24" s="19">
        <v>0</v>
      </c>
      <c r="U24" s="26">
        <f t="shared" si="11"/>
        <v>0</v>
      </c>
      <c r="V24" s="9">
        <f t="shared" si="12"/>
        <v>0</v>
      </c>
      <c r="W24" s="27">
        <f t="shared" si="13"/>
        <v>3.9999999998087787E-2</v>
      </c>
      <c r="X24" s="1">
        <v>0</v>
      </c>
      <c r="Y24" s="24">
        <f>CPP!H24</f>
        <v>0</v>
      </c>
      <c r="Z24" s="1">
        <v>0</v>
      </c>
      <c r="AA24" s="9">
        <f t="shared" si="14"/>
        <v>3.9999999998087787E-2</v>
      </c>
      <c r="AB24" s="27">
        <f t="shared" si="15"/>
        <v>0</v>
      </c>
      <c r="AC24" s="1">
        <v>0</v>
      </c>
      <c r="AD24" s="74">
        <f>CPP!F24</f>
        <v>0</v>
      </c>
      <c r="AE24" s="9">
        <f t="shared" si="3"/>
        <v>0</v>
      </c>
      <c r="AF24" s="27">
        <f t="shared" si="16"/>
        <v>3888.0199999999932</v>
      </c>
      <c r="AG24" s="1">
        <v>330.25</v>
      </c>
      <c r="AH24" s="1">
        <v>0</v>
      </c>
      <c r="AI24" s="24">
        <f>CPP!G24</f>
        <v>161</v>
      </c>
      <c r="AJ24" s="9">
        <f t="shared" si="61"/>
        <v>4057.2699999999932</v>
      </c>
      <c r="AK24" s="27">
        <f t="shared" si="17"/>
        <v>0</v>
      </c>
      <c r="AL24" s="1">
        <v>0</v>
      </c>
      <c r="AM24" s="1">
        <v>0</v>
      </c>
      <c r="AN24" s="9">
        <f t="shared" si="5"/>
        <v>0</v>
      </c>
      <c r="AO24" s="27">
        <f t="shared" si="18"/>
        <v>0</v>
      </c>
      <c r="AP24" s="1">
        <v>0</v>
      </c>
      <c r="AQ24" s="1">
        <v>0</v>
      </c>
      <c r="AR24" s="73">
        <f>CPP!I24</f>
        <v>0</v>
      </c>
      <c r="AS24" s="72">
        <f t="shared" si="19"/>
        <v>0</v>
      </c>
      <c r="AT24" s="14">
        <f t="shared" si="60"/>
        <v>1.0000000002058584E-2</v>
      </c>
      <c r="AU24" s="1">
        <v>0</v>
      </c>
      <c r="AV24" s="1">
        <v>0</v>
      </c>
      <c r="AW24" s="74">
        <f>CPP!X24</f>
        <v>0</v>
      </c>
      <c r="AX24" s="14">
        <f t="shared" si="20"/>
        <v>1.0000000002058584E-2</v>
      </c>
      <c r="AY24" s="14">
        <f t="shared" si="43"/>
        <v>1831.6269999999899</v>
      </c>
      <c r="AZ24" s="1">
        <v>1009.82</v>
      </c>
      <c r="BA24" s="1">
        <v>169</v>
      </c>
      <c r="BB24" s="74">
        <f>CPP!M24</f>
        <v>0</v>
      </c>
      <c r="BC24" s="14">
        <f t="shared" si="21"/>
        <v>2672.4469999999901</v>
      </c>
      <c r="BD24" s="14">
        <f t="shared" si="44"/>
        <v>0</v>
      </c>
      <c r="BE24" s="1">
        <v>0</v>
      </c>
      <c r="BF24" s="1">
        <v>0</v>
      </c>
      <c r="BG24" s="74">
        <f>CPP!K24</f>
        <v>0</v>
      </c>
      <c r="BH24" s="14">
        <f t="shared" si="22"/>
        <v>0</v>
      </c>
      <c r="BI24" s="14">
        <f t="shared" si="45"/>
        <v>0</v>
      </c>
      <c r="BJ24" s="22">
        <v>0</v>
      </c>
      <c r="BK24" s="22">
        <v>0</v>
      </c>
      <c r="BL24" s="74">
        <f>CPP!L24</f>
        <v>0</v>
      </c>
      <c r="BM24" s="14">
        <f t="shared" si="23"/>
        <v>0</v>
      </c>
      <c r="BN24" s="14">
        <f t="shared" si="46"/>
        <v>0</v>
      </c>
      <c r="BO24" s="1">
        <v>0</v>
      </c>
      <c r="BP24" s="1">
        <v>0</v>
      </c>
      <c r="BQ24" s="74">
        <f>CPP!N24</f>
        <v>0</v>
      </c>
      <c r="BR24" s="14">
        <f>BN24+BO24-BP24-BQ24</f>
        <v>0</v>
      </c>
      <c r="BS24" s="14">
        <f t="shared" si="47"/>
        <v>0</v>
      </c>
      <c r="BT24" s="1">
        <v>0</v>
      </c>
      <c r="BU24" s="1">
        <v>0</v>
      </c>
      <c r="BV24" s="74">
        <f>CPP!O24</f>
        <v>0</v>
      </c>
      <c r="BW24" s="14">
        <f t="shared" si="25"/>
        <v>0</v>
      </c>
      <c r="BX24" s="48">
        <f t="shared" si="48"/>
        <v>0</v>
      </c>
      <c r="BY24" s="1">
        <v>0</v>
      </c>
      <c r="BZ24" s="1">
        <v>0</v>
      </c>
      <c r="CA24" s="88"/>
      <c r="CB24" s="72">
        <f t="shared" si="26"/>
        <v>0</v>
      </c>
      <c r="CC24" s="14">
        <f t="shared" si="49"/>
        <v>0</v>
      </c>
      <c r="CD24" s="1">
        <v>0</v>
      </c>
      <c r="CE24" s="1">
        <v>0</v>
      </c>
      <c r="CF24" s="74">
        <f>CPP!P24</f>
        <v>0</v>
      </c>
      <c r="CG24" s="14">
        <f t="shared" si="27"/>
        <v>0</v>
      </c>
      <c r="CH24" s="14">
        <f t="shared" si="50"/>
        <v>0</v>
      </c>
      <c r="CI24" s="1">
        <v>0</v>
      </c>
      <c r="CJ24" s="1">
        <v>0</v>
      </c>
      <c r="CK24" s="74">
        <f>CPP!Q24</f>
        <v>0</v>
      </c>
      <c r="CL24" s="14">
        <f t="shared" si="28"/>
        <v>0</v>
      </c>
      <c r="CM24" s="14">
        <f t="shared" si="51"/>
        <v>5.0000000000181899E-2</v>
      </c>
      <c r="CN24" s="1">
        <v>0</v>
      </c>
      <c r="CO24" s="1">
        <v>0</v>
      </c>
      <c r="CP24" s="74">
        <f>CPP!R24</f>
        <v>0</v>
      </c>
      <c r="CQ24" s="14">
        <f t="shared" si="29"/>
        <v>5.0000000000181899E-2</v>
      </c>
      <c r="CR24" s="14">
        <f t="shared" si="52"/>
        <v>0</v>
      </c>
      <c r="CS24" s="1">
        <v>0</v>
      </c>
      <c r="CT24" s="1">
        <v>0</v>
      </c>
      <c r="CU24" s="74">
        <f>CPP!S24</f>
        <v>0</v>
      </c>
      <c r="CV24" s="14">
        <f t="shared" si="30"/>
        <v>0</v>
      </c>
      <c r="CW24" s="14">
        <f t="shared" si="53"/>
        <v>0</v>
      </c>
      <c r="CX24" s="1">
        <v>0</v>
      </c>
      <c r="CY24" s="1">
        <v>0</v>
      </c>
      <c r="CZ24" s="74">
        <f>CPP!T24</f>
        <v>0</v>
      </c>
      <c r="DA24" s="14">
        <f t="shared" si="31"/>
        <v>0</v>
      </c>
      <c r="DB24" s="14">
        <f t="shared" si="54"/>
        <v>1.0000000000013998E-2</v>
      </c>
      <c r="DC24" s="1">
        <v>0</v>
      </c>
      <c r="DD24" s="1">
        <v>0</v>
      </c>
      <c r="DE24" s="74">
        <f>CPP!U24</f>
        <v>0</v>
      </c>
      <c r="DF24" s="14">
        <f t="shared" si="32"/>
        <v>1.0000000000013998E-2</v>
      </c>
      <c r="DG24" s="14">
        <f t="shared" si="55"/>
        <v>0</v>
      </c>
      <c r="DH24" s="1">
        <v>0</v>
      </c>
      <c r="DI24" s="1">
        <v>0</v>
      </c>
      <c r="DJ24" s="74">
        <f>CPP!V24</f>
        <v>0</v>
      </c>
      <c r="DK24" s="14">
        <f t="shared" si="33"/>
        <v>0</v>
      </c>
      <c r="DL24" s="14">
        <f t="shared" si="56"/>
        <v>304</v>
      </c>
      <c r="DM24" s="1">
        <v>0</v>
      </c>
      <c r="DN24" s="22">
        <v>0</v>
      </c>
      <c r="DO24" s="74">
        <f>CPP!W24</f>
        <v>0</v>
      </c>
      <c r="DP24" s="14">
        <f t="shared" si="34"/>
        <v>304</v>
      </c>
      <c r="DQ24" s="14">
        <f t="shared" si="57"/>
        <v>0</v>
      </c>
      <c r="DR24" s="1">
        <v>0</v>
      </c>
      <c r="DS24" s="1">
        <v>0</v>
      </c>
      <c r="DT24" s="74">
        <f>CPP!J24</f>
        <v>0</v>
      </c>
      <c r="DU24" s="14">
        <f t="shared" si="35"/>
        <v>0</v>
      </c>
      <c r="DV24" s="14">
        <f t="shared" si="58"/>
        <v>0</v>
      </c>
      <c r="DW24" s="1">
        <v>0</v>
      </c>
      <c r="DX24" s="1">
        <v>0</v>
      </c>
      <c r="DY24" s="74">
        <v>0</v>
      </c>
      <c r="DZ24" s="14">
        <f t="shared" si="36"/>
        <v>0</v>
      </c>
      <c r="EA24" s="48">
        <f t="shared" si="37"/>
        <v>1831.6769999999901</v>
      </c>
      <c r="EB24" s="1">
        <v>0</v>
      </c>
      <c r="EC24" s="1">
        <v>0</v>
      </c>
      <c r="ED24" s="48">
        <f t="shared" si="38"/>
        <v>1831.6769999999901</v>
      </c>
      <c r="EE24" s="14">
        <f t="shared" si="39"/>
        <v>3888.0199999999932</v>
      </c>
      <c r="EF24" s="14">
        <f t="shared" si="6"/>
        <v>330.25</v>
      </c>
      <c r="EG24" s="14">
        <f>CPP!D24+CPP!E24+CPP!F24+CPP!G24+CPP!H24+CPP!I24+CPP!J24+CPP!M24+BG24</f>
        <v>161</v>
      </c>
      <c r="EH24" s="14">
        <f t="shared" si="40"/>
        <v>4057.2699999999932</v>
      </c>
      <c r="EI24" s="125">
        <f t="shared" si="59"/>
        <v>20382.497566444043</v>
      </c>
      <c r="EJ24" s="1">
        <f t="shared" ref="EJ24:EJ30" si="62">EM24+EN24</f>
        <v>1005</v>
      </c>
      <c r="EK24" s="135">
        <f>'DAILY CEM1'!AG25+'DAILY CEM2'!AF25</f>
        <v>2456.1979999759005</v>
      </c>
      <c r="EL24" s="125">
        <f t="shared" si="42"/>
        <v>18931.299566468144</v>
      </c>
      <c r="EM24" s="1">
        <v>1005</v>
      </c>
      <c r="EN24" s="1">
        <v>0</v>
      </c>
      <c r="EO24">
        <v>2173.1100000000033</v>
      </c>
    </row>
    <row r="25" spans="2:145" s="154" customFormat="1" ht="13.5" customHeight="1" x14ac:dyDescent="0.25">
      <c r="B25" s="173">
        <v>23</v>
      </c>
      <c r="C25" s="174">
        <f t="shared" si="7"/>
        <v>1255.6400000000001</v>
      </c>
      <c r="D25" s="1">
        <v>0</v>
      </c>
      <c r="E25" s="1">
        <v>0</v>
      </c>
      <c r="F25" s="175">
        <f t="shared" si="0"/>
        <v>1255.6400000000001</v>
      </c>
      <c r="G25" s="174">
        <f t="shared" si="8"/>
        <v>846.04957676815343</v>
      </c>
      <c r="H25" s="176">
        <v>0</v>
      </c>
      <c r="I25" s="176">
        <v>0</v>
      </c>
      <c r="J25" s="177">
        <f>G25+H25-I25-[1]Cement!U25</f>
        <v>762.04957823255347</v>
      </c>
      <c r="K25" s="178">
        <f t="shared" si="9"/>
        <v>0</v>
      </c>
      <c r="L25" s="155">
        <v>0</v>
      </c>
      <c r="M25" s="176">
        <f>CPP!D25</f>
        <v>0</v>
      </c>
      <c r="N25" s="155">
        <v>0</v>
      </c>
      <c r="O25" s="176">
        <f t="shared" si="1"/>
        <v>0</v>
      </c>
      <c r="P25" s="179">
        <f t="shared" si="2"/>
        <v>0</v>
      </c>
      <c r="Q25" s="174">
        <f t="shared" si="10"/>
        <v>0</v>
      </c>
      <c r="R25" s="155">
        <v>0</v>
      </c>
      <c r="S25" s="176">
        <f>CPP!E25</f>
        <v>0</v>
      </c>
      <c r="T25" s="180">
        <v>0</v>
      </c>
      <c r="U25" s="181">
        <f t="shared" si="11"/>
        <v>0</v>
      </c>
      <c r="V25" s="175">
        <f t="shared" si="12"/>
        <v>0</v>
      </c>
      <c r="W25" s="174">
        <f t="shared" si="13"/>
        <v>3.9999999998087787E-2</v>
      </c>
      <c r="X25" s="1">
        <v>0</v>
      </c>
      <c r="Y25" s="176">
        <f>CPP!H25</f>
        <v>0</v>
      </c>
      <c r="Z25" s="1">
        <v>0</v>
      </c>
      <c r="AA25" s="175">
        <f t="shared" si="14"/>
        <v>3.9999999998087787E-2</v>
      </c>
      <c r="AB25" s="174">
        <f t="shared" si="15"/>
        <v>0</v>
      </c>
      <c r="AC25" s="155">
        <v>0</v>
      </c>
      <c r="AD25" s="182">
        <f>CPP!F25</f>
        <v>0</v>
      </c>
      <c r="AE25" s="175">
        <f t="shared" si="3"/>
        <v>0</v>
      </c>
      <c r="AF25" s="174">
        <f t="shared" si="16"/>
        <v>4057.2699999999932</v>
      </c>
      <c r="AG25" s="1">
        <v>60</v>
      </c>
      <c r="AH25" s="1">
        <v>0</v>
      </c>
      <c r="AI25" s="176">
        <f>CPP!G25</f>
        <v>94</v>
      </c>
      <c r="AJ25" s="9">
        <f t="shared" si="61"/>
        <v>4023.2699999999932</v>
      </c>
      <c r="AK25" s="174">
        <f t="shared" si="17"/>
        <v>0</v>
      </c>
      <c r="AL25" s="155">
        <v>0</v>
      </c>
      <c r="AM25" s="155">
        <v>0</v>
      </c>
      <c r="AN25" s="175">
        <f t="shared" si="5"/>
        <v>0</v>
      </c>
      <c r="AO25" s="174">
        <f t="shared" si="18"/>
        <v>0</v>
      </c>
      <c r="AP25" s="155">
        <v>0</v>
      </c>
      <c r="AQ25" s="155">
        <v>0</v>
      </c>
      <c r="AR25" s="183">
        <f>CPP!I25</f>
        <v>0</v>
      </c>
      <c r="AS25" s="184">
        <f t="shared" si="19"/>
        <v>0</v>
      </c>
      <c r="AT25" s="177">
        <f t="shared" si="60"/>
        <v>1.0000000002058584E-2</v>
      </c>
      <c r="AU25" s="1">
        <v>0</v>
      </c>
      <c r="AV25" s="1">
        <v>0</v>
      </c>
      <c r="AW25" s="74">
        <f>CPP!X25</f>
        <v>0</v>
      </c>
      <c r="AX25" s="177">
        <f t="shared" si="20"/>
        <v>1.0000000002058584E-2</v>
      </c>
      <c r="AY25" s="177">
        <f t="shared" si="43"/>
        <v>2672.4469999999901</v>
      </c>
      <c r="AZ25" s="1">
        <v>155.32</v>
      </c>
      <c r="BA25" s="1">
        <v>14</v>
      </c>
      <c r="BB25" s="182">
        <f>CPP!M25</f>
        <v>0</v>
      </c>
      <c r="BC25" s="177">
        <f t="shared" si="21"/>
        <v>2813.7669999999903</v>
      </c>
      <c r="BD25" s="177">
        <f t="shared" si="44"/>
        <v>0</v>
      </c>
      <c r="BE25" s="155">
        <v>0</v>
      </c>
      <c r="BF25" s="155">
        <v>0</v>
      </c>
      <c r="BG25" s="182">
        <f>CPP!K25</f>
        <v>0</v>
      </c>
      <c r="BH25" s="177">
        <f t="shared" si="22"/>
        <v>0</v>
      </c>
      <c r="BI25" s="177">
        <f t="shared" si="45"/>
        <v>0</v>
      </c>
      <c r="BJ25" s="155">
        <v>0</v>
      </c>
      <c r="BK25" s="155">
        <v>0</v>
      </c>
      <c r="BL25" s="182">
        <f>CPP!L25</f>
        <v>0</v>
      </c>
      <c r="BM25" s="177">
        <f t="shared" si="23"/>
        <v>0</v>
      </c>
      <c r="BN25" s="177">
        <f t="shared" si="46"/>
        <v>0</v>
      </c>
      <c r="BO25" s="155">
        <v>0</v>
      </c>
      <c r="BP25" s="155">
        <v>0</v>
      </c>
      <c r="BQ25" s="182">
        <f>CPP!N25</f>
        <v>0</v>
      </c>
      <c r="BR25" s="177">
        <f t="shared" si="24"/>
        <v>0</v>
      </c>
      <c r="BS25" s="177">
        <f t="shared" si="47"/>
        <v>0</v>
      </c>
      <c r="BT25" s="155">
        <v>0</v>
      </c>
      <c r="BU25" s="155">
        <v>0</v>
      </c>
      <c r="BV25" s="182">
        <f>CPP!O25</f>
        <v>0</v>
      </c>
      <c r="BW25" s="177">
        <f t="shared" si="25"/>
        <v>0</v>
      </c>
      <c r="BX25" s="185">
        <f t="shared" si="48"/>
        <v>0</v>
      </c>
      <c r="BY25" s="155">
        <v>0</v>
      </c>
      <c r="BZ25" s="155">
        <v>0</v>
      </c>
      <c r="CA25" s="186"/>
      <c r="CB25" s="184">
        <f t="shared" si="26"/>
        <v>0</v>
      </c>
      <c r="CC25" s="177">
        <f t="shared" si="49"/>
        <v>0</v>
      </c>
      <c r="CD25" s="155">
        <v>0</v>
      </c>
      <c r="CE25" s="155">
        <v>0</v>
      </c>
      <c r="CF25" s="182">
        <f>CPP!P25</f>
        <v>0</v>
      </c>
      <c r="CG25" s="177">
        <f t="shared" si="27"/>
        <v>0</v>
      </c>
      <c r="CH25" s="177">
        <f t="shared" si="50"/>
        <v>0</v>
      </c>
      <c r="CI25" s="155">
        <v>0</v>
      </c>
      <c r="CJ25" s="155">
        <v>0</v>
      </c>
      <c r="CK25" s="182">
        <f>CPP!Q25</f>
        <v>0</v>
      </c>
      <c r="CL25" s="177">
        <f t="shared" si="28"/>
        <v>0</v>
      </c>
      <c r="CM25" s="177">
        <f t="shared" si="51"/>
        <v>5.0000000000181899E-2</v>
      </c>
      <c r="CN25" s="155">
        <v>0</v>
      </c>
      <c r="CO25" s="155">
        <v>0</v>
      </c>
      <c r="CP25" s="182">
        <f>CPP!R25</f>
        <v>0</v>
      </c>
      <c r="CQ25" s="177">
        <f t="shared" si="29"/>
        <v>5.0000000000181899E-2</v>
      </c>
      <c r="CR25" s="177">
        <f t="shared" si="52"/>
        <v>0</v>
      </c>
      <c r="CS25" s="155">
        <v>0</v>
      </c>
      <c r="CT25" s="155">
        <v>0</v>
      </c>
      <c r="CU25" s="182">
        <f>CPP!S25</f>
        <v>0</v>
      </c>
      <c r="CV25" s="177">
        <f t="shared" si="30"/>
        <v>0</v>
      </c>
      <c r="CW25" s="177">
        <f t="shared" si="53"/>
        <v>0</v>
      </c>
      <c r="CX25" s="155">
        <v>0</v>
      </c>
      <c r="CY25" s="155">
        <v>0</v>
      </c>
      <c r="CZ25" s="182">
        <f>CPP!T25</f>
        <v>0</v>
      </c>
      <c r="DA25" s="177">
        <f t="shared" si="31"/>
        <v>0</v>
      </c>
      <c r="DB25" s="177">
        <f t="shared" si="54"/>
        <v>1.0000000000013998E-2</v>
      </c>
      <c r="DC25" s="155">
        <v>0</v>
      </c>
      <c r="DD25" s="155">
        <v>0</v>
      </c>
      <c r="DE25" s="182">
        <f>CPP!U25</f>
        <v>0</v>
      </c>
      <c r="DF25" s="177">
        <f t="shared" si="32"/>
        <v>1.0000000000013998E-2</v>
      </c>
      <c r="DG25" s="177">
        <f t="shared" si="55"/>
        <v>0</v>
      </c>
      <c r="DH25" s="155">
        <v>0</v>
      </c>
      <c r="DI25" s="155">
        <v>0</v>
      </c>
      <c r="DJ25" s="182">
        <f>CPP!V25</f>
        <v>0</v>
      </c>
      <c r="DK25" s="177">
        <f t="shared" si="33"/>
        <v>0</v>
      </c>
      <c r="DL25" s="177">
        <f t="shared" si="56"/>
        <v>304</v>
      </c>
      <c r="DM25" s="187">
        <v>0</v>
      </c>
      <c r="DN25" s="155">
        <v>0</v>
      </c>
      <c r="DO25" s="182">
        <f>CPP!W25</f>
        <v>0</v>
      </c>
      <c r="DP25" s="177">
        <f t="shared" si="34"/>
        <v>304</v>
      </c>
      <c r="DQ25" s="177">
        <f t="shared" si="57"/>
        <v>0</v>
      </c>
      <c r="DR25" s="1">
        <v>0</v>
      </c>
      <c r="DS25" s="155">
        <v>0</v>
      </c>
      <c r="DT25" s="74">
        <f>CPP!J25</f>
        <v>0</v>
      </c>
      <c r="DU25" s="177">
        <f t="shared" si="35"/>
        <v>0</v>
      </c>
      <c r="DV25" s="177">
        <f t="shared" si="58"/>
        <v>0</v>
      </c>
      <c r="DW25" s="155">
        <v>0</v>
      </c>
      <c r="DX25" s="155">
        <v>0</v>
      </c>
      <c r="DY25" s="182">
        <f>CPP!Y25</f>
        <v>0</v>
      </c>
      <c r="DZ25" s="177">
        <f t="shared" si="36"/>
        <v>0</v>
      </c>
      <c r="EA25" s="185">
        <f t="shared" si="37"/>
        <v>2672.4969999999903</v>
      </c>
      <c r="EB25" s="155">
        <v>0</v>
      </c>
      <c r="EC25" s="155">
        <v>0</v>
      </c>
      <c r="ED25" s="185">
        <f t="shared" si="38"/>
        <v>2672.4969999999903</v>
      </c>
      <c r="EE25" s="177">
        <f t="shared" si="39"/>
        <v>4057.2699999999932</v>
      </c>
      <c r="EF25" s="177">
        <f t="shared" si="6"/>
        <v>60</v>
      </c>
      <c r="EG25" s="177">
        <f>CPP!D25+CPP!E25+CPP!F25+CPP!G25+CPP!H25+CPP!I25+CPP!J25+CPP!M25+BG25</f>
        <v>94</v>
      </c>
      <c r="EH25" s="177">
        <f t="shared" si="40"/>
        <v>4023.2699999999932</v>
      </c>
      <c r="EI25" s="188">
        <f t="shared" si="59"/>
        <v>18931.299566468144</v>
      </c>
      <c r="EJ25" s="1">
        <f t="shared" si="62"/>
        <v>75</v>
      </c>
      <c r="EK25" s="161">
        <f>'DAILY CEM1'!AG26+'DAILY CEM2'!AF26</f>
        <v>2314.6789999956709</v>
      </c>
      <c r="EL25" s="188">
        <f t="shared" si="42"/>
        <v>16691.620566472473</v>
      </c>
      <c r="EM25" s="1">
        <v>75</v>
      </c>
      <c r="EN25" s="1">
        <v>0</v>
      </c>
      <c r="EO25" s="154">
        <v>2300.8000000000011</v>
      </c>
    </row>
    <row r="26" spans="2:145" s="108" customFormat="1" x14ac:dyDescent="0.25">
      <c r="B26" s="100">
        <v>24</v>
      </c>
      <c r="C26" s="101">
        <f t="shared" si="7"/>
        <v>1255.6400000000001</v>
      </c>
      <c r="D26" s="1">
        <v>30.9</v>
      </c>
      <c r="E26" s="1">
        <v>37</v>
      </c>
      <c r="F26" s="102">
        <f t="shared" si="0"/>
        <v>1249.5400000000002</v>
      </c>
      <c r="G26" s="101">
        <f t="shared" si="8"/>
        <v>762.04957823255347</v>
      </c>
      <c r="H26" s="74">
        <v>0</v>
      </c>
      <c r="I26" s="74">
        <v>0</v>
      </c>
      <c r="J26" s="103">
        <f>G26+H26-I26-[1]Cement!U26</f>
        <v>643.04957831495346</v>
      </c>
      <c r="K26" s="104">
        <f t="shared" si="9"/>
        <v>0</v>
      </c>
      <c r="L26" s="103">
        <v>0</v>
      </c>
      <c r="M26" s="103">
        <f>CPP!D26</f>
        <v>0</v>
      </c>
      <c r="N26" s="74">
        <v>0</v>
      </c>
      <c r="O26" s="103">
        <f t="shared" si="1"/>
        <v>0</v>
      </c>
      <c r="P26" s="105">
        <f t="shared" si="2"/>
        <v>0</v>
      </c>
      <c r="Q26" s="101">
        <f t="shared" si="10"/>
        <v>0</v>
      </c>
      <c r="R26" s="103">
        <v>0</v>
      </c>
      <c r="S26" s="103">
        <f>CPP!E26</f>
        <v>0</v>
      </c>
      <c r="T26" s="89">
        <v>0</v>
      </c>
      <c r="U26" s="89">
        <f t="shared" si="11"/>
        <v>0</v>
      </c>
      <c r="V26" s="102">
        <f t="shared" si="12"/>
        <v>0</v>
      </c>
      <c r="W26" s="101">
        <f t="shared" si="13"/>
        <v>3.9999999998087787E-2</v>
      </c>
      <c r="X26" s="1">
        <v>0</v>
      </c>
      <c r="Y26" s="103">
        <f>CPP!H26</f>
        <v>0</v>
      </c>
      <c r="Z26" s="1">
        <v>0</v>
      </c>
      <c r="AA26" s="102">
        <f t="shared" si="14"/>
        <v>3.9999999998087787E-2</v>
      </c>
      <c r="AB26" s="101">
        <f t="shared" si="15"/>
        <v>0</v>
      </c>
      <c r="AC26" s="74">
        <v>0</v>
      </c>
      <c r="AD26" s="74">
        <f>CPP!F26</f>
        <v>0</v>
      </c>
      <c r="AE26" s="102">
        <f t="shared" si="3"/>
        <v>0</v>
      </c>
      <c r="AF26" s="101">
        <f t="shared" si="16"/>
        <v>4023.2699999999932</v>
      </c>
      <c r="AG26" s="1">
        <v>61</v>
      </c>
      <c r="AH26" s="1">
        <v>0</v>
      </c>
      <c r="AI26" s="103">
        <f>CPP!G26</f>
        <v>122</v>
      </c>
      <c r="AJ26" s="9">
        <f t="shared" si="61"/>
        <v>3962.2699999999932</v>
      </c>
      <c r="AK26" s="101">
        <f t="shared" si="17"/>
        <v>0</v>
      </c>
      <c r="AL26" s="74">
        <v>0</v>
      </c>
      <c r="AM26" s="74">
        <v>0</v>
      </c>
      <c r="AN26" s="102">
        <f t="shared" si="5"/>
        <v>0</v>
      </c>
      <c r="AO26" s="101">
        <f t="shared" si="18"/>
        <v>0</v>
      </c>
      <c r="AP26" s="74">
        <v>0</v>
      </c>
      <c r="AQ26" s="103">
        <v>0</v>
      </c>
      <c r="AR26" s="89">
        <f>CPP!I26</f>
        <v>0</v>
      </c>
      <c r="AS26" s="89">
        <f t="shared" si="19"/>
        <v>0</v>
      </c>
      <c r="AT26" s="103">
        <f t="shared" si="60"/>
        <v>1.0000000002058584E-2</v>
      </c>
      <c r="AU26" s="1">
        <v>0</v>
      </c>
      <c r="AV26" s="1">
        <v>0</v>
      </c>
      <c r="AW26" s="74">
        <f>CPP!X26</f>
        <v>0</v>
      </c>
      <c r="AX26" s="103">
        <f t="shared" si="20"/>
        <v>1.0000000002058584E-2</v>
      </c>
      <c r="AY26" s="103">
        <f t="shared" si="43"/>
        <v>2813.7669999999903</v>
      </c>
      <c r="AZ26" s="1">
        <v>243.06</v>
      </c>
      <c r="BA26" s="1">
        <v>175</v>
      </c>
      <c r="BB26" s="103">
        <f>CPP!M26</f>
        <v>10</v>
      </c>
      <c r="BC26" s="103">
        <f t="shared" si="21"/>
        <v>2871.8269999999902</v>
      </c>
      <c r="BD26" s="103">
        <f t="shared" si="44"/>
        <v>0</v>
      </c>
      <c r="BE26" s="74">
        <v>0</v>
      </c>
      <c r="BF26" s="74">
        <v>0</v>
      </c>
      <c r="BG26" s="103">
        <f>CPP!K26</f>
        <v>0</v>
      </c>
      <c r="BH26" s="103">
        <f t="shared" si="22"/>
        <v>0</v>
      </c>
      <c r="BI26" s="103">
        <f t="shared" si="45"/>
        <v>0</v>
      </c>
      <c r="BJ26" s="22">
        <v>0</v>
      </c>
      <c r="BK26" s="22">
        <v>0</v>
      </c>
      <c r="BL26" s="74">
        <f>CPP!L26</f>
        <v>0</v>
      </c>
      <c r="BM26" s="103">
        <f t="shared" si="23"/>
        <v>0</v>
      </c>
      <c r="BN26" s="103">
        <f t="shared" si="46"/>
        <v>0</v>
      </c>
      <c r="BO26" s="74">
        <v>0</v>
      </c>
      <c r="BP26" s="74">
        <v>0</v>
      </c>
      <c r="BQ26" s="74">
        <f>CPP!N26</f>
        <v>0</v>
      </c>
      <c r="BR26" s="103">
        <f t="shared" si="24"/>
        <v>0</v>
      </c>
      <c r="BS26" s="103">
        <f t="shared" si="47"/>
        <v>0</v>
      </c>
      <c r="BT26" s="74">
        <v>0</v>
      </c>
      <c r="BU26" s="74">
        <v>0</v>
      </c>
      <c r="BV26" s="74">
        <f>CPP!O26</f>
        <v>0</v>
      </c>
      <c r="BW26" s="74">
        <f t="shared" si="25"/>
        <v>0</v>
      </c>
      <c r="BX26" s="106">
        <f t="shared" si="48"/>
        <v>0</v>
      </c>
      <c r="BY26" s="74">
        <v>0</v>
      </c>
      <c r="BZ26" s="103">
        <v>0</v>
      </c>
      <c r="CA26" s="89"/>
      <c r="CB26" s="88">
        <f t="shared" si="26"/>
        <v>0</v>
      </c>
      <c r="CC26" s="74">
        <f t="shared" si="49"/>
        <v>0</v>
      </c>
      <c r="CD26" s="74">
        <v>0</v>
      </c>
      <c r="CE26" s="74">
        <v>0</v>
      </c>
      <c r="CF26" s="74">
        <f>CPP!P26</f>
        <v>0</v>
      </c>
      <c r="CG26" s="74">
        <f t="shared" si="27"/>
        <v>0</v>
      </c>
      <c r="CH26" s="74">
        <f t="shared" si="50"/>
        <v>0</v>
      </c>
      <c r="CI26" s="74">
        <v>0</v>
      </c>
      <c r="CJ26" s="74">
        <v>0</v>
      </c>
      <c r="CK26" s="74">
        <f>CPP!Q26</f>
        <v>0</v>
      </c>
      <c r="CL26" s="74">
        <f t="shared" si="28"/>
        <v>0</v>
      </c>
      <c r="CM26" s="74">
        <f t="shared" si="51"/>
        <v>5.0000000000181899E-2</v>
      </c>
      <c r="CN26" s="1">
        <v>0</v>
      </c>
      <c r="CO26" s="1">
        <v>0</v>
      </c>
      <c r="CP26" s="74">
        <f>CPP!R26</f>
        <v>0</v>
      </c>
      <c r="CQ26" s="14">
        <f t="shared" si="29"/>
        <v>5.0000000000181899E-2</v>
      </c>
      <c r="CR26" s="74">
        <f t="shared" si="52"/>
        <v>0</v>
      </c>
      <c r="CS26" s="1">
        <v>0</v>
      </c>
      <c r="CT26" s="1">
        <v>0</v>
      </c>
      <c r="CU26" s="74">
        <f>CPP!S26</f>
        <v>0</v>
      </c>
      <c r="CV26" s="74">
        <f t="shared" si="30"/>
        <v>0</v>
      </c>
      <c r="CW26" s="74">
        <f t="shared" si="53"/>
        <v>0</v>
      </c>
      <c r="CX26" s="74">
        <v>0</v>
      </c>
      <c r="CY26" s="74">
        <v>0</v>
      </c>
      <c r="CZ26" s="74">
        <f>CPP!T26</f>
        <v>0</v>
      </c>
      <c r="DA26" s="74">
        <f t="shared" si="31"/>
        <v>0</v>
      </c>
      <c r="DB26" s="74">
        <f t="shared" si="54"/>
        <v>1.0000000000013998E-2</v>
      </c>
      <c r="DC26" s="1">
        <v>0</v>
      </c>
      <c r="DD26" s="1">
        <v>0</v>
      </c>
      <c r="DE26" s="74">
        <f>CPP!U26</f>
        <v>0</v>
      </c>
      <c r="DF26" s="74">
        <f t="shared" si="32"/>
        <v>1.0000000000013998E-2</v>
      </c>
      <c r="DG26" s="74">
        <f t="shared" si="55"/>
        <v>0</v>
      </c>
      <c r="DH26" s="74">
        <v>0</v>
      </c>
      <c r="DI26" s="74">
        <v>0</v>
      </c>
      <c r="DJ26" s="74">
        <f>CPP!V26</f>
        <v>0</v>
      </c>
      <c r="DK26" s="74">
        <f t="shared" si="33"/>
        <v>0</v>
      </c>
      <c r="DL26" s="74">
        <f t="shared" si="56"/>
        <v>304</v>
      </c>
      <c r="DM26" s="187">
        <v>0</v>
      </c>
      <c r="DN26" s="187">
        <v>0</v>
      </c>
      <c r="DO26" s="74">
        <f>CPP!W26</f>
        <v>0</v>
      </c>
      <c r="DP26" s="74">
        <f t="shared" si="34"/>
        <v>304</v>
      </c>
      <c r="DQ26" s="74">
        <f t="shared" si="57"/>
        <v>0</v>
      </c>
      <c r="DR26" s="1">
        <v>0</v>
      </c>
      <c r="DS26" s="74">
        <v>0</v>
      </c>
      <c r="DT26" s="74">
        <f>CPP!J26</f>
        <v>0</v>
      </c>
      <c r="DU26" s="74">
        <f t="shared" si="35"/>
        <v>0</v>
      </c>
      <c r="DV26" s="74">
        <f t="shared" si="58"/>
        <v>0</v>
      </c>
      <c r="DW26" s="1">
        <v>0</v>
      </c>
      <c r="DX26" s="74">
        <v>0</v>
      </c>
      <c r="DY26" s="74">
        <v>0</v>
      </c>
      <c r="DZ26" s="74">
        <f t="shared" si="36"/>
        <v>0</v>
      </c>
      <c r="EA26" s="107">
        <f t="shared" si="37"/>
        <v>2813.8169999999905</v>
      </c>
      <c r="EB26" s="103">
        <v>0</v>
      </c>
      <c r="EC26" s="103">
        <v>0</v>
      </c>
      <c r="ED26" s="107">
        <f t="shared" si="38"/>
        <v>2813.8169999999905</v>
      </c>
      <c r="EE26" s="103">
        <f t="shared" si="39"/>
        <v>4023.2699999999932</v>
      </c>
      <c r="EF26" s="103">
        <f t="shared" si="6"/>
        <v>61</v>
      </c>
      <c r="EG26" s="103">
        <f>CPP!D26+CPP!E26+CPP!F26+CPP!G26+CPP!H26+CPP!I26+CPP!J26+CPP!M26+BG26</f>
        <v>132</v>
      </c>
      <c r="EH26" s="103">
        <f t="shared" si="40"/>
        <v>3952.2699999999932</v>
      </c>
      <c r="EI26" s="125">
        <f t="shared" si="59"/>
        <v>16691.620566472473</v>
      </c>
      <c r="EJ26" s="1">
        <f>EM26+EN26</f>
        <v>750</v>
      </c>
      <c r="EK26" s="135">
        <f>'DAILY CEM1'!AG27+'DAILY CEM2'!AF27</f>
        <v>2352.7730000100019</v>
      </c>
      <c r="EL26" s="125">
        <f t="shared" si="42"/>
        <v>15088.847566462471</v>
      </c>
      <c r="EM26" s="1">
        <v>750</v>
      </c>
      <c r="EN26" s="1">
        <v>0</v>
      </c>
      <c r="EO26" s="108">
        <v>0</v>
      </c>
    </row>
    <row r="27" spans="2:145" x14ac:dyDescent="0.25">
      <c r="B27" s="4">
        <v>25</v>
      </c>
      <c r="C27" s="27">
        <f t="shared" si="7"/>
        <v>1249.5400000000002</v>
      </c>
      <c r="D27" s="1">
        <v>38.200000000000003</v>
      </c>
      <c r="E27" s="1">
        <v>51</v>
      </c>
      <c r="F27" s="9">
        <f t="shared" si="0"/>
        <v>1236.7400000000002</v>
      </c>
      <c r="G27" s="27">
        <f t="shared" si="8"/>
        <v>643.04957831495346</v>
      </c>
      <c r="H27" s="24">
        <v>0</v>
      </c>
      <c r="I27" s="24">
        <v>0</v>
      </c>
      <c r="J27" s="14">
        <f>G27+H27-I27-[1]Cement!U27</f>
        <v>542.04957940295344</v>
      </c>
      <c r="K27" s="32">
        <f t="shared" si="9"/>
        <v>0</v>
      </c>
      <c r="L27" s="1">
        <v>0</v>
      </c>
      <c r="M27" s="24">
        <f>CPP!D27</f>
        <v>0</v>
      </c>
      <c r="N27" s="1">
        <v>0</v>
      </c>
      <c r="O27" s="24">
        <f>M27+N27</f>
        <v>0</v>
      </c>
      <c r="P27" s="28">
        <f>K27+L27-O27</f>
        <v>0</v>
      </c>
      <c r="Q27" s="27">
        <f t="shared" si="10"/>
        <v>0</v>
      </c>
      <c r="R27" s="1">
        <v>0</v>
      </c>
      <c r="S27" s="24">
        <f>CPP!E27</f>
        <v>0</v>
      </c>
      <c r="T27" s="19">
        <v>0</v>
      </c>
      <c r="U27" s="26">
        <f t="shared" si="11"/>
        <v>0</v>
      </c>
      <c r="V27" s="9">
        <f t="shared" si="12"/>
        <v>0</v>
      </c>
      <c r="W27" s="27">
        <f t="shared" si="13"/>
        <v>3.9999999998087787E-2</v>
      </c>
      <c r="X27" s="1">
        <v>0</v>
      </c>
      <c r="Y27" s="24">
        <f>CPP!H27</f>
        <v>0</v>
      </c>
      <c r="Z27" s="1">
        <v>0</v>
      </c>
      <c r="AA27" s="9">
        <f t="shared" si="14"/>
        <v>3.9999999998087787E-2</v>
      </c>
      <c r="AB27" s="27">
        <f t="shared" si="15"/>
        <v>0</v>
      </c>
      <c r="AC27" s="1">
        <v>0</v>
      </c>
      <c r="AD27" s="74">
        <f>CPP!F27</f>
        <v>0</v>
      </c>
      <c r="AE27" s="9">
        <f>AB27+AC27-AD27</f>
        <v>0</v>
      </c>
      <c r="AF27" s="27">
        <f t="shared" si="16"/>
        <v>3962.2699999999932</v>
      </c>
      <c r="AG27" s="1">
        <v>180</v>
      </c>
      <c r="AH27" s="1">
        <v>0</v>
      </c>
      <c r="AI27" s="24">
        <f>CPP!G27</f>
        <v>148</v>
      </c>
      <c r="AJ27" s="9">
        <f t="shared" si="61"/>
        <v>3994.2699999999932</v>
      </c>
      <c r="AK27" s="27">
        <f t="shared" si="17"/>
        <v>0</v>
      </c>
      <c r="AL27" s="1">
        <v>0</v>
      </c>
      <c r="AM27" s="1">
        <v>0</v>
      </c>
      <c r="AN27" s="9">
        <f>AK27+AL27-AM27</f>
        <v>0</v>
      </c>
      <c r="AO27" s="27">
        <f t="shared" si="18"/>
        <v>0</v>
      </c>
      <c r="AP27" s="1">
        <v>0</v>
      </c>
      <c r="AQ27" s="1">
        <v>0</v>
      </c>
      <c r="AR27" s="73">
        <f>CPP!I27</f>
        <v>0</v>
      </c>
      <c r="AS27" s="72">
        <f t="shared" si="19"/>
        <v>0</v>
      </c>
      <c r="AT27" s="14">
        <f t="shared" si="60"/>
        <v>1.0000000002058584E-2</v>
      </c>
      <c r="AU27" s="1">
        <v>0</v>
      </c>
      <c r="AV27" s="1">
        <v>0</v>
      </c>
      <c r="AW27" s="74">
        <f>CPP!X27</f>
        <v>0</v>
      </c>
      <c r="AX27" s="14">
        <f t="shared" si="20"/>
        <v>1.0000000002058584E-2</v>
      </c>
      <c r="AY27" s="14">
        <f t="shared" si="43"/>
        <v>2871.8269999999902</v>
      </c>
      <c r="AZ27" s="1">
        <v>254.56</v>
      </c>
      <c r="BA27" s="1">
        <v>272</v>
      </c>
      <c r="BB27" s="74">
        <f>CPP!M27</f>
        <v>0</v>
      </c>
      <c r="BC27" s="14">
        <f t="shared" si="21"/>
        <v>2854.3869999999902</v>
      </c>
      <c r="BD27" s="14">
        <f t="shared" si="44"/>
        <v>0</v>
      </c>
      <c r="BE27" s="1">
        <v>0</v>
      </c>
      <c r="BF27" s="1">
        <v>0</v>
      </c>
      <c r="BG27" s="74">
        <f>CPP!K27</f>
        <v>0</v>
      </c>
      <c r="BH27" s="14">
        <f t="shared" si="22"/>
        <v>0</v>
      </c>
      <c r="BI27" s="14">
        <f t="shared" si="45"/>
        <v>0</v>
      </c>
      <c r="BJ27" s="1">
        <v>0</v>
      </c>
      <c r="BK27" s="1">
        <v>0</v>
      </c>
      <c r="BL27" s="74">
        <f>CPP!L27</f>
        <v>0</v>
      </c>
      <c r="BM27" s="14">
        <f t="shared" si="23"/>
        <v>0</v>
      </c>
      <c r="BN27" s="14">
        <f t="shared" si="46"/>
        <v>0</v>
      </c>
      <c r="BO27" s="1">
        <v>0</v>
      </c>
      <c r="BP27" s="1">
        <v>0</v>
      </c>
      <c r="BQ27" s="74">
        <f>CPP!N27</f>
        <v>0</v>
      </c>
      <c r="BR27" s="14">
        <f t="shared" si="24"/>
        <v>0</v>
      </c>
      <c r="BS27" s="14">
        <f t="shared" si="47"/>
        <v>0</v>
      </c>
      <c r="BT27" s="1">
        <v>0</v>
      </c>
      <c r="BU27" s="1">
        <v>0</v>
      </c>
      <c r="BV27" s="74">
        <f>CPP!O27</f>
        <v>0</v>
      </c>
      <c r="BW27" s="14">
        <f t="shared" si="25"/>
        <v>0</v>
      </c>
      <c r="BX27" s="48">
        <f t="shared" si="48"/>
        <v>0</v>
      </c>
      <c r="BY27" s="1">
        <v>0</v>
      </c>
      <c r="BZ27" s="1">
        <v>0</v>
      </c>
      <c r="CA27" s="88"/>
      <c r="CB27" s="72">
        <f t="shared" si="26"/>
        <v>0</v>
      </c>
      <c r="CC27" s="14">
        <f t="shared" si="49"/>
        <v>0</v>
      </c>
      <c r="CD27" s="1">
        <v>0</v>
      </c>
      <c r="CE27" s="1">
        <v>0</v>
      </c>
      <c r="CF27" s="74">
        <f>CPP!P27</f>
        <v>0</v>
      </c>
      <c r="CG27" s="14">
        <f t="shared" si="27"/>
        <v>0</v>
      </c>
      <c r="CH27" s="14">
        <f t="shared" si="50"/>
        <v>0</v>
      </c>
      <c r="CI27" s="1">
        <v>0</v>
      </c>
      <c r="CJ27" s="1">
        <v>0</v>
      </c>
      <c r="CK27" s="74">
        <f>CPP!Q27</f>
        <v>0</v>
      </c>
      <c r="CL27" s="14">
        <f t="shared" si="28"/>
        <v>0</v>
      </c>
      <c r="CM27" s="14">
        <f t="shared" si="51"/>
        <v>5.0000000000181899E-2</v>
      </c>
      <c r="CN27" s="1">
        <v>0</v>
      </c>
      <c r="CO27" s="1">
        <v>0</v>
      </c>
      <c r="CP27" s="74">
        <f>CPP!R27</f>
        <v>0</v>
      </c>
      <c r="CQ27" s="14">
        <f t="shared" si="29"/>
        <v>5.0000000000181899E-2</v>
      </c>
      <c r="CR27" s="14">
        <f t="shared" si="52"/>
        <v>0</v>
      </c>
      <c r="CS27" s="1">
        <v>0</v>
      </c>
      <c r="CT27" s="1">
        <v>0</v>
      </c>
      <c r="CU27" s="74">
        <f>CPP!S27</f>
        <v>0</v>
      </c>
      <c r="CV27" s="14">
        <f t="shared" si="30"/>
        <v>0</v>
      </c>
      <c r="CW27" s="14">
        <f t="shared" si="53"/>
        <v>0</v>
      </c>
      <c r="CX27" s="1">
        <v>0</v>
      </c>
      <c r="CY27" s="1">
        <v>0</v>
      </c>
      <c r="CZ27" s="74">
        <f>CPP!T27</f>
        <v>0</v>
      </c>
      <c r="DA27" s="14">
        <f t="shared" si="31"/>
        <v>0</v>
      </c>
      <c r="DB27" s="14">
        <f t="shared" si="54"/>
        <v>1.0000000000013998E-2</v>
      </c>
      <c r="DC27" s="1">
        <v>0</v>
      </c>
      <c r="DD27" s="1">
        <v>0</v>
      </c>
      <c r="DE27" s="74">
        <f>CPP!U27</f>
        <v>0</v>
      </c>
      <c r="DF27" s="14">
        <f t="shared" si="32"/>
        <v>1.0000000000013998E-2</v>
      </c>
      <c r="DG27" s="14">
        <f t="shared" si="55"/>
        <v>0</v>
      </c>
      <c r="DH27" s="1">
        <v>0</v>
      </c>
      <c r="DI27" s="1">
        <v>0</v>
      </c>
      <c r="DJ27" s="74">
        <f>CPP!V27</f>
        <v>0</v>
      </c>
      <c r="DK27" s="14">
        <f t="shared" si="33"/>
        <v>0</v>
      </c>
      <c r="DL27" s="14">
        <f t="shared" si="56"/>
        <v>304</v>
      </c>
      <c r="DM27" s="187">
        <v>0</v>
      </c>
      <c r="DN27" s="155">
        <v>0</v>
      </c>
      <c r="DO27" s="74">
        <f>CPP!W27</f>
        <v>0</v>
      </c>
      <c r="DP27" s="14">
        <f t="shared" si="34"/>
        <v>304</v>
      </c>
      <c r="DQ27" s="14">
        <f t="shared" si="57"/>
        <v>0</v>
      </c>
      <c r="DR27" s="1">
        <v>0</v>
      </c>
      <c r="DS27" s="1">
        <v>0</v>
      </c>
      <c r="DT27" s="74">
        <f>CPP!J27</f>
        <v>0</v>
      </c>
      <c r="DU27" s="14">
        <f t="shared" si="35"/>
        <v>0</v>
      </c>
      <c r="DV27" s="14">
        <f t="shared" si="58"/>
        <v>0</v>
      </c>
      <c r="DW27" s="1">
        <v>0</v>
      </c>
      <c r="DX27" s="1">
        <v>0</v>
      </c>
      <c r="DY27" s="74">
        <v>0</v>
      </c>
      <c r="DZ27" s="14">
        <f t="shared" si="36"/>
        <v>0</v>
      </c>
      <c r="EA27" s="48">
        <f t="shared" si="37"/>
        <v>2871.8769999999904</v>
      </c>
      <c r="EB27" s="1">
        <v>0</v>
      </c>
      <c r="EC27" s="1">
        <v>0</v>
      </c>
      <c r="ED27" s="48">
        <f t="shared" si="38"/>
        <v>2871.8769999999904</v>
      </c>
      <c r="EE27" s="14">
        <f t="shared" si="39"/>
        <v>3962.2699999999932</v>
      </c>
      <c r="EF27" s="14">
        <f t="shared" si="6"/>
        <v>180</v>
      </c>
      <c r="EG27" s="14">
        <f>CPP!D27+CPP!E27+CPP!F27+CPP!G27+CPP!H27+CPP!I27+CPP!J27+CPP!M27+BG27</f>
        <v>148</v>
      </c>
      <c r="EH27" s="14">
        <f t="shared" si="40"/>
        <v>3994.2699999999932</v>
      </c>
      <c r="EI27" s="125">
        <f t="shared" si="59"/>
        <v>15088.847566462471</v>
      </c>
      <c r="EJ27" s="1">
        <f>EM27+EN27</f>
        <v>1525</v>
      </c>
      <c r="EK27" s="135">
        <f>'DAILY CEM1'!AG28+'DAILY CEM2'!AF28</f>
        <v>2398.3320000000003</v>
      </c>
      <c r="EL27" s="125">
        <f t="shared" si="42"/>
        <v>14215.515566462471</v>
      </c>
      <c r="EM27" s="1">
        <v>1525</v>
      </c>
      <c r="EN27" s="1">
        <v>0</v>
      </c>
      <c r="EO27">
        <v>0</v>
      </c>
    </row>
    <row r="28" spans="2:145" x14ac:dyDescent="0.25">
      <c r="B28" s="4">
        <v>26</v>
      </c>
      <c r="C28" s="27">
        <f t="shared" si="7"/>
        <v>1236.7400000000002</v>
      </c>
      <c r="D28" s="1">
        <v>0</v>
      </c>
      <c r="E28" s="1">
        <v>50</v>
      </c>
      <c r="F28" s="9">
        <f t="shared" si="0"/>
        <v>1186.7400000000002</v>
      </c>
      <c r="G28" s="27">
        <f t="shared" si="8"/>
        <v>542.04957940295344</v>
      </c>
      <c r="H28" s="24">
        <v>0</v>
      </c>
      <c r="I28" s="24">
        <v>0</v>
      </c>
      <c r="J28" s="14">
        <f>G28+H28-I28-[1]Cement!U28</f>
        <v>444.04957951967344</v>
      </c>
      <c r="K28" s="32">
        <f t="shared" si="9"/>
        <v>0</v>
      </c>
      <c r="L28" s="1">
        <v>0</v>
      </c>
      <c r="M28" s="24">
        <f>CPP!D28</f>
        <v>0</v>
      </c>
      <c r="N28" s="1">
        <v>0</v>
      </c>
      <c r="O28" s="24">
        <f t="shared" ref="O28:O33" si="63">M28+N28</f>
        <v>0</v>
      </c>
      <c r="P28" s="28">
        <f t="shared" ref="P28:P33" si="64">K28+L28-O28</f>
        <v>0</v>
      </c>
      <c r="Q28" s="27">
        <f t="shared" si="10"/>
        <v>0</v>
      </c>
      <c r="R28" s="1">
        <v>0</v>
      </c>
      <c r="S28" s="24">
        <f>CPP!E28</f>
        <v>0</v>
      </c>
      <c r="T28" s="19">
        <v>0</v>
      </c>
      <c r="U28" s="26">
        <f t="shared" si="11"/>
        <v>0</v>
      </c>
      <c r="V28" s="9">
        <f t="shared" si="12"/>
        <v>0</v>
      </c>
      <c r="W28" s="27">
        <f t="shared" si="13"/>
        <v>3.9999999998087787E-2</v>
      </c>
      <c r="X28" s="1">
        <v>0</v>
      </c>
      <c r="Y28" s="24">
        <f>CPP!H28</f>
        <v>0</v>
      </c>
      <c r="Z28" s="1">
        <v>0</v>
      </c>
      <c r="AA28" s="9">
        <f t="shared" si="14"/>
        <v>3.9999999998087787E-2</v>
      </c>
      <c r="AB28" s="27">
        <f t="shared" si="15"/>
        <v>0</v>
      </c>
      <c r="AC28" s="1">
        <v>0</v>
      </c>
      <c r="AD28" s="74">
        <f>CPP!F28</f>
        <v>0</v>
      </c>
      <c r="AE28" s="9">
        <f t="shared" ref="AE28:AE33" si="65">AB28+AC28-AD28</f>
        <v>0</v>
      </c>
      <c r="AF28" s="27">
        <f t="shared" si="16"/>
        <v>3994.2699999999932</v>
      </c>
      <c r="AG28" s="1">
        <v>120.05</v>
      </c>
      <c r="AH28" s="1">
        <v>0</v>
      </c>
      <c r="AI28" s="24">
        <f>CPP!G28</f>
        <v>140</v>
      </c>
      <c r="AJ28" s="9">
        <f t="shared" si="61"/>
        <v>3974.3199999999933</v>
      </c>
      <c r="AK28" s="27">
        <f t="shared" si="17"/>
        <v>0</v>
      </c>
      <c r="AL28" s="1">
        <v>0</v>
      </c>
      <c r="AM28" s="1">
        <v>0</v>
      </c>
      <c r="AN28" s="9">
        <f t="shared" ref="AN28:AN33" si="66">AK28+AL28-AM28</f>
        <v>0</v>
      </c>
      <c r="AO28" s="27">
        <f t="shared" si="18"/>
        <v>0</v>
      </c>
      <c r="AP28" s="1">
        <v>0</v>
      </c>
      <c r="AQ28" s="1">
        <v>0</v>
      </c>
      <c r="AR28" s="73">
        <f>CPP!I28</f>
        <v>0</v>
      </c>
      <c r="AS28" s="72">
        <f t="shared" si="19"/>
        <v>0</v>
      </c>
      <c r="AT28" s="14">
        <f t="shared" si="60"/>
        <v>1.0000000002058584E-2</v>
      </c>
      <c r="AU28" s="1">
        <v>0</v>
      </c>
      <c r="AV28" s="1">
        <v>0</v>
      </c>
      <c r="AW28" s="74">
        <f>CPP!X28</f>
        <v>0</v>
      </c>
      <c r="AX28" s="14">
        <f t="shared" si="20"/>
        <v>1.0000000002058584E-2</v>
      </c>
      <c r="AY28" s="14">
        <f t="shared" si="43"/>
        <v>2854.3869999999902</v>
      </c>
      <c r="AZ28" s="1">
        <v>187.76</v>
      </c>
      <c r="BA28" s="1">
        <v>266.67</v>
      </c>
      <c r="BB28" s="74">
        <f>CPP!M28</f>
        <v>0</v>
      </c>
      <c r="BC28" s="14">
        <f t="shared" si="21"/>
        <v>2775.4769999999899</v>
      </c>
      <c r="BD28" s="14">
        <f t="shared" si="44"/>
        <v>0</v>
      </c>
      <c r="BE28" s="1">
        <v>0</v>
      </c>
      <c r="BF28" s="1">
        <v>0</v>
      </c>
      <c r="BG28" s="74">
        <f>CPP!K28</f>
        <v>0</v>
      </c>
      <c r="BH28" s="14">
        <f t="shared" si="22"/>
        <v>0</v>
      </c>
      <c r="BI28" s="14">
        <f t="shared" si="45"/>
        <v>0</v>
      </c>
      <c r="BJ28" s="22">
        <v>0</v>
      </c>
      <c r="BK28" s="22">
        <v>0</v>
      </c>
      <c r="BL28" s="74">
        <f>CPP!L28</f>
        <v>0</v>
      </c>
      <c r="BM28" s="14">
        <f t="shared" si="23"/>
        <v>0</v>
      </c>
      <c r="BN28" s="14">
        <f t="shared" si="46"/>
        <v>0</v>
      </c>
      <c r="BO28" s="1">
        <v>0</v>
      </c>
      <c r="BP28" s="1">
        <v>0</v>
      </c>
      <c r="BQ28" s="74">
        <f>CPP!N28</f>
        <v>0</v>
      </c>
      <c r="BR28" s="14">
        <f t="shared" si="24"/>
        <v>0</v>
      </c>
      <c r="BS28" s="14">
        <f t="shared" si="47"/>
        <v>0</v>
      </c>
      <c r="BT28" s="1">
        <v>0</v>
      </c>
      <c r="BU28" s="1">
        <v>0</v>
      </c>
      <c r="BV28" s="74">
        <f>CPP!O28</f>
        <v>0</v>
      </c>
      <c r="BW28" s="14">
        <f t="shared" si="25"/>
        <v>0</v>
      </c>
      <c r="BX28" s="48">
        <f t="shared" si="48"/>
        <v>0</v>
      </c>
      <c r="BY28" s="1">
        <v>0</v>
      </c>
      <c r="BZ28" s="1">
        <v>0</v>
      </c>
      <c r="CA28" s="88"/>
      <c r="CB28" s="72">
        <f t="shared" si="26"/>
        <v>0</v>
      </c>
      <c r="CC28" s="14">
        <f t="shared" si="49"/>
        <v>0</v>
      </c>
      <c r="CD28" s="1">
        <v>0</v>
      </c>
      <c r="CE28" s="1">
        <v>0</v>
      </c>
      <c r="CF28" s="74">
        <f>CPP!P28</f>
        <v>0</v>
      </c>
      <c r="CG28" s="14">
        <f t="shared" si="27"/>
        <v>0</v>
      </c>
      <c r="CH28" s="14">
        <f t="shared" si="50"/>
        <v>0</v>
      </c>
      <c r="CI28" s="1">
        <v>0</v>
      </c>
      <c r="CJ28" s="1">
        <v>0</v>
      </c>
      <c r="CK28" s="74">
        <f>CPP!Q28</f>
        <v>0</v>
      </c>
      <c r="CL28" s="14">
        <f t="shared" si="28"/>
        <v>0</v>
      </c>
      <c r="CM28" s="14">
        <f t="shared" si="51"/>
        <v>5.0000000000181899E-2</v>
      </c>
      <c r="CN28" s="1">
        <v>0</v>
      </c>
      <c r="CO28" s="1">
        <v>0</v>
      </c>
      <c r="CP28" s="74">
        <f>CPP!R28</f>
        <v>0</v>
      </c>
      <c r="CQ28" s="14">
        <f t="shared" si="29"/>
        <v>5.0000000000181899E-2</v>
      </c>
      <c r="CR28" s="14">
        <f t="shared" si="52"/>
        <v>0</v>
      </c>
      <c r="CS28" s="1">
        <v>0</v>
      </c>
      <c r="CT28" s="1">
        <v>0</v>
      </c>
      <c r="CU28" s="74">
        <f>CPP!S28</f>
        <v>0</v>
      </c>
      <c r="CV28" s="14">
        <f t="shared" si="30"/>
        <v>0</v>
      </c>
      <c r="CW28" s="14">
        <f t="shared" si="53"/>
        <v>0</v>
      </c>
      <c r="CX28" s="1">
        <v>0</v>
      </c>
      <c r="CY28" s="1">
        <v>0</v>
      </c>
      <c r="CZ28" s="74">
        <f>CPP!T28</f>
        <v>0</v>
      </c>
      <c r="DA28" s="14">
        <f t="shared" si="31"/>
        <v>0</v>
      </c>
      <c r="DB28" s="14">
        <f t="shared" si="54"/>
        <v>1.0000000000013998E-2</v>
      </c>
      <c r="DC28" s="1">
        <v>0</v>
      </c>
      <c r="DD28" s="1">
        <v>0</v>
      </c>
      <c r="DE28" s="74">
        <f>CPP!U28</f>
        <v>0</v>
      </c>
      <c r="DF28" s="14">
        <f t="shared" si="32"/>
        <v>1.0000000000013998E-2</v>
      </c>
      <c r="DG28" s="14">
        <f t="shared" si="55"/>
        <v>0</v>
      </c>
      <c r="DH28" s="1">
        <v>0</v>
      </c>
      <c r="DI28" s="1">
        <v>0</v>
      </c>
      <c r="DJ28" s="74">
        <f>CPP!V28</f>
        <v>0</v>
      </c>
      <c r="DK28" s="14">
        <f t="shared" si="33"/>
        <v>0</v>
      </c>
      <c r="DL28" s="14">
        <f t="shared" si="56"/>
        <v>304</v>
      </c>
      <c r="DM28" s="1">
        <v>32</v>
      </c>
      <c r="DN28" s="22">
        <v>0</v>
      </c>
      <c r="DO28" s="74">
        <f>CPP!W28</f>
        <v>0</v>
      </c>
      <c r="DP28" s="14">
        <f t="shared" si="34"/>
        <v>336</v>
      </c>
      <c r="DQ28" s="14">
        <f t="shared" si="57"/>
        <v>0</v>
      </c>
      <c r="DR28" s="1">
        <v>0</v>
      </c>
      <c r="DS28" s="1">
        <v>0</v>
      </c>
      <c r="DT28" s="74">
        <f>CPP!J28</f>
        <v>0</v>
      </c>
      <c r="DU28" s="14">
        <f t="shared" si="35"/>
        <v>0</v>
      </c>
      <c r="DV28" s="14">
        <f t="shared" si="58"/>
        <v>0</v>
      </c>
      <c r="DW28" s="1">
        <v>0</v>
      </c>
      <c r="DX28" s="1">
        <v>0</v>
      </c>
      <c r="DY28" s="74">
        <v>0</v>
      </c>
      <c r="DZ28" s="14">
        <f t="shared" si="36"/>
        <v>0</v>
      </c>
      <c r="EA28" s="48">
        <f t="shared" si="37"/>
        <v>2854.4369999999903</v>
      </c>
      <c r="EB28" s="1">
        <v>0</v>
      </c>
      <c r="EC28" s="1">
        <v>0</v>
      </c>
      <c r="ED28" s="48">
        <f t="shared" si="38"/>
        <v>2854.4369999999903</v>
      </c>
      <c r="EE28" s="14">
        <f t="shared" si="39"/>
        <v>3994.2699999999932</v>
      </c>
      <c r="EF28" s="14">
        <f t="shared" si="6"/>
        <v>120.05</v>
      </c>
      <c r="EG28" s="14">
        <f>CPP!D28+CPP!E28+CPP!F28+CPP!G28+CPP!H28+CPP!I28+CPP!J28+CPP!M28+BG28</f>
        <v>140</v>
      </c>
      <c r="EH28" s="14">
        <f t="shared" si="40"/>
        <v>3974.3199999999933</v>
      </c>
      <c r="EI28" s="125">
        <f t="shared" si="59"/>
        <v>14215.515566462471</v>
      </c>
      <c r="EJ28" s="1">
        <f>EM28+EN28</f>
        <v>1550</v>
      </c>
      <c r="EK28" s="135">
        <f>'DAILY CEM1'!AG29+'DAILY CEM2'!AF29</f>
        <v>2372.9250020831996</v>
      </c>
      <c r="EL28" s="125">
        <f t="shared" si="42"/>
        <v>13392.590564379272</v>
      </c>
      <c r="EM28" s="1">
        <v>1550</v>
      </c>
      <c r="EN28" s="1">
        <v>0</v>
      </c>
      <c r="EO28">
        <v>0</v>
      </c>
    </row>
    <row r="29" spans="2:145" x14ac:dyDescent="0.25">
      <c r="B29" s="4">
        <v>27</v>
      </c>
      <c r="C29" s="27">
        <f t="shared" si="7"/>
        <v>1186.7400000000002</v>
      </c>
      <c r="D29" s="1">
        <v>29.5</v>
      </c>
      <c r="E29" s="1">
        <v>40</v>
      </c>
      <c r="F29" s="9">
        <f t="shared" si="0"/>
        <v>1176.2400000000002</v>
      </c>
      <c r="G29" s="27">
        <f t="shared" si="8"/>
        <v>444.04957951967344</v>
      </c>
      <c r="H29" s="24">
        <v>0</v>
      </c>
      <c r="I29" s="24">
        <v>0</v>
      </c>
      <c r="J29" s="14">
        <f>G29+H29-I29-[1]Cement!U29</f>
        <v>342.04957951967344</v>
      </c>
      <c r="K29" s="32">
        <f t="shared" si="9"/>
        <v>0</v>
      </c>
      <c r="L29" s="1">
        <v>0</v>
      </c>
      <c r="M29" s="24">
        <f>CPP!D29</f>
        <v>0</v>
      </c>
      <c r="N29" s="1">
        <v>0</v>
      </c>
      <c r="O29" s="24">
        <f t="shared" si="63"/>
        <v>0</v>
      </c>
      <c r="P29" s="28">
        <f t="shared" si="64"/>
        <v>0</v>
      </c>
      <c r="Q29" s="27">
        <f t="shared" si="10"/>
        <v>0</v>
      </c>
      <c r="R29" s="1">
        <v>0</v>
      </c>
      <c r="S29" s="24">
        <f>CPP!E29</f>
        <v>0</v>
      </c>
      <c r="T29" s="19">
        <v>0</v>
      </c>
      <c r="U29" s="26">
        <f t="shared" si="11"/>
        <v>0</v>
      </c>
      <c r="V29" s="9">
        <f t="shared" si="12"/>
        <v>0</v>
      </c>
      <c r="W29" s="27">
        <f t="shared" si="13"/>
        <v>3.9999999998087787E-2</v>
      </c>
      <c r="X29" s="1">
        <v>0</v>
      </c>
      <c r="Y29" s="24">
        <f>CPP!H29</f>
        <v>0</v>
      </c>
      <c r="Z29" s="1">
        <v>0</v>
      </c>
      <c r="AA29" s="9">
        <f t="shared" si="14"/>
        <v>3.9999999998087787E-2</v>
      </c>
      <c r="AB29" s="27">
        <f t="shared" si="15"/>
        <v>0</v>
      </c>
      <c r="AC29" s="1">
        <v>0</v>
      </c>
      <c r="AD29" s="74">
        <f>CPP!F29</f>
        <v>0</v>
      </c>
      <c r="AE29" s="9">
        <f t="shared" si="65"/>
        <v>0</v>
      </c>
      <c r="AF29" s="27">
        <f t="shared" si="16"/>
        <v>3974.3199999999933</v>
      </c>
      <c r="AG29" s="1">
        <v>30</v>
      </c>
      <c r="AH29" s="1">
        <v>0</v>
      </c>
      <c r="AI29" s="24">
        <f>CPP!G29</f>
        <v>143</v>
      </c>
      <c r="AJ29" s="9">
        <f t="shared" si="61"/>
        <v>3861.3199999999933</v>
      </c>
      <c r="AK29" s="27">
        <f t="shared" si="17"/>
        <v>0</v>
      </c>
      <c r="AL29" s="1">
        <v>0</v>
      </c>
      <c r="AM29" s="1">
        <v>0</v>
      </c>
      <c r="AN29" s="9">
        <f t="shared" si="66"/>
        <v>0</v>
      </c>
      <c r="AO29" s="27">
        <f t="shared" si="18"/>
        <v>0</v>
      </c>
      <c r="AP29" s="1">
        <v>0</v>
      </c>
      <c r="AQ29" s="1">
        <v>0</v>
      </c>
      <c r="AR29" s="73">
        <f>CPP!I29</f>
        <v>0</v>
      </c>
      <c r="AS29" s="72">
        <f t="shared" si="19"/>
        <v>0</v>
      </c>
      <c r="AT29" s="14">
        <f t="shared" si="60"/>
        <v>1.0000000002058584E-2</v>
      </c>
      <c r="AU29" s="1">
        <v>0</v>
      </c>
      <c r="AV29" s="1">
        <v>0</v>
      </c>
      <c r="AW29" s="74">
        <f>CPP!X29</f>
        <v>0</v>
      </c>
      <c r="AX29" s="14">
        <f t="shared" si="20"/>
        <v>1.0000000002058584E-2</v>
      </c>
      <c r="AY29" s="14">
        <f t="shared" si="43"/>
        <v>2775.4769999999899</v>
      </c>
      <c r="AZ29" s="1">
        <v>186.28</v>
      </c>
      <c r="BA29" s="1">
        <v>244.44</v>
      </c>
      <c r="BB29" s="74">
        <f>CPP!M29</f>
        <v>0</v>
      </c>
      <c r="BC29" s="14">
        <f t="shared" si="21"/>
        <v>2717.31699999999</v>
      </c>
      <c r="BD29" s="14">
        <f t="shared" si="44"/>
        <v>0</v>
      </c>
      <c r="BE29" s="1">
        <v>0</v>
      </c>
      <c r="BF29" s="1">
        <v>0</v>
      </c>
      <c r="BG29" s="74">
        <f>CPP!K29</f>
        <v>0</v>
      </c>
      <c r="BH29" s="14">
        <f t="shared" si="22"/>
        <v>0</v>
      </c>
      <c r="BI29" s="14">
        <f t="shared" si="45"/>
        <v>0</v>
      </c>
      <c r="BJ29" s="1">
        <v>0</v>
      </c>
      <c r="BK29" s="1">
        <v>0</v>
      </c>
      <c r="BL29" s="74">
        <f>CPP!L29</f>
        <v>0</v>
      </c>
      <c r="BM29" s="14">
        <f t="shared" si="23"/>
        <v>0</v>
      </c>
      <c r="BN29" s="14">
        <f t="shared" si="46"/>
        <v>0</v>
      </c>
      <c r="BO29" s="1">
        <v>0</v>
      </c>
      <c r="BP29" s="1">
        <v>0</v>
      </c>
      <c r="BQ29" s="74">
        <f>CPP!N29</f>
        <v>0</v>
      </c>
      <c r="BR29" s="14">
        <f t="shared" si="24"/>
        <v>0</v>
      </c>
      <c r="BS29" s="14">
        <f t="shared" si="47"/>
        <v>0</v>
      </c>
      <c r="BT29" s="1">
        <v>0</v>
      </c>
      <c r="BU29" s="1">
        <v>0</v>
      </c>
      <c r="BV29" s="74">
        <f>CPP!O29</f>
        <v>0</v>
      </c>
      <c r="BW29" s="14">
        <f t="shared" si="25"/>
        <v>0</v>
      </c>
      <c r="BX29" s="48">
        <f t="shared" si="48"/>
        <v>0</v>
      </c>
      <c r="BY29" s="1">
        <v>0</v>
      </c>
      <c r="BZ29" s="1">
        <v>0</v>
      </c>
      <c r="CA29" s="88"/>
      <c r="CB29" s="72">
        <f t="shared" si="26"/>
        <v>0</v>
      </c>
      <c r="CC29" s="14">
        <f t="shared" si="49"/>
        <v>0</v>
      </c>
      <c r="CD29" s="1">
        <v>0</v>
      </c>
      <c r="CE29" s="1">
        <v>0</v>
      </c>
      <c r="CF29" s="74">
        <f>CPP!P29</f>
        <v>0</v>
      </c>
      <c r="CG29" s="14">
        <f t="shared" si="27"/>
        <v>0</v>
      </c>
      <c r="CH29" s="14">
        <f t="shared" si="50"/>
        <v>0</v>
      </c>
      <c r="CI29" s="1">
        <v>0</v>
      </c>
      <c r="CJ29" s="1">
        <v>0</v>
      </c>
      <c r="CK29" s="74">
        <f>CPP!Q29</f>
        <v>0</v>
      </c>
      <c r="CL29" s="14">
        <f t="shared" si="28"/>
        <v>0</v>
      </c>
      <c r="CM29" s="14">
        <f t="shared" si="51"/>
        <v>5.0000000000181899E-2</v>
      </c>
      <c r="CN29" s="1">
        <v>0</v>
      </c>
      <c r="CO29" s="1">
        <v>0</v>
      </c>
      <c r="CP29" s="74">
        <f>CPP!R29</f>
        <v>0</v>
      </c>
      <c r="CQ29" s="14">
        <f t="shared" si="29"/>
        <v>5.0000000000181899E-2</v>
      </c>
      <c r="CR29" s="14">
        <f t="shared" si="52"/>
        <v>0</v>
      </c>
      <c r="CS29" s="1">
        <v>0</v>
      </c>
      <c r="CT29" s="1">
        <v>0</v>
      </c>
      <c r="CU29" s="74">
        <f>CPP!S29</f>
        <v>0</v>
      </c>
      <c r="CV29" s="14">
        <f t="shared" si="30"/>
        <v>0</v>
      </c>
      <c r="CW29" s="14">
        <f t="shared" si="53"/>
        <v>0</v>
      </c>
      <c r="CX29" s="1">
        <v>0</v>
      </c>
      <c r="CY29" s="1">
        <v>0</v>
      </c>
      <c r="CZ29" s="74">
        <f>CPP!T29</f>
        <v>0</v>
      </c>
      <c r="DA29" s="14">
        <f t="shared" si="31"/>
        <v>0</v>
      </c>
      <c r="DB29" s="14">
        <f t="shared" si="54"/>
        <v>1.0000000000013998E-2</v>
      </c>
      <c r="DC29" s="1">
        <v>0</v>
      </c>
      <c r="DD29" s="1">
        <v>0</v>
      </c>
      <c r="DE29" s="74">
        <f>CPP!U29</f>
        <v>0</v>
      </c>
      <c r="DF29" s="14">
        <f t="shared" si="32"/>
        <v>1.0000000000013998E-2</v>
      </c>
      <c r="DG29" s="14">
        <f t="shared" si="55"/>
        <v>0</v>
      </c>
      <c r="DH29" s="1">
        <v>0</v>
      </c>
      <c r="DI29" s="1">
        <v>0</v>
      </c>
      <c r="DJ29" s="74">
        <f>CPP!V29</f>
        <v>0</v>
      </c>
      <c r="DK29" s="14">
        <f t="shared" si="33"/>
        <v>0</v>
      </c>
      <c r="DL29" s="14">
        <f t="shared" si="56"/>
        <v>336</v>
      </c>
      <c r="DM29" s="187">
        <v>96</v>
      </c>
      <c r="DN29" s="155">
        <v>0</v>
      </c>
      <c r="DO29" s="74">
        <f>CPP!W29</f>
        <v>0</v>
      </c>
      <c r="DP29" s="14">
        <f t="shared" si="34"/>
        <v>432</v>
      </c>
      <c r="DQ29" s="14">
        <f t="shared" si="57"/>
        <v>0</v>
      </c>
      <c r="DR29" s="1">
        <v>0</v>
      </c>
      <c r="DS29" s="1">
        <v>0</v>
      </c>
      <c r="DT29" s="74">
        <f>CPP!J29</f>
        <v>0</v>
      </c>
      <c r="DU29" s="14">
        <f t="shared" si="35"/>
        <v>0</v>
      </c>
      <c r="DV29" s="14">
        <f t="shared" si="58"/>
        <v>0</v>
      </c>
      <c r="DW29" s="1">
        <v>0</v>
      </c>
      <c r="DX29" s="1">
        <v>0</v>
      </c>
      <c r="DY29" s="74">
        <v>0</v>
      </c>
      <c r="DZ29" s="14">
        <f t="shared" si="36"/>
        <v>0</v>
      </c>
      <c r="EA29" s="48">
        <f t="shared" si="37"/>
        <v>2775.52699999999</v>
      </c>
      <c r="EB29" s="1">
        <v>0</v>
      </c>
      <c r="EC29" s="1">
        <v>0</v>
      </c>
      <c r="ED29" s="48">
        <f t="shared" si="38"/>
        <v>2775.52699999999</v>
      </c>
      <c r="EE29" s="14">
        <f t="shared" si="39"/>
        <v>3974.3199999999933</v>
      </c>
      <c r="EF29" s="14">
        <f t="shared" si="6"/>
        <v>30</v>
      </c>
      <c r="EG29" s="14">
        <f>CPP!D29+CPP!E29+CPP!F29+CPP!G29+CPP!H29+CPP!I29+CPP!J29+CPP!M29+BG29</f>
        <v>143</v>
      </c>
      <c r="EH29" s="14">
        <f t="shared" si="40"/>
        <v>3861.3199999999933</v>
      </c>
      <c r="EI29" s="125">
        <f t="shared" si="59"/>
        <v>13392.590564379272</v>
      </c>
      <c r="EJ29" s="1">
        <f>EM29+EN29</f>
        <v>1506</v>
      </c>
      <c r="EK29" s="135">
        <f>'DAILY CEM1'!AG30+'DAILY CEM2'!AF30</f>
        <v>1955.9900019827999</v>
      </c>
      <c r="EL29" s="125">
        <f t="shared" si="42"/>
        <v>12942.600562396472</v>
      </c>
      <c r="EM29" s="1">
        <v>1506</v>
      </c>
      <c r="EN29" s="1">
        <v>0</v>
      </c>
      <c r="EO29">
        <v>0</v>
      </c>
    </row>
    <row r="30" spans="2:145" x14ac:dyDescent="0.25">
      <c r="B30" s="4">
        <v>28</v>
      </c>
      <c r="C30" s="27">
        <f t="shared" si="7"/>
        <v>1176.2400000000002</v>
      </c>
      <c r="D30" s="1">
        <v>0</v>
      </c>
      <c r="E30" s="1">
        <v>34</v>
      </c>
      <c r="F30" s="9">
        <f t="shared" si="0"/>
        <v>1142.2400000000002</v>
      </c>
      <c r="G30" s="27">
        <f t="shared" si="8"/>
        <v>342.04957951967344</v>
      </c>
      <c r="H30" s="24">
        <v>0</v>
      </c>
      <c r="I30" s="24">
        <v>0</v>
      </c>
      <c r="J30" s="14">
        <f>G30+H30-I30-[1]Cement!U30</f>
        <v>342.04957951967344</v>
      </c>
      <c r="K30" s="32">
        <f t="shared" si="9"/>
        <v>0</v>
      </c>
      <c r="L30" s="1">
        <v>0</v>
      </c>
      <c r="M30" s="24">
        <f>CPP!D30</f>
        <v>0</v>
      </c>
      <c r="N30" s="1">
        <v>0</v>
      </c>
      <c r="O30" s="24">
        <f t="shared" si="63"/>
        <v>0</v>
      </c>
      <c r="P30" s="28">
        <f t="shared" si="64"/>
        <v>0</v>
      </c>
      <c r="Q30" s="27">
        <f t="shared" si="10"/>
        <v>0</v>
      </c>
      <c r="R30" s="1">
        <v>0</v>
      </c>
      <c r="S30" s="24">
        <f>CPP!E30</f>
        <v>0</v>
      </c>
      <c r="T30" s="19">
        <v>0</v>
      </c>
      <c r="U30" s="26">
        <f t="shared" si="11"/>
        <v>0</v>
      </c>
      <c r="V30" s="9">
        <f t="shared" si="12"/>
        <v>0</v>
      </c>
      <c r="W30" s="27">
        <f t="shared" si="13"/>
        <v>3.9999999998087787E-2</v>
      </c>
      <c r="X30" s="1">
        <v>0</v>
      </c>
      <c r="Y30" s="24">
        <f>CPP!H30</f>
        <v>0</v>
      </c>
      <c r="Z30" s="1">
        <v>0</v>
      </c>
      <c r="AA30" s="9">
        <f t="shared" si="14"/>
        <v>3.9999999998087787E-2</v>
      </c>
      <c r="AB30" s="27">
        <f t="shared" si="15"/>
        <v>0</v>
      </c>
      <c r="AC30" s="1">
        <v>0</v>
      </c>
      <c r="AD30" s="74">
        <f>CPP!F30</f>
        <v>0</v>
      </c>
      <c r="AE30" s="9">
        <f t="shared" si="65"/>
        <v>0</v>
      </c>
      <c r="AF30" s="27">
        <f t="shared" si="16"/>
        <v>3861.3199999999933</v>
      </c>
      <c r="AG30" s="1">
        <v>0</v>
      </c>
      <c r="AH30" s="1">
        <v>0</v>
      </c>
      <c r="AI30" s="24">
        <f>CPP!G30</f>
        <v>145</v>
      </c>
      <c r="AJ30" s="9">
        <f t="shared" si="61"/>
        <v>3716.3199999999933</v>
      </c>
      <c r="AK30" s="27">
        <f t="shared" si="17"/>
        <v>0</v>
      </c>
      <c r="AL30" s="1">
        <v>0</v>
      </c>
      <c r="AM30" s="1">
        <v>0</v>
      </c>
      <c r="AN30" s="9">
        <f t="shared" si="66"/>
        <v>0</v>
      </c>
      <c r="AO30" s="27">
        <f t="shared" si="18"/>
        <v>0</v>
      </c>
      <c r="AP30" s="1">
        <v>0</v>
      </c>
      <c r="AQ30" s="1">
        <v>0</v>
      </c>
      <c r="AR30" s="73">
        <f>CPP!I30</f>
        <v>0</v>
      </c>
      <c r="AS30" s="72">
        <f t="shared" si="19"/>
        <v>0</v>
      </c>
      <c r="AT30" s="14">
        <f t="shared" si="60"/>
        <v>1.0000000002058584E-2</v>
      </c>
      <c r="AU30" s="1">
        <v>0</v>
      </c>
      <c r="AV30" s="1">
        <v>0</v>
      </c>
      <c r="AW30" s="74">
        <f>CPP!X30</f>
        <v>0</v>
      </c>
      <c r="AX30" s="14">
        <f t="shared" si="20"/>
        <v>1.0000000002058584E-2</v>
      </c>
      <c r="AY30" s="14">
        <f t="shared" si="43"/>
        <v>2717.31699999999</v>
      </c>
      <c r="AZ30" s="1">
        <v>0</v>
      </c>
      <c r="BA30" s="1">
        <v>233.33</v>
      </c>
      <c r="BB30" s="74">
        <f>CPP!M30</f>
        <v>0</v>
      </c>
      <c r="BC30" s="14">
        <f t="shared" si="21"/>
        <v>2483.9869999999901</v>
      </c>
      <c r="BD30" s="14">
        <f t="shared" si="44"/>
        <v>0</v>
      </c>
      <c r="BE30" s="1">
        <v>0</v>
      </c>
      <c r="BF30" s="1">
        <v>0</v>
      </c>
      <c r="BG30" s="74">
        <f>CPP!K30</f>
        <v>0</v>
      </c>
      <c r="BH30" s="14">
        <f t="shared" si="22"/>
        <v>0</v>
      </c>
      <c r="BI30" s="14">
        <f t="shared" si="45"/>
        <v>0</v>
      </c>
      <c r="BJ30" s="22">
        <v>0</v>
      </c>
      <c r="BK30" s="22">
        <v>0</v>
      </c>
      <c r="BL30" s="74">
        <f>CPP!L30</f>
        <v>0</v>
      </c>
      <c r="BM30" s="14">
        <f t="shared" si="23"/>
        <v>0</v>
      </c>
      <c r="BN30" s="14">
        <f t="shared" si="46"/>
        <v>0</v>
      </c>
      <c r="BO30" s="1">
        <v>0</v>
      </c>
      <c r="BP30" s="1">
        <v>0</v>
      </c>
      <c r="BQ30" s="74">
        <f>CPP!N30</f>
        <v>0</v>
      </c>
      <c r="BR30" s="14">
        <f t="shared" si="24"/>
        <v>0</v>
      </c>
      <c r="BS30" s="14">
        <f t="shared" si="47"/>
        <v>0</v>
      </c>
      <c r="BT30" s="1">
        <v>0</v>
      </c>
      <c r="BU30" s="1">
        <v>0</v>
      </c>
      <c r="BV30" s="74">
        <f>CPP!O30</f>
        <v>0</v>
      </c>
      <c r="BW30" s="14">
        <f t="shared" si="25"/>
        <v>0</v>
      </c>
      <c r="BX30" s="48">
        <f t="shared" si="48"/>
        <v>0</v>
      </c>
      <c r="BY30" s="1">
        <v>0</v>
      </c>
      <c r="BZ30" s="1">
        <v>0</v>
      </c>
      <c r="CA30" s="88"/>
      <c r="CB30" s="72">
        <f t="shared" si="26"/>
        <v>0</v>
      </c>
      <c r="CC30" s="14">
        <f t="shared" si="49"/>
        <v>0</v>
      </c>
      <c r="CD30" s="1">
        <v>0</v>
      </c>
      <c r="CE30" s="1">
        <v>0</v>
      </c>
      <c r="CF30" s="74">
        <f>CPP!P30</f>
        <v>0</v>
      </c>
      <c r="CG30" s="14">
        <f t="shared" si="27"/>
        <v>0</v>
      </c>
      <c r="CH30" s="14">
        <f t="shared" si="50"/>
        <v>0</v>
      </c>
      <c r="CI30" s="1">
        <v>0</v>
      </c>
      <c r="CJ30" s="1">
        <v>0</v>
      </c>
      <c r="CK30" s="74">
        <f>CPP!Q30</f>
        <v>0</v>
      </c>
      <c r="CL30" s="14">
        <f t="shared" si="28"/>
        <v>0</v>
      </c>
      <c r="CM30" s="14">
        <f t="shared" si="51"/>
        <v>5.0000000000181899E-2</v>
      </c>
      <c r="CN30" s="1">
        <v>0</v>
      </c>
      <c r="CO30" s="1">
        <v>0</v>
      </c>
      <c r="CP30" s="74">
        <f>CPP!R30</f>
        <v>0</v>
      </c>
      <c r="CQ30" s="14">
        <f t="shared" si="29"/>
        <v>5.0000000000181899E-2</v>
      </c>
      <c r="CR30" s="14">
        <f t="shared" si="52"/>
        <v>0</v>
      </c>
      <c r="CS30" s="1">
        <v>0</v>
      </c>
      <c r="CT30" s="1">
        <v>0</v>
      </c>
      <c r="CU30" s="74">
        <f>CPP!S30</f>
        <v>0</v>
      </c>
      <c r="CV30" s="14">
        <f t="shared" si="30"/>
        <v>0</v>
      </c>
      <c r="CW30" s="14">
        <f t="shared" si="53"/>
        <v>0</v>
      </c>
      <c r="CX30" s="1">
        <v>0</v>
      </c>
      <c r="CY30" s="1">
        <v>0</v>
      </c>
      <c r="CZ30" s="74">
        <f>CPP!T30</f>
        <v>0</v>
      </c>
      <c r="DA30" s="14">
        <f t="shared" si="31"/>
        <v>0</v>
      </c>
      <c r="DB30" s="14">
        <f t="shared" si="54"/>
        <v>1.0000000000013998E-2</v>
      </c>
      <c r="DC30" s="1">
        <v>0</v>
      </c>
      <c r="DD30" s="1">
        <v>0</v>
      </c>
      <c r="DE30" s="74">
        <f>CPP!U30</f>
        <v>0</v>
      </c>
      <c r="DF30" s="14">
        <f t="shared" si="32"/>
        <v>1.0000000000013998E-2</v>
      </c>
      <c r="DG30" s="14">
        <f t="shared" si="55"/>
        <v>0</v>
      </c>
      <c r="DH30" s="1">
        <v>0</v>
      </c>
      <c r="DI30" s="1">
        <v>0</v>
      </c>
      <c r="DJ30" s="74">
        <f>CPP!V30</f>
        <v>0</v>
      </c>
      <c r="DK30" s="14">
        <f t="shared" si="33"/>
        <v>0</v>
      </c>
      <c r="DL30" s="14">
        <f t="shared" si="56"/>
        <v>432</v>
      </c>
      <c r="DM30" s="187">
        <v>0</v>
      </c>
      <c r="DN30" s="187">
        <v>0</v>
      </c>
      <c r="DO30" s="74">
        <f>CPP!W30</f>
        <v>0</v>
      </c>
      <c r="DP30" s="14">
        <f t="shared" si="34"/>
        <v>432</v>
      </c>
      <c r="DQ30" s="14">
        <f t="shared" si="57"/>
        <v>0</v>
      </c>
      <c r="DR30" s="1">
        <v>0</v>
      </c>
      <c r="DS30" s="1">
        <v>0</v>
      </c>
      <c r="DT30" s="74">
        <f>CPP!J30</f>
        <v>0</v>
      </c>
      <c r="DU30" s="14">
        <f t="shared" si="35"/>
        <v>0</v>
      </c>
      <c r="DV30" s="14">
        <f t="shared" si="58"/>
        <v>0</v>
      </c>
      <c r="DW30" s="1">
        <v>0</v>
      </c>
      <c r="DX30" s="1">
        <v>0</v>
      </c>
      <c r="DY30" s="74">
        <v>0</v>
      </c>
      <c r="DZ30" s="14">
        <f t="shared" si="36"/>
        <v>0</v>
      </c>
      <c r="EA30" s="48">
        <f t="shared" si="37"/>
        <v>2717.3669999999902</v>
      </c>
      <c r="EB30" s="1">
        <v>0</v>
      </c>
      <c r="EC30" s="1">
        <v>0</v>
      </c>
      <c r="ED30" s="48">
        <f t="shared" si="38"/>
        <v>2717.3669999999902</v>
      </c>
      <c r="EE30" s="14">
        <f t="shared" si="39"/>
        <v>3861.3199999999933</v>
      </c>
      <c r="EF30" s="14">
        <f t="shared" si="6"/>
        <v>0</v>
      </c>
      <c r="EG30" s="14">
        <f>CPP!D30+CPP!E30+CPP!F30+CPP!G30+CPP!H30+CPP!I30+CPP!J30+CPP!M30+BG30</f>
        <v>145</v>
      </c>
      <c r="EH30" s="14">
        <f t="shared" si="40"/>
        <v>3716.3199999999933</v>
      </c>
      <c r="EI30" s="125">
        <f t="shared" si="59"/>
        <v>12942.600562396472</v>
      </c>
      <c r="EJ30" s="1">
        <f t="shared" si="62"/>
        <v>1370</v>
      </c>
      <c r="EK30" s="135">
        <f>'DAILY CEM1'!AG31+'DAILY CEM2'!AF31</f>
        <v>2303.7169994277206</v>
      </c>
      <c r="EL30" s="125">
        <f t="shared" si="42"/>
        <v>12008.883562968751</v>
      </c>
      <c r="EM30" s="1">
        <v>1370</v>
      </c>
      <c r="EN30" s="1">
        <v>0</v>
      </c>
      <c r="EO30">
        <v>0</v>
      </c>
    </row>
    <row r="31" spans="2:145" x14ac:dyDescent="0.25">
      <c r="B31" s="4">
        <v>29</v>
      </c>
      <c r="C31" s="27">
        <f t="shared" si="7"/>
        <v>1142.2400000000002</v>
      </c>
      <c r="D31" s="1">
        <v>62.6</v>
      </c>
      <c r="E31" s="1">
        <v>77</v>
      </c>
      <c r="F31" s="9">
        <f t="shared" si="0"/>
        <v>1127.8400000000001</v>
      </c>
      <c r="G31" s="27">
        <f t="shared" si="8"/>
        <v>342.04957951967344</v>
      </c>
      <c r="H31" s="24">
        <v>0</v>
      </c>
      <c r="I31" s="24">
        <v>0</v>
      </c>
      <c r="J31" s="14">
        <f>G31+H31-I31-[1]Cement!U31</f>
        <v>254.04958054767343</v>
      </c>
      <c r="K31" s="32">
        <f t="shared" si="9"/>
        <v>0</v>
      </c>
      <c r="L31" s="1">
        <v>0</v>
      </c>
      <c r="M31" s="24">
        <f>CPP!D31</f>
        <v>0</v>
      </c>
      <c r="N31" s="1">
        <v>0</v>
      </c>
      <c r="O31" s="24">
        <f t="shared" si="63"/>
        <v>0</v>
      </c>
      <c r="P31" s="28">
        <f t="shared" si="64"/>
        <v>0</v>
      </c>
      <c r="Q31" s="27">
        <f t="shared" si="10"/>
        <v>0</v>
      </c>
      <c r="R31" s="1">
        <v>0</v>
      </c>
      <c r="S31" s="24">
        <f>CPP!E31</f>
        <v>0</v>
      </c>
      <c r="T31" s="19">
        <v>0</v>
      </c>
      <c r="U31" s="26">
        <f t="shared" si="11"/>
        <v>0</v>
      </c>
      <c r="V31" s="9">
        <f t="shared" si="12"/>
        <v>0</v>
      </c>
      <c r="W31" s="27">
        <f t="shared" si="13"/>
        <v>3.9999999998087787E-2</v>
      </c>
      <c r="X31" s="1">
        <v>0</v>
      </c>
      <c r="Y31" s="24">
        <f>CPP!H31</f>
        <v>0</v>
      </c>
      <c r="Z31" s="1">
        <v>0</v>
      </c>
      <c r="AA31" s="9">
        <f t="shared" si="14"/>
        <v>3.9999999998087787E-2</v>
      </c>
      <c r="AB31" s="27">
        <f t="shared" si="15"/>
        <v>0</v>
      </c>
      <c r="AC31" s="1">
        <v>0</v>
      </c>
      <c r="AD31" s="74">
        <f>CPP!F31</f>
        <v>0</v>
      </c>
      <c r="AE31" s="9">
        <f t="shared" si="65"/>
        <v>0</v>
      </c>
      <c r="AF31" s="27">
        <f t="shared" si="16"/>
        <v>3716.3199999999933</v>
      </c>
      <c r="AG31" s="1">
        <v>89.65</v>
      </c>
      <c r="AH31" s="1">
        <v>0</v>
      </c>
      <c r="AI31" s="24">
        <f>CPP!G31</f>
        <v>150</v>
      </c>
      <c r="AJ31" s="9">
        <f t="shared" si="61"/>
        <v>3655.9699999999934</v>
      </c>
      <c r="AK31" s="27">
        <f t="shared" si="17"/>
        <v>0</v>
      </c>
      <c r="AL31" s="1">
        <v>0</v>
      </c>
      <c r="AM31" s="1">
        <v>0</v>
      </c>
      <c r="AN31" s="9">
        <f t="shared" si="66"/>
        <v>0</v>
      </c>
      <c r="AO31" s="27">
        <f t="shared" si="18"/>
        <v>0</v>
      </c>
      <c r="AP31" s="1">
        <v>0</v>
      </c>
      <c r="AQ31" s="1">
        <v>0</v>
      </c>
      <c r="AR31" s="73">
        <f>CPP!I31</f>
        <v>0</v>
      </c>
      <c r="AS31" s="72">
        <f t="shared" si="19"/>
        <v>0</v>
      </c>
      <c r="AT31" s="14">
        <f t="shared" si="60"/>
        <v>1.0000000002058584E-2</v>
      </c>
      <c r="AU31" s="1">
        <v>0</v>
      </c>
      <c r="AV31" s="1">
        <v>0</v>
      </c>
      <c r="AW31" s="74">
        <f>CPP!X31</f>
        <v>0</v>
      </c>
      <c r="AX31" s="14">
        <f t="shared" si="20"/>
        <v>1.0000000002058584E-2</v>
      </c>
      <c r="AY31" s="14">
        <f t="shared" si="43"/>
        <v>2483.9869999999901</v>
      </c>
      <c r="AZ31" s="1">
        <v>527.94000000000005</v>
      </c>
      <c r="BA31" s="1">
        <v>246</v>
      </c>
      <c r="BB31" s="74">
        <f>CPP!M31</f>
        <v>0</v>
      </c>
      <c r="BC31" s="14">
        <f t="shared" si="21"/>
        <v>2765.9269999999901</v>
      </c>
      <c r="BD31" s="14">
        <f t="shared" si="44"/>
        <v>0</v>
      </c>
      <c r="BE31" s="1">
        <v>0</v>
      </c>
      <c r="BF31" s="1">
        <v>0</v>
      </c>
      <c r="BG31" s="74">
        <f>CPP!K31</f>
        <v>0</v>
      </c>
      <c r="BH31" s="14">
        <f t="shared" si="22"/>
        <v>0</v>
      </c>
      <c r="BI31" s="14">
        <f t="shared" si="45"/>
        <v>0</v>
      </c>
      <c r="BJ31" s="1">
        <v>0</v>
      </c>
      <c r="BK31" s="1">
        <v>0</v>
      </c>
      <c r="BL31" s="74">
        <f>CPP!L31</f>
        <v>0</v>
      </c>
      <c r="BM31" s="14">
        <f t="shared" si="23"/>
        <v>0</v>
      </c>
      <c r="BN31" s="14">
        <f t="shared" si="46"/>
        <v>0</v>
      </c>
      <c r="BO31" s="1">
        <v>0</v>
      </c>
      <c r="BP31" s="1">
        <v>0</v>
      </c>
      <c r="BQ31" s="74">
        <f>CPP!N31</f>
        <v>0</v>
      </c>
      <c r="BR31" s="14">
        <f t="shared" si="24"/>
        <v>0</v>
      </c>
      <c r="BS31" s="14">
        <f t="shared" si="47"/>
        <v>0</v>
      </c>
      <c r="BT31" s="1">
        <v>0</v>
      </c>
      <c r="BU31" s="1">
        <v>0</v>
      </c>
      <c r="BV31" s="74">
        <f>CPP!O31</f>
        <v>0</v>
      </c>
      <c r="BW31" s="14">
        <f t="shared" si="25"/>
        <v>0</v>
      </c>
      <c r="BX31" s="48">
        <f t="shared" si="48"/>
        <v>0</v>
      </c>
      <c r="BY31" s="1">
        <v>0</v>
      </c>
      <c r="BZ31" s="1">
        <v>0</v>
      </c>
      <c r="CA31" s="88"/>
      <c r="CB31" s="72">
        <f t="shared" si="26"/>
        <v>0</v>
      </c>
      <c r="CC31" s="14">
        <f t="shared" si="49"/>
        <v>0</v>
      </c>
      <c r="CD31" s="1">
        <v>0</v>
      </c>
      <c r="CE31" s="1">
        <v>0</v>
      </c>
      <c r="CF31" s="74">
        <f>CPP!P31</f>
        <v>0</v>
      </c>
      <c r="CG31" s="14">
        <f t="shared" si="27"/>
        <v>0</v>
      </c>
      <c r="CH31" s="14">
        <f t="shared" si="50"/>
        <v>0</v>
      </c>
      <c r="CI31" s="1">
        <v>0</v>
      </c>
      <c r="CJ31" s="1">
        <v>0</v>
      </c>
      <c r="CK31" s="74">
        <f>CPP!Q31</f>
        <v>0</v>
      </c>
      <c r="CL31" s="14">
        <f t="shared" si="28"/>
        <v>0</v>
      </c>
      <c r="CM31" s="14">
        <f t="shared" si="51"/>
        <v>5.0000000000181899E-2</v>
      </c>
      <c r="CN31" s="1">
        <v>0</v>
      </c>
      <c r="CO31" s="1">
        <v>0</v>
      </c>
      <c r="CP31" s="74">
        <f>CPP!R31</f>
        <v>0</v>
      </c>
      <c r="CQ31" s="14">
        <f t="shared" si="29"/>
        <v>5.0000000000181899E-2</v>
      </c>
      <c r="CR31" s="14">
        <f t="shared" si="52"/>
        <v>0</v>
      </c>
      <c r="CS31" s="1">
        <v>0</v>
      </c>
      <c r="CT31" s="1">
        <v>0</v>
      </c>
      <c r="CU31" s="74">
        <f>CPP!S31</f>
        <v>0</v>
      </c>
      <c r="CV31" s="14">
        <f t="shared" si="30"/>
        <v>0</v>
      </c>
      <c r="CW31" s="14">
        <f t="shared" si="53"/>
        <v>0</v>
      </c>
      <c r="CX31" s="1">
        <v>0</v>
      </c>
      <c r="CY31" s="1">
        <v>0</v>
      </c>
      <c r="CZ31" s="74">
        <f>CPP!T31</f>
        <v>0</v>
      </c>
      <c r="DA31" s="14">
        <f t="shared" si="31"/>
        <v>0</v>
      </c>
      <c r="DB31" s="14">
        <f t="shared" si="54"/>
        <v>1.0000000000013998E-2</v>
      </c>
      <c r="DC31" s="1">
        <v>0</v>
      </c>
      <c r="DD31" s="155">
        <v>0</v>
      </c>
      <c r="DE31" s="74">
        <f>CPP!U31</f>
        <v>0</v>
      </c>
      <c r="DF31" s="14">
        <f t="shared" si="32"/>
        <v>1.0000000000013998E-2</v>
      </c>
      <c r="DG31" s="14">
        <f t="shared" si="55"/>
        <v>0</v>
      </c>
      <c r="DH31" s="1">
        <v>0</v>
      </c>
      <c r="DI31" s="1">
        <v>0</v>
      </c>
      <c r="DJ31" s="74">
        <f>CPP!V31</f>
        <v>0</v>
      </c>
      <c r="DK31" s="14">
        <f t="shared" si="33"/>
        <v>0</v>
      </c>
      <c r="DL31" s="14">
        <f t="shared" si="56"/>
        <v>432</v>
      </c>
      <c r="DM31" s="187">
        <v>32</v>
      </c>
      <c r="DN31" s="155">
        <v>0</v>
      </c>
      <c r="DO31" s="74">
        <f>CPP!W31</f>
        <v>0</v>
      </c>
      <c r="DP31" s="14">
        <f t="shared" si="34"/>
        <v>464</v>
      </c>
      <c r="DQ31" s="14">
        <f t="shared" si="57"/>
        <v>0</v>
      </c>
      <c r="DR31" s="1">
        <v>0</v>
      </c>
      <c r="DS31" s="1">
        <v>0</v>
      </c>
      <c r="DT31" s="74">
        <f>CPP!J31</f>
        <v>0</v>
      </c>
      <c r="DU31" s="14">
        <f t="shared" si="35"/>
        <v>0</v>
      </c>
      <c r="DV31" s="14">
        <f t="shared" si="58"/>
        <v>0</v>
      </c>
      <c r="DW31" s="1">
        <v>0</v>
      </c>
      <c r="DX31" s="1">
        <v>0</v>
      </c>
      <c r="DY31" s="74">
        <v>0</v>
      </c>
      <c r="DZ31" s="14">
        <f t="shared" si="36"/>
        <v>0</v>
      </c>
      <c r="EA31" s="48">
        <f t="shared" si="37"/>
        <v>2484.0369999999903</v>
      </c>
      <c r="EB31" s="1">
        <v>0</v>
      </c>
      <c r="EC31" s="1">
        <v>0</v>
      </c>
      <c r="ED31" s="48">
        <f t="shared" si="38"/>
        <v>2484.0369999999903</v>
      </c>
      <c r="EE31" s="14">
        <f t="shared" si="39"/>
        <v>3716.3199999999933</v>
      </c>
      <c r="EF31" s="14">
        <f t="shared" si="6"/>
        <v>89.65</v>
      </c>
      <c r="EG31" s="14">
        <f>CPP!D31+CPP!E31+CPP!F31+CPP!G31+CPP!H31+CPP!I31+CPP!J31+CPP!M31+BG31</f>
        <v>150</v>
      </c>
      <c r="EH31" s="14">
        <f t="shared" si="40"/>
        <v>3655.9699999999934</v>
      </c>
      <c r="EI31" s="125">
        <f t="shared" si="59"/>
        <v>12008.883562968751</v>
      </c>
      <c r="EJ31" s="1">
        <f t="shared" si="41"/>
        <v>1490</v>
      </c>
      <c r="EK31" s="135">
        <f>'DAILY CEM1'!AG32+'DAILY CEM2'!AF32</f>
        <v>2058.4120000796011</v>
      </c>
      <c r="EL31" s="125">
        <f t="shared" si="42"/>
        <v>11440.47156288915</v>
      </c>
      <c r="EM31" s="1">
        <v>1490</v>
      </c>
      <c r="EN31" s="1">
        <v>0</v>
      </c>
      <c r="EO31">
        <v>0</v>
      </c>
    </row>
    <row r="32" spans="2:145" x14ac:dyDescent="0.25">
      <c r="B32" s="4">
        <v>30</v>
      </c>
      <c r="C32" s="27">
        <f t="shared" si="7"/>
        <v>1127.8400000000001</v>
      </c>
      <c r="D32" s="1">
        <v>63.48</v>
      </c>
      <c r="E32" s="1">
        <v>43</v>
      </c>
      <c r="F32" s="9">
        <f t="shared" si="0"/>
        <v>1148.3200000000002</v>
      </c>
      <c r="G32" s="27">
        <f t="shared" si="8"/>
        <v>254.04958054767343</v>
      </c>
      <c r="H32" s="24">
        <v>0</v>
      </c>
      <c r="I32" s="24">
        <v>0</v>
      </c>
      <c r="J32" s="14">
        <f>G32+H32-I32-[1]Cement!U32</f>
        <v>254.04958054767343</v>
      </c>
      <c r="K32" s="32">
        <f t="shared" si="9"/>
        <v>0</v>
      </c>
      <c r="L32" s="1">
        <v>0</v>
      </c>
      <c r="M32" s="24">
        <f>CPP!D32</f>
        <v>0</v>
      </c>
      <c r="N32" s="1">
        <v>0</v>
      </c>
      <c r="O32" s="24">
        <f t="shared" si="63"/>
        <v>0</v>
      </c>
      <c r="P32" s="28">
        <f t="shared" si="64"/>
        <v>0</v>
      </c>
      <c r="Q32" s="27">
        <f t="shared" si="10"/>
        <v>0</v>
      </c>
      <c r="R32" s="1">
        <v>0</v>
      </c>
      <c r="S32" s="24">
        <f>CPP!E32</f>
        <v>0</v>
      </c>
      <c r="T32" s="19">
        <v>0</v>
      </c>
      <c r="U32" s="26">
        <f t="shared" si="11"/>
        <v>0</v>
      </c>
      <c r="V32" s="9">
        <f t="shared" si="12"/>
        <v>0</v>
      </c>
      <c r="W32" s="27">
        <f t="shared" si="13"/>
        <v>3.9999999998087787E-2</v>
      </c>
      <c r="X32" s="1">
        <v>0</v>
      </c>
      <c r="Y32" s="24">
        <f>CPP!H32</f>
        <v>0</v>
      </c>
      <c r="Z32" s="1">
        <v>0</v>
      </c>
      <c r="AA32" s="9">
        <f t="shared" si="14"/>
        <v>3.9999999998087787E-2</v>
      </c>
      <c r="AB32" s="27">
        <f t="shared" si="15"/>
        <v>0</v>
      </c>
      <c r="AC32" s="1">
        <v>0</v>
      </c>
      <c r="AD32" s="74">
        <f>CPP!F32</f>
        <v>0</v>
      </c>
      <c r="AE32" s="9">
        <f t="shared" si="65"/>
        <v>0</v>
      </c>
      <c r="AF32" s="27">
        <f t="shared" si="16"/>
        <v>3655.9699999999934</v>
      </c>
      <c r="AG32" s="1">
        <v>0</v>
      </c>
      <c r="AH32" s="1">
        <v>0</v>
      </c>
      <c r="AI32" s="24">
        <f>CPP!G32</f>
        <v>122</v>
      </c>
      <c r="AJ32" s="9">
        <f t="shared" si="61"/>
        <v>3533.9699999999934</v>
      </c>
      <c r="AK32" s="27">
        <f t="shared" si="17"/>
        <v>0</v>
      </c>
      <c r="AL32" s="1">
        <v>0</v>
      </c>
      <c r="AM32" s="1">
        <v>0</v>
      </c>
      <c r="AN32" s="9">
        <f t="shared" si="66"/>
        <v>0</v>
      </c>
      <c r="AO32" s="27">
        <f t="shared" si="18"/>
        <v>0</v>
      </c>
      <c r="AP32" s="1">
        <v>0</v>
      </c>
      <c r="AQ32" s="1">
        <v>0</v>
      </c>
      <c r="AR32" s="73">
        <f>CPP!I32</f>
        <v>0</v>
      </c>
      <c r="AS32" s="72">
        <f t="shared" si="19"/>
        <v>0</v>
      </c>
      <c r="AT32" s="14">
        <f t="shared" si="60"/>
        <v>1.0000000002058584E-2</v>
      </c>
      <c r="AU32" s="1">
        <v>0</v>
      </c>
      <c r="AV32" s="1">
        <v>0</v>
      </c>
      <c r="AW32" s="74">
        <f>CPP!X32</f>
        <v>0</v>
      </c>
      <c r="AX32" s="14">
        <f t="shared" si="20"/>
        <v>1.0000000002058584E-2</v>
      </c>
      <c r="AY32" s="14">
        <f t="shared" si="43"/>
        <v>2765.9269999999901</v>
      </c>
      <c r="AZ32" s="1">
        <v>215.22</v>
      </c>
      <c r="BA32" s="1">
        <v>170</v>
      </c>
      <c r="BB32" s="74">
        <f>CPP!M32</f>
        <v>0</v>
      </c>
      <c r="BC32" s="14">
        <f t="shared" si="21"/>
        <v>2811.1469999999899</v>
      </c>
      <c r="BD32" s="14">
        <f t="shared" si="44"/>
        <v>0</v>
      </c>
      <c r="BE32" s="1">
        <v>0</v>
      </c>
      <c r="BF32" s="1">
        <v>0</v>
      </c>
      <c r="BG32" s="74">
        <f>CPP!K32</f>
        <v>0</v>
      </c>
      <c r="BH32" s="14">
        <f t="shared" si="22"/>
        <v>0</v>
      </c>
      <c r="BI32" s="14">
        <f t="shared" si="45"/>
        <v>0</v>
      </c>
      <c r="BJ32" s="22">
        <v>0</v>
      </c>
      <c r="BK32" s="22">
        <v>0</v>
      </c>
      <c r="BL32" s="74">
        <f>CPP!L32</f>
        <v>0</v>
      </c>
      <c r="BM32" s="14">
        <f t="shared" si="23"/>
        <v>0</v>
      </c>
      <c r="BN32" s="14">
        <f t="shared" si="46"/>
        <v>0</v>
      </c>
      <c r="BO32" s="1">
        <v>0</v>
      </c>
      <c r="BP32" s="1">
        <v>0</v>
      </c>
      <c r="BQ32" s="74">
        <f>CPP!N32</f>
        <v>0</v>
      </c>
      <c r="BR32" s="14">
        <f t="shared" si="24"/>
        <v>0</v>
      </c>
      <c r="BS32" s="14">
        <f t="shared" si="47"/>
        <v>0</v>
      </c>
      <c r="BT32" s="1">
        <v>0</v>
      </c>
      <c r="BU32" s="1">
        <v>0</v>
      </c>
      <c r="BV32" s="74">
        <f>CPP!O32</f>
        <v>0</v>
      </c>
      <c r="BW32" s="14">
        <f t="shared" si="25"/>
        <v>0</v>
      </c>
      <c r="BX32" s="48">
        <f t="shared" si="48"/>
        <v>0</v>
      </c>
      <c r="BY32" s="1">
        <v>0</v>
      </c>
      <c r="BZ32" s="1">
        <v>0</v>
      </c>
      <c r="CA32" s="88"/>
      <c r="CB32" s="72">
        <f t="shared" si="26"/>
        <v>0</v>
      </c>
      <c r="CC32" s="14">
        <f t="shared" si="49"/>
        <v>0</v>
      </c>
      <c r="CD32" s="1">
        <v>0</v>
      </c>
      <c r="CE32" s="1">
        <v>0</v>
      </c>
      <c r="CF32" s="74">
        <f>CPP!P32</f>
        <v>0</v>
      </c>
      <c r="CG32" s="14">
        <f t="shared" si="27"/>
        <v>0</v>
      </c>
      <c r="CH32" s="14">
        <f t="shared" si="50"/>
        <v>0</v>
      </c>
      <c r="CI32" s="1">
        <v>0</v>
      </c>
      <c r="CJ32" s="1">
        <v>0</v>
      </c>
      <c r="CK32" s="74">
        <f>CPP!Q32</f>
        <v>0</v>
      </c>
      <c r="CL32" s="14">
        <f t="shared" si="28"/>
        <v>0</v>
      </c>
      <c r="CM32" s="14">
        <f t="shared" si="51"/>
        <v>5.0000000000181899E-2</v>
      </c>
      <c r="CN32" s="1">
        <v>0</v>
      </c>
      <c r="CO32" s="1">
        <v>0</v>
      </c>
      <c r="CP32" s="74">
        <f>CPP!R32</f>
        <v>0</v>
      </c>
      <c r="CQ32" s="14">
        <f t="shared" si="29"/>
        <v>5.0000000000181899E-2</v>
      </c>
      <c r="CR32" s="14">
        <f t="shared" si="52"/>
        <v>0</v>
      </c>
      <c r="CS32" s="1">
        <v>0</v>
      </c>
      <c r="CT32" s="1">
        <v>0</v>
      </c>
      <c r="CU32" s="74">
        <f>CPP!S32</f>
        <v>0</v>
      </c>
      <c r="CV32" s="14">
        <f t="shared" si="30"/>
        <v>0</v>
      </c>
      <c r="CW32" s="14">
        <f t="shared" si="53"/>
        <v>0</v>
      </c>
      <c r="CX32" s="1">
        <v>0</v>
      </c>
      <c r="CY32" s="1">
        <v>0</v>
      </c>
      <c r="CZ32" s="74">
        <f>CPP!T32</f>
        <v>0</v>
      </c>
      <c r="DA32" s="14">
        <f t="shared" si="31"/>
        <v>0</v>
      </c>
      <c r="DB32" s="14">
        <f t="shared" si="54"/>
        <v>1.0000000000013998E-2</v>
      </c>
      <c r="DC32" s="1">
        <v>0</v>
      </c>
      <c r="DD32" s="1">
        <v>0</v>
      </c>
      <c r="DE32" s="74">
        <f>CPP!U32</f>
        <v>0</v>
      </c>
      <c r="DF32" s="14">
        <f t="shared" si="32"/>
        <v>1.0000000000013998E-2</v>
      </c>
      <c r="DG32" s="14">
        <f t="shared" si="55"/>
        <v>0</v>
      </c>
      <c r="DH32" s="1">
        <v>0</v>
      </c>
      <c r="DI32" s="1">
        <v>0</v>
      </c>
      <c r="DJ32" s="74">
        <f>CPP!V32</f>
        <v>0</v>
      </c>
      <c r="DK32" s="14">
        <f t="shared" si="33"/>
        <v>0</v>
      </c>
      <c r="DL32" s="14">
        <f t="shared" si="56"/>
        <v>464</v>
      </c>
      <c r="DM32" s="1">
        <v>32</v>
      </c>
      <c r="DN32" s="22">
        <v>0</v>
      </c>
      <c r="DO32" s="74">
        <f>CPP!W32</f>
        <v>0</v>
      </c>
      <c r="DP32" s="14">
        <f t="shared" si="34"/>
        <v>496</v>
      </c>
      <c r="DQ32" s="14">
        <f t="shared" si="57"/>
        <v>0</v>
      </c>
      <c r="DR32" s="1">
        <v>0</v>
      </c>
      <c r="DS32" s="1">
        <v>0</v>
      </c>
      <c r="DT32" s="74">
        <f>CPP!J32</f>
        <v>0</v>
      </c>
      <c r="DU32" s="14">
        <f t="shared" si="35"/>
        <v>0</v>
      </c>
      <c r="DV32" s="14">
        <f t="shared" si="58"/>
        <v>0</v>
      </c>
      <c r="DW32" s="1">
        <v>0</v>
      </c>
      <c r="DX32" s="1">
        <v>0</v>
      </c>
      <c r="DY32" s="74">
        <v>0</v>
      </c>
      <c r="DZ32" s="14">
        <f t="shared" si="36"/>
        <v>0</v>
      </c>
      <c r="EA32" s="48">
        <f t="shared" si="37"/>
        <v>2765.9769999999903</v>
      </c>
      <c r="EB32" s="1">
        <v>0</v>
      </c>
      <c r="EC32" s="1">
        <v>0</v>
      </c>
      <c r="ED32" s="48">
        <f t="shared" si="38"/>
        <v>2765.9769999999903</v>
      </c>
      <c r="EE32" s="14">
        <f t="shared" si="39"/>
        <v>3655.9699999999934</v>
      </c>
      <c r="EF32" s="14">
        <f t="shared" si="6"/>
        <v>0</v>
      </c>
      <c r="EG32" s="14">
        <f>CPP!D32+CPP!E32+CPP!F32+CPP!G32+CPP!H32+CPP!I32+CPP!J32+CPP!M32+BG32</f>
        <v>122</v>
      </c>
      <c r="EH32" s="14">
        <f t="shared" si="40"/>
        <v>3533.9699999999934</v>
      </c>
      <c r="EI32" s="125">
        <f t="shared" si="59"/>
        <v>11440.47156288915</v>
      </c>
      <c r="EJ32" s="1">
        <f t="shared" si="41"/>
        <v>850</v>
      </c>
      <c r="EK32" s="135">
        <f>'DAILY CEM1'!AG33+'DAILY CEM2'!AF33</f>
        <v>2254.952499755901</v>
      </c>
      <c r="EL32" s="125">
        <f t="shared" si="42"/>
        <v>10035.519063133248</v>
      </c>
      <c r="EM32" s="1">
        <v>850</v>
      </c>
      <c r="EN32" s="1">
        <v>0</v>
      </c>
      <c r="EO32">
        <v>0</v>
      </c>
    </row>
    <row r="33" spans="2:144" x14ac:dyDescent="0.25">
      <c r="B33" s="42">
        <v>31</v>
      </c>
      <c r="C33" s="27">
        <f t="shared" si="7"/>
        <v>1148.3200000000002</v>
      </c>
      <c r="D33" s="1">
        <v>0</v>
      </c>
      <c r="E33" s="1">
        <v>0</v>
      </c>
      <c r="F33" s="9">
        <f t="shared" si="0"/>
        <v>1148.3200000000002</v>
      </c>
      <c r="G33" s="27">
        <f t="shared" si="8"/>
        <v>254.04958054767343</v>
      </c>
      <c r="H33" s="24">
        <f>[1]Production2!M33</f>
        <v>0</v>
      </c>
      <c r="I33" s="24">
        <f>[1]Production2!J33</f>
        <v>0</v>
      </c>
      <c r="J33" s="14">
        <f>G33+H33-I33</f>
        <v>254.04958054767343</v>
      </c>
      <c r="K33" s="32">
        <f t="shared" si="9"/>
        <v>0</v>
      </c>
      <c r="L33" s="1">
        <v>0</v>
      </c>
      <c r="M33" s="24">
        <f>CPP!D33</f>
        <v>0</v>
      </c>
      <c r="N33" s="1">
        <v>0</v>
      </c>
      <c r="O33" s="24">
        <f t="shared" si="63"/>
        <v>0</v>
      </c>
      <c r="P33" s="28">
        <f t="shared" si="64"/>
        <v>0</v>
      </c>
      <c r="Q33" s="27">
        <f t="shared" si="10"/>
        <v>0</v>
      </c>
      <c r="R33" s="1">
        <v>0</v>
      </c>
      <c r="S33" s="24">
        <f>CPP!E33</f>
        <v>0</v>
      </c>
      <c r="T33" s="19">
        <v>0</v>
      </c>
      <c r="U33" s="26">
        <f t="shared" si="11"/>
        <v>0</v>
      </c>
      <c r="V33" s="9">
        <f t="shared" si="12"/>
        <v>0</v>
      </c>
      <c r="W33" s="27">
        <f t="shared" si="13"/>
        <v>3.9999999998087787E-2</v>
      </c>
      <c r="X33" s="1">
        <v>0</v>
      </c>
      <c r="Y33" s="24">
        <f>CPP!H33</f>
        <v>0</v>
      </c>
      <c r="Z33" s="1">
        <v>0</v>
      </c>
      <c r="AA33" s="9">
        <f t="shared" si="14"/>
        <v>3.9999999998087787E-2</v>
      </c>
      <c r="AB33" s="27">
        <f t="shared" si="15"/>
        <v>0</v>
      </c>
      <c r="AC33" s="1">
        <v>0</v>
      </c>
      <c r="AD33" s="74">
        <f>CPP!F33</f>
        <v>0</v>
      </c>
      <c r="AE33" s="9">
        <f t="shared" si="65"/>
        <v>0</v>
      </c>
      <c r="AF33" s="27">
        <f t="shared" si="16"/>
        <v>3533.9699999999934</v>
      </c>
      <c r="AG33" s="1">
        <v>0</v>
      </c>
      <c r="AH33" s="1">
        <v>0</v>
      </c>
      <c r="AI33" s="24">
        <f>CPP!G33</f>
        <v>0</v>
      </c>
      <c r="AJ33" s="9">
        <f t="shared" si="61"/>
        <v>3533.9699999999934</v>
      </c>
      <c r="AK33" s="27">
        <f t="shared" si="17"/>
        <v>0</v>
      </c>
      <c r="AL33" s="1">
        <v>0</v>
      </c>
      <c r="AM33" s="1">
        <v>0</v>
      </c>
      <c r="AN33" s="9">
        <f t="shared" si="66"/>
        <v>0</v>
      </c>
      <c r="AO33" s="27">
        <f t="shared" si="18"/>
        <v>0</v>
      </c>
      <c r="AP33" s="1">
        <v>0</v>
      </c>
      <c r="AQ33" s="1">
        <v>0</v>
      </c>
      <c r="AR33" s="73">
        <f>CPP!I33</f>
        <v>0</v>
      </c>
      <c r="AS33" s="72">
        <f t="shared" si="19"/>
        <v>0</v>
      </c>
      <c r="AT33" s="14">
        <f t="shared" si="60"/>
        <v>1.0000000002058584E-2</v>
      </c>
      <c r="AU33" s="1">
        <v>0</v>
      </c>
      <c r="AV33" s="1">
        <v>0</v>
      </c>
      <c r="AW33" s="74">
        <f>CPP!X33</f>
        <v>0</v>
      </c>
      <c r="AX33" s="14">
        <f t="shared" si="20"/>
        <v>1.0000000002058584E-2</v>
      </c>
      <c r="AY33" s="14">
        <f t="shared" si="43"/>
        <v>2811.1469999999899</v>
      </c>
      <c r="AZ33" s="1">
        <v>0</v>
      </c>
      <c r="BA33" s="1">
        <v>0</v>
      </c>
      <c r="BB33" s="74">
        <f>CPP!M33</f>
        <v>0</v>
      </c>
      <c r="BC33" s="14">
        <f t="shared" si="21"/>
        <v>2811.1469999999899</v>
      </c>
      <c r="BD33" s="14">
        <f t="shared" si="44"/>
        <v>0</v>
      </c>
      <c r="BE33" s="1">
        <v>0</v>
      </c>
      <c r="BF33" s="1">
        <v>0</v>
      </c>
      <c r="BG33" s="74">
        <f>CPP!K33</f>
        <v>0</v>
      </c>
      <c r="BH33" s="14">
        <f t="shared" si="22"/>
        <v>0</v>
      </c>
      <c r="BI33" s="14">
        <f t="shared" si="45"/>
        <v>0</v>
      </c>
      <c r="BJ33" s="1">
        <v>0</v>
      </c>
      <c r="BK33" s="1">
        <v>0</v>
      </c>
      <c r="BL33" s="74">
        <f>CPP!L33</f>
        <v>0</v>
      </c>
      <c r="BM33" s="14">
        <f t="shared" si="23"/>
        <v>0</v>
      </c>
      <c r="BN33" s="14">
        <f t="shared" si="46"/>
        <v>0</v>
      </c>
      <c r="BO33" s="1">
        <v>0</v>
      </c>
      <c r="BP33" s="1">
        <v>0</v>
      </c>
      <c r="BQ33" s="74">
        <f>CPP!N33</f>
        <v>0</v>
      </c>
      <c r="BR33" s="14">
        <f t="shared" si="24"/>
        <v>0</v>
      </c>
      <c r="BS33" s="14">
        <f t="shared" si="47"/>
        <v>0</v>
      </c>
      <c r="BT33" s="1">
        <v>0</v>
      </c>
      <c r="BU33" s="1">
        <v>0</v>
      </c>
      <c r="BV33" s="74">
        <f>CPP!O33</f>
        <v>0</v>
      </c>
      <c r="BW33" s="14">
        <f t="shared" si="25"/>
        <v>0</v>
      </c>
      <c r="BX33" s="48">
        <f t="shared" si="48"/>
        <v>0</v>
      </c>
      <c r="BY33" s="1">
        <v>0</v>
      </c>
      <c r="BZ33" s="1">
        <v>0</v>
      </c>
      <c r="CA33" s="88"/>
      <c r="CB33" s="72">
        <f t="shared" si="26"/>
        <v>0</v>
      </c>
      <c r="CC33" s="14">
        <f t="shared" si="49"/>
        <v>0</v>
      </c>
      <c r="CD33" s="1">
        <v>0</v>
      </c>
      <c r="CE33" s="1">
        <v>0</v>
      </c>
      <c r="CF33" s="74">
        <f>CPP!P33</f>
        <v>0</v>
      </c>
      <c r="CG33" s="14">
        <f t="shared" si="27"/>
        <v>0</v>
      </c>
      <c r="CH33" s="14">
        <f t="shared" si="50"/>
        <v>0</v>
      </c>
      <c r="CI33" s="1">
        <v>0</v>
      </c>
      <c r="CJ33" s="1">
        <v>0</v>
      </c>
      <c r="CK33" s="74">
        <f>CPP!Q33</f>
        <v>0</v>
      </c>
      <c r="CL33" s="14">
        <f t="shared" si="28"/>
        <v>0</v>
      </c>
      <c r="CM33" s="14">
        <f t="shared" si="51"/>
        <v>5.0000000000181899E-2</v>
      </c>
      <c r="CN33" s="1">
        <v>0</v>
      </c>
      <c r="CO33" s="1">
        <v>0</v>
      </c>
      <c r="CP33" s="74">
        <f>CPP!R33</f>
        <v>0</v>
      </c>
      <c r="CQ33" s="14">
        <f t="shared" si="29"/>
        <v>5.0000000000181899E-2</v>
      </c>
      <c r="CR33" s="14">
        <f t="shared" si="52"/>
        <v>0</v>
      </c>
      <c r="CS33" s="1">
        <v>0</v>
      </c>
      <c r="CT33" s="1">
        <v>0</v>
      </c>
      <c r="CU33" s="74">
        <f>CPP!S33</f>
        <v>0</v>
      </c>
      <c r="CV33" s="14">
        <f t="shared" si="30"/>
        <v>0</v>
      </c>
      <c r="CW33" s="14">
        <f t="shared" si="53"/>
        <v>0</v>
      </c>
      <c r="CX33" s="1">
        <v>0</v>
      </c>
      <c r="CY33" s="1">
        <v>0</v>
      </c>
      <c r="CZ33" s="74">
        <f>CPP!T33</f>
        <v>0</v>
      </c>
      <c r="DA33" s="14">
        <f t="shared" si="31"/>
        <v>0</v>
      </c>
      <c r="DB33" s="14">
        <f t="shared" si="54"/>
        <v>1.0000000000013998E-2</v>
      </c>
      <c r="DC33" s="1">
        <v>0</v>
      </c>
      <c r="DD33" s="1">
        <v>0</v>
      </c>
      <c r="DE33" s="74">
        <f>CPP!U33</f>
        <v>0</v>
      </c>
      <c r="DF33" s="14">
        <f t="shared" si="32"/>
        <v>1.0000000000013998E-2</v>
      </c>
      <c r="DG33" s="14">
        <f t="shared" si="55"/>
        <v>0</v>
      </c>
      <c r="DH33" s="1">
        <v>0</v>
      </c>
      <c r="DI33" s="1">
        <v>0</v>
      </c>
      <c r="DJ33" s="74">
        <f>CPP!V33</f>
        <v>0</v>
      </c>
      <c r="DK33" s="14">
        <f t="shared" si="33"/>
        <v>0</v>
      </c>
      <c r="DL33" s="14">
        <f t="shared" si="56"/>
        <v>496</v>
      </c>
      <c r="DM33" s="1">
        <v>0</v>
      </c>
      <c r="DN33" s="1">
        <v>0</v>
      </c>
      <c r="DO33" s="74">
        <f>CPP!W33</f>
        <v>0</v>
      </c>
      <c r="DP33" s="14">
        <f t="shared" si="34"/>
        <v>496</v>
      </c>
      <c r="DQ33" s="14">
        <f t="shared" si="57"/>
        <v>0</v>
      </c>
      <c r="DR33" s="1">
        <v>0</v>
      </c>
      <c r="DS33" s="1">
        <v>0</v>
      </c>
      <c r="DT33" s="74">
        <f>CPP!J33</f>
        <v>0</v>
      </c>
      <c r="DU33" s="14">
        <f t="shared" si="35"/>
        <v>0</v>
      </c>
      <c r="DV33" s="14">
        <f t="shared" si="58"/>
        <v>0</v>
      </c>
      <c r="DW33" s="1">
        <v>0</v>
      </c>
      <c r="DX33" s="1">
        <v>0</v>
      </c>
      <c r="DY33" s="74">
        <v>0</v>
      </c>
      <c r="DZ33" s="14">
        <f t="shared" si="36"/>
        <v>0</v>
      </c>
      <c r="EA33" s="48">
        <f t="shared" si="37"/>
        <v>2811.1969999999901</v>
      </c>
      <c r="EB33" s="1">
        <v>0</v>
      </c>
      <c r="EC33" s="1">
        <v>0</v>
      </c>
      <c r="ED33" s="48">
        <f t="shared" si="38"/>
        <v>2811.1969999999901</v>
      </c>
      <c r="EE33" s="14">
        <f t="shared" si="39"/>
        <v>3533.9699999999934</v>
      </c>
      <c r="EF33" s="14">
        <f t="shared" si="6"/>
        <v>0</v>
      </c>
      <c r="EG33" s="14">
        <f>CPP!D33+CPP!E33+CPP!F33+CPP!G33+CPP!H33+CPP!I33+CPP!J33+CPP!M33+BG33</f>
        <v>0</v>
      </c>
      <c r="EH33" s="14">
        <f t="shared" si="40"/>
        <v>3533.9699999999934</v>
      </c>
      <c r="EI33" s="125">
        <f t="shared" si="59"/>
        <v>10035.519063133248</v>
      </c>
      <c r="EJ33" s="1">
        <f t="shared" si="41"/>
        <v>0</v>
      </c>
      <c r="EK33" s="135">
        <f>'DAILY CEM1'!AG34+'DAILY CEM2'!AF34</f>
        <v>0</v>
      </c>
      <c r="EL33" s="125">
        <f>EI33+EJ33-EK33</f>
        <v>10035.519063133248</v>
      </c>
      <c r="EM33" s="1">
        <v>0</v>
      </c>
      <c r="EN33" s="1">
        <v>0</v>
      </c>
    </row>
    <row r="34" spans="2:144" ht="17.25" customHeight="1" thickBot="1" x14ac:dyDescent="0.3">
      <c r="B34" s="5" t="s">
        <v>44</v>
      </c>
      <c r="C34" s="8">
        <f t="shared" ref="C34:K34" si="67">SUM(C3:C32)</f>
        <v>52803.859999999971</v>
      </c>
      <c r="D34" s="8">
        <f>SUM(D3:D33)</f>
        <v>254.39999999999998</v>
      </c>
      <c r="E34" s="8">
        <f>SUM(E3:E33)</f>
        <v>1754</v>
      </c>
      <c r="F34" s="10">
        <f t="shared" si="67"/>
        <v>51304.259999999973</v>
      </c>
      <c r="G34" s="8">
        <f t="shared" si="67"/>
        <v>40743.487352970398</v>
      </c>
      <c r="H34" s="8">
        <f>SUM(H3:H33)</f>
        <v>0</v>
      </c>
      <c r="I34" s="8">
        <f>SUM(I3:I33)</f>
        <v>0</v>
      </c>
      <c r="J34" s="8">
        <f t="shared" si="67"/>
        <v>39090.487355495927</v>
      </c>
      <c r="K34" s="8">
        <f t="shared" si="67"/>
        <v>0</v>
      </c>
      <c r="L34" s="8">
        <f>SUM(L3:L33)</f>
        <v>0</v>
      </c>
      <c r="M34" s="8">
        <f>SUM(M3:M33)</f>
        <v>0</v>
      </c>
      <c r="N34" s="29">
        <f>SUM(N3:N33)</f>
        <v>0</v>
      </c>
      <c r="O34" s="29">
        <f>SUM(O3:O33)</f>
        <v>0</v>
      </c>
      <c r="P34" s="29">
        <f t="shared" ref="P34:CB34" si="68">SUM(P3:P33)</f>
        <v>0</v>
      </c>
      <c r="Q34" s="29">
        <f t="shared" si="68"/>
        <v>0</v>
      </c>
      <c r="R34" s="29">
        <f t="shared" si="68"/>
        <v>0</v>
      </c>
      <c r="S34" s="29">
        <f t="shared" si="68"/>
        <v>0</v>
      </c>
      <c r="T34" s="29">
        <f t="shared" si="68"/>
        <v>0</v>
      </c>
      <c r="U34" s="29">
        <f t="shared" si="68"/>
        <v>0</v>
      </c>
      <c r="V34" s="29">
        <f t="shared" si="68"/>
        <v>0</v>
      </c>
      <c r="W34" s="29">
        <f t="shared" si="68"/>
        <v>14475.109999999926</v>
      </c>
      <c r="X34" s="29">
        <f t="shared" si="68"/>
        <v>0</v>
      </c>
      <c r="Y34" s="29">
        <f t="shared" si="68"/>
        <v>0</v>
      </c>
      <c r="Z34" s="29">
        <f t="shared" si="68"/>
        <v>1063</v>
      </c>
      <c r="AA34" s="29">
        <f t="shared" si="68"/>
        <v>13412.109999999926</v>
      </c>
      <c r="AB34" s="29">
        <f t="shared" si="68"/>
        <v>0</v>
      </c>
      <c r="AC34" s="29">
        <f t="shared" si="68"/>
        <v>0</v>
      </c>
      <c r="AD34" s="29">
        <f t="shared" si="68"/>
        <v>0</v>
      </c>
      <c r="AE34" s="29">
        <f t="shared" si="68"/>
        <v>0</v>
      </c>
      <c r="AF34" s="29">
        <f t="shared" si="68"/>
        <v>125915.01999999973</v>
      </c>
      <c r="AG34" s="120">
        <f t="shared" si="68"/>
        <v>3763.3000000000006</v>
      </c>
      <c r="AH34" s="29"/>
      <c r="AI34" s="29">
        <f t="shared" si="68"/>
        <v>4278</v>
      </c>
      <c r="AJ34" s="29">
        <f t="shared" si="68"/>
        <v>125400.31999999972</v>
      </c>
      <c r="AK34" s="29">
        <f t="shared" si="68"/>
        <v>0</v>
      </c>
      <c r="AL34" s="29">
        <f t="shared" si="68"/>
        <v>0</v>
      </c>
      <c r="AM34" s="29">
        <f t="shared" si="68"/>
        <v>0</v>
      </c>
      <c r="AN34" s="29">
        <f t="shared" si="68"/>
        <v>0</v>
      </c>
      <c r="AO34" s="29">
        <f t="shared" si="68"/>
        <v>0</v>
      </c>
      <c r="AP34" s="29">
        <f t="shared" si="68"/>
        <v>0</v>
      </c>
      <c r="AQ34" s="29">
        <f t="shared" si="68"/>
        <v>0</v>
      </c>
      <c r="AR34" s="29">
        <f t="shared" si="68"/>
        <v>0</v>
      </c>
      <c r="AS34" s="29">
        <f t="shared" si="68"/>
        <v>0</v>
      </c>
      <c r="AT34" s="29">
        <f t="shared" si="68"/>
        <v>17153.380000000056</v>
      </c>
      <c r="AU34" s="120">
        <f t="shared" si="68"/>
        <v>0</v>
      </c>
      <c r="AV34" s="29">
        <f t="shared" si="68"/>
        <v>2933.89</v>
      </c>
      <c r="AW34" s="29">
        <f t="shared" si="68"/>
        <v>0</v>
      </c>
      <c r="AX34" s="29">
        <f t="shared" si="68"/>
        <v>14219.490000000067</v>
      </c>
      <c r="AY34" s="29">
        <f t="shared" si="68"/>
        <v>62396.456999999704</v>
      </c>
      <c r="AZ34" s="120">
        <f t="shared" si="68"/>
        <v>5500.6800000000012</v>
      </c>
      <c r="BA34" s="120">
        <f t="shared" si="68"/>
        <v>3091.56</v>
      </c>
      <c r="BB34" s="29">
        <f t="shared" si="68"/>
        <v>10</v>
      </c>
      <c r="BC34" s="29"/>
      <c r="BD34" s="29">
        <f t="shared" si="68"/>
        <v>0</v>
      </c>
      <c r="BE34" s="29">
        <f t="shared" si="68"/>
        <v>0</v>
      </c>
      <c r="BF34" s="29">
        <f t="shared" si="68"/>
        <v>0</v>
      </c>
      <c r="BG34" s="29">
        <f t="shared" si="68"/>
        <v>0</v>
      </c>
      <c r="BH34" s="29">
        <f t="shared" si="68"/>
        <v>0</v>
      </c>
      <c r="BI34" s="29">
        <f t="shared" si="68"/>
        <v>0</v>
      </c>
      <c r="BJ34" s="29">
        <f t="shared" si="68"/>
        <v>0</v>
      </c>
      <c r="BK34" s="29">
        <f t="shared" si="68"/>
        <v>0</v>
      </c>
      <c r="BL34" s="29">
        <f t="shared" si="68"/>
        <v>0</v>
      </c>
      <c r="BM34" s="29">
        <f t="shared" si="68"/>
        <v>0</v>
      </c>
      <c r="BN34" s="29">
        <f t="shared" si="68"/>
        <v>0</v>
      </c>
      <c r="BO34" s="29">
        <f t="shared" si="68"/>
        <v>0</v>
      </c>
      <c r="BP34" s="29">
        <f t="shared" si="68"/>
        <v>0</v>
      </c>
      <c r="BQ34" s="29">
        <f t="shared" si="68"/>
        <v>0</v>
      </c>
      <c r="BR34" s="29">
        <f t="shared" si="68"/>
        <v>0</v>
      </c>
      <c r="BS34" s="29">
        <f t="shared" si="68"/>
        <v>0</v>
      </c>
      <c r="BT34" s="29">
        <f t="shared" si="68"/>
        <v>0</v>
      </c>
      <c r="BU34" s="29">
        <f t="shared" si="68"/>
        <v>0</v>
      </c>
      <c r="BV34" s="29">
        <f t="shared" si="68"/>
        <v>0</v>
      </c>
      <c r="BW34" s="29">
        <f t="shared" si="68"/>
        <v>0</v>
      </c>
      <c r="BX34" s="29">
        <f t="shared" si="68"/>
        <v>0</v>
      </c>
      <c r="BY34" s="29">
        <f t="shared" si="68"/>
        <v>0</v>
      </c>
      <c r="BZ34" s="29">
        <f t="shared" si="68"/>
        <v>0</v>
      </c>
      <c r="CA34" s="94">
        <f t="shared" si="68"/>
        <v>0</v>
      </c>
      <c r="CB34" s="29">
        <f t="shared" si="68"/>
        <v>0</v>
      </c>
      <c r="CC34" s="29"/>
      <c r="CD34" s="29">
        <f t="shared" ref="CD34:CK34" si="69">SUM(CD3:CD33)</f>
        <v>0</v>
      </c>
      <c r="CE34" s="29">
        <f t="shared" si="69"/>
        <v>0</v>
      </c>
      <c r="CF34" s="29">
        <f t="shared" si="69"/>
        <v>0</v>
      </c>
      <c r="CG34" s="29"/>
      <c r="CH34" s="29"/>
      <c r="CI34" s="29">
        <f t="shared" si="69"/>
        <v>0</v>
      </c>
      <c r="CJ34" s="29">
        <f t="shared" si="69"/>
        <v>0</v>
      </c>
      <c r="CK34" s="29">
        <f t="shared" si="69"/>
        <v>0</v>
      </c>
      <c r="CL34" s="29"/>
      <c r="CM34" s="29"/>
      <c r="CN34" s="29">
        <f t="shared" ref="CN34:CU34" si="70">SUM(CN3:CN33)</f>
        <v>0</v>
      </c>
      <c r="CO34" s="29">
        <f t="shared" si="70"/>
        <v>0</v>
      </c>
      <c r="CP34" s="29">
        <f t="shared" si="70"/>
        <v>0</v>
      </c>
      <c r="CQ34" s="29"/>
      <c r="CR34" s="29"/>
      <c r="CS34" s="29">
        <f t="shared" si="70"/>
        <v>0</v>
      </c>
      <c r="CT34" s="29">
        <f t="shared" si="70"/>
        <v>0</v>
      </c>
      <c r="CU34" s="29">
        <f t="shared" si="70"/>
        <v>0</v>
      </c>
      <c r="CV34" s="29"/>
      <c r="CW34" s="29"/>
      <c r="CX34" s="29"/>
      <c r="CY34" s="29"/>
      <c r="CZ34" s="29">
        <f t="shared" ref="CZ34:DG34" si="71">SUM(CZ3:CZ33)</f>
        <v>0</v>
      </c>
      <c r="DA34" s="29">
        <f t="shared" si="71"/>
        <v>0</v>
      </c>
      <c r="DB34" s="29">
        <f t="shared" si="71"/>
        <v>7.4100000000004336</v>
      </c>
      <c r="DC34" s="29">
        <f t="shared" si="71"/>
        <v>0</v>
      </c>
      <c r="DD34" s="29">
        <f t="shared" si="71"/>
        <v>7.1</v>
      </c>
      <c r="DE34" s="29">
        <f t="shared" si="71"/>
        <v>0</v>
      </c>
      <c r="DF34" s="29">
        <f t="shared" si="71"/>
        <v>0.31000000000043393</v>
      </c>
      <c r="DG34" s="29">
        <f t="shared" si="71"/>
        <v>0</v>
      </c>
      <c r="DH34" s="29"/>
      <c r="DI34" s="29"/>
      <c r="DJ34" s="94"/>
      <c r="DK34" s="29"/>
      <c r="DL34" s="29"/>
      <c r="DM34" s="29">
        <f>SUM(DM3:DM33)</f>
        <v>284</v>
      </c>
      <c r="DN34" s="29"/>
      <c r="DO34" s="94"/>
      <c r="DP34" s="29"/>
      <c r="DQ34" s="29"/>
      <c r="DR34" s="29">
        <f>SUM(DR3:DR33)</f>
        <v>0</v>
      </c>
      <c r="DS34" s="29"/>
      <c r="DT34" s="94"/>
      <c r="DU34" s="29"/>
      <c r="DV34" s="29"/>
      <c r="DW34" s="29"/>
      <c r="DX34" s="29"/>
      <c r="DY34" s="94"/>
      <c r="DZ34" s="29"/>
      <c r="EA34" s="29">
        <f t="shared" ref="EA34:EH34" si="72">SUM(EA3:EA33)</f>
        <v>91775.793999999689</v>
      </c>
      <c r="EB34" s="29">
        <f t="shared" si="72"/>
        <v>0</v>
      </c>
      <c r="EC34" s="29">
        <f t="shared" si="72"/>
        <v>0</v>
      </c>
      <c r="ED34" s="29">
        <f t="shared" si="72"/>
        <v>95844.879999999714</v>
      </c>
      <c r="EE34" s="29">
        <f t="shared" si="72"/>
        <v>134361.39999999973</v>
      </c>
      <c r="EF34" s="29">
        <f t="shared" si="72"/>
        <v>3763.3000000000006</v>
      </c>
      <c r="EG34" s="29">
        <f t="shared" si="72"/>
        <v>4288</v>
      </c>
      <c r="EH34" s="29">
        <f t="shared" si="72"/>
        <v>133836.69999999972</v>
      </c>
      <c r="EI34" s="29">
        <f t="shared" ref="EI34:EN34" si="73">SUM(EI3:EI33)</f>
        <v>740445.25035771099</v>
      </c>
      <c r="EJ34" s="29">
        <f t="shared" si="73"/>
        <v>40798</v>
      </c>
      <c r="EK34" s="29">
        <f t="shared" si="73"/>
        <v>62014.383024673705</v>
      </c>
      <c r="EL34" s="150"/>
      <c r="EM34" s="150">
        <f t="shared" si="73"/>
        <v>40798</v>
      </c>
      <c r="EN34" s="151">
        <f t="shared" si="73"/>
        <v>0</v>
      </c>
    </row>
    <row r="35" spans="2:144" x14ac:dyDescent="0.25">
      <c r="B35" t="s">
        <v>45</v>
      </c>
      <c r="D35" s="13">
        <f>D36+SUM(D3:D33)</f>
        <v>671.68000000000006</v>
      </c>
      <c r="E35" s="13">
        <f t="shared" ref="E35:BQ35" si="74">E36+SUM(E3:E33)</f>
        <v>4889</v>
      </c>
      <c r="F35" s="13"/>
      <c r="G35" s="13"/>
      <c r="H35" s="13">
        <f t="shared" si="74"/>
        <v>0</v>
      </c>
      <c r="I35" s="13">
        <f t="shared" si="74"/>
        <v>0</v>
      </c>
      <c r="J35" s="13"/>
      <c r="K35" s="13">
        <f t="shared" si="74"/>
        <v>0</v>
      </c>
      <c r="L35" s="13">
        <f t="shared" si="74"/>
        <v>0</v>
      </c>
      <c r="M35" s="13">
        <f t="shared" si="74"/>
        <v>0</v>
      </c>
      <c r="N35" s="13">
        <f t="shared" si="74"/>
        <v>0</v>
      </c>
      <c r="O35" s="13">
        <f t="shared" si="74"/>
        <v>0</v>
      </c>
      <c r="P35" s="13">
        <f t="shared" si="74"/>
        <v>0</v>
      </c>
      <c r="Q35" s="13">
        <f t="shared" si="74"/>
        <v>0</v>
      </c>
      <c r="R35" s="13">
        <f t="shared" si="74"/>
        <v>0</v>
      </c>
      <c r="S35" s="13">
        <f t="shared" si="74"/>
        <v>0</v>
      </c>
      <c r="T35" s="13">
        <f t="shared" si="74"/>
        <v>0</v>
      </c>
      <c r="U35" s="13">
        <f t="shared" si="74"/>
        <v>0</v>
      </c>
      <c r="V35" s="13">
        <f t="shared" si="74"/>
        <v>0</v>
      </c>
      <c r="W35" s="13"/>
      <c r="X35" s="13">
        <f t="shared" si="74"/>
        <v>0</v>
      </c>
      <c r="Y35" s="13">
        <f t="shared" si="74"/>
        <v>1327</v>
      </c>
      <c r="Z35" s="13">
        <f t="shared" si="74"/>
        <v>8686.84</v>
      </c>
      <c r="AA35" s="13"/>
      <c r="AB35" s="13"/>
      <c r="AC35" s="13">
        <f t="shared" si="74"/>
        <v>0</v>
      </c>
      <c r="AD35" s="13">
        <f t="shared" si="74"/>
        <v>0</v>
      </c>
      <c r="AE35" s="13"/>
      <c r="AF35" s="13"/>
      <c r="AG35" s="13">
        <f t="shared" si="74"/>
        <v>5904.25</v>
      </c>
      <c r="AH35" s="13">
        <f t="shared" si="74"/>
        <v>4052.88</v>
      </c>
      <c r="AI35" s="13">
        <f t="shared" si="74"/>
        <v>11103</v>
      </c>
      <c r="AJ35" s="13"/>
      <c r="AK35" s="13">
        <f t="shared" si="74"/>
        <v>0</v>
      </c>
      <c r="AL35" s="13">
        <f t="shared" si="74"/>
        <v>0</v>
      </c>
      <c r="AM35" s="13">
        <f t="shared" si="74"/>
        <v>0</v>
      </c>
      <c r="AN35" s="13"/>
      <c r="AO35" s="13"/>
      <c r="AP35" s="13">
        <f t="shared" si="74"/>
        <v>0</v>
      </c>
      <c r="AQ35" s="13">
        <f t="shared" si="74"/>
        <v>0</v>
      </c>
      <c r="AR35" s="13">
        <f t="shared" si="74"/>
        <v>0</v>
      </c>
      <c r="AS35" s="13"/>
      <c r="AT35" s="13"/>
      <c r="AU35" s="13">
        <f>AU36+SUM(AU3:AU33)</f>
        <v>181.5</v>
      </c>
      <c r="AV35" s="13">
        <f t="shared" si="74"/>
        <v>5675.59</v>
      </c>
      <c r="AW35" s="13">
        <f t="shared" si="74"/>
        <v>20</v>
      </c>
      <c r="AX35" s="13"/>
      <c r="AY35" s="13"/>
      <c r="AZ35" s="13">
        <f>AZ36+SUM(AZ3:AZ33)</f>
        <v>5912.420000000001</v>
      </c>
      <c r="BA35" s="13">
        <f>BA36+SUM(BA3:BA33)</f>
        <v>3091.56</v>
      </c>
      <c r="BB35" s="13">
        <f t="shared" si="74"/>
        <v>10</v>
      </c>
      <c r="BC35" s="13"/>
      <c r="BD35" s="13">
        <f t="shared" si="74"/>
        <v>0</v>
      </c>
      <c r="BE35" s="13">
        <f t="shared" si="74"/>
        <v>0</v>
      </c>
      <c r="BF35" s="13">
        <f t="shared" si="74"/>
        <v>0</v>
      </c>
      <c r="BG35" s="13">
        <f t="shared" si="74"/>
        <v>0</v>
      </c>
      <c r="BH35" s="13">
        <f t="shared" si="74"/>
        <v>0</v>
      </c>
      <c r="BI35" s="13">
        <f t="shared" si="74"/>
        <v>0</v>
      </c>
      <c r="BJ35" s="13">
        <f t="shared" si="74"/>
        <v>0</v>
      </c>
      <c r="BK35" s="13">
        <f t="shared" si="74"/>
        <v>0</v>
      </c>
      <c r="BL35" s="13">
        <f t="shared" si="74"/>
        <v>0</v>
      </c>
      <c r="BM35" s="13"/>
      <c r="BN35" s="13"/>
      <c r="BO35" s="13">
        <f>BO36+SUM(BO3:BO33)</f>
        <v>0</v>
      </c>
      <c r="BP35" s="13">
        <f>BP36+SUM(BP3:BP33)</f>
        <v>0</v>
      </c>
      <c r="BQ35" s="13">
        <f t="shared" si="74"/>
        <v>0</v>
      </c>
      <c r="BR35" s="13"/>
      <c r="BS35" s="13"/>
      <c r="BT35" s="13">
        <f t="shared" ref="BT35:EG35" si="75">BT36+SUM(BT3:BT33)</f>
        <v>0</v>
      </c>
      <c r="BU35" s="13">
        <f t="shared" si="75"/>
        <v>0</v>
      </c>
      <c r="BV35" s="13">
        <f t="shared" si="75"/>
        <v>0</v>
      </c>
      <c r="BW35" s="13"/>
      <c r="BX35" s="13"/>
      <c r="BY35" s="13">
        <f t="shared" si="75"/>
        <v>0</v>
      </c>
      <c r="BZ35" s="13">
        <f t="shared" si="75"/>
        <v>0</v>
      </c>
      <c r="CA35" s="13">
        <f t="shared" si="75"/>
        <v>0</v>
      </c>
      <c r="CB35" s="13"/>
      <c r="CC35" s="13"/>
      <c r="CD35" s="13">
        <f t="shared" si="75"/>
        <v>0</v>
      </c>
      <c r="CE35" s="13">
        <f t="shared" si="75"/>
        <v>0</v>
      </c>
      <c r="CF35" s="13">
        <f t="shared" si="75"/>
        <v>0</v>
      </c>
      <c r="CG35" s="13"/>
      <c r="CH35" s="13">
        <f t="shared" si="75"/>
        <v>0</v>
      </c>
      <c r="CI35" s="13">
        <f t="shared" si="75"/>
        <v>0</v>
      </c>
      <c r="CJ35" s="13">
        <f t="shared" si="75"/>
        <v>0</v>
      </c>
      <c r="CK35" s="13">
        <f t="shared" si="75"/>
        <v>0</v>
      </c>
      <c r="CL35" s="13"/>
      <c r="CM35" s="13"/>
      <c r="CN35" s="13">
        <f t="shared" si="75"/>
        <v>0</v>
      </c>
      <c r="CO35" s="13">
        <f t="shared" si="75"/>
        <v>0</v>
      </c>
      <c r="CP35" s="13">
        <f t="shared" si="75"/>
        <v>0</v>
      </c>
      <c r="CQ35" s="13"/>
      <c r="CR35" s="13"/>
      <c r="CS35" s="13">
        <f t="shared" si="75"/>
        <v>0</v>
      </c>
      <c r="CT35" s="13">
        <f t="shared" si="75"/>
        <v>0</v>
      </c>
      <c r="CU35" s="13">
        <f t="shared" si="75"/>
        <v>0</v>
      </c>
      <c r="CV35" s="13"/>
      <c r="CW35" s="13"/>
      <c r="CX35" s="13">
        <f t="shared" si="75"/>
        <v>0</v>
      </c>
      <c r="CY35" s="13">
        <f t="shared" si="75"/>
        <v>0</v>
      </c>
      <c r="CZ35" s="13">
        <f t="shared" si="75"/>
        <v>0</v>
      </c>
      <c r="DA35" s="13"/>
      <c r="DB35" s="13"/>
      <c r="DC35" s="13">
        <f t="shared" si="75"/>
        <v>0</v>
      </c>
      <c r="DD35" s="13">
        <f t="shared" si="75"/>
        <v>305.99</v>
      </c>
      <c r="DE35" s="13">
        <f t="shared" si="75"/>
        <v>0</v>
      </c>
      <c r="DF35" s="13"/>
      <c r="DG35" s="13"/>
      <c r="DH35" s="13">
        <f t="shared" si="75"/>
        <v>0</v>
      </c>
      <c r="DI35" s="13">
        <f t="shared" si="75"/>
        <v>0</v>
      </c>
      <c r="DJ35" s="13">
        <f t="shared" si="75"/>
        <v>0</v>
      </c>
      <c r="DK35" s="13">
        <f t="shared" si="75"/>
        <v>0</v>
      </c>
      <c r="DL35" s="13"/>
      <c r="DM35" s="13">
        <f t="shared" si="75"/>
        <v>496</v>
      </c>
      <c r="DN35" s="13">
        <f t="shared" si="75"/>
        <v>0</v>
      </c>
      <c r="DO35" s="13">
        <f t="shared" si="75"/>
        <v>0</v>
      </c>
      <c r="DP35" s="13"/>
      <c r="DQ35" s="13"/>
      <c r="DR35" s="13">
        <f>DR36+SUM(DR3:DR33)</f>
        <v>0</v>
      </c>
      <c r="DS35" s="13">
        <f>DS36+SUM(DS3:DS33)</f>
        <v>0</v>
      </c>
      <c r="DT35" s="13">
        <f>DT36+SUM(DT3:DT33)</f>
        <v>0</v>
      </c>
      <c r="DU35" s="13"/>
      <c r="DV35" s="13"/>
      <c r="DW35" s="13">
        <f>DW36+SUM(DW3:DW33)</f>
        <v>0</v>
      </c>
      <c r="DX35" s="13">
        <f>DX36+SUM(DX3:DX33)</f>
        <v>0</v>
      </c>
      <c r="DY35" s="13">
        <f>DY36+SUM(DY3:DY33)</f>
        <v>0</v>
      </c>
      <c r="DZ35" s="13"/>
      <c r="EA35" s="13"/>
      <c r="EB35" s="13">
        <f t="shared" si="75"/>
        <v>0</v>
      </c>
      <c r="EC35" s="13">
        <f t="shared" si="75"/>
        <v>0</v>
      </c>
      <c r="ED35" s="13"/>
      <c r="EE35" s="13"/>
      <c r="EF35" s="13">
        <f t="shared" si="75"/>
        <v>5904.25</v>
      </c>
      <c r="EG35" s="13">
        <f t="shared" si="75"/>
        <v>12440</v>
      </c>
      <c r="EH35" s="13"/>
      <c r="EI35" s="13"/>
      <c r="EJ35" s="13">
        <f>EJ36+SUM(EJ3:EJ33)</f>
        <v>139714.66</v>
      </c>
      <c r="EK35" s="13">
        <f>EK36+SUM(EK3:EK33)</f>
        <v>141810.23004449363</v>
      </c>
      <c r="EL35" s="13"/>
    </row>
    <row r="36" spans="2:144" x14ac:dyDescent="0.25">
      <c r="B36" t="s">
        <v>45</v>
      </c>
      <c r="D36">
        <v>417.28000000000003</v>
      </c>
      <c r="E36">
        <v>3135</v>
      </c>
      <c r="H36">
        <v>0</v>
      </c>
      <c r="I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X36">
        <v>0</v>
      </c>
      <c r="Y36">
        <v>1327</v>
      </c>
      <c r="Z36">
        <v>7623.8399999999992</v>
      </c>
      <c r="AC36">
        <v>0</v>
      </c>
      <c r="AD36">
        <v>0</v>
      </c>
      <c r="AG36">
        <v>2140.9499999999998</v>
      </c>
      <c r="AH36">
        <v>4052.88</v>
      </c>
      <c r="AI36">
        <v>6825</v>
      </c>
      <c r="AK36">
        <v>0</v>
      </c>
      <c r="AL36">
        <v>0</v>
      </c>
      <c r="AM36">
        <v>0</v>
      </c>
      <c r="AP36">
        <v>0</v>
      </c>
      <c r="AQ36">
        <v>0</v>
      </c>
      <c r="AR36">
        <v>0</v>
      </c>
      <c r="AU36">
        <v>181.5</v>
      </c>
      <c r="AV36">
        <v>2741.7</v>
      </c>
      <c r="AW36">
        <v>20</v>
      </c>
      <c r="AZ36">
        <v>411.74</v>
      </c>
      <c r="BA36">
        <v>0</v>
      </c>
      <c r="BB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O36">
        <v>0</v>
      </c>
      <c r="BP36">
        <v>0</v>
      </c>
      <c r="BQ36">
        <v>0</v>
      </c>
      <c r="BT36">
        <v>0</v>
      </c>
      <c r="BU36">
        <v>0</v>
      </c>
      <c r="BV36">
        <v>0</v>
      </c>
      <c r="BY36">
        <v>0</v>
      </c>
      <c r="BZ36">
        <v>0</v>
      </c>
      <c r="CA36">
        <v>0</v>
      </c>
      <c r="CD36">
        <v>0</v>
      </c>
      <c r="CE36">
        <v>0</v>
      </c>
      <c r="CF36">
        <v>0</v>
      </c>
      <c r="CH36">
        <v>0</v>
      </c>
      <c r="CI36">
        <v>0</v>
      </c>
      <c r="CJ36">
        <v>0</v>
      </c>
      <c r="CK36">
        <v>0</v>
      </c>
      <c r="CN36">
        <v>0</v>
      </c>
      <c r="CO36">
        <v>0</v>
      </c>
      <c r="CP36">
        <v>0</v>
      </c>
      <c r="CS36">
        <v>0</v>
      </c>
      <c r="CT36">
        <v>0</v>
      </c>
      <c r="CU36">
        <v>0</v>
      </c>
      <c r="CX36">
        <v>0</v>
      </c>
      <c r="CY36">
        <v>0</v>
      </c>
      <c r="CZ36">
        <v>0</v>
      </c>
      <c r="DC36">
        <v>0</v>
      </c>
      <c r="DD36">
        <v>298.89</v>
      </c>
      <c r="DE36">
        <v>0</v>
      </c>
      <c r="DH36">
        <v>0</v>
      </c>
      <c r="DI36">
        <v>0</v>
      </c>
      <c r="DJ36">
        <v>0</v>
      </c>
      <c r="DK36">
        <v>0</v>
      </c>
      <c r="DM36">
        <v>212</v>
      </c>
      <c r="DN36">
        <v>0</v>
      </c>
      <c r="DO36">
        <v>0</v>
      </c>
      <c r="DR36">
        <v>0</v>
      </c>
      <c r="DS36">
        <v>0</v>
      </c>
      <c r="DT36">
        <v>0</v>
      </c>
      <c r="DW36">
        <v>0</v>
      </c>
      <c r="DX36">
        <v>0</v>
      </c>
      <c r="DY36">
        <v>0</v>
      </c>
      <c r="EB36">
        <v>0</v>
      </c>
      <c r="EC36">
        <v>0</v>
      </c>
      <c r="EF36">
        <v>2140.9499999999998</v>
      </c>
      <c r="EG36">
        <v>8152</v>
      </c>
      <c r="EJ36">
        <v>98916.66</v>
      </c>
      <c r="EK36">
        <v>79795.847019819936</v>
      </c>
    </row>
    <row r="39" spans="2:144" x14ac:dyDescent="0.25">
      <c r="E39" s="37"/>
    </row>
    <row r="40" spans="2:144" x14ac:dyDescent="0.25">
      <c r="E40" s="38"/>
    </row>
  </sheetData>
  <mergeCells count="29">
    <mergeCell ref="EI1:EL1"/>
    <mergeCell ref="EA1:ED1"/>
    <mergeCell ref="EE1:EH1"/>
    <mergeCell ref="AF1:AJ1"/>
    <mergeCell ref="BD1:BH1"/>
    <mergeCell ref="BI1:BM1"/>
    <mergeCell ref="BN1:BR1"/>
    <mergeCell ref="BX1:CB1"/>
    <mergeCell ref="CC1:CF1"/>
    <mergeCell ref="CH1:CL1"/>
    <mergeCell ref="CM1:CQ1"/>
    <mergeCell ref="CW1:DA1"/>
    <mergeCell ref="DB1:DF1"/>
    <mergeCell ref="DG1:DK1"/>
    <mergeCell ref="DL1:DP1"/>
    <mergeCell ref="DQ1:DU1"/>
    <mergeCell ref="C1:F1"/>
    <mergeCell ref="G1:J1"/>
    <mergeCell ref="K1:P1"/>
    <mergeCell ref="Q1:V1"/>
    <mergeCell ref="W1:AA1"/>
    <mergeCell ref="DV1:DZ1"/>
    <mergeCell ref="BS1:BW1"/>
    <mergeCell ref="AB1:AE1"/>
    <mergeCell ref="AK1:AN1"/>
    <mergeCell ref="AO1:AS1"/>
    <mergeCell ref="AT1:AX1"/>
    <mergeCell ref="AY1:BC1"/>
    <mergeCell ref="CR1:CV1"/>
  </mergeCells>
  <pageMargins left="0.7" right="0.7" top="0.75" bottom="0.75" header="0.3" footer="0.3"/>
  <pageSetup paperSize="11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O36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5" sqref="I25"/>
    </sheetView>
  </sheetViews>
  <sheetFormatPr defaultRowHeight="15" x14ac:dyDescent="0.2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bestFit="1" customWidth="1"/>
    <col min="6" max="6" width="15.5703125" bestFit="1" customWidth="1"/>
    <col min="7" max="7" width="16.28515625" bestFit="1" customWidth="1"/>
    <col min="8" max="8" width="12.7109375" bestFit="1" customWidth="1"/>
    <col min="9" max="9" width="15.140625" bestFit="1" customWidth="1"/>
    <col min="10" max="10" width="15.5703125" bestFit="1" customWidth="1"/>
    <col min="11" max="11" width="16.28515625" bestFit="1" customWidth="1"/>
    <col min="12" max="12" width="12.7109375" bestFit="1" customWidth="1"/>
    <col min="13" max="13" width="15.140625" bestFit="1" customWidth="1"/>
    <col min="14" max="14" width="15.5703125" bestFit="1" customWidth="1"/>
    <col min="15" max="15" width="13.5703125" bestFit="1" customWidth="1"/>
  </cols>
  <sheetData>
    <row r="1" spans="2:15" x14ac:dyDescent="0.25">
      <c r="B1" s="3" t="s">
        <v>46</v>
      </c>
      <c r="C1" s="254" t="s">
        <v>47</v>
      </c>
      <c r="D1" s="255"/>
      <c r="E1" s="255"/>
      <c r="F1" s="256"/>
      <c r="G1" s="254" t="s">
        <v>211</v>
      </c>
      <c r="H1" s="255"/>
      <c r="I1" s="255"/>
      <c r="J1" s="256"/>
      <c r="K1" s="254" t="s">
        <v>49</v>
      </c>
      <c r="L1" s="255"/>
      <c r="M1" s="255"/>
      <c r="N1" s="256"/>
    </row>
    <row r="2" spans="2:15" x14ac:dyDescent="0.25">
      <c r="B2" s="4" t="s">
        <v>30</v>
      </c>
      <c r="C2" s="6" t="s">
        <v>31</v>
      </c>
      <c r="D2" s="99" t="s">
        <v>32</v>
      </c>
      <c r="E2" s="1" t="s">
        <v>33</v>
      </c>
      <c r="F2" s="7" t="s">
        <v>34</v>
      </c>
      <c r="G2" s="6" t="s">
        <v>31</v>
      </c>
      <c r="H2" s="1" t="s">
        <v>32</v>
      </c>
      <c r="I2" s="1" t="s">
        <v>33</v>
      </c>
      <c r="J2" s="7" t="s">
        <v>34</v>
      </c>
      <c r="K2" s="6" t="s">
        <v>31</v>
      </c>
      <c r="L2" s="1" t="s">
        <v>32</v>
      </c>
      <c r="M2" s="1" t="s">
        <v>33</v>
      </c>
      <c r="N2" s="7" t="s">
        <v>34</v>
      </c>
    </row>
    <row r="3" spans="2:15" x14ac:dyDescent="0.25">
      <c r="B3" s="4">
        <v>1</v>
      </c>
      <c r="C3" s="27">
        <v>4208.3058581561772</v>
      </c>
      <c r="D3" s="1">
        <v>0</v>
      </c>
      <c r="E3" s="25">
        <f>'DAILY CEM1'!AI4+'DAILY CEM2'!AH4</f>
        <v>100.85000000000001</v>
      </c>
      <c r="F3" s="223">
        <f>C3+D3-I3</f>
        <v>4102.1479634193347</v>
      </c>
      <c r="G3" s="9">
        <v>0</v>
      </c>
      <c r="H3" s="1">
        <v>0</v>
      </c>
      <c r="I3" s="25">
        <f>E3/0.95</f>
        <v>106.15789473684212</v>
      </c>
      <c r="J3" s="9">
        <v>0</v>
      </c>
      <c r="K3" s="27">
        <v>0</v>
      </c>
      <c r="L3" s="1">
        <v>0</v>
      </c>
      <c r="M3" s="24">
        <f>'[1]Daily Cement'!AB4</f>
        <v>0</v>
      </c>
      <c r="N3" s="9">
        <f t="shared" ref="N3:N33" si="0">K3+L3-M3</f>
        <v>0</v>
      </c>
      <c r="O3" s="39"/>
    </row>
    <row r="4" spans="2:15" x14ac:dyDescent="0.25">
      <c r="B4" s="4">
        <v>2</v>
      </c>
      <c r="C4" s="27">
        <f t="shared" ref="C4:C33" si="1">F3</f>
        <v>4102.1479634193347</v>
      </c>
      <c r="D4" s="1">
        <v>0</v>
      </c>
      <c r="E4" s="25">
        <f>'DAILY CEM1'!AI5+'DAILY CEM2'!AH5</f>
        <v>111.452</v>
      </c>
      <c r="F4" s="223">
        <f t="shared" ref="F4:F33" si="2">C4+D4-I4</f>
        <v>3984.8300686824928</v>
      </c>
      <c r="G4" s="9">
        <v>0</v>
      </c>
      <c r="H4" s="1">
        <v>0</v>
      </c>
      <c r="I4" s="25">
        <f t="shared" ref="I4:I33" si="3">E4/0.95</f>
        <v>117.31789473684211</v>
      </c>
      <c r="J4" s="9">
        <v>0</v>
      </c>
      <c r="K4" s="27">
        <f t="shared" ref="K4:K33" si="4">N3</f>
        <v>0</v>
      </c>
      <c r="L4" s="1">
        <v>0</v>
      </c>
      <c r="M4" s="24">
        <f>'[1]Daily Cement'!AB5</f>
        <v>0</v>
      </c>
      <c r="N4" s="9">
        <f t="shared" si="0"/>
        <v>0</v>
      </c>
      <c r="O4" s="39"/>
    </row>
    <row r="5" spans="2:15" x14ac:dyDescent="0.25">
      <c r="B5" s="4">
        <v>3</v>
      </c>
      <c r="C5" s="27">
        <f t="shared" si="1"/>
        <v>3984.8300686824928</v>
      </c>
      <c r="D5" s="1">
        <v>0</v>
      </c>
      <c r="E5" s="25">
        <f>'DAILY CEM1'!AI6+'DAILY CEM2'!AH6</f>
        <v>154.62</v>
      </c>
      <c r="F5" s="223">
        <f t="shared" si="2"/>
        <v>3822.0721739456508</v>
      </c>
      <c r="G5" s="9">
        <v>0</v>
      </c>
      <c r="H5" s="1">
        <v>0</v>
      </c>
      <c r="I5" s="25">
        <f t="shared" si="3"/>
        <v>162.7578947368421</v>
      </c>
      <c r="J5" s="9">
        <v>0</v>
      </c>
      <c r="K5" s="27">
        <f t="shared" si="4"/>
        <v>0</v>
      </c>
      <c r="L5" s="1">
        <v>0</v>
      </c>
      <c r="M5" s="24">
        <f>'[1]Daily Cement'!AB6</f>
        <v>0</v>
      </c>
      <c r="N5" s="9">
        <f t="shared" si="0"/>
        <v>0</v>
      </c>
      <c r="O5" s="39"/>
    </row>
    <row r="6" spans="2:15" x14ac:dyDescent="0.25">
      <c r="B6" s="4">
        <v>4</v>
      </c>
      <c r="C6" s="27">
        <f t="shared" si="1"/>
        <v>3822.0721739456508</v>
      </c>
      <c r="D6" s="1">
        <v>0</v>
      </c>
      <c r="E6" s="25">
        <f>'DAILY CEM1'!AI7+'DAILY CEM2'!AH7</f>
        <v>129.30000000000001</v>
      </c>
      <c r="F6" s="223">
        <f t="shared" si="2"/>
        <v>3685.9669107877562</v>
      </c>
      <c r="G6" s="9">
        <v>0</v>
      </c>
      <c r="H6" s="1">
        <v>0</v>
      </c>
      <c r="I6" s="25">
        <f t="shared" si="3"/>
        <v>136.10526315789477</v>
      </c>
      <c r="J6" s="9">
        <v>0</v>
      </c>
      <c r="K6" s="27">
        <f t="shared" si="4"/>
        <v>0</v>
      </c>
      <c r="L6" s="1">
        <v>0</v>
      </c>
      <c r="M6" s="24">
        <f>'[1]Daily Cement'!AB7</f>
        <v>0</v>
      </c>
      <c r="N6" s="9">
        <f t="shared" si="0"/>
        <v>0</v>
      </c>
      <c r="O6" s="39"/>
    </row>
    <row r="7" spans="2:15" x14ac:dyDescent="0.25">
      <c r="B7" s="4">
        <v>5</v>
      </c>
      <c r="C7" s="27">
        <f t="shared" si="1"/>
        <v>3685.9669107877562</v>
      </c>
      <c r="D7" s="1">
        <v>31.2</v>
      </c>
      <c r="E7" s="25">
        <f>'DAILY CEM1'!AI8+'DAILY CEM2'!AH8</f>
        <v>118.0039984</v>
      </c>
      <c r="F7" s="223">
        <f t="shared" si="2"/>
        <v>3592.9521756298614</v>
      </c>
      <c r="G7" s="9">
        <v>0</v>
      </c>
      <c r="H7" s="1">
        <v>0</v>
      </c>
      <c r="I7" s="25">
        <f t="shared" si="3"/>
        <v>124.21473515789474</v>
      </c>
      <c r="J7" s="9">
        <v>0</v>
      </c>
      <c r="K7" s="27">
        <f t="shared" si="4"/>
        <v>0</v>
      </c>
      <c r="L7" s="1">
        <v>0</v>
      </c>
      <c r="M7" s="24">
        <f>'[1]Daily Cement'!AB8</f>
        <v>0</v>
      </c>
      <c r="N7" s="9">
        <f t="shared" si="0"/>
        <v>0</v>
      </c>
      <c r="O7" s="39"/>
    </row>
    <row r="8" spans="2:15" x14ac:dyDescent="0.25">
      <c r="B8" s="4">
        <v>6</v>
      </c>
      <c r="C8" s="27">
        <f t="shared" si="1"/>
        <v>3592.9521756298614</v>
      </c>
      <c r="D8" s="1">
        <v>0</v>
      </c>
      <c r="E8" s="25">
        <f>'DAILY CEM1'!AI9+'DAILY CEM2'!AH9</f>
        <v>114.54099937999999</v>
      </c>
      <c r="F8" s="223">
        <f t="shared" si="2"/>
        <v>3472.3827025982823</v>
      </c>
      <c r="G8" s="9">
        <v>0</v>
      </c>
      <c r="H8" s="1">
        <v>0</v>
      </c>
      <c r="I8" s="25">
        <f t="shared" si="3"/>
        <v>120.56947303157894</v>
      </c>
      <c r="J8" s="9">
        <v>0</v>
      </c>
      <c r="K8" s="27">
        <f t="shared" si="4"/>
        <v>0</v>
      </c>
      <c r="L8" s="1">
        <v>0</v>
      </c>
      <c r="M8" s="24">
        <f>'[1]Daily Cement'!AB9</f>
        <v>0</v>
      </c>
      <c r="N8" s="9">
        <f t="shared" si="0"/>
        <v>0</v>
      </c>
      <c r="O8" s="39"/>
    </row>
    <row r="9" spans="2:15" x14ac:dyDescent="0.25">
      <c r="B9" s="4">
        <v>7</v>
      </c>
      <c r="C9" s="27">
        <f t="shared" si="1"/>
        <v>3472.3827025982823</v>
      </c>
      <c r="D9" s="1">
        <v>0</v>
      </c>
      <c r="E9" s="25">
        <f>'DAILY CEM1'!AI10+'DAILY CEM2'!AH10</f>
        <v>71.996001031999867</v>
      </c>
      <c r="F9" s="223">
        <f>C9+D9-I9</f>
        <v>3396.597438354072</v>
      </c>
      <c r="G9" s="9">
        <v>0</v>
      </c>
      <c r="H9" s="1">
        <v>0</v>
      </c>
      <c r="I9" s="25">
        <f t="shared" si="3"/>
        <v>75.785264244210396</v>
      </c>
      <c r="J9" s="9">
        <v>0</v>
      </c>
      <c r="K9" s="27">
        <f t="shared" si="4"/>
        <v>0</v>
      </c>
      <c r="L9" s="1">
        <v>0</v>
      </c>
      <c r="M9" s="24">
        <f>'[1]Daily Cement'!AB10</f>
        <v>0</v>
      </c>
      <c r="N9" s="9">
        <f t="shared" si="0"/>
        <v>0</v>
      </c>
      <c r="O9" s="39"/>
    </row>
    <row r="10" spans="2:15" x14ac:dyDescent="0.25">
      <c r="B10" s="4">
        <v>8</v>
      </c>
      <c r="C10" s="27">
        <f t="shared" si="1"/>
        <v>3396.597438354072</v>
      </c>
      <c r="D10" s="1">
        <v>0</v>
      </c>
      <c r="E10" s="25">
        <f>'DAILY CEM1'!AI11+'DAILY CEM2'!AH11</f>
        <v>78.500000004970005</v>
      </c>
      <c r="F10" s="223">
        <f t="shared" si="2"/>
        <v>3313.9658594014718</v>
      </c>
      <c r="G10" s="9">
        <v>0</v>
      </c>
      <c r="H10" s="1">
        <v>0</v>
      </c>
      <c r="I10" s="25">
        <f t="shared" si="3"/>
        <v>82.631578952600009</v>
      </c>
      <c r="J10" s="9">
        <v>0</v>
      </c>
      <c r="K10" s="27">
        <f t="shared" si="4"/>
        <v>0</v>
      </c>
      <c r="L10" s="1">
        <v>0</v>
      </c>
      <c r="M10" s="24">
        <f>'[1]Daily Cement'!AB11</f>
        <v>0</v>
      </c>
      <c r="N10" s="9">
        <f t="shared" si="0"/>
        <v>0</v>
      </c>
      <c r="O10" s="39"/>
    </row>
    <row r="11" spans="2:15" x14ac:dyDescent="0.25">
      <c r="B11" s="4">
        <v>9</v>
      </c>
      <c r="C11" s="27">
        <f t="shared" si="1"/>
        <v>3313.9658594014718</v>
      </c>
      <c r="D11" s="1">
        <v>62.16</v>
      </c>
      <c r="E11" s="25">
        <f>'DAILY CEM1'!AI12+'DAILY CEM2'!AH12</f>
        <v>85.68699995499999</v>
      </c>
      <c r="F11" s="223">
        <f>C11+D11-I11</f>
        <v>3285.929017343577</v>
      </c>
      <c r="G11" s="9">
        <v>0</v>
      </c>
      <c r="H11" s="1">
        <v>0</v>
      </c>
      <c r="I11" s="25">
        <f t="shared" si="3"/>
        <v>90.196842057894727</v>
      </c>
      <c r="J11" s="9">
        <v>0</v>
      </c>
      <c r="K11" s="27">
        <f t="shared" si="4"/>
        <v>0</v>
      </c>
      <c r="L11" s="1">
        <v>0</v>
      </c>
      <c r="M11" s="24">
        <f>'[1]Daily Cement'!AB12</f>
        <v>0</v>
      </c>
      <c r="N11" s="9">
        <f t="shared" si="0"/>
        <v>0</v>
      </c>
      <c r="O11" s="39"/>
    </row>
    <row r="12" spans="2:15" x14ac:dyDescent="0.25">
      <c r="B12" s="4">
        <v>10</v>
      </c>
      <c r="C12" s="32">
        <f>F11</f>
        <v>3285.929017343577</v>
      </c>
      <c r="D12" s="1">
        <v>214.88</v>
      </c>
      <c r="E12" s="25">
        <f>'DAILY CEM1'!AI13+'DAILY CEM2'!AH13</f>
        <v>133.8499999478</v>
      </c>
      <c r="F12" s="223">
        <f t="shared" si="2"/>
        <v>3359.9142805564193</v>
      </c>
      <c r="G12" s="9">
        <v>0</v>
      </c>
      <c r="H12" s="1">
        <v>0</v>
      </c>
      <c r="I12" s="25">
        <f t="shared" si="3"/>
        <v>140.89473678715791</v>
      </c>
      <c r="J12" s="9">
        <v>0</v>
      </c>
      <c r="K12" s="27">
        <f t="shared" si="4"/>
        <v>0</v>
      </c>
      <c r="L12" s="1">
        <v>0</v>
      </c>
      <c r="M12" s="24">
        <f>'[1]Daily Cement'!AB13</f>
        <v>0</v>
      </c>
      <c r="N12" s="9">
        <f t="shared" si="0"/>
        <v>0</v>
      </c>
      <c r="O12" s="39"/>
    </row>
    <row r="13" spans="2:15" x14ac:dyDescent="0.25">
      <c r="B13" s="4">
        <v>11</v>
      </c>
      <c r="C13" s="27">
        <f t="shared" si="1"/>
        <v>3359.9142805564193</v>
      </c>
      <c r="D13" s="1">
        <v>61.94</v>
      </c>
      <c r="E13" s="25">
        <f>'DAILY CEM1'!AI14+'DAILY CEM2'!AH14</f>
        <v>146</v>
      </c>
      <c r="F13" s="223">
        <f t="shared" si="2"/>
        <v>3268.1700700301035</v>
      </c>
      <c r="G13" s="9">
        <v>0</v>
      </c>
      <c r="H13" s="1">
        <v>0</v>
      </c>
      <c r="I13" s="25">
        <f t="shared" si="3"/>
        <v>153.68421052631581</v>
      </c>
      <c r="J13" s="9">
        <v>0</v>
      </c>
      <c r="K13" s="27">
        <f t="shared" si="4"/>
        <v>0</v>
      </c>
      <c r="L13" s="1">
        <v>0</v>
      </c>
      <c r="M13" s="24">
        <f>'[1]Daily Cement'!AB14</f>
        <v>0</v>
      </c>
      <c r="N13" s="9">
        <f t="shared" si="0"/>
        <v>0</v>
      </c>
      <c r="O13" s="39"/>
    </row>
    <row r="14" spans="2:15" x14ac:dyDescent="0.25">
      <c r="B14" s="4">
        <v>12</v>
      </c>
      <c r="C14" s="27">
        <f t="shared" si="1"/>
        <v>3268.1700700301035</v>
      </c>
      <c r="D14" s="1">
        <v>62.52</v>
      </c>
      <c r="E14" s="25">
        <f>'DAILY CEM1'!AI15+'DAILY CEM2'!AH15</f>
        <v>132.62999843999998</v>
      </c>
      <c r="F14" s="223">
        <f t="shared" si="2"/>
        <v>3191.0795453564192</v>
      </c>
      <c r="G14" s="9">
        <v>0</v>
      </c>
      <c r="H14" s="1">
        <v>0</v>
      </c>
      <c r="I14" s="25">
        <f t="shared" si="3"/>
        <v>139.61052467368418</v>
      </c>
      <c r="J14" s="9">
        <v>0</v>
      </c>
      <c r="K14" s="27">
        <f t="shared" si="4"/>
        <v>0</v>
      </c>
      <c r="L14" s="1">
        <v>0</v>
      </c>
      <c r="M14" s="24">
        <f>'[1]Daily Cement'!AB15</f>
        <v>0</v>
      </c>
      <c r="N14" s="9">
        <f t="shared" si="0"/>
        <v>0</v>
      </c>
      <c r="O14" s="39"/>
    </row>
    <row r="15" spans="2:15" x14ac:dyDescent="0.25">
      <c r="B15" s="4">
        <v>13</v>
      </c>
      <c r="C15" s="27">
        <f t="shared" si="1"/>
        <v>3191.0795453564192</v>
      </c>
      <c r="D15" s="1">
        <v>0</v>
      </c>
      <c r="E15" s="25">
        <f>'DAILY CEM1'!AI16+'DAILY CEM2'!AH16</f>
        <v>138.99699985200002</v>
      </c>
      <c r="F15" s="223">
        <f t="shared" si="2"/>
        <v>3044.7669139332611</v>
      </c>
      <c r="G15" s="9">
        <v>0</v>
      </c>
      <c r="H15" s="1">
        <v>0</v>
      </c>
      <c r="I15" s="25">
        <f t="shared" si="3"/>
        <v>146.31263142315791</v>
      </c>
      <c r="J15" s="9">
        <v>0</v>
      </c>
      <c r="K15" s="27">
        <f t="shared" si="4"/>
        <v>0</v>
      </c>
      <c r="L15" s="1">
        <v>0</v>
      </c>
      <c r="M15" s="24">
        <f>'[1]Daily Cement'!AB16</f>
        <v>0</v>
      </c>
      <c r="N15" s="9">
        <f t="shared" si="0"/>
        <v>0</v>
      </c>
      <c r="O15" s="39"/>
    </row>
    <row r="16" spans="2:15" x14ac:dyDescent="0.25">
      <c r="B16" s="4">
        <v>14</v>
      </c>
      <c r="C16" s="27">
        <f t="shared" si="1"/>
        <v>3044.7669139332611</v>
      </c>
      <c r="D16" s="1">
        <v>0</v>
      </c>
      <c r="E16" s="25">
        <f>'DAILY CEM1'!AI17+'DAILY CEM2'!AH17</f>
        <v>132.8000000097</v>
      </c>
      <c r="F16" s="223">
        <f t="shared" si="2"/>
        <v>2904.9774402388402</v>
      </c>
      <c r="G16" s="9">
        <v>0</v>
      </c>
      <c r="H16" s="1">
        <v>0</v>
      </c>
      <c r="I16" s="25">
        <f t="shared" si="3"/>
        <v>139.78947369442105</v>
      </c>
      <c r="J16" s="9">
        <v>0</v>
      </c>
      <c r="K16" s="27">
        <f t="shared" si="4"/>
        <v>0</v>
      </c>
      <c r="L16" s="1">
        <v>0</v>
      </c>
      <c r="M16" s="24">
        <f>'[1]Daily Cement'!AB17</f>
        <v>0</v>
      </c>
      <c r="N16" s="9">
        <f t="shared" si="0"/>
        <v>0</v>
      </c>
      <c r="O16" s="39"/>
    </row>
    <row r="17" spans="2:15" x14ac:dyDescent="0.25">
      <c r="B17" s="4">
        <v>15</v>
      </c>
      <c r="C17" s="27">
        <f t="shared" si="1"/>
        <v>2904.9774402388402</v>
      </c>
      <c r="D17" s="1">
        <v>87.28</v>
      </c>
      <c r="E17" s="25">
        <f>'DAILY CEM1'!AI18+'DAILY CEM2'!AH18</f>
        <v>123.04198999963199</v>
      </c>
      <c r="F17" s="223">
        <f t="shared" si="2"/>
        <v>2862.7395560287014</v>
      </c>
      <c r="G17" s="9">
        <v>0</v>
      </c>
      <c r="H17" s="1">
        <v>0</v>
      </c>
      <c r="I17" s="25">
        <f t="shared" si="3"/>
        <v>129.51788421013896</v>
      </c>
      <c r="J17" s="9">
        <v>0</v>
      </c>
      <c r="K17" s="27">
        <f t="shared" si="4"/>
        <v>0</v>
      </c>
      <c r="L17" s="1">
        <v>0</v>
      </c>
      <c r="M17" s="24">
        <f>'[1]Daily Cement'!AB18</f>
        <v>0</v>
      </c>
      <c r="N17" s="9">
        <f t="shared" si="0"/>
        <v>0</v>
      </c>
      <c r="O17" s="39"/>
    </row>
    <row r="18" spans="2:15" x14ac:dyDescent="0.25">
      <c r="B18" s="4">
        <v>16</v>
      </c>
      <c r="C18" s="27">
        <f t="shared" si="1"/>
        <v>2862.7395560287014</v>
      </c>
      <c r="D18" s="1">
        <v>0</v>
      </c>
      <c r="E18" s="25">
        <f>'DAILY CEM1'!AI19+'DAILY CEM2'!AH19</f>
        <v>144.411000043</v>
      </c>
      <c r="F18" s="223">
        <f t="shared" si="2"/>
        <v>2710.1094233404383</v>
      </c>
      <c r="G18" s="9">
        <v>0</v>
      </c>
      <c r="H18" s="1">
        <v>0</v>
      </c>
      <c r="I18" s="25">
        <f>E18/0.94615</f>
        <v>152.63013268826296</v>
      </c>
      <c r="J18" s="9">
        <v>0</v>
      </c>
      <c r="K18" s="27">
        <f t="shared" si="4"/>
        <v>0</v>
      </c>
      <c r="L18" s="1">
        <v>0</v>
      </c>
      <c r="M18" s="24">
        <f>'[1]Daily Cement'!AB19</f>
        <v>0</v>
      </c>
      <c r="N18" s="9">
        <f t="shared" si="0"/>
        <v>0</v>
      </c>
      <c r="O18" s="39"/>
    </row>
    <row r="19" spans="2:15" x14ac:dyDescent="0.25">
      <c r="B19" s="4">
        <v>17</v>
      </c>
      <c r="C19" s="27">
        <f t="shared" si="1"/>
        <v>2710.1094233404383</v>
      </c>
      <c r="D19" s="1">
        <v>121.7</v>
      </c>
      <c r="E19" s="25">
        <f>'DAILY CEM1'!AI20+'DAILY CEM2'!AH20</f>
        <v>140.75</v>
      </c>
      <c r="F19" s="223">
        <f t="shared" si="2"/>
        <v>2683.651528603596</v>
      </c>
      <c r="G19" s="9">
        <v>0</v>
      </c>
      <c r="H19" s="1">
        <v>0</v>
      </c>
      <c r="I19" s="25">
        <f t="shared" si="3"/>
        <v>148.15789473684211</v>
      </c>
      <c r="J19" s="9">
        <v>0</v>
      </c>
      <c r="K19" s="27">
        <f t="shared" si="4"/>
        <v>0</v>
      </c>
      <c r="L19" s="1">
        <v>0</v>
      </c>
      <c r="M19" s="24">
        <f>'[1]Daily Cement'!AB20</f>
        <v>0</v>
      </c>
      <c r="N19" s="9">
        <f t="shared" si="0"/>
        <v>0</v>
      </c>
      <c r="O19" s="39"/>
    </row>
    <row r="20" spans="2:15" x14ac:dyDescent="0.25">
      <c r="B20" s="4">
        <v>18</v>
      </c>
      <c r="C20" s="27">
        <f t="shared" si="1"/>
        <v>2683.651528603596</v>
      </c>
      <c r="D20" s="1">
        <v>208.08</v>
      </c>
      <c r="E20" s="25">
        <f>'DAILY CEM1'!AI21+'DAILY CEM2'!AH21</f>
        <v>140.47</v>
      </c>
      <c r="F20" s="223">
        <f t="shared" si="2"/>
        <v>2743.8683707088589</v>
      </c>
      <c r="G20" s="9">
        <v>0</v>
      </c>
      <c r="H20" s="1">
        <v>0</v>
      </c>
      <c r="I20" s="25">
        <f t="shared" si="3"/>
        <v>147.86315789473684</v>
      </c>
      <c r="J20" s="9">
        <v>0</v>
      </c>
      <c r="K20" s="27">
        <f t="shared" si="4"/>
        <v>0</v>
      </c>
      <c r="L20" s="1">
        <v>0</v>
      </c>
      <c r="M20" s="24">
        <f>'[1]Daily Cement'!AB21</f>
        <v>0</v>
      </c>
      <c r="N20" s="9">
        <f t="shared" si="0"/>
        <v>0</v>
      </c>
      <c r="O20" s="39"/>
    </row>
    <row r="21" spans="2:15" x14ac:dyDescent="0.25">
      <c r="B21" s="4">
        <v>19</v>
      </c>
      <c r="C21" s="27">
        <f t="shared" si="1"/>
        <v>2743.8683707088589</v>
      </c>
      <c r="D21" s="1">
        <v>307.26</v>
      </c>
      <c r="E21" s="25">
        <f>'DAILY CEM1'!AI22+'DAILY CEM2'!AH22</f>
        <v>149.69099908699999</v>
      </c>
      <c r="F21" s="223">
        <f t="shared" si="2"/>
        <v>2893.5588979857007</v>
      </c>
      <c r="G21" s="9">
        <v>0</v>
      </c>
      <c r="H21" s="1">
        <v>0</v>
      </c>
      <c r="I21" s="25">
        <f t="shared" si="3"/>
        <v>157.5694727231579</v>
      </c>
      <c r="J21" s="9">
        <v>0</v>
      </c>
      <c r="K21" s="27">
        <f t="shared" si="4"/>
        <v>0</v>
      </c>
      <c r="L21" s="1">
        <v>0</v>
      </c>
      <c r="M21" s="24">
        <f>'[1]Daily Cement'!AB22</f>
        <v>0</v>
      </c>
      <c r="N21" s="9">
        <f t="shared" si="0"/>
        <v>0</v>
      </c>
      <c r="O21" s="39"/>
    </row>
    <row r="22" spans="2:15" x14ac:dyDescent="0.25">
      <c r="B22" s="4">
        <v>20</v>
      </c>
      <c r="C22" s="27">
        <f t="shared" si="1"/>
        <v>2893.5588979857007</v>
      </c>
      <c r="D22" s="1">
        <v>0</v>
      </c>
      <c r="E22" s="25">
        <f>'DAILY CEM1'!AI23+'DAILY CEM2'!AH23</f>
        <v>150.16799860000003</v>
      </c>
      <c r="F22" s="223">
        <f t="shared" si="2"/>
        <v>2735.4873205120166</v>
      </c>
      <c r="G22" s="9">
        <v>0</v>
      </c>
      <c r="H22" s="1">
        <v>0</v>
      </c>
      <c r="I22" s="25">
        <f t="shared" si="3"/>
        <v>158.07157747368424</v>
      </c>
      <c r="J22" s="9">
        <v>0</v>
      </c>
      <c r="K22" s="27">
        <f t="shared" si="4"/>
        <v>0</v>
      </c>
      <c r="L22" s="1">
        <v>0</v>
      </c>
      <c r="M22" s="24">
        <f>'[1]Daily Cement'!AB23</f>
        <v>0</v>
      </c>
      <c r="N22" s="9">
        <f t="shared" si="0"/>
        <v>0</v>
      </c>
      <c r="O22" s="39"/>
    </row>
    <row r="23" spans="2:15" x14ac:dyDescent="0.25">
      <c r="B23" s="4">
        <v>21</v>
      </c>
      <c r="C23" s="27">
        <f t="shared" si="1"/>
        <v>2735.4873205120166</v>
      </c>
      <c r="D23" s="1">
        <v>0</v>
      </c>
      <c r="E23" s="25">
        <f>'DAILY CEM1'!AI24+'DAILY CEM2'!AH24</f>
        <v>150.5</v>
      </c>
      <c r="F23" s="223">
        <f t="shared" si="2"/>
        <v>2577.0662678804374</v>
      </c>
      <c r="G23" s="9">
        <v>0</v>
      </c>
      <c r="H23" s="1">
        <v>0</v>
      </c>
      <c r="I23" s="25">
        <f t="shared" si="3"/>
        <v>158.42105263157896</v>
      </c>
      <c r="J23" s="9">
        <v>0</v>
      </c>
      <c r="K23" s="27">
        <f t="shared" si="4"/>
        <v>0</v>
      </c>
      <c r="L23" s="1">
        <v>0</v>
      </c>
      <c r="M23" s="24">
        <f>'[1]Daily Cement'!AB24</f>
        <v>0</v>
      </c>
      <c r="N23" s="9">
        <f t="shared" si="0"/>
        <v>0</v>
      </c>
      <c r="O23" s="39"/>
    </row>
    <row r="24" spans="2:15" x14ac:dyDescent="0.25">
      <c r="B24" s="4">
        <v>22</v>
      </c>
      <c r="C24" s="27">
        <f t="shared" si="1"/>
        <v>2577.0662678804374</v>
      </c>
      <c r="D24" s="1">
        <v>453.74</v>
      </c>
      <c r="E24" s="25">
        <f>'DAILY CEM1'!AI25+'DAILY CEM2'!AH25</f>
        <v>149.7240000068</v>
      </c>
      <c r="F24" s="223">
        <f t="shared" si="2"/>
        <v>2873.2020573469636</v>
      </c>
      <c r="G24" s="9">
        <v>0</v>
      </c>
      <c r="H24" s="1">
        <v>0</v>
      </c>
      <c r="I24" s="25">
        <f t="shared" si="3"/>
        <v>157.60421053347369</v>
      </c>
      <c r="J24" s="9">
        <v>0</v>
      </c>
      <c r="K24" s="27">
        <f t="shared" si="4"/>
        <v>0</v>
      </c>
      <c r="L24" s="1">
        <v>0</v>
      </c>
      <c r="M24" s="24">
        <f>'[1]Daily Cement'!AB25</f>
        <v>0</v>
      </c>
      <c r="N24" s="9">
        <f t="shared" si="0"/>
        <v>0</v>
      </c>
      <c r="O24" s="39"/>
    </row>
    <row r="25" spans="2:15" x14ac:dyDescent="0.25">
      <c r="B25" s="4">
        <v>23</v>
      </c>
      <c r="C25" s="27">
        <f t="shared" si="1"/>
        <v>2873.2020573469636</v>
      </c>
      <c r="D25" s="1">
        <v>269</v>
      </c>
      <c r="E25" s="25">
        <f>'DAILY CEM1'!AI26+'DAILY CEM2'!AH26</f>
        <v>140.77000000519999</v>
      </c>
      <c r="F25" s="223">
        <f t="shared" si="2"/>
        <v>2994.023109973069</v>
      </c>
      <c r="G25" s="9">
        <v>0</v>
      </c>
      <c r="H25" s="1">
        <v>0</v>
      </c>
      <c r="I25" s="25">
        <f t="shared" si="3"/>
        <v>148.17894737389474</v>
      </c>
      <c r="J25" s="9">
        <v>0</v>
      </c>
      <c r="K25" s="27">
        <f t="shared" si="4"/>
        <v>0</v>
      </c>
      <c r="L25" s="1">
        <v>0</v>
      </c>
      <c r="M25" s="24">
        <f>'[1]Daily Cement'!AB26</f>
        <v>0</v>
      </c>
      <c r="N25" s="9">
        <f t="shared" si="0"/>
        <v>0</v>
      </c>
      <c r="O25" s="39"/>
    </row>
    <row r="26" spans="2:15" x14ac:dyDescent="0.25">
      <c r="B26" s="4">
        <v>24</v>
      </c>
      <c r="C26" s="27">
        <f t="shared" si="1"/>
        <v>2994.023109973069</v>
      </c>
      <c r="D26" s="1">
        <v>270.60000000000002</v>
      </c>
      <c r="E26" s="25">
        <f>'DAILY CEM1'!AI27+'DAILY CEM2'!AH27</f>
        <v>142.97699999</v>
      </c>
      <c r="F26" s="223">
        <f t="shared" si="2"/>
        <v>3114.1210047204372</v>
      </c>
      <c r="G26" s="9">
        <v>0</v>
      </c>
      <c r="H26" s="1">
        <v>0</v>
      </c>
      <c r="I26" s="25">
        <f t="shared" si="3"/>
        <v>150.50210525263159</v>
      </c>
      <c r="J26" s="9">
        <v>0</v>
      </c>
      <c r="K26" s="27">
        <f t="shared" si="4"/>
        <v>0</v>
      </c>
      <c r="L26" s="1">
        <v>0</v>
      </c>
      <c r="M26" s="24">
        <f>'[1]Daily Cement'!AB27</f>
        <v>0</v>
      </c>
      <c r="N26" s="9">
        <f t="shared" si="0"/>
        <v>0</v>
      </c>
      <c r="O26" s="39"/>
    </row>
    <row r="27" spans="2:15" x14ac:dyDescent="0.25">
      <c r="B27" s="4">
        <v>25</v>
      </c>
      <c r="C27" s="27">
        <f t="shared" si="1"/>
        <v>3114.1210047204372</v>
      </c>
      <c r="D27" s="1">
        <v>0</v>
      </c>
      <c r="E27" s="25">
        <f>'DAILY CEM1'!AI28+'DAILY CEM2'!AH28</f>
        <v>146.95000000000002</v>
      </c>
      <c r="F27" s="223">
        <f t="shared" si="2"/>
        <v>2959.4367941941214</v>
      </c>
      <c r="G27" s="9">
        <v>0</v>
      </c>
      <c r="H27" s="1">
        <v>0</v>
      </c>
      <c r="I27" s="25">
        <f t="shared" si="3"/>
        <v>154.68421052631581</v>
      </c>
      <c r="J27" s="9">
        <v>0</v>
      </c>
      <c r="K27" s="27">
        <f t="shared" si="4"/>
        <v>0</v>
      </c>
      <c r="L27" s="1">
        <v>0</v>
      </c>
      <c r="M27" s="24">
        <f>'[1]Daily Cement'!AB28</f>
        <v>0</v>
      </c>
      <c r="N27" s="9">
        <f t="shared" si="0"/>
        <v>0</v>
      </c>
      <c r="O27" s="39"/>
    </row>
    <row r="28" spans="2:15" x14ac:dyDescent="0.25">
      <c r="B28" s="4">
        <v>26</v>
      </c>
      <c r="C28" s="27">
        <f t="shared" si="1"/>
        <v>2959.4367941941214</v>
      </c>
      <c r="D28" s="1">
        <v>512.72</v>
      </c>
      <c r="E28" s="25">
        <f>'DAILY CEM1'!AI29+'DAILY CEM2'!AH29</f>
        <v>145.49299875599999</v>
      </c>
      <c r="F28" s="223">
        <f t="shared" si="2"/>
        <v>3319.0062691878056</v>
      </c>
      <c r="G28" s="9">
        <v>0</v>
      </c>
      <c r="H28" s="1">
        <v>0</v>
      </c>
      <c r="I28" s="25">
        <f t="shared" si="3"/>
        <v>153.15052500631577</v>
      </c>
      <c r="J28" s="9">
        <v>0</v>
      </c>
      <c r="K28" s="27">
        <f t="shared" si="4"/>
        <v>0</v>
      </c>
      <c r="L28" s="1">
        <v>0</v>
      </c>
      <c r="M28" s="24">
        <f>'[1]Daily Cement'!AB29</f>
        <v>0</v>
      </c>
      <c r="N28" s="9">
        <f t="shared" si="0"/>
        <v>0</v>
      </c>
      <c r="O28" s="39"/>
    </row>
    <row r="29" spans="2:15" x14ac:dyDescent="0.25">
      <c r="B29" s="4">
        <v>27</v>
      </c>
      <c r="C29" s="27">
        <f t="shared" si="1"/>
        <v>3319.0062691878056</v>
      </c>
      <c r="D29" s="1">
        <v>120.58</v>
      </c>
      <c r="E29" s="25">
        <f>'DAILY CEM1'!AI30+'DAILY CEM2'!AH30</f>
        <v>119.99699907</v>
      </c>
      <c r="F29" s="223">
        <f t="shared" si="2"/>
        <v>3313.2736385878056</v>
      </c>
      <c r="G29" s="9">
        <v>0</v>
      </c>
      <c r="H29" s="1">
        <v>0</v>
      </c>
      <c r="I29" s="25">
        <f t="shared" si="3"/>
        <v>126.31263060000001</v>
      </c>
      <c r="J29" s="9">
        <v>0</v>
      </c>
      <c r="K29" s="27">
        <f t="shared" si="4"/>
        <v>0</v>
      </c>
      <c r="L29" s="1">
        <v>0</v>
      </c>
      <c r="M29" s="24">
        <f>'[1]Daily Cement'!AB30</f>
        <v>0</v>
      </c>
      <c r="N29" s="9">
        <f t="shared" si="0"/>
        <v>0</v>
      </c>
    </row>
    <row r="30" spans="2:15" x14ac:dyDescent="0.25">
      <c r="B30" s="4">
        <v>28</v>
      </c>
      <c r="C30" s="27">
        <f t="shared" si="1"/>
        <v>3313.2736385878056</v>
      </c>
      <c r="D30" s="1">
        <v>0</v>
      </c>
      <c r="E30" s="25">
        <f>'DAILY CEM1'!AI31+'DAILY CEM2'!AH31</f>
        <v>140.97700057039998</v>
      </c>
      <c r="F30" s="223">
        <f t="shared" si="2"/>
        <v>3164.8767958821213</v>
      </c>
      <c r="G30" s="9">
        <v>0</v>
      </c>
      <c r="H30" s="1">
        <v>0</v>
      </c>
      <c r="I30" s="25">
        <f t="shared" si="3"/>
        <v>148.39684270568421</v>
      </c>
      <c r="J30" s="9">
        <v>0</v>
      </c>
      <c r="K30" s="27">
        <f t="shared" si="4"/>
        <v>0</v>
      </c>
      <c r="L30" s="1">
        <v>0</v>
      </c>
      <c r="M30" s="24">
        <f>'[1]Daily Cement'!AB31</f>
        <v>0</v>
      </c>
      <c r="N30" s="9">
        <f t="shared" si="0"/>
        <v>0</v>
      </c>
    </row>
    <row r="31" spans="2:15" x14ac:dyDescent="0.25">
      <c r="B31" s="4">
        <v>29</v>
      </c>
      <c r="C31" s="27">
        <f t="shared" si="1"/>
        <v>3164.8767958821213</v>
      </c>
      <c r="D31" s="1">
        <v>214.1</v>
      </c>
      <c r="E31" s="25">
        <f>'DAILY CEM1'!AI32+'DAILY CEM2'!AH32</f>
        <v>125.56800000200002</v>
      </c>
      <c r="F31" s="223">
        <f t="shared" si="2"/>
        <v>3246.7999537747528</v>
      </c>
      <c r="G31" s="9">
        <v>0</v>
      </c>
      <c r="H31" s="1">
        <v>0</v>
      </c>
      <c r="I31" s="25">
        <f t="shared" si="3"/>
        <v>132.17684210736846</v>
      </c>
      <c r="J31" s="9">
        <v>0</v>
      </c>
      <c r="K31" s="27">
        <f t="shared" si="4"/>
        <v>0</v>
      </c>
      <c r="L31" s="1">
        <v>0</v>
      </c>
      <c r="M31" s="24">
        <f>'[1]Daily Cement'!AB32</f>
        <v>0</v>
      </c>
      <c r="N31" s="9">
        <f t="shared" si="0"/>
        <v>0</v>
      </c>
    </row>
    <row r="32" spans="2:15" x14ac:dyDescent="0.25">
      <c r="B32" s="4">
        <v>30</v>
      </c>
      <c r="C32" s="27">
        <f t="shared" si="1"/>
        <v>3246.7999537747528</v>
      </c>
      <c r="D32" s="1">
        <v>91.7</v>
      </c>
      <c r="E32" s="25">
        <f>'DAILY CEM1'!AI33+'DAILY CEM2'!AH33</f>
        <v>137.9805000328999</v>
      </c>
      <c r="F32" s="223">
        <f t="shared" si="2"/>
        <v>3193.2573221611738</v>
      </c>
      <c r="G32" s="9">
        <v>0</v>
      </c>
      <c r="H32" s="1">
        <v>0</v>
      </c>
      <c r="I32" s="25">
        <f t="shared" si="3"/>
        <v>145.24263161357885</v>
      </c>
      <c r="J32" s="9">
        <v>0</v>
      </c>
      <c r="K32" s="27">
        <f t="shared" si="4"/>
        <v>0</v>
      </c>
      <c r="L32" s="1">
        <v>0</v>
      </c>
      <c r="M32" s="24">
        <f>'[1]Daily Cement'!AB33</f>
        <v>0</v>
      </c>
      <c r="N32" s="9">
        <f t="shared" si="0"/>
        <v>0</v>
      </c>
    </row>
    <row r="33" spans="2:15" x14ac:dyDescent="0.25">
      <c r="B33" s="4">
        <v>31</v>
      </c>
      <c r="C33" s="27">
        <f t="shared" si="1"/>
        <v>3193.2573221611738</v>
      </c>
      <c r="D33" s="1">
        <v>0</v>
      </c>
      <c r="E33" s="25">
        <f>'DAILY CEM1'!AI34+'DAILY CEM2'!AH34</f>
        <v>0</v>
      </c>
      <c r="F33" s="223">
        <f t="shared" si="2"/>
        <v>3193.2573221611738</v>
      </c>
      <c r="G33" s="9">
        <v>0</v>
      </c>
      <c r="H33" s="1">
        <v>0</v>
      </c>
      <c r="I33" s="25">
        <f t="shared" si="3"/>
        <v>0</v>
      </c>
      <c r="J33" s="9">
        <v>0</v>
      </c>
      <c r="K33" s="27">
        <f t="shared" si="4"/>
        <v>0</v>
      </c>
      <c r="L33" s="1">
        <v>0</v>
      </c>
      <c r="M33" s="24">
        <f>'[1]Daily Cement'!AB34</f>
        <v>0</v>
      </c>
      <c r="N33" s="9">
        <f t="shared" si="0"/>
        <v>0</v>
      </c>
    </row>
    <row r="34" spans="2:15" ht="15.75" thickBot="1" x14ac:dyDescent="0.3">
      <c r="B34" s="5" t="s">
        <v>44</v>
      </c>
      <c r="C34" s="8">
        <f>SUM(C3:C33)</f>
        <v>100018.53672932173</v>
      </c>
      <c r="D34" s="8">
        <f t="shared" ref="D34:N34" si="5">SUM(D3:D33)</f>
        <v>3089.4599999999996</v>
      </c>
      <c r="E34" s="8">
        <f t="shared" si="5"/>
        <v>3898.6954831844014</v>
      </c>
      <c r="F34" s="10">
        <f t="shared" si="5"/>
        <v>99003.488193326717</v>
      </c>
      <c r="G34" s="8">
        <f t="shared" si="5"/>
        <v>0</v>
      </c>
      <c r="H34" s="8">
        <f t="shared" si="5"/>
        <v>0</v>
      </c>
      <c r="I34" s="8">
        <f t="shared" si="5"/>
        <v>4104.5085359950026</v>
      </c>
      <c r="J34" s="10">
        <f t="shared" si="5"/>
        <v>0</v>
      </c>
      <c r="K34" s="8">
        <f t="shared" si="5"/>
        <v>0</v>
      </c>
      <c r="L34" s="8">
        <f t="shared" si="5"/>
        <v>0</v>
      </c>
      <c r="M34" s="8">
        <f t="shared" si="5"/>
        <v>0</v>
      </c>
      <c r="N34" s="10">
        <f t="shared" si="5"/>
        <v>0</v>
      </c>
    </row>
    <row r="35" spans="2:15" ht="16.5" customHeight="1" x14ac:dyDescent="0.25">
      <c r="B35" t="s">
        <v>45</v>
      </c>
      <c r="D35" s="13">
        <f>D36+SUM(D3:D33)</f>
        <v>5216.08</v>
      </c>
      <c r="E35" s="20">
        <f>E36+SUM(E3:E33)</f>
        <v>9124.9254735119011</v>
      </c>
      <c r="F35" s="13"/>
      <c r="G35" s="13"/>
      <c r="H35" s="13">
        <f>H36+SUM(H3:H33)</f>
        <v>0</v>
      </c>
      <c r="I35" s="13">
        <f>I36+SUM(I3:I33)</f>
        <v>9468.202736576397</v>
      </c>
      <c r="J35" s="13"/>
      <c r="K35" s="13"/>
      <c r="L35" s="13">
        <f>L36+SUM(L3:L33)</f>
        <v>0</v>
      </c>
      <c r="M35" s="13">
        <f>M36+SUM(M3:M33)</f>
        <v>0</v>
      </c>
      <c r="N35" s="13"/>
      <c r="O35" s="39"/>
    </row>
    <row r="36" spans="2:15" x14ac:dyDescent="0.25">
      <c r="B36" t="s">
        <v>45</v>
      </c>
      <c r="D36">
        <v>2126.62</v>
      </c>
      <c r="E36" s="39">
        <v>5226.2299903274998</v>
      </c>
      <c r="F36" s="13"/>
      <c r="G36" s="13"/>
      <c r="H36" s="13">
        <v>0</v>
      </c>
      <c r="I36" s="13">
        <v>5363.6942005813944</v>
      </c>
      <c r="J36" s="13"/>
      <c r="K36" s="13"/>
      <c r="L36" s="13">
        <v>0</v>
      </c>
      <c r="M36" s="13">
        <v>0</v>
      </c>
      <c r="N36" s="13"/>
      <c r="O36" s="39"/>
    </row>
  </sheetData>
  <mergeCells count="3">
    <mergeCell ref="C1:F1"/>
    <mergeCell ref="G1:J1"/>
    <mergeCell ref="K1:N1"/>
  </mergeCells>
  <pageMargins left="0" right="0" top="0.75" bottom="0.75" header="0.3" footer="0.3"/>
  <pageSetup paperSize="9" scale="5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R36"/>
  <sheetViews>
    <sheetView zoomScale="60" zoomScaleNormal="60" workbookViewId="0">
      <selection activeCell="L15" sqref="L15"/>
    </sheetView>
  </sheetViews>
  <sheetFormatPr defaultRowHeight="15" x14ac:dyDescent="0.2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bestFit="1" customWidth="1"/>
    <col min="6" max="6" width="15.5703125" bestFit="1" customWidth="1"/>
    <col min="7" max="7" width="16.28515625" bestFit="1" customWidth="1"/>
    <col min="8" max="8" width="12.7109375" bestFit="1" customWidth="1"/>
    <col min="9" max="9" width="15.140625" bestFit="1" customWidth="1"/>
    <col min="10" max="10" width="15.5703125" bestFit="1" customWidth="1"/>
    <col min="11" max="11" width="16.28515625" bestFit="1" customWidth="1"/>
    <col min="12" max="12" width="12.7109375" bestFit="1" customWidth="1"/>
    <col min="13" max="13" width="15.140625" bestFit="1" customWidth="1"/>
    <col min="14" max="14" width="15.5703125" bestFit="1" customWidth="1"/>
    <col min="15" max="15" width="16.28515625" bestFit="1" customWidth="1"/>
    <col min="16" max="16" width="12.7109375" bestFit="1" customWidth="1"/>
    <col min="17" max="17" width="15.140625" bestFit="1" customWidth="1"/>
    <col min="18" max="18" width="15.5703125" bestFit="1" customWidth="1"/>
  </cols>
  <sheetData>
    <row r="1" spans="2:18" x14ac:dyDescent="0.25">
      <c r="B1" s="3" t="s">
        <v>213</v>
      </c>
      <c r="C1" s="263" t="s">
        <v>50</v>
      </c>
      <c r="D1" s="264"/>
      <c r="E1" s="264"/>
      <c r="F1" s="265"/>
      <c r="G1" s="266" t="s">
        <v>51</v>
      </c>
      <c r="H1" s="267"/>
      <c r="I1" s="267"/>
      <c r="J1" s="268"/>
      <c r="K1" s="254" t="s">
        <v>52</v>
      </c>
      <c r="L1" s="255"/>
      <c r="M1" s="255"/>
      <c r="N1" s="256"/>
      <c r="O1" s="269" t="s">
        <v>53</v>
      </c>
      <c r="P1" s="270"/>
      <c r="Q1" s="270"/>
      <c r="R1" s="271"/>
    </row>
    <row r="2" spans="2:18" x14ac:dyDescent="0.25">
      <c r="B2" s="4" t="s">
        <v>30</v>
      </c>
      <c r="C2" s="6" t="s">
        <v>31</v>
      </c>
      <c r="D2" s="1" t="s">
        <v>32</v>
      </c>
      <c r="E2" s="1" t="s">
        <v>33</v>
      </c>
      <c r="F2" s="7" t="s">
        <v>34</v>
      </c>
      <c r="G2" s="6" t="s">
        <v>31</v>
      </c>
      <c r="H2" s="1" t="s">
        <v>32</v>
      </c>
      <c r="I2" s="1" t="s">
        <v>33</v>
      </c>
      <c r="J2" s="7" t="s">
        <v>34</v>
      </c>
      <c r="K2" s="6" t="s">
        <v>31</v>
      </c>
      <c r="L2" s="1" t="s">
        <v>32</v>
      </c>
      <c r="M2" s="1" t="s">
        <v>33</v>
      </c>
      <c r="N2" s="7" t="s">
        <v>34</v>
      </c>
      <c r="O2" s="6" t="s">
        <v>31</v>
      </c>
      <c r="P2" s="1" t="s">
        <v>32</v>
      </c>
      <c r="Q2" s="1" t="s">
        <v>33</v>
      </c>
      <c r="R2" s="7" t="s">
        <v>34</v>
      </c>
    </row>
    <row r="3" spans="2:18" x14ac:dyDescent="0.25">
      <c r="B3" s="4">
        <v>1</v>
      </c>
      <c r="C3" s="27">
        <v>2627235</v>
      </c>
      <c r="D3" s="1">
        <v>0</v>
      </c>
      <c r="E3" s="1">
        <v>38647</v>
      </c>
      <c r="F3" s="9">
        <f t="shared" ref="F3:F27" si="0">C3+D3-E3</f>
        <v>2588588</v>
      </c>
      <c r="G3" s="27">
        <v>602161</v>
      </c>
      <c r="H3" s="1">
        <v>0</v>
      </c>
      <c r="I3" s="1">
        <v>0</v>
      </c>
      <c r="J3" s="9">
        <f t="shared" ref="J3:J26" si="1">G3+H3-I3</f>
        <v>602161</v>
      </c>
      <c r="K3" s="27">
        <v>528763</v>
      </c>
      <c r="L3" s="1">
        <v>0</v>
      </c>
      <c r="M3" s="1">
        <v>1230</v>
      </c>
      <c r="N3" s="9">
        <f t="shared" ref="N3:N26" si="2">K3+L3-M3</f>
        <v>527533</v>
      </c>
      <c r="O3" s="27">
        <v>68932</v>
      </c>
      <c r="P3" s="1">
        <v>0</v>
      </c>
      <c r="Q3" s="1">
        <v>612</v>
      </c>
      <c r="R3" s="9">
        <f t="shared" ref="R3:R33" si="3">O3+P3-Q3</f>
        <v>68320</v>
      </c>
    </row>
    <row r="4" spans="2:18" x14ac:dyDescent="0.25">
      <c r="B4" s="4">
        <v>2</v>
      </c>
      <c r="C4" s="27">
        <f t="shared" ref="C4:C27" si="4">F3</f>
        <v>2588588</v>
      </c>
      <c r="D4" s="1">
        <v>0</v>
      </c>
      <c r="E4" s="1">
        <v>42919</v>
      </c>
      <c r="F4" s="9">
        <f t="shared" si="0"/>
        <v>2545669</v>
      </c>
      <c r="G4" s="27">
        <f t="shared" ref="G4:G27" si="5">J3</f>
        <v>602161</v>
      </c>
      <c r="H4" s="1">
        <v>0</v>
      </c>
      <c r="I4" s="1">
        <v>2532</v>
      </c>
      <c r="J4" s="9">
        <f t="shared" si="1"/>
        <v>599629</v>
      </c>
      <c r="K4" s="27">
        <f t="shared" ref="K4:K33" si="6">N3</f>
        <v>527533</v>
      </c>
      <c r="L4" s="1">
        <v>0</v>
      </c>
      <c r="M4" s="1">
        <v>5505</v>
      </c>
      <c r="N4" s="9">
        <f t="shared" si="2"/>
        <v>522028</v>
      </c>
      <c r="O4" s="27">
        <f t="shared" ref="O4:O33" si="7">R3</f>
        <v>68320</v>
      </c>
      <c r="P4" s="1">
        <v>0</v>
      </c>
      <c r="Q4" s="1">
        <v>600</v>
      </c>
      <c r="R4" s="9">
        <f t="shared" si="3"/>
        <v>67720</v>
      </c>
    </row>
    <row r="5" spans="2:18" x14ac:dyDescent="0.25">
      <c r="B5" s="4">
        <v>3</v>
      </c>
      <c r="C5" s="27">
        <f t="shared" si="4"/>
        <v>2545669</v>
      </c>
      <c r="D5" s="1">
        <v>0</v>
      </c>
      <c r="E5" s="1">
        <v>31507</v>
      </c>
      <c r="F5" s="9">
        <f t="shared" si="0"/>
        <v>2514162</v>
      </c>
      <c r="G5" s="27">
        <f t="shared" si="5"/>
        <v>599629</v>
      </c>
      <c r="H5" s="1">
        <v>0</v>
      </c>
      <c r="I5" s="1">
        <v>1584</v>
      </c>
      <c r="J5" s="9">
        <f t="shared" si="1"/>
        <v>598045</v>
      </c>
      <c r="K5" s="27">
        <f t="shared" si="6"/>
        <v>522028</v>
      </c>
      <c r="L5" s="1">
        <v>0</v>
      </c>
      <c r="M5" s="1">
        <v>5479</v>
      </c>
      <c r="N5" s="9">
        <f t="shared" si="2"/>
        <v>516549</v>
      </c>
      <c r="O5" s="27">
        <f t="shared" si="7"/>
        <v>67720</v>
      </c>
      <c r="P5" s="1">
        <v>0</v>
      </c>
      <c r="Q5" s="1">
        <v>0</v>
      </c>
      <c r="R5" s="9">
        <f t="shared" si="3"/>
        <v>67720</v>
      </c>
    </row>
    <row r="6" spans="2:18" x14ac:dyDescent="0.25">
      <c r="B6" s="4">
        <v>4</v>
      </c>
      <c r="C6" s="27">
        <f t="shared" si="4"/>
        <v>2514162</v>
      </c>
      <c r="D6" s="1">
        <v>0</v>
      </c>
      <c r="E6" s="1">
        <v>51462</v>
      </c>
      <c r="F6" s="9">
        <f t="shared" si="0"/>
        <v>2462700</v>
      </c>
      <c r="G6" s="27">
        <f t="shared" si="5"/>
        <v>598045</v>
      </c>
      <c r="H6" s="1">
        <v>0</v>
      </c>
      <c r="I6" s="1">
        <v>2486</v>
      </c>
      <c r="J6" s="9">
        <f t="shared" si="1"/>
        <v>595559</v>
      </c>
      <c r="K6" s="27">
        <f t="shared" si="6"/>
        <v>516549</v>
      </c>
      <c r="L6" s="1">
        <v>0</v>
      </c>
      <c r="M6" s="1">
        <v>0</v>
      </c>
      <c r="N6" s="9">
        <f t="shared" si="2"/>
        <v>516549</v>
      </c>
      <c r="O6" s="27">
        <f t="shared" si="7"/>
        <v>67720</v>
      </c>
      <c r="P6" s="1">
        <v>0</v>
      </c>
      <c r="Q6" s="1">
        <v>600</v>
      </c>
      <c r="R6" s="9">
        <f t="shared" si="3"/>
        <v>67120</v>
      </c>
    </row>
    <row r="7" spans="2:18" x14ac:dyDescent="0.25">
      <c r="B7" s="4">
        <v>5</v>
      </c>
      <c r="C7" s="27">
        <f t="shared" si="4"/>
        <v>2462700</v>
      </c>
      <c r="D7" s="1">
        <v>0</v>
      </c>
      <c r="E7" s="1">
        <v>51430</v>
      </c>
      <c r="F7" s="9">
        <f t="shared" si="0"/>
        <v>2411270</v>
      </c>
      <c r="G7" s="27">
        <f t="shared" si="5"/>
        <v>595559</v>
      </c>
      <c r="H7" s="1">
        <v>0</v>
      </c>
      <c r="I7" s="1">
        <v>610</v>
      </c>
      <c r="J7" s="9">
        <f t="shared" si="1"/>
        <v>594949</v>
      </c>
      <c r="K7" s="27">
        <f t="shared" si="6"/>
        <v>516549</v>
      </c>
      <c r="L7" s="1">
        <v>0</v>
      </c>
      <c r="M7" s="1">
        <v>601</v>
      </c>
      <c r="N7" s="9">
        <f t="shared" si="2"/>
        <v>515948</v>
      </c>
      <c r="O7" s="27">
        <f t="shared" si="7"/>
        <v>67120</v>
      </c>
      <c r="P7" s="1">
        <v>0</v>
      </c>
      <c r="Q7" s="1">
        <v>0</v>
      </c>
      <c r="R7" s="9">
        <f t="shared" si="3"/>
        <v>67120</v>
      </c>
    </row>
    <row r="8" spans="2:18" x14ac:dyDescent="0.25">
      <c r="B8" s="4">
        <v>6</v>
      </c>
      <c r="C8" s="27">
        <f t="shared" si="4"/>
        <v>2411270</v>
      </c>
      <c r="D8" s="1">
        <v>0</v>
      </c>
      <c r="E8" s="1">
        <v>43365</v>
      </c>
      <c r="F8" s="9">
        <f>C8+D8-E8</f>
        <v>2367905</v>
      </c>
      <c r="G8" s="27">
        <f t="shared" si="5"/>
        <v>594949</v>
      </c>
      <c r="H8" s="1">
        <v>0</v>
      </c>
      <c r="I8" s="1">
        <v>4335</v>
      </c>
      <c r="J8" s="9">
        <f t="shared" si="1"/>
        <v>590614</v>
      </c>
      <c r="K8" s="27">
        <f t="shared" si="6"/>
        <v>515948</v>
      </c>
      <c r="L8" s="1">
        <v>0</v>
      </c>
      <c r="M8" s="1">
        <v>1718</v>
      </c>
      <c r="N8" s="9">
        <f t="shared" si="2"/>
        <v>514230</v>
      </c>
      <c r="O8" s="27">
        <f t="shared" si="7"/>
        <v>67120</v>
      </c>
      <c r="P8" s="1">
        <v>0</v>
      </c>
      <c r="Q8" s="1">
        <v>0</v>
      </c>
      <c r="R8" s="9">
        <f t="shared" si="3"/>
        <v>67120</v>
      </c>
    </row>
    <row r="9" spans="2:18" x14ac:dyDescent="0.25">
      <c r="B9" s="4">
        <v>7</v>
      </c>
      <c r="C9" s="27">
        <f t="shared" si="4"/>
        <v>2367905</v>
      </c>
      <c r="D9" s="1">
        <v>0</v>
      </c>
      <c r="E9" s="1">
        <v>46006</v>
      </c>
      <c r="F9" s="9">
        <f t="shared" si="0"/>
        <v>2321899</v>
      </c>
      <c r="G9" s="27">
        <f t="shared" si="5"/>
        <v>590614</v>
      </c>
      <c r="H9" s="1">
        <v>0</v>
      </c>
      <c r="I9" s="1">
        <v>0</v>
      </c>
      <c r="J9" s="9">
        <f t="shared" si="1"/>
        <v>590614</v>
      </c>
      <c r="K9" s="27">
        <f t="shared" si="6"/>
        <v>514230</v>
      </c>
      <c r="L9" s="1">
        <v>0</v>
      </c>
      <c r="M9" s="1">
        <v>5727</v>
      </c>
      <c r="N9" s="9">
        <f t="shared" si="2"/>
        <v>508503</v>
      </c>
      <c r="O9" s="27">
        <f t="shared" si="7"/>
        <v>67120</v>
      </c>
      <c r="P9" s="1">
        <v>0</v>
      </c>
      <c r="Q9" s="1">
        <v>0</v>
      </c>
      <c r="R9" s="9">
        <f t="shared" si="3"/>
        <v>67120</v>
      </c>
    </row>
    <row r="10" spans="2:18" x14ac:dyDescent="0.25">
      <c r="B10" s="4">
        <v>8</v>
      </c>
      <c r="C10" s="27">
        <f t="shared" si="4"/>
        <v>2321899</v>
      </c>
      <c r="D10" s="1">
        <v>174500</v>
      </c>
      <c r="E10" s="1">
        <v>29616</v>
      </c>
      <c r="F10" s="9">
        <f t="shared" si="0"/>
        <v>2466783</v>
      </c>
      <c r="G10" s="27">
        <f t="shared" si="5"/>
        <v>590614</v>
      </c>
      <c r="H10" s="1">
        <v>40500</v>
      </c>
      <c r="I10" s="1">
        <v>2412</v>
      </c>
      <c r="J10" s="9">
        <f t="shared" si="1"/>
        <v>628702</v>
      </c>
      <c r="K10" s="27">
        <f t="shared" si="6"/>
        <v>508503</v>
      </c>
      <c r="L10" s="1">
        <v>0</v>
      </c>
      <c r="M10" s="1">
        <v>3064</v>
      </c>
      <c r="N10" s="9">
        <f t="shared" si="2"/>
        <v>505439</v>
      </c>
      <c r="O10" s="27">
        <f t="shared" si="7"/>
        <v>67120</v>
      </c>
      <c r="P10" s="1">
        <v>85000</v>
      </c>
      <c r="Q10" s="1">
        <v>0</v>
      </c>
      <c r="R10" s="9">
        <f t="shared" si="3"/>
        <v>152120</v>
      </c>
    </row>
    <row r="11" spans="2:18" x14ac:dyDescent="0.25">
      <c r="B11" s="4">
        <v>9</v>
      </c>
      <c r="C11" s="27">
        <f t="shared" si="4"/>
        <v>2466783</v>
      </c>
      <c r="D11" s="1">
        <v>0</v>
      </c>
      <c r="E11" s="1">
        <v>30307</v>
      </c>
      <c r="F11" s="9">
        <f t="shared" si="0"/>
        <v>2436476</v>
      </c>
      <c r="G11" s="27">
        <f t="shared" si="5"/>
        <v>628702</v>
      </c>
      <c r="H11" s="1">
        <v>0</v>
      </c>
      <c r="I11" s="1">
        <v>4817</v>
      </c>
      <c r="J11" s="9">
        <f t="shared" si="1"/>
        <v>623885</v>
      </c>
      <c r="K11" s="27">
        <f t="shared" si="6"/>
        <v>505439</v>
      </c>
      <c r="L11" s="1">
        <v>0</v>
      </c>
      <c r="M11" s="1">
        <v>602</v>
      </c>
      <c r="N11" s="9">
        <f t="shared" si="2"/>
        <v>504837</v>
      </c>
      <c r="O11" s="27">
        <f t="shared" si="7"/>
        <v>152120</v>
      </c>
      <c r="P11" s="1">
        <v>0</v>
      </c>
      <c r="Q11" s="1">
        <v>0</v>
      </c>
      <c r="R11" s="9">
        <f t="shared" si="3"/>
        <v>152120</v>
      </c>
    </row>
    <row r="12" spans="2:18" x14ac:dyDescent="0.25">
      <c r="B12" s="4">
        <v>10</v>
      </c>
      <c r="C12" s="27">
        <f t="shared" si="4"/>
        <v>2436476</v>
      </c>
      <c r="D12" s="1">
        <v>0</v>
      </c>
      <c r="E12" s="1">
        <v>28088</v>
      </c>
      <c r="F12" s="9">
        <f t="shared" si="0"/>
        <v>2408388</v>
      </c>
      <c r="G12" s="27">
        <f t="shared" si="5"/>
        <v>623885</v>
      </c>
      <c r="H12" s="1">
        <v>0</v>
      </c>
      <c r="I12" s="1">
        <v>1227</v>
      </c>
      <c r="J12" s="9">
        <f t="shared" si="1"/>
        <v>622658</v>
      </c>
      <c r="K12" s="27">
        <f t="shared" si="6"/>
        <v>504837</v>
      </c>
      <c r="L12" s="1">
        <v>0</v>
      </c>
      <c r="M12" s="1">
        <v>600</v>
      </c>
      <c r="N12" s="9">
        <f t="shared" si="2"/>
        <v>504237</v>
      </c>
      <c r="O12" s="27">
        <f t="shared" si="7"/>
        <v>152120</v>
      </c>
      <c r="P12" s="1">
        <v>0</v>
      </c>
      <c r="Q12" s="1">
        <v>0</v>
      </c>
      <c r="R12" s="9">
        <f t="shared" si="3"/>
        <v>152120</v>
      </c>
    </row>
    <row r="13" spans="2:18" x14ac:dyDescent="0.25">
      <c r="B13" s="4">
        <v>11</v>
      </c>
      <c r="C13" s="27">
        <f t="shared" si="4"/>
        <v>2408388</v>
      </c>
      <c r="D13" s="1">
        <v>0</v>
      </c>
      <c r="E13" s="1">
        <v>51949</v>
      </c>
      <c r="F13" s="9">
        <f t="shared" si="0"/>
        <v>2356439</v>
      </c>
      <c r="G13" s="27">
        <f t="shared" si="5"/>
        <v>622658</v>
      </c>
      <c r="H13" s="1">
        <v>0</v>
      </c>
      <c r="I13" s="1">
        <v>600</v>
      </c>
      <c r="J13" s="9">
        <f t="shared" si="1"/>
        <v>622058</v>
      </c>
      <c r="K13" s="27">
        <f t="shared" si="6"/>
        <v>504237</v>
      </c>
      <c r="L13" s="1">
        <v>0</v>
      </c>
      <c r="M13" s="1">
        <v>5860</v>
      </c>
      <c r="N13" s="9">
        <f t="shared" si="2"/>
        <v>498377</v>
      </c>
      <c r="O13" s="27">
        <f t="shared" si="7"/>
        <v>152120</v>
      </c>
      <c r="P13" s="1">
        <v>0</v>
      </c>
      <c r="Q13" s="1">
        <v>0</v>
      </c>
      <c r="R13" s="9">
        <f t="shared" si="3"/>
        <v>152120</v>
      </c>
    </row>
    <row r="14" spans="2:18" x14ac:dyDescent="0.25">
      <c r="B14" s="4">
        <v>12</v>
      </c>
      <c r="C14" s="27">
        <f t="shared" si="4"/>
        <v>2356439</v>
      </c>
      <c r="D14" s="1">
        <v>240000</v>
      </c>
      <c r="E14" s="1">
        <v>42192</v>
      </c>
      <c r="F14" s="9">
        <f t="shared" si="0"/>
        <v>2554247</v>
      </c>
      <c r="G14" s="27">
        <f t="shared" si="5"/>
        <v>622058</v>
      </c>
      <c r="H14" s="1">
        <v>0</v>
      </c>
      <c r="I14" s="1">
        <v>1801</v>
      </c>
      <c r="J14" s="9">
        <f t="shared" si="1"/>
        <v>620257</v>
      </c>
      <c r="K14" s="27">
        <f t="shared" si="6"/>
        <v>498377</v>
      </c>
      <c r="L14" s="1">
        <v>0</v>
      </c>
      <c r="M14" s="1">
        <v>2543</v>
      </c>
      <c r="N14" s="9">
        <f t="shared" si="2"/>
        <v>495834</v>
      </c>
      <c r="O14" s="27">
        <f t="shared" si="7"/>
        <v>152120</v>
      </c>
      <c r="P14" s="1">
        <v>0</v>
      </c>
      <c r="Q14" s="1">
        <v>0</v>
      </c>
      <c r="R14" s="9">
        <f t="shared" si="3"/>
        <v>152120</v>
      </c>
    </row>
    <row r="15" spans="2:18" x14ac:dyDescent="0.25">
      <c r="B15" s="4">
        <v>13</v>
      </c>
      <c r="C15" s="27">
        <f t="shared" si="4"/>
        <v>2554247</v>
      </c>
      <c r="D15" s="1">
        <v>0</v>
      </c>
      <c r="E15" s="1">
        <v>49235</v>
      </c>
      <c r="F15" s="9">
        <f t="shared" si="0"/>
        <v>2505012</v>
      </c>
      <c r="G15" s="27">
        <f t="shared" si="5"/>
        <v>620257</v>
      </c>
      <c r="H15" s="1">
        <v>0</v>
      </c>
      <c r="I15" s="1">
        <v>2769</v>
      </c>
      <c r="J15" s="9">
        <f t="shared" si="1"/>
        <v>617488</v>
      </c>
      <c r="K15" s="27">
        <f t="shared" si="6"/>
        <v>495834</v>
      </c>
      <c r="L15" s="1">
        <v>0</v>
      </c>
      <c r="M15" s="1">
        <v>601</v>
      </c>
      <c r="N15" s="9">
        <f t="shared" si="2"/>
        <v>495233</v>
      </c>
      <c r="O15" s="27">
        <f t="shared" si="7"/>
        <v>152120</v>
      </c>
      <c r="P15" s="1">
        <v>0</v>
      </c>
      <c r="Q15" s="1">
        <v>602</v>
      </c>
      <c r="R15" s="9">
        <f t="shared" si="3"/>
        <v>151518</v>
      </c>
    </row>
    <row r="16" spans="2:18" x14ac:dyDescent="0.25">
      <c r="B16" s="4">
        <v>14</v>
      </c>
      <c r="C16" s="27">
        <f t="shared" si="4"/>
        <v>2505012</v>
      </c>
      <c r="D16" s="1">
        <v>0</v>
      </c>
      <c r="E16" s="1">
        <v>48684</v>
      </c>
      <c r="F16" s="9">
        <f t="shared" si="0"/>
        <v>2456328</v>
      </c>
      <c r="G16" s="27">
        <f t="shared" si="5"/>
        <v>617488</v>
      </c>
      <c r="H16" s="1">
        <v>0</v>
      </c>
      <c r="I16" s="1">
        <v>645</v>
      </c>
      <c r="J16" s="9">
        <f t="shared" si="1"/>
        <v>616843</v>
      </c>
      <c r="K16" s="27">
        <f t="shared" si="6"/>
        <v>495233</v>
      </c>
      <c r="L16" s="1">
        <v>0</v>
      </c>
      <c r="M16" s="1">
        <v>606</v>
      </c>
      <c r="N16" s="9">
        <f t="shared" si="2"/>
        <v>494627</v>
      </c>
      <c r="O16" s="27">
        <f t="shared" si="7"/>
        <v>151518</v>
      </c>
      <c r="P16" s="1">
        <v>0</v>
      </c>
      <c r="Q16" s="1">
        <v>0</v>
      </c>
      <c r="R16" s="9">
        <f t="shared" si="3"/>
        <v>151518</v>
      </c>
    </row>
    <row r="17" spans="2:18" x14ac:dyDescent="0.25">
      <c r="B17" s="4">
        <v>15</v>
      </c>
      <c r="C17" s="27">
        <f t="shared" si="4"/>
        <v>2456328</v>
      </c>
      <c r="D17" s="1">
        <v>0</v>
      </c>
      <c r="E17" s="1">
        <v>39977</v>
      </c>
      <c r="F17" s="9">
        <f t="shared" si="0"/>
        <v>2416351</v>
      </c>
      <c r="G17" s="27">
        <f t="shared" si="5"/>
        <v>616843</v>
      </c>
      <c r="H17" s="1">
        <v>0</v>
      </c>
      <c r="I17" s="1">
        <v>1801</v>
      </c>
      <c r="J17" s="9">
        <f t="shared" si="1"/>
        <v>615042</v>
      </c>
      <c r="K17" s="27">
        <f t="shared" si="6"/>
        <v>494627</v>
      </c>
      <c r="L17" s="1">
        <v>0</v>
      </c>
      <c r="M17" s="1">
        <v>1152</v>
      </c>
      <c r="N17" s="9">
        <f t="shared" si="2"/>
        <v>493475</v>
      </c>
      <c r="O17" s="27">
        <f t="shared" si="7"/>
        <v>151518</v>
      </c>
      <c r="P17" s="1">
        <v>0</v>
      </c>
      <c r="Q17" s="1">
        <v>0</v>
      </c>
      <c r="R17" s="9">
        <f t="shared" si="3"/>
        <v>151518</v>
      </c>
    </row>
    <row r="18" spans="2:18" x14ac:dyDescent="0.25">
      <c r="B18" s="4">
        <v>16</v>
      </c>
      <c r="C18" s="27">
        <f t="shared" si="4"/>
        <v>2416351</v>
      </c>
      <c r="D18" s="1">
        <v>0</v>
      </c>
      <c r="E18" s="1">
        <v>36818</v>
      </c>
      <c r="F18" s="9">
        <f t="shared" si="0"/>
        <v>2379533</v>
      </c>
      <c r="G18" s="27">
        <f t="shared" si="5"/>
        <v>615042</v>
      </c>
      <c r="H18" s="1">
        <v>0</v>
      </c>
      <c r="I18" s="1">
        <v>2407</v>
      </c>
      <c r="J18" s="9">
        <f t="shared" si="1"/>
        <v>612635</v>
      </c>
      <c r="K18" s="27">
        <f t="shared" si="6"/>
        <v>493475</v>
      </c>
      <c r="L18" s="1">
        <v>0</v>
      </c>
      <c r="M18" s="1">
        <v>1300</v>
      </c>
      <c r="N18" s="9">
        <f t="shared" si="2"/>
        <v>492175</v>
      </c>
      <c r="O18" s="27">
        <f t="shared" si="7"/>
        <v>151518</v>
      </c>
      <c r="P18" s="1">
        <v>0</v>
      </c>
      <c r="Q18" s="1">
        <v>0</v>
      </c>
      <c r="R18" s="9">
        <f t="shared" si="3"/>
        <v>151518</v>
      </c>
    </row>
    <row r="19" spans="2:18" x14ac:dyDescent="0.25">
      <c r="B19" s="4">
        <v>17</v>
      </c>
      <c r="C19" s="27">
        <f t="shared" si="4"/>
        <v>2379533</v>
      </c>
      <c r="D19" s="1">
        <v>101500</v>
      </c>
      <c r="E19" s="1">
        <v>37980</v>
      </c>
      <c r="F19" s="9">
        <f t="shared" si="0"/>
        <v>2443053</v>
      </c>
      <c r="G19" s="27">
        <f t="shared" si="5"/>
        <v>612635</v>
      </c>
      <c r="H19" s="1">
        <v>0</v>
      </c>
      <c r="I19" s="1">
        <v>3390</v>
      </c>
      <c r="J19" s="9">
        <f t="shared" si="1"/>
        <v>609245</v>
      </c>
      <c r="K19" s="27">
        <f t="shared" si="6"/>
        <v>492175</v>
      </c>
      <c r="L19" s="1">
        <v>0</v>
      </c>
      <c r="M19" s="1">
        <v>1209</v>
      </c>
      <c r="N19" s="9">
        <f t="shared" si="2"/>
        <v>490966</v>
      </c>
      <c r="O19" s="27">
        <f t="shared" si="7"/>
        <v>151518</v>
      </c>
      <c r="P19" s="1">
        <v>0</v>
      </c>
      <c r="Q19" s="1">
        <v>604</v>
      </c>
      <c r="R19" s="9">
        <f t="shared" si="3"/>
        <v>150914</v>
      </c>
    </row>
    <row r="20" spans="2:18" x14ac:dyDescent="0.25">
      <c r="B20" s="4">
        <v>18</v>
      </c>
      <c r="C20" s="27">
        <f t="shared" si="4"/>
        <v>2443053</v>
      </c>
      <c r="D20" s="1">
        <v>0</v>
      </c>
      <c r="E20" s="1">
        <v>47383</v>
      </c>
      <c r="F20" s="9">
        <f t="shared" si="0"/>
        <v>2395670</v>
      </c>
      <c r="G20" s="27">
        <f t="shared" si="5"/>
        <v>609245</v>
      </c>
      <c r="H20" s="1">
        <v>0</v>
      </c>
      <c r="I20" s="1">
        <v>4831</v>
      </c>
      <c r="J20" s="9">
        <f t="shared" si="1"/>
        <v>604414</v>
      </c>
      <c r="K20" s="27">
        <f t="shared" si="6"/>
        <v>490966</v>
      </c>
      <c r="L20" s="1">
        <v>0</v>
      </c>
      <c r="M20" s="1">
        <v>3198</v>
      </c>
      <c r="N20" s="9">
        <f t="shared" si="2"/>
        <v>487768</v>
      </c>
      <c r="O20" s="27">
        <f t="shared" si="7"/>
        <v>150914</v>
      </c>
      <c r="P20" s="1">
        <v>0</v>
      </c>
      <c r="Q20" s="1">
        <v>603</v>
      </c>
      <c r="R20" s="9">
        <f t="shared" si="3"/>
        <v>150311</v>
      </c>
    </row>
    <row r="21" spans="2:18" x14ac:dyDescent="0.25">
      <c r="B21" s="4">
        <v>19</v>
      </c>
      <c r="C21" s="27">
        <f t="shared" si="4"/>
        <v>2395670</v>
      </c>
      <c r="D21" s="1">
        <v>0</v>
      </c>
      <c r="E21" s="1">
        <v>20187</v>
      </c>
      <c r="F21" s="9">
        <f t="shared" si="0"/>
        <v>2375483</v>
      </c>
      <c r="G21" s="27">
        <f t="shared" si="5"/>
        <v>604414</v>
      </c>
      <c r="H21" s="1">
        <v>0</v>
      </c>
      <c r="I21" s="1">
        <v>610</v>
      </c>
      <c r="J21" s="9">
        <f t="shared" si="1"/>
        <v>603804</v>
      </c>
      <c r="K21" s="27">
        <f t="shared" si="6"/>
        <v>487768</v>
      </c>
      <c r="L21" s="1">
        <v>0</v>
      </c>
      <c r="M21" s="1">
        <v>4903</v>
      </c>
      <c r="N21" s="9">
        <f t="shared" si="2"/>
        <v>482865</v>
      </c>
      <c r="O21" s="27">
        <f t="shared" si="7"/>
        <v>150311</v>
      </c>
      <c r="P21" s="1">
        <v>0</v>
      </c>
      <c r="Q21" s="1">
        <v>0</v>
      </c>
      <c r="R21" s="9">
        <f t="shared" si="3"/>
        <v>150311</v>
      </c>
    </row>
    <row r="22" spans="2:18" x14ac:dyDescent="0.25">
      <c r="B22" s="4">
        <v>20</v>
      </c>
      <c r="C22" s="27">
        <f t="shared" si="4"/>
        <v>2375483</v>
      </c>
      <c r="D22" s="1">
        <v>0</v>
      </c>
      <c r="E22" s="1">
        <v>10382</v>
      </c>
      <c r="F22" s="9">
        <f t="shared" si="0"/>
        <v>2365101</v>
      </c>
      <c r="G22" s="27">
        <f t="shared" si="5"/>
        <v>603804</v>
      </c>
      <c r="H22" s="1">
        <v>0</v>
      </c>
      <c r="I22" s="1">
        <v>412</v>
      </c>
      <c r="J22" s="9">
        <f t="shared" si="1"/>
        <v>603392</v>
      </c>
      <c r="K22" s="27">
        <f t="shared" si="6"/>
        <v>482865</v>
      </c>
      <c r="L22" s="1">
        <v>0</v>
      </c>
      <c r="M22" s="1">
        <v>1208</v>
      </c>
      <c r="N22" s="9">
        <f t="shared" si="2"/>
        <v>481657</v>
      </c>
      <c r="O22" s="27">
        <f t="shared" si="7"/>
        <v>150311</v>
      </c>
      <c r="P22" s="1">
        <v>0</v>
      </c>
      <c r="Q22" s="1">
        <v>623</v>
      </c>
      <c r="R22" s="9">
        <f t="shared" si="3"/>
        <v>149688</v>
      </c>
    </row>
    <row r="23" spans="2:18" x14ac:dyDescent="0.25">
      <c r="B23" s="4">
        <v>21</v>
      </c>
      <c r="C23" s="27">
        <f t="shared" si="4"/>
        <v>2365101</v>
      </c>
      <c r="D23" s="1">
        <v>0</v>
      </c>
      <c r="E23" s="1">
        <v>7629</v>
      </c>
      <c r="F23" s="9">
        <f t="shared" si="0"/>
        <v>2357472</v>
      </c>
      <c r="G23" s="27">
        <f t="shared" si="5"/>
        <v>603392</v>
      </c>
      <c r="H23" s="1">
        <v>0</v>
      </c>
      <c r="I23" s="1">
        <v>0</v>
      </c>
      <c r="J23" s="9">
        <f>G23+H23-I23</f>
        <v>603392</v>
      </c>
      <c r="K23" s="27">
        <f t="shared" si="6"/>
        <v>481657</v>
      </c>
      <c r="L23" s="1">
        <v>0</v>
      </c>
      <c r="M23" s="1">
        <v>606</v>
      </c>
      <c r="N23" s="9">
        <f t="shared" si="2"/>
        <v>481051</v>
      </c>
      <c r="O23" s="27">
        <f t="shared" si="7"/>
        <v>149688</v>
      </c>
      <c r="P23" s="1">
        <v>0</v>
      </c>
      <c r="Q23" s="1">
        <v>0</v>
      </c>
      <c r="R23" s="9">
        <f t="shared" si="3"/>
        <v>149688</v>
      </c>
    </row>
    <row r="24" spans="2:18" x14ac:dyDescent="0.25">
      <c r="B24" s="4">
        <v>22</v>
      </c>
      <c r="C24" s="41">
        <f>F23</f>
        <v>2357472</v>
      </c>
      <c r="D24" s="1">
        <v>195000</v>
      </c>
      <c r="E24" s="1">
        <v>12865</v>
      </c>
      <c r="F24" s="9">
        <f t="shared" si="0"/>
        <v>2539607</v>
      </c>
      <c r="G24" s="41">
        <f>J23</f>
        <v>603392</v>
      </c>
      <c r="H24" s="1">
        <v>0</v>
      </c>
      <c r="I24" s="1">
        <v>0</v>
      </c>
      <c r="J24" s="9">
        <f t="shared" si="1"/>
        <v>603392</v>
      </c>
      <c r="K24" s="27">
        <f t="shared" si="6"/>
        <v>481051</v>
      </c>
      <c r="L24" s="1">
        <v>0</v>
      </c>
      <c r="M24" s="1">
        <v>1815</v>
      </c>
      <c r="N24" s="9">
        <f t="shared" si="2"/>
        <v>479236</v>
      </c>
      <c r="O24" s="27">
        <f t="shared" si="7"/>
        <v>149688</v>
      </c>
      <c r="P24" s="1">
        <v>0</v>
      </c>
      <c r="Q24" s="1">
        <v>0</v>
      </c>
      <c r="R24" s="9">
        <f t="shared" si="3"/>
        <v>149688</v>
      </c>
    </row>
    <row r="25" spans="2:18" x14ac:dyDescent="0.25">
      <c r="B25" s="4">
        <v>23</v>
      </c>
      <c r="C25" s="27">
        <f t="shared" si="4"/>
        <v>2539607</v>
      </c>
      <c r="D25" s="1">
        <v>100000</v>
      </c>
      <c r="E25" s="1">
        <v>10654</v>
      </c>
      <c r="F25" s="9">
        <f t="shared" si="0"/>
        <v>2628953</v>
      </c>
      <c r="G25" s="27">
        <f t="shared" si="5"/>
        <v>603392</v>
      </c>
      <c r="H25" s="1">
        <v>0</v>
      </c>
      <c r="I25" s="1">
        <v>0</v>
      </c>
      <c r="J25" s="9">
        <f t="shared" si="1"/>
        <v>603392</v>
      </c>
      <c r="K25" s="27">
        <f t="shared" si="6"/>
        <v>479236</v>
      </c>
      <c r="L25" s="1">
        <v>0</v>
      </c>
      <c r="M25" s="1">
        <v>605</v>
      </c>
      <c r="N25" s="9">
        <f t="shared" si="2"/>
        <v>478631</v>
      </c>
      <c r="O25" s="27">
        <f t="shared" si="7"/>
        <v>149688</v>
      </c>
      <c r="P25" s="1">
        <v>0</v>
      </c>
      <c r="Q25" s="1">
        <v>0</v>
      </c>
      <c r="R25" s="9">
        <f t="shared" si="3"/>
        <v>149688</v>
      </c>
    </row>
    <row r="26" spans="2:18" x14ac:dyDescent="0.25">
      <c r="B26" s="4">
        <v>24</v>
      </c>
      <c r="C26" s="27">
        <f t="shared" si="4"/>
        <v>2628953</v>
      </c>
      <c r="D26" s="1">
        <v>0</v>
      </c>
      <c r="E26" s="1">
        <v>16671</v>
      </c>
      <c r="F26" s="9">
        <f>C26+D26-E26</f>
        <v>2612282</v>
      </c>
      <c r="G26" s="27">
        <f t="shared" si="5"/>
        <v>603392</v>
      </c>
      <c r="H26" s="1">
        <v>0</v>
      </c>
      <c r="I26" s="1">
        <v>1222</v>
      </c>
      <c r="J26" s="9">
        <f t="shared" si="1"/>
        <v>602170</v>
      </c>
      <c r="K26" s="27">
        <f t="shared" si="6"/>
        <v>478631</v>
      </c>
      <c r="L26" s="1">
        <v>0</v>
      </c>
      <c r="M26" s="1">
        <v>600</v>
      </c>
      <c r="N26" s="9">
        <f t="shared" si="2"/>
        <v>478031</v>
      </c>
      <c r="O26" s="27">
        <f t="shared" si="7"/>
        <v>149688</v>
      </c>
      <c r="P26" s="1">
        <v>0</v>
      </c>
      <c r="Q26" s="1">
        <v>0</v>
      </c>
      <c r="R26" s="9">
        <f t="shared" si="3"/>
        <v>149688</v>
      </c>
    </row>
    <row r="27" spans="2:18" x14ac:dyDescent="0.25">
      <c r="B27" s="4">
        <v>25</v>
      </c>
      <c r="C27" s="27">
        <f t="shared" si="4"/>
        <v>2612282</v>
      </c>
      <c r="D27" s="1">
        <v>150000</v>
      </c>
      <c r="E27" s="1">
        <v>17337</v>
      </c>
      <c r="F27" s="9">
        <f t="shared" si="0"/>
        <v>2744945</v>
      </c>
      <c r="G27" s="27">
        <f t="shared" si="5"/>
        <v>602170</v>
      </c>
      <c r="H27" s="1">
        <v>0</v>
      </c>
      <c r="I27" s="1">
        <v>1858</v>
      </c>
      <c r="J27" s="9">
        <f t="shared" ref="J27:J33" si="8">G27+H27-I27</f>
        <v>600312</v>
      </c>
      <c r="K27" s="27">
        <f t="shared" si="6"/>
        <v>478031</v>
      </c>
      <c r="L27" s="1">
        <v>150000</v>
      </c>
      <c r="M27" s="1">
        <v>1217</v>
      </c>
      <c r="N27" s="9">
        <f t="shared" ref="N27:N33" si="9">K27+L27-M27</f>
        <v>626814</v>
      </c>
      <c r="O27" s="27">
        <f t="shared" si="7"/>
        <v>149688</v>
      </c>
      <c r="P27" s="1">
        <v>0</v>
      </c>
      <c r="Q27" s="1">
        <v>609</v>
      </c>
      <c r="R27" s="9">
        <f t="shared" si="3"/>
        <v>149079</v>
      </c>
    </row>
    <row r="28" spans="2:18" x14ac:dyDescent="0.25">
      <c r="B28" s="4">
        <v>26</v>
      </c>
      <c r="C28" s="27">
        <f t="shared" ref="C28:C33" si="10">F27</f>
        <v>2744945</v>
      </c>
      <c r="D28" s="1">
        <v>0</v>
      </c>
      <c r="E28" s="1">
        <v>47666</v>
      </c>
      <c r="F28" s="9">
        <f t="shared" ref="F28:F33" si="11">C28+D28-E28</f>
        <v>2697279</v>
      </c>
      <c r="G28" s="27">
        <f t="shared" ref="G28:G33" si="12">J27</f>
        <v>600312</v>
      </c>
      <c r="H28" s="1">
        <v>0</v>
      </c>
      <c r="I28" s="1">
        <v>5101</v>
      </c>
      <c r="J28" s="9">
        <f t="shared" si="8"/>
        <v>595211</v>
      </c>
      <c r="K28" s="27">
        <f t="shared" si="6"/>
        <v>626814</v>
      </c>
      <c r="L28" s="1">
        <v>0</v>
      </c>
      <c r="M28" s="1">
        <v>6062</v>
      </c>
      <c r="N28" s="9">
        <f t="shared" si="9"/>
        <v>620752</v>
      </c>
      <c r="O28" s="27">
        <f t="shared" si="7"/>
        <v>149079</v>
      </c>
      <c r="P28" s="1">
        <v>0</v>
      </c>
      <c r="Q28" s="1">
        <v>600</v>
      </c>
      <c r="R28" s="9">
        <f t="shared" si="3"/>
        <v>148479</v>
      </c>
    </row>
    <row r="29" spans="2:18" x14ac:dyDescent="0.25">
      <c r="B29" s="4">
        <v>27</v>
      </c>
      <c r="C29" s="27">
        <f t="shared" si="10"/>
        <v>2697279</v>
      </c>
      <c r="D29" s="1">
        <v>0</v>
      </c>
      <c r="E29" s="1">
        <v>42327</v>
      </c>
      <c r="F29" s="9">
        <f t="shared" si="11"/>
        <v>2654952</v>
      </c>
      <c r="G29" s="27">
        <f t="shared" si="12"/>
        <v>595211</v>
      </c>
      <c r="H29" s="1">
        <v>0</v>
      </c>
      <c r="I29" s="1">
        <v>3004</v>
      </c>
      <c r="J29" s="9">
        <f t="shared" si="8"/>
        <v>592207</v>
      </c>
      <c r="K29" s="27">
        <f t="shared" si="6"/>
        <v>620752</v>
      </c>
      <c r="L29" s="1">
        <v>0</v>
      </c>
      <c r="M29" s="1">
        <v>7406</v>
      </c>
      <c r="N29" s="9">
        <f t="shared" si="9"/>
        <v>613346</v>
      </c>
      <c r="O29" s="27">
        <f t="shared" si="7"/>
        <v>148479</v>
      </c>
      <c r="P29" s="1">
        <v>0</v>
      </c>
      <c r="Q29" s="1">
        <v>0</v>
      </c>
      <c r="R29" s="9">
        <f t="shared" si="3"/>
        <v>148479</v>
      </c>
    </row>
    <row r="30" spans="2:18" x14ac:dyDescent="0.25">
      <c r="B30" s="4">
        <v>28</v>
      </c>
      <c r="C30" s="27">
        <f t="shared" si="10"/>
        <v>2654952</v>
      </c>
      <c r="D30" s="1">
        <v>0</v>
      </c>
      <c r="E30" s="1">
        <v>45727</v>
      </c>
      <c r="F30" s="9">
        <f t="shared" si="11"/>
        <v>2609225</v>
      </c>
      <c r="G30" s="27">
        <f t="shared" si="12"/>
        <v>592207</v>
      </c>
      <c r="H30" s="1">
        <v>0</v>
      </c>
      <c r="I30" s="1">
        <v>1229</v>
      </c>
      <c r="J30" s="9">
        <f t="shared" si="8"/>
        <v>590978</v>
      </c>
      <c r="K30" s="27">
        <f t="shared" si="6"/>
        <v>613346</v>
      </c>
      <c r="L30" s="1">
        <v>0</v>
      </c>
      <c r="M30" s="1">
        <v>4636</v>
      </c>
      <c r="N30" s="9">
        <f t="shared" si="9"/>
        <v>608710</v>
      </c>
      <c r="O30" s="27">
        <f t="shared" si="7"/>
        <v>148479</v>
      </c>
      <c r="P30" s="1">
        <v>0</v>
      </c>
      <c r="Q30" s="1">
        <v>0</v>
      </c>
      <c r="R30" s="9">
        <f t="shared" si="3"/>
        <v>148479</v>
      </c>
    </row>
    <row r="31" spans="2:18" x14ac:dyDescent="0.25">
      <c r="B31" s="4">
        <v>29</v>
      </c>
      <c r="C31" s="27">
        <f t="shared" si="10"/>
        <v>2609225</v>
      </c>
      <c r="D31" s="1">
        <v>240000</v>
      </c>
      <c r="E31" s="1">
        <v>44198</v>
      </c>
      <c r="F31" s="9">
        <f t="shared" si="11"/>
        <v>2805027</v>
      </c>
      <c r="G31" s="27">
        <f t="shared" si="12"/>
        <v>590978</v>
      </c>
      <c r="H31" s="1">
        <v>0</v>
      </c>
      <c r="I31" s="1">
        <v>3051</v>
      </c>
      <c r="J31" s="9">
        <f t="shared" si="8"/>
        <v>587927</v>
      </c>
      <c r="K31" s="27">
        <f t="shared" si="6"/>
        <v>608710</v>
      </c>
      <c r="L31" s="1">
        <v>0</v>
      </c>
      <c r="M31" s="1">
        <v>6292</v>
      </c>
      <c r="N31" s="9">
        <f t="shared" si="9"/>
        <v>602418</v>
      </c>
      <c r="O31" s="27">
        <f t="shared" si="7"/>
        <v>148479</v>
      </c>
      <c r="P31" s="1">
        <v>0</v>
      </c>
      <c r="Q31" s="1">
        <v>0</v>
      </c>
      <c r="R31" s="9">
        <f t="shared" si="3"/>
        <v>148479</v>
      </c>
    </row>
    <row r="32" spans="2:18" x14ac:dyDescent="0.25">
      <c r="B32" s="4">
        <v>30</v>
      </c>
      <c r="C32" s="27">
        <f t="shared" si="10"/>
        <v>2805027</v>
      </c>
      <c r="D32" s="1">
        <v>0</v>
      </c>
      <c r="E32" s="1">
        <v>40854</v>
      </c>
      <c r="F32" s="9">
        <f t="shared" si="11"/>
        <v>2764173</v>
      </c>
      <c r="G32" s="27">
        <f t="shared" si="12"/>
        <v>587927</v>
      </c>
      <c r="H32" s="1">
        <v>0</v>
      </c>
      <c r="I32" s="1">
        <v>1820</v>
      </c>
      <c r="J32" s="9">
        <f t="shared" si="8"/>
        <v>586107</v>
      </c>
      <c r="K32" s="27">
        <f t="shared" si="6"/>
        <v>602418</v>
      </c>
      <c r="L32" s="1">
        <v>0</v>
      </c>
      <c r="M32" s="1">
        <v>9623</v>
      </c>
      <c r="N32" s="9">
        <f t="shared" si="9"/>
        <v>592795</v>
      </c>
      <c r="O32" s="27">
        <f t="shared" si="7"/>
        <v>148479</v>
      </c>
      <c r="P32" s="1">
        <v>0</v>
      </c>
      <c r="Q32" s="1">
        <v>0</v>
      </c>
      <c r="R32" s="9">
        <f t="shared" si="3"/>
        <v>148479</v>
      </c>
    </row>
    <row r="33" spans="2:18" x14ac:dyDescent="0.25">
      <c r="B33" s="4">
        <v>31</v>
      </c>
      <c r="C33" s="27">
        <f t="shared" si="10"/>
        <v>2764173</v>
      </c>
      <c r="D33" s="1">
        <v>0</v>
      </c>
      <c r="E33" s="1">
        <v>0</v>
      </c>
      <c r="F33" s="9">
        <f t="shared" si="11"/>
        <v>2764173</v>
      </c>
      <c r="G33" s="27">
        <f t="shared" si="12"/>
        <v>586107</v>
      </c>
      <c r="H33" s="1">
        <v>0</v>
      </c>
      <c r="I33" s="1">
        <v>0</v>
      </c>
      <c r="J33" s="9">
        <f t="shared" si="8"/>
        <v>586107</v>
      </c>
      <c r="K33" s="27">
        <f t="shared" si="6"/>
        <v>592795</v>
      </c>
      <c r="L33" s="1">
        <v>0</v>
      </c>
      <c r="M33" s="1">
        <v>0</v>
      </c>
      <c r="N33" s="9">
        <f t="shared" si="9"/>
        <v>592795</v>
      </c>
      <c r="O33" s="27">
        <f t="shared" si="7"/>
        <v>148479</v>
      </c>
      <c r="P33" s="1">
        <v>0</v>
      </c>
      <c r="Q33" s="1">
        <v>0</v>
      </c>
      <c r="R33" s="9">
        <f t="shared" si="3"/>
        <v>148479</v>
      </c>
    </row>
    <row r="34" spans="2:18" ht="15.75" thickBot="1" x14ac:dyDescent="0.3">
      <c r="B34" s="5" t="s">
        <v>44</v>
      </c>
      <c r="C34" s="8"/>
      <c r="D34" s="8">
        <f t="shared" ref="D34:I34" si="13">SUM(D3:D33)</f>
        <v>1201000</v>
      </c>
      <c r="E34" s="8">
        <f t="shared" si="13"/>
        <v>1064062</v>
      </c>
      <c r="F34" s="10"/>
      <c r="G34" s="8"/>
      <c r="H34" s="8">
        <f t="shared" si="13"/>
        <v>40500</v>
      </c>
      <c r="I34" s="8">
        <f t="shared" si="13"/>
        <v>56554</v>
      </c>
      <c r="J34" s="10"/>
      <c r="K34" s="8"/>
      <c r="L34" s="8">
        <f>SUM(L3:L33)</f>
        <v>150000</v>
      </c>
      <c r="M34" s="8">
        <f>SUM(M3:M33)</f>
        <v>85968</v>
      </c>
      <c r="N34" s="10"/>
      <c r="O34" s="8"/>
      <c r="P34" s="8">
        <f>SUM(P3:P33)</f>
        <v>85000</v>
      </c>
      <c r="Q34" s="8">
        <f>SUM(Q3:Q33)</f>
        <v>5453</v>
      </c>
      <c r="R34" s="10"/>
    </row>
    <row r="35" spans="2:18" x14ac:dyDescent="0.25">
      <c r="B35" t="s">
        <v>45</v>
      </c>
      <c r="D35" s="13">
        <f>D36+SUM(D3:D33)</f>
        <v>4353500</v>
      </c>
      <c r="E35" s="13">
        <f>E36+SUM(E3:E33)</f>
        <v>2640896</v>
      </c>
      <c r="F35" s="13"/>
      <c r="G35" s="13"/>
      <c r="H35" s="13">
        <f>H36+SUM(H3:H33)</f>
        <v>332000</v>
      </c>
      <c r="I35" s="13">
        <f>I36+SUM(I3:I33)</f>
        <v>146175</v>
      </c>
      <c r="L35">
        <f>L36+SUM(L3:L33)</f>
        <v>445000</v>
      </c>
      <c r="M35">
        <f>M36+SUM(M3:M33)</f>
        <v>258260</v>
      </c>
      <c r="P35">
        <f>P36+SUM(P3:P33)</f>
        <v>85000</v>
      </c>
      <c r="Q35">
        <f>Q36+SUM(Q3:Q33)</f>
        <v>20222</v>
      </c>
    </row>
    <row r="36" spans="2:18" x14ac:dyDescent="0.25">
      <c r="B36" t="s">
        <v>45</v>
      </c>
      <c r="D36" s="13">
        <v>3152500</v>
      </c>
      <c r="E36" s="13">
        <v>1576834</v>
      </c>
      <c r="F36" s="13"/>
      <c r="G36" s="13"/>
      <c r="H36" s="13">
        <v>291500</v>
      </c>
      <c r="I36" s="13">
        <v>89621</v>
      </c>
      <c r="L36">
        <v>295000</v>
      </c>
      <c r="M36">
        <v>172292</v>
      </c>
      <c r="P36">
        <v>0</v>
      </c>
      <c r="Q36">
        <v>14769</v>
      </c>
    </row>
  </sheetData>
  <mergeCells count="4">
    <mergeCell ref="C1:F1"/>
    <mergeCell ref="G1:J1"/>
    <mergeCell ref="K1:N1"/>
    <mergeCell ref="O1:R1"/>
  </mergeCells>
  <pageMargins left="0.7" right="0.7" top="0.75" bottom="0.75" header="0.3" footer="0.3"/>
  <pageSetup paperSize="11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X53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0" sqref="J30"/>
    </sheetView>
  </sheetViews>
  <sheetFormatPr defaultRowHeight="15" x14ac:dyDescent="0.25"/>
  <cols>
    <col min="3" max="3" width="9.140625" customWidth="1"/>
    <col min="9" max="12" width="12.7109375" customWidth="1"/>
    <col min="13" max="17" width="9.140625" customWidth="1"/>
    <col min="18" max="18" width="17.28515625" bestFit="1" customWidth="1"/>
    <col min="19" max="19" width="14.42578125" bestFit="1" customWidth="1"/>
    <col min="20" max="20" width="17.28515625" bestFit="1" customWidth="1"/>
    <col min="21" max="21" width="14.42578125" bestFit="1" customWidth="1"/>
    <col min="22" max="22" width="22.5703125" customWidth="1"/>
    <col min="23" max="23" width="18.28515625" bestFit="1" customWidth="1"/>
    <col min="24" max="27" width="14.42578125" customWidth="1"/>
    <col min="28" max="28" width="15.7109375" customWidth="1"/>
    <col min="29" max="32" width="16.140625" customWidth="1"/>
    <col min="33" max="33" width="16.7109375" customWidth="1"/>
    <col min="34" max="34" width="12.85546875" customWidth="1"/>
    <col min="35" max="35" width="10.42578125" bestFit="1" customWidth="1"/>
    <col min="36" max="36" width="14.5703125" customWidth="1"/>
    <col min="37" max="37" width="10.140625" bestFit="1" customWidth="1"/>
    <col min="39" max="39" width="13" bestFit="1" customWidth="1"/>
  </cols>
  <sheetData>
    <row r="1" spans="2:50" s="219" customFormat="1" x14ac:dyDescent="0.25"/>
    <row r="2" spans="2:50" x14ac:dyDescent="0.25">
      <c r="B2" s="21" t="s">
        <v>46</v>
      </c>
      <c r="C2" s="272" t="s">
        <v>54</v>
      </c>
      <c r="D2" s="273"/>
      <c r="E2" s="274"/>
      <c r="F2" s="109"/>
      <c r="G2" s="109"/>
      <c r="H2" s="275" t="s">
        <v>55</v>
      </c>
      <c r="I2" s="276"/>
      <c r="J2" s="276"/>
      <c r="K2" s="276"/>
      <c r="L2" s="277"/>
      <c r="M2" s="21" t="s">
        <v>56</v>
      </c>
      <c r="N2" s="21" t="s">
        <v>57</v>
      </c>
      <c r="O2" s="21" t="s">
        <v>58</v>
      </c>
      <c r="P2" s="21" t="s">
        <v>59</v>
      </c>
      <c r="Q2" s="217" t="s">
        <v>204</v>
      </c>
      <c r="R2" s="21" t="s">
        <v>60</v>
      </c>
      <c r="S2" s="21" t="s">
        <v>61</v>
      </c>
      <c r="T2" s="21" t="s">
        <v>62</v>
      </c>
      <c r="U2" s="21" t="s">
        <v>63</v>
      </c>
      <c r="V2" s="21" t="s">
        <v>64</v>
      </c>
      <c r="W2" s="21" t="s">
        <v>65</v>
      </c>
      <c r="X2" s="21" t="s">
        <v>210</v>
      </c>
      <c r="Y2" s="21" t="s">
        <v>66</v>
      </c>
      <c r="Z2" s="21" t="s">
        <v>202</v>
      </c>
      <c r="AA2" s="21" t="s">
        <v>203</v>
      </c>
      <c r="AB2" s="21" t="s">
        <v>67</v>
      </c>
      <c r="AC2" s="21" t="s">
        <v>68</v>
      </c>
      <c r="AD2" s="21" t="s">
        <v>69</v>
      </c>
      <c r="AE2" s="21" t="s">
        <v>70</v>
      </c>
      <c r="AF2" s="21" t="s">
        <v>205</v>
      </c>
      <c r="AG2" t="s">
        <v>71</v>
      </c>
      <c r="AH2" t="s">
        <v>72</v>
      </c>
      <c r="AI2" t="s">
        <v>73</v>
      </c>
      <c r="AL2" t="s">
        <v>76</v>
      </c>
      <c r="AM2" t="s">
        <v>77</v>
      </c>
      <c r="AN2">
        <v>42.5</v>
      </c>
      <c r="AO2">
        <v>32.5</v>
      </c>
      <c r="AP2" t="s">
        <v>52</v>
      </c>
      <c r="AQ2" t="s">
        <v>78</v>
      </c>
      <c r="AR2" t="s">
        <v>79</v>
      </c>
    </row>
    <row r="3" spans="2:50" x14ac:dyDescent="0.25">
      <c r="B3" s="1" t="s">
        <v>80</v>
      </c>
      <c r="C3" s="1">
        <v>42.5</v>
      </c>
      <c r="D3" s="1">
        <v>32.5</v>
      </c>
      <c r="E3" s="1" t="s">
        <v>52</v>
      </c>
      <c r="F3" s="1" t="s">
        <v>81</v>
      </c>
      <c r="G3" s="1" t="s">
        <v>204</v>
      </c>
      <c r="H3" s="113">
        <v>42.5</v>
      </c>
      <c r="I3" s="113">
        <v>32.5</v>
      </c>
      <c r="J3" s="113" t="s">
        <v>52</v>
      </c>
      <c r="K3" s="113" t="s">
        <v>81</v>
      </c>
      <c r="L3" s="113" t="s">
        <v>204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2:50" x14ac:dyDescent="0.25">
      <c r="B4" s="1">
        <v>1</v>
      </c>
      <c r="C4" s="1">
        <v>553</v>
      </c>
      <c r="D4" s="1">
        <v>0</v>
      </c>
      <c r="E4" s="1">
        <v>0</v>
      </c>
      <c r="F4" s="1">
        <v>0</v>
      </c>
      <c r="G4" s="1">
        <v>0</v>
      </c>
      <c r="H4" s="1">
        <v>8.3800000000000008</v>
      </c>
      <c r="I4" s="1">
        <v>0</v>
      </c>
      <c r="J4" s="1">
        <v>0</v>
      </c>
      <c r="K4" s="1">
        <v>0</v>
      </c>
      <c r="L4" s="1">
        <v>0</v>
      </c>
      <c r="M4" s="1">
        <f t="shared" ref="M4:Q19" si="0">C4/H4</f>
        <v>65.990453460620515</v>
      </c>
      <c r="N4" s="1" t="e">
        <f t="shared" si="0"/>
        <v>#DIV/0!</v>
      </c>
      <c r="O4" s="1" t="e">
        <f t="shared" si="0"/>
        <v>#DIV/0!</v>
      </c>
      <c r="P4" s="1" t="e">
        <f>F4/K4</f>
        <v>#DIV/0!</v>
      </c>
      <c r="Q4" s="1" t="e">
        <f>G4/L4</f>
        <v>#DIV/0!</v>
      </c>
      <c r="R4" s="1">
        <f>C4*(0.188888888888888*0.9)</f>
        <v>94.009999999999565</v>
      </c>
      <c r="S4" s="1">
        <f>C4*0.05</f>
        <v>27.650000000000002</v>
      </c>
      <c r="T4" s="1">
        <f>D4*(0.288888888888888*0.9)</f>
        <v>0</v>
      </c>
      <c r="U4" s="1">
        <f>D4*0.05</f>
        <v>0</v>
      </c>
      <c r="V4" s="1">
        <f>E4*(0.277777777777777*0.9)</f>
        <v>0</v>
      </c>
      <c r="W4" s="1">
        <f>E4*0.05</f>
        <v>0</v>
      </c>
      <c r="X4" s="1"/>
      <c r="Y4" s="1">
        <f>F5*0.05</f>
        <v>0</v>
      </c>
      <c r="Z4" s="1">
        <f>G4*(0.277777777777777*0.9)</f>
        <v>0</v>
      </c>
      <c r="AA4" s="1">
        <f>G4*0.05</f>
        <v>0</v>
      </c>
      <c r="AB4" s="92">
        <f>C4-R4-S4</f>
        <v>431.34000000000049</v>
      </c>
      <c r="AC4" s="30">
        <f>D4-T4-U4</f>
        <v>0</v>
      </c>
      <c r="AD4" s="30">
        <f>E4-V4-W4</f>
        <v>0</v>
      </c>
      <c r="AE4" s="143">
        <f t="shared" ref="AE4:AE33" si="1">F4-Y4</f>
        <v>0</v>
      </c>
      <c r="AF4" s="143">
        <f t="shared" ref="AF4:AF33" si="2">G4-Z4-AA4</f>
        <v>0</v>
      </c>
      <c r="AG4" s="91">
        <f>AB4+AC4+AD4+AE4+AF4</f>
        <v>431.34000000000049</v>
      </c>
      <c r="AH4" s="30">
        <f t="shared" ref="AH4:AH26" si="3">R4+T4+V4+Z4</f>
        <v>94.009999999999565</v>
      </c>
      <c r="AI4" s="92">
        <f t="shared" ref="AI4:AI33" si="4">S4+U4+W4+Y4+AA4</f>
        <v>27.650000000000002</v>
      </c>
      <c r="AJ4" s="1">
        <v>0</v>
      </c>
      <c r="AK4" s="6">
        <v>0</v>
      </c>
      <c r="AL4" s="93">
        <f t="shared" ref="AL4:AL24" si="5">AG4/(C4+D4)*100</f>
        <v>78.000000000000085</v>
      </c>
      <c r="AM4" s="92">
        <f>AG4+AH4+AI4</f>
        <v>553</v>
      </c>
      <c r="AN4">
        <f>(R4)/C4*100</f>
        <v>16.999999999999922</v>
      </c>
      <c r="AO4" t="e">
        <f>(T4)/D4*100</f>
        <v>#DIV/0!</v>
      </c>
      <c r="AP4" t="e">
        <f>Z4/G4</f>
        <v>#DIV/0!</v>
      </c>
      <c r="AR4">
        <f>H4+I4+K4+L4</f>
        <v>8.3800000000000008</v>
      </c>
      <c r="AS4">
        <f t="shared" ref="AS4:AS33" si="6">C4+D4+E4</f>
        <v>553</v>
      </c>
      <c r="AT4">
        <f t="shared" ref="AT4:AW27" si="7">AB4/C4</f>
        <v>0.78000000000000091</v>
      </c>
      <c r="AU4" t="e">
        <f t="shared" si="7"/>
        <v>#DIV/0!</v>
      </c>
      <c r="AV4" t="e">
        <f t="shared" si="7"/>
        <v>#DIV/0!</v>
      </c>
      <c r="AW4" t="e">
        <f t="shared" si="7"/>
        <v>#DIV/0!</v>
      </c>
      <c r="AX4">
        <f t="shared" ref="AX4:AX33" si="8">C4+D4+E4+F4</f>
        <v>553</v>
      </c>
    </row>
    <row r="5" spans="2:50" ht="13.5" customHeight="1" x14ac:dyDescent="0.25">
      <c r="B5" s="1">
        <v>2</v>
      </c>
      <c r="C5" s="1">
        <v>1099</v>
      </c>
      <c r="D5" s="1">
        <v>0</v>
      </c>
      <c r="E5" s="1">
        <v>0</v>
      </c>
      <c r="F5" s="1">
        <v>0</v>
      </c>
      <c r="G5" s="1">
        <v>0</v>
      </c>
      <c r="H5" s="1">
        <v>16.920000000000002</v>
      </c>
      <c r="I5" s="1">
        <v>0</v>
      </c>
      <c r="J5" s="1">
        <v>0</v>
      </c>
      <c r="K5" s="1">
        <v>0</v>
      </c>
      <c r="L5" s="1">
        <v>0</v>
      </c>
      <c r="M5" s="1">
        <f t="shared" si="0"/>
        <v>64.952718676122927</v>
      </c>
      <c r="N5" s="1" t="e">
        <f t="shared" si="0"/>
        <v>#DIV/0!</v>
      </c>
      <c r="O5" s="1" t="e">
        <f t="shared" si="0"/>
        <v>#DIV/0!</v>
      </c>
      <c r="P5" s="1" t="e">
        <f t="shared" si="0"/>
        <v>#DIV/0!</v>
      </c>
      <c r="Q5" s="1" t="e">
        <f t="shared" si="0"/>
        <v>#DIV/0!</v>
      </c>
      <c r="R5" s="1">
        <f>C5*(0.2*0.9)</f>
        <v>197.82000000000002</v>
      </c>
      <c r="S5" s="12">
        <f>C5*0.048</f>
        <v>52.752000000000002</v>
      </c>
      <c r="T5" s="1">
        <f>D5*(0.31111111111111*0.9)</f>
        <v>0</v>
      </c>
      <c r="U5" s="1">
        <f>D5*0.05</f>
        <v>0</v>
      </c>
      <c r="V5" s="1">
        <f>E5*(0.2905982909*0.9)</f>
        <v>0</v>
      </c>
      <c r="W5" s="1">
        <f>E5*0.04615384617</f>
        <v>0</v>
      </c>
      <c r="X5" s="1"/>
      <c r="Y5" s="1">
        <f>F6*0.05</f>
        <v>0</v>
      </c>
      <c r="Z5" s="1">
        <f>G5*(0.288800705*0.9)</f>
        <v>0</v>
      </c>
      <c r="AA5" s="1">
        <f t="shared" ref="AA5:AA25" si="9">G5*0.05</f>
        <v>0</v>
      </c>
      <c r="AB5" s="92">
        <f t="shared" ref="AB5:AB33" si="10">C5-R5-S5</f>
        <v>848.428</v>
      </c>
      <c r="AC5" s="30">
        <f t="shared" ref="AC5:AC33" si="11">D5-T5-U5</f>
        <v>0</v>
      </c>
      <c r="AD5" s="30">
        <f t="shared" ref="AD5:AD33" si="12">E5-V5-W5</f>
        <v>0</v>
      </c>
      <c r="AE5" s="143">
        <f t="shared" si="1"/>
        <v>0</v>
      </c>
      <c r="AF5" s="143">
        <f t="shared" si="2"/>
        <v>0</v>
      </c>
      <c r="AG5" s="91">
        <f t="shared" ref="AG5:AG33" si="13">AB5+AC5+AD5+AE5+AF5</f>
        <v>848.428</v>
      </c>
      <c r="AH5" s="30">
        <f t="shared" si="3"/>
        <v>197.82000000000002</v>
      </c>
      <c r="AI5" s="92">
        <f t="shared" si="4"/>
        <v>52.752000000000002</v>
      </c>
      <c r="AJ5" s="1">
        <v>0</v>
      </c>
      <c r="AK5" s="6">
        <v>0</v>
      </c>
      <c r="AL5" s="93">
        <f t="shared" si="5"/>
        <v>77.2</v>
      </c>
      <c r="AM5" s="92">
        <f t="shared" ref="AM5:AM33" si="14">AG5+AH5+AI5</f>
        <v>1099</v>
      </c>
      <c r="AN5">
        <f t="shared" ref="AN5:AN33" si="15">(R5)/C5*100</f>
        <v>18.000000000000004</v>
      </c>
      <c r="AO5" t="e">
        <f t="shared" ref="AO5:AO33" si="16">(T5)/D5*100</f>
        <v>#DIV/0!</v>
      </c>
      <c r="AP5" t="e">
        <f t="shared" ref="AP5:AP33" si="17">Z5/G5</f>
        <v>#DIV/0!</v>
      </c>
      <c r="AR5">
        <f t="shared" ref="AR5:AR22" si="18">H5+I5+K5+L5</f>
        <v>16.920000000000002</v>
      </c>
      <c r="AS5">
        <f t="shared" si="6"/>
        <v>1099</v>
      </c>
      <c r="AT5">
        <f t="shared" si="7"/>
        <v>0.77200000000000002</v>
      </c>
      <c r="AU5" t="e">
        <f t="shared" si="7"/>
        <v>#DIV/0!</v>
      </c>
      <c r="AV5" t="e">
        <f t="shared" si="7"/>
        <v>#DIV/0!</v>
      </c>
      <c r="AW5" t="e">
        <f t="shared" si="7"/>
        <v>#DIV/0!</v>
      </c>
      <c r="AX5">
        <f t="shared" si="8"/>
        <v>1099</v>
      </c>
    </row>
    <row r="6" spans="2:50" x14ac:dyDescent="0.25">
      <c r="B6" s="1">
        <v>3</v>
      </c>
      <c r="C6" s="1">
        <v>1554</v>
      </c>
      <c r="D6" s="1">
        <v>0</v>
      </c>
      <c r="E6" s="1">
        <v>0</v>
      </c>
      <c r="F6" s="1">
        <v>0</v>
      </c>
      <c r="G6" s="1">
        <v>0</v>
      </c>
      <c r="H6" s="1">
        <v>23.2</v>
      </c>
      <c r="I6" s="1">
        <v>0</v>
      </c>
      <c r="J6" s="1">
        <v>0</v>
      </c>
      <c r="K6" s="1">
        <v>0</v>
      </c>
      <c r="L6" s="1">
        <v>0</v>
      </c>
      <c r="M6" s="1">
        <f t="shared" si="0"/>
        <v>66.982758620689651</v>
      </c>
      <c r="N6" s="1" t="e">
        <f t="shared" si="0"/>
        <v>#DIV/0!</v>
      </c>
      <c r="O6" s="1" t="e">
        <f t="shared" si="0"/>
        <v>#DIV/0!</v>
      </c>
      <c r="P6" s="1" t="e">
        <f t="shared" si="0"/>
        <v>#DIV/0!</v>
      </c>
      <c r="Q6" s="1" t="e">
        <f t="shared" si="0"/>
        <v>#DIV/0!</v>
      </c>
      <c r="R6" s="1">
        <f>C6*(0.2*0.9)</f>
        <v>279.72000000000003</v>
      </c>
      <c r="S6" s="1">
        <f>C6*0.055</f>
        <v>85.47</v>
      </c>
      <c r="T6" s="1">
        <f>D6*(0.302222222222222*0.9)</f>
        <v>0</v>
      </c>
      <c r="U6" s="1">
        <f>D6*0.05</f>
        <v>0</v>
      </c>
      <c r="V6" s="1">
        <f>E6*(0.2895148677*0.9)</f>
        <v>0</v>
      </c>
      <c r="W6" s="1">
        <f>E6*0.05</f>
        <v>0</v>
      </c>
      <c r="X6" s="1"/>
      <c r="Y6" s="1">
        <f>F7*0.05</f>
        <v>0</v>
      </c>
      <c r="Z6" s="1">
        <f>G6*(0.277777777*0.9)</f>
        <v>0</v>
      </c>
      <c r="AA6" s="1">
        <f t="shared" si="9"/>
        <v>0</v>
      </c>
      <c r="AB6" s="92">
        <f t="shared" si="10"/>
        <v>1188.81</v>
      </c>
      <c r="AC6" s="30">
        <f t="shared" si="11"/>
        <v>0</v>
      </c>
      <c r="AD6" s="30">
        <f t="shared" si="12"/>
        <v>0</v>
      </c>
      <c r="AE6" s="143">
        <f t="shared" si="1"/>
        <v>0</v>
      </c>
      <c r="AF6" s="143">
        <f t="shared" si="2"/>
        <v>0</v>
      </c>
      <c r="AG6" s="91">
        <f t="shared" si="13"/>
        <v>1188.81</v>
      </c>
      <c r="AH6" s="30">
        <f>R6+T6+V6+Z6</f>
        <v>279.72000000000003</v>
      </c>
      <c r="AI6" s="92">
        <f t="shared" si="4"/>
        <v>85.47</v>
      </c>
      <c r="AJ6" s="1">
        <v>0</v>
      </c>
      <c r="AK6" s="6">
        <v>0</v>
      </c>
      <c r="AL6" s="93">
        <f t="shared" si="5"/>
        <v>76.5</v>
      </c>
      <c r="AM6" s="92">
        <f t="shared" si="14"/>
        <v>1554</v>
      </c>
      <c r="AN6">
        <f t="shared" si="15"/>
        <v>18.000000000000004</v>
      </c>
      <c r="AO6" t="e">
        <f t="shared" si="16"/>
        <v>#DIV/0!</v>
      </c>
      <c r="AP6" t="e">
        <f t="shared" si="17"/>
        <v>#DIV/0!</v>
      </c>
      <c r="AR6">
        <f t="shared" si="18"/>
        <v>23.2</v>
      </c>
      <c r="AS6">
        <f t="shared" si="6"/>
        <v>1554</v>
      </c>
      <c r="AT6">
        <f t="shared" si="7"/>
        <v>0.76500000000000001</v>
      </c>
      <c r="AU6" t="e">
        <f t="shared" si="7"/>
        <v>#DIV/0!</v>
      </c>
      <c r="AV6" t="e">
        <f t="shared" si="7"/>
        <v>#DIV/0!</v>
      </c>
      <c r="AW6" t="e">
        <f t="shared" si="7"/>
        <v>#DIV/0!</v>
      </c>
      <c r="AX6">
        <f t="shared" si="8"/>
        <v>1554</v>
      </c>
    </row>
    <row r="7" spans="2:50" s="137" customFormat="1" x14ac:dyDescent="0.25">
      <c r="B7" s="138">
        <v>4</v>
      </c>
      <c r="C7" s="1">
        <v>1173</v>
      </c>
      <c r="D7" s="1">
        <v>0</v>
      </c>
      <c r="E7" s="1">
        <v>0</v>
      </c>
      <c r="F7" s="1">
        <v>0</v>
      </c>
      <c r="G7" s="1">
        <v>212</v>
      </c>
      <c r="H7" s="1">
        <v>18.23</v>
      </c>
      <c r="I7" s="1">
        <v>0</v>
      </c>
      <c r="J7" s="1">
        <v>0</v>
      </c>
      <c r="K7" s="1">
        <v>0</v>
      </c>
      <c r="L7" s="1">
        <v>3</v>
      </c>
      <c r="M7" s="138">
        <f t="shared" si="0"/>
        <v>64.344487109160724</v>
      </c>
      <c r="N7" s="138" t="e">
        <f t="shared" si="0"/>
        <v>#DIV/0!</v>
      </c>
      <c r="O7" s="138" t="e">
        <f t="shared" si="0"/>
        <v>#DIV/0!</v>
      </c>
      <c r="P7" s="1" t="e">
        <f t="shared" si="0"/>
        <v>#DIV/0!</v>
      </c>
      <c r="Q7" s="1">
        <f t="shared" si="0"/>
        <v>70.666666666666671</v>
      </c>
      <c r="R7" s="138">
        <f>C7*(0.188888888888888*0.9)</f>
        <v>199.40999999999906</v>
      </c>
      <c r="S7" s="138">
        <f>C7*0.05</f>
        <v>58.650000000000006</v>
      </c>
      <c r="T7" s="138">
        <f>D7*(0.311111111111111*0.9)</f>
        <v>0</v>
      </c>
      <c r="U7" s="138">
        <f>D7*0.05</f>
        <v>0</v>
      </c>
      <c r="V7" s="138">
        <f>E7*(0.288888888888888*0.9)</f>
        <v>0</v>
      </c>
      <c r="W7" s="138">
        <f>E7*0.05</f>
        <v>0</v>
      </c>
      <c r="X7" s="138"/>
      <c r="Y7" s="153">
        <f t="shared" ref="Y7:Y15" si="19">F7*0.05</f>
        <v>0</v>
      </c>
      <c r="Z7" s="1">
        <f>G7*(0.2777777778*0.9)</f>
        <v>53.00000000424</v>
      </c>
      <c r="AA7" s="1">
        <f>G7*0.05</f>
        <v>10.600000000000001</v>
      </c>
      <c r="AB7" s="92">
        <f t="shared" si="10"/>
        <v>914.94000000000096</v>
      </c>
      <c r="AC7" s="30">
        <f t="shared" si="11"/>
        <v>0</v>
      </c>
      <c r="AD7" s="30">
        <f t="shared" si="12"/>
        <v>0</v>
      </c>
      <c r="AE7" s="143">
        <f t="shared" si="1"/>
        <v>0</v>
      </c>
      <c r="AF7" s="143">
        <f t="shared" si="2"/>
        <v>148.39999999576</v>
      </c>
      <c r="AG7" s="91">
        <f t="shared" si="13"/>
        <v>1063.339999995761</v>
      </c>
      <c r="AH7" s="30">
        <f t="shared" si="3"/>
        <v>252.41000000423907</v>
      </c>
      <c r="AI7" s="92">
        <f>S7+U7+W7+Y7+AA7</f>
        <v>69.25</v>
      </c>
      <c r="AJ7" s="138">
        <v>0</v>
      </c>
      <c r="AK7" s="139">
        <v>0</v>
      </c>
      <c r="AL7" s="140">
        <f t="shared" si="5"/>
        <v>90.651321397763084</v>
      </c>
      <c r="AM7" s="92">
        <f t="shared" si="14"/>
        <v>1385</v>
      </c>
      <c r="AN7">
        <f t="shared" si="15"/>
        <v>16.999999999999922</v>
      </c>
      <c r="AO7" t="e">
        <f t="shared" si="16"/>
        <v>#DIV/0!</v>
      </c>
      <c r="AP7">
        <f t="shared" si="17"/>
        <v>0.25000000002</v>
      </c>
      <c r="AR7">
        <f t="shared" si="18"/>
        <v>21.23</v>
      </c>
      <c r="AS7" s="137">
        <f t="shared" si="6"/>
        <v>1173</v>
      </c>
      <c r="AT7" s="137">
        <f t="shared" si="7"/>
        <v>0.7800000000000008</v>
      </c>
      <c r="AU7" s="137" t="e">
        <f t="shared" si="7"/>
        <v>#DIV/0!</v>
      </c>
      <c r="AV7" s="137" t="e">
        <f t="shared" si="7"/>
        <v>#DIV/0!</v>
      </c>
      <c r="AW7" s="137" t="e">
        <f t="shared" si="7"/>
        <v>#DIV/0!</v>
      </c>
      <c r="AX7">
        <f t="shared" si="8"/>
        <v>1173</v>
      </c>
    </row>
    <row r="8" spans="2:50" s="142" customFormat="1" x14ac:dyDescent="0.25">
      <c r="B8" s="143">
        <v>5</v>
      </c>
      <c r="C8" s="1">
        <v>1462</v>
      </c>
      <c r="D8" s="1">
        <v>0</v>
      </c>
      <c r="E8" s="1">
        <v>0</v>
      </c>
      <c r="F8" s="1">
        <v>0</v>
      </c>
      <c r="G8" s="1">
        <v>0</v>
      </c>
      <c r="H8" s="1">
        <v>22.2</v>
      </c>
      <c r="I8" s="1">
        <v>0</v>
      </c>
      <c r="J8" s="1">
        <v>0</v>
      </c>
      <c r="K8" s="1">
        <v>0</v>
      </c>
      <c r="L8" s="1">
        <v>0</v>
      </c>
      <c r="M8" s="143">
        <f t="shared" si="0"/>
        <v>65.855855855855864</v>
      </c>
      <c r="N8" s="143" t="e">
        <f>D8/I8</f>
        <v>#DIV/0!</v>
      </c>
      <c r="O8" s="143" t="e">
        <f t="shared" si="0"/>
        <v>#DIV/0!</v>
      </c>
      <c r="P8" s="1" t="e">
        <f t="shared" si="0"/>
        <v>#DIV/0!</v>
      </c>
      <c r="Q8" s="1" t="e">
        <f t="shared" si="0"/>
        <v>#DIV/0!</v>
      </c>
      <c r="R8" s="144">
        <f>C8*(0.194832041*0.9)</f>
        <v>256.35999954780004</v>
      </c>
      <c r="S8" s="148">
        <f>C8*0.050001367</f>
        <v>73.101998553999991</v>
      </c>
      <c r="T8" s="143">
        <f>D8*(0.3*0.9)</f>
        <v>0</v>
      </c>
      <c r="U8" s="143">
        <f>D8*0.05</f>
        <v>0</v>
      </c>
      <c r="V8" s="143">
        <f>E8*(0.288888888888888*0.9)</f>
        <v>0</v>
      </c>
      <c r="W8" s="143">
        <f>E8*0.05</f>
        <v>0</v>
      </c>
      <c r="X8" s="143"/>
      <c r="Y8" s="153">
        <f t="shared" si="19"/>
        <v>0</v>
      </c>
      <c r="Z8" s="1">
        <f>G8*(0.288888888888888*0.9)</f>
        <v>0</v>
      </c>
      <c r="AA8" s="1">
        <f>G8*0.05</f>
        <v>0</v>
      </c>
      <c r="AB8" s="92">
        <f t="shared" si="10"/>
        <v>1132.5380018982</v>
      </c>
      <c r="AC8" s="30">
        <f t="shared" si="11"/>
        <v>0</v>
      </c>
      <c r="AD8" s="30">
        <f t="shared" si="12"/>
        <v>0</v>
      </c>
      <c r="AE8" s="143">
        <f t="shared" si="1"/>
        <v>0</v>
      </c>
      <c r="AF8" s="143">
        <f t="shared" si="2"/>
        <v>0</v>
      </c>
      <c r="AG8" s="92">
        <f t="shared" si="13"/>
        <v>1132.5380018982</v>
      </c>
      <c r="AH8" s="224">
        <f t="shared" si="3"/>
        <v>256.35999954780004</v>
      </c>
      <c r="AI8" s="224">
        <f t="shared" si="4"/>
        <v>73.101998553999991</v>
      </c>
      <c r="AJ8" s="143">
        <v>0</v>
      </c>
      <c r="AK8" s="145">
        <v>0</v>
      </c>
      <c r="AL8" s="146">
        <f t="shared" si="5"/>
        <v>77.46497961</v>
      </c>
      <c r="AM8" s="92">
        <f t="shared" si="14"/>
        <v>1462</v>
      </c>
      <c r="AN8">
        <f t="shared" si="15"/>
        <v>17.534883690000001</v>
      </c>
      <c r="AO8" t="e">
        <f t="shared" si="16"/>
        <v>#DIV/0!</v>
      </c>
      <c r="AP8" t="e">
        <f t="shared" si="17"/>
        <v>#DIV/0!</v>
      </c>
      <c r="AR8">
        <f t="shared" si="18"/>
        <v>22.2</v>
      </c>
      <c r="AS8" s="142">
        <f t="shared" si="6"/>
        <v>1462</v>
      </c>
      <c r="AT8" s="142">
        <f t="shared" si="7"/>
        <v>0.77464979610000007</v>
      </c>
      <c r="AU8" s="142" t="e">
        <f t="shared" si="7"/>
        <v>#DIV/0!</v>
      </c>
      <c r="AV8" s="142" t="e">
        <f t="shared" si="7"/>
        <v>#DIV/0!</v>
      </c>
      <c r="AW8" s="142" t="e">
        <f t="shared" si="7"/>
        <v>#DIV/0!</v>
      </c>
      <c r="AX8">
        <f t="shared" si="8"/>
        <v>1462</v>
      </c>
    </row>
    <row r="9" spans="2:50" s="142" customFormat="1" ht="15.75" customHeight="1" x14ac:dyDescent="0.25">
      <c r="B9" s="143">
        <v>6</v>
      </c>
      <c r="C9" s="1">
        <v>1129</v>
      </c>
      <c r="D9" s="1">
        <v>207</v>
      </c>
      <c r="E9" s="1">
        <v>0</v>
      </c>
      <c r="F9" s="1">
        <v>0</v>
      </c>
      <c r="G9" s="1">
        <v>344</v>
      </c>
      <c r="H9" s="1">
        <v>16</v>
      </c>
      <c r="I9" s="1">
        <v>3</v>
      </c>
      <c r="J9" s="1">
        <v>0</v>
      </c>
      <c r="K9" s="1">
        <v>0</v>
      </c>
      <c r="L9" s="1">
        <v>5</v>
      </c>
      <c r="M9" s="143">
        <f t="shared" si="0"/>
        <v>70.5625</v>
      </c>
      <c r="N9" s="143">
        <f t="shared" si="0"/>
        <v>69</v>
      </c>
      <c r="O9" s="143" t="e">
        <f t="shared" si="0"/>
        <v>#DIV/0!</v>
      </c>
      <c r="P9" s="1" t="e">
        <f t="shared" si="0"/>
        <v>#DIV/0!</v>
      </c>
      <c r="Q9" s="1">
        <f t="shared" si="0"/>
        <v>68.8</v>
      </c>
      <c r="R9" s="143">
        <f>C9*(0.2*0.9)</f>
        <v>203.22000000000003</v>
      </c>
      <c r="S9" s="148">
        <f>C9*0.050002657</f>
        <v>56.452999753</v>
      </c>
      <c r="T9" s="143">
        <f>D9*(0.279130434*0.9)</f>
        <v>52.001999854199994</v>
      </c>
      <c r="U9" s="143">
        <f>D9*0.050714975</f>
        <v>10.497999825000001</v>
      </c>
      <c r="V9" s="143">
        <f>E9*(0.254728304*0.9)</f>
        <v>0</v>
      </c>
      <c r="W9" s="143">
        <f>E9*0.051386861</f>
        <v>0</v>
      </c>
      <c r="X9" s="143"/>
      <c r="Y9" s="153">
        <f t="shared" si="19"/>
        <v>0</v>
      </c>
      <c r="Z9" s="1">
        <f>G9*(0.277787467*0.9)</f>
        <v>86.002999783200011</v>
      </c>
      <c r="AA9" s="1">
        <f>G9*0.051436046</f>
        <v>17.693999823999999</v>
      </c>
      <c r="AB9" s="92">
        <f t="shared" si="10"/>
        <v>869.327000247</v>
      </c>
      <c r="AC9" s="30">
        <f t="shared" si="11"/>
        <v>144.50000032080001</v>
      </c>
      <c r="AD9" s="30">
        <f t="shared" si="12"/>
        <v>0</v>
      </c>
      <c r="AE9" s="143">
        <f t="shared" si="1"/>
        <v>0</v>
      </c>
      <c r="AF9" s="143">
        <f t="shared" si="2"/>
        <v>240.30300039279996</v>
      </c>
      <c r="AG9" s="224">
        <f t="shared" si="13"/>
        <v>1254.1300009606</v>
      </c>
      <c r="AH9" s="30">
        <f t="shared" si="3"/>
        <v>341.22499963740006</v>
      </c>
      <c r="AI9" s="224">
        <f t="shared" si="4"/>
        <v>84.644999401999996</v>
      </c>
      <c r="AJ9" s="143">
        <v>0</v>
      </c>
      <c r="AK9" s="145">
        <v>0</v>
      </c>
      <c r="AL9" s="146">
        <f t="shared" si="5"/>
        <v>93.872006059925155</v>
      </c>
      <c r="AM9" s="92">
        <f t="shared" si="14"/>
        <v>1680</v>
      </c>
      <c r="AN9">
        <f t="shared" si="15"/>
        <v>18.000000000000004</v>
      </c>
      <c r="AO9">
        <f t="shared" si="16"/>
        <v>25.121739059999999</v>
      </c>
      <c r="AP9">
        <f t="shared" si="17"/>
        <v>0.25000872030000004</v>
      </c>
      <c r="AR9">
        <f t="shared" si="18"/>
        <v>24</v>
      </c>
      <c r="AS9" s="142">
        <f t="shared" si="6"/>
        <v>1336</v>
      </c>
      <c r="AT9" s="142">
        <f t="shared" si="7"/>
        <v>0.769997343</v>
      </c>
      <c r="AU9" s="142">
        <f t="shared" si="7"/>
        <v>0.69806763440000008</v>
      </c>
      <c r="AV9" s="142" t="e">
        <f t="shared" si="7"/>
        <v>#DIV/0!</v>
      </c>
      <c r="AW9" s="142" t="e">
        <f t="shared" si="7"/>
        <v>#DIV/0!</v>
      </c>
      <c r="AX9">
        <f t="shared" si="8"/>
        <v>1336</v>
      </c>
    </row>
    <row r="10" spans="2:50" s="142" customFormat="1" x14ac:dyDescent="0.25">
      <c r="B10" s="143">
        <v>7</v>
      </c>
      <c r="C10" s="1">
        <v>1290</v>
      </c>
      <c r="D10" s="1">
        <v>0</v>
      </c>
      <c r="E10" s="1">
        <v>0</v>
      </c>
      <c r="F10" s="1">
        <v>0</v>
      </c>
      <c r="G10" s="1">
        <v>140</v>
      </c>
      <c r="H10" s="1">
        <v>18.899999999999999</v>
      </c>
      <c r="I10" s="1">
        <v>0</v>
      </c>
      <c r="J10" s="1">
        <v>0</v>
      </c>
      <c r="K10" s="1">
        <v>0</v>
      </c>
      <c r="L10" s="1">
        <v>2</v>
      </c>
      <c r="M10" s="143">
        <f t="shared" si="0"/>
        <v>68.253968253968253</v>
      </c>
      <c r="N10" s="143" t="e">
        <f t="shared" si="0"/>
        <v>#DIV/0!</v>
      </c>
      <c r="O10" s="143" t="e">
        <f t="shared" si="0"/>
        <v>#DIV/0!</v>
      </c>
      <c r="P10" s="1" t="e">
        <f t="shared" si="0"/>
        <v>#DIV/0!</v>
      </c>
      <c r="Q10" s="1">
        <f t="shared" si="0"/>
        <v>70</v>
      </c>
      <c r="R10" s="143">
        <f>C10*(0.2*0.9)</f>
        <v>232.20000000000002</v>
      </c>
      <c r="S10" s="135">
        <f>C10*0.0499968999999999</f>
        <v>64.496000999999865</v>
      </c>
      <c r="T10" s="143">
        <f>D10*(0.311111111111111*0.9)</f>
        <v>0</v>
      </c>
      <c r="U10" s="143">
        <f t="shared" ref="U10:U22" si="20">D10*0.05</f>
        <v>0</v>
      </c>
      <c r="V10" s="143">
        <f>E10*(0.288888888888888*0.9)</f>
        <v>0</v>
      </c>
      <c r="W10" s="143">
        <f>E10*0.05</f>
        <v>0</v>
      </c>
      <c r="X10" s="143"/>
      <c r="Y10" s="143">
        <f t="shared" si="19"/>
        <v>0</v>
      </c>
      <c r="Z10" s="1">
        <f>G10*(0.277777777777777*0.9)</f>
        <v>34.999999999999901</v>
      </c>
      <c r="AA10" s="1">
        <f>G10*0.0535714288</f>
        <v>7.500000032</v>
      </c>
      <c r="AB10" s="92">
        <f t="shared" si="10"/>
        <v>993.30399900000009</v>
      </c>
      <c r="AC10" s="30">
        <f t="shared" si="11"/>
        <v>0</v>
      </c>
      <c r="AD10" s="30">
        <f t="shared" si="12"/>
        <v>0</v>
      </c>
      <c r="AE10" s="143">
        <f t="shared" si="1"/>
        <v>0</v>
      </c>
      <c r="AF10" s="143">
        <f t="shared" si="2"/>
        <v>97.499999968000097</v>
      </c>
      <c r="AG10" s="91">
        <f t="shared" si="13"/>
        <v>1090.8039989680001</v>
      </c>
      <c r="AH10" s="30">
        <f t="shared" si="3"/>
        <v>267.19999999999993</v>
      </c>
      <c r="AI10" s="92">
        <f t="shared" si="4"/>
        <v>71.996001031999867</v>
      </c>
      <c r="AJ10" s="143">
        <v>0</v>
      </c>
      <c r="AK10" s="145">
        <v>0</v>
      </c>
      <c r="AL10" s="146">
        <f t="shared" si="5"/>
        <v>84.558449532403117</v>
      </c>
      <c r="AM10" s="92">
        <f t="shared" si="14"/>
        <v>1429.9999999999998</v>
      </c>
      <c r="AN10">
        <f t="shared" si="15"/>
        <v>18.000000000000004</v>
      </c>
      <c r="AO10" t="e">
        <f t="shared" si="16"/>
        <v>#DIV/0!</v>
      </c>
      <c r="AP10">
        <f t="shared" si="17"/>
        <v>0.24999999999999928</v>
      </c>
      <c r="AR10">
        <f t="shared" si="18"/>
        <v>20.9</v>
      </c>
      <c r="AS10" s="142">
        <f t="shared" si="6"/>
        <v>1290</v>
      </c>
      <c r="AT10" s="142">
        <f t="shared" si="7"/>
        <v>0.77000310000000005</v>
      </c>
      <c r="AU10" s="142" t="e">
        <f t="shared" si="7"/>
        <v>#DIV/0!</v>
      </c>
      <c r="AV10" s="142" t="e">
        <f t="shared" si="7"/>
        <v>#DIV/0!</v>
      </c>
      <c r="AW10" s="142" t="e">
        <f t="shared" si="7"/>
        <v>#DIV/0!</v>
      </c>
      <c r="AX10">
        <f t="shared" si="8"/>
        <v>1290</v>
      </c>
    </row>
    <row r="11" spans="2:50" s="142" customFormat="1" x14ac:dyDescent="0.25">
      <c r="B11" s="143">
        <v>8</v>
      </c>
      <c r="C11" s="1">
        <v>1349</v>
      </c>
      <c r="D11" s="1">
        <v>0</v>
      </c>
      <c r="E11" s="1">
        <v>0</v>
      </c>
      <c r="F11" s="1">
        <v>0</v>
      </c>
      <c r="G11" s="1">
        <v>211</v>
      </c>
      <c r="H11" s="1">
        <v>20.02</v>
      </c>
      <c r="I11" s="1">
        <v>0</v>
      </c>
      <c r="J11" s="1">
        <v>0</v>
      </c>
      <c r="K11" s="1">
        <v>0</v>
      </c>
      <c r="L11" s="1">
        <v>3</v>
      </c>
      <c r="M11" s="143">
        <f t="shared" si="0"/>
        <v>67.382617382617383</v>
      </c>
      <c r="N11" s="143" t="e">
        <f t="shared" si="0"/>
        <v>#DIV/0!</v>
      </c>
      <c r="O11" s="143" t="e">
        <f t="shared" si="0"/>
        <v>#DIV/0!</v>
      </c>
      <c r="P11" s="1" t="e">
        <f t="shared" si="0"/>
        <v>#DIV/0!</v>
      </c>
      <c r="Q11" s="1">
        <f t="shared" si="0"/>
        <v>70.333333333333329</v>
      </c>
      <c r="R11" s="144">
        <f>C11*(0.185*0.9)</f>
        <v>224.60850000000002</v>
      </c>
      <c r="S11" s="144">
        <f>C11*0.05</f>
        <v>67.45</v>
      </c>
      <c r="T11" s="143">
        <f>D11*(0.3*0.9)</f>
        <v>0</v>
      </c>
      <c r="U11" s="143">
        <f t="shared" si="20"/>
        <v>0</v>
      </c>
      <c r="V11" s="143">
        <f>E11*(0.257309944*0.9)</f>
        <v>0</v>
      </c>
      <c r="W11" s="143">
        <f>E11*0.052631579</f>
        <v>0</v>
      </c>
      <c r="X11" s="143"/>
      <c r="Y11" s="143">
        <f t="shared" si="19"/>
        <v>0</v>
      </c>
      <c r="Z11" s="1">
        <f>G11*(0.277777777777777*0.9)</f>
        <v>52.749999999999851</v>
      </c>
      <c r="AA11" s="1">
        <f>G11*0.05236966827</f>
        <v>11.05000000497</v>
      </c>
      <c r="AB11" s="92">
        <f t="shared" si="10"/>
        <v>1056.9414999999999</v>
      </c>
      <c r="AC11" s="30">
        <f t="shared" si="11"/>
        <v>0</v>
      </c>
      <c r="AD11" s="30">
        <f t="shared" si="12"/>
        <v>0</v>
      </c>
      <c r="AE11" s="143">
        <f t="shared" si="1"/>
        <v>0</v>
      </c>
      <c r="AF11" s="143">
        <f t="shared" si="2"/>
        <v>147.19999999503014</v>
      </c>
      <c r="AG11" s="91">
        <f t="shared" si="13"/>
        <v>1204.14149999503</v>
      </c>
      <c r="AH11" s="30">
        <f t="shared" si="3"/>
        <v>277.35849999999988</v>
      </c>
      <c r="AI11" s="224">
        <f t="shared" si="4"/>
        <v>78.500000004970005</v>
      </c>
      <c r="AJ11" s="143">
        <v>0</v>
      </c>
      <c r="AK11" s="145">
        <v>0</v>
      </c>
      <c r="AL11" s="146">
        <f t="shared" si="5"/>
        <v>89.261786508156419</v>
      </c>
      <c r="AM11" s="92">
        <f t="shared" si="14"/>
        <v>1559.9999999999998</v>
      </c>
      <c r="AN11">
        <f t="shared" si="15"/>
        <v>16.650000000000002</v>
      </c>
      <c r="AO11" t="e">
        <f t="shared" si="16"/>
        <v>#DIV/0!</v>
      </c>
      <c r="AP11">
        <f t="shared" si="17"/>
        <v>0.24999999999999931</v>
      </c>
      <c r="AR11">
        <f t="shared" si="18"/>
        <v>23.02</v>
      </c>
      <c r="AS11" s="142">
        <f t="shared" si="6"/>
        <v>1349</v>
      </c>
      <c r="AT11" s="142">
        <f t="shared" si="7"/>
        <v>0.78349999999999997</v>
      </c>
      <c r="AU11" s="142" t="e">
        <f t="shared" si="7"/>
        <v>#DIV/0!</v>
      </c>
      <c r="AV11" s="142" t="e">
        <f t="shared" si="7"/>
        <v>#DIV/0!</v>
      </c>
      <c r="AW11" s="142" t="e">
        <f t="shared" si="7"/>
        <v>#DIV/0!</v>
      </c>
      <c r="AX11">
        <f t="shared" si="8"/>
        <v>1349</v>
      </c>
    </row>
    <row r="12" spans="2:50" s="160" customFormat="1" x14ac:dyDescent="0.25">
      <c r="B12" s="157">
        <v>9</v>
      </c>
      <c r="C12" s="1">
        <v>1354</v>
      </c>
      <c r="D12" s="1">
        <v>142</v>
      </c>
      <c r="E12" s="1">
        <v>0</v>
      </c>
      <c r="F12" s="1">
        <v>65</v>
      </c>
      <c r="G12" s="1">
        <v>71</v>
      </c>
      <c r="H12" s="1">
        <v>20</v>
      </c>
      <c r="I12" s="1">
        <v>2</v>
      </c>
      <c r="J12" s="1">
        <v>0</v>
      </c>
      <c r="K12" s="1">
        <v>1</v>
      </c>
      <c r="L12" s="1">
        <v>1</v>
      </c>
      <c r="M12" s="157">
        <f t="shared" si="0"/>
        <v>67.7</v>
      </c>
      <c r="N12" s="157">
        <f t="shared" si="0"/>
        <v>71</v>
      </c>
      <c r="O12" s="157" t="e">
        <f t="shared" si="0"/>
        <v>#DIV/0!</v>
      </c>
      <c r="P12" s="155">
        <f t="shared" si="0"/>
        <v>65</v>
      </c>
      <c r="Q12" s="1">
        <f t="shared" si="0"/>
        <v>71</v>
      </c>
      <c r="R12" s="157">
        <f>C12*(0.177777777777777*0.9)</f>
        <v>216.63999999999908</v>
      </c>
      <c r="S12" s="229">
        <f>C12*0.05</f>
        <v>67.7</v>
      </c>
      <c r="T12" s="157">
        <f>D12*(0.255555555555555*0.9)</f>
        <v>32.659999999999926</v>
      </c>
      <c r="U12" s="157">
        <f>D12*0.05</f>
        <v>7.1000000000000005</v>
      </c>
      <c r="V12" s="157">
        <f>E12*(0.3003003*0.9)</f>
        <v>0</v>
      </c>
      <c r="W12" s="157">
        <f>E12*0.081081081</f>
        <v>0</v>
      </c>
      <c r="X12" s="157"/>
      <c r="Y12" s="157">
        <f>F12*0.047492307</f>
        <v>3.086999955</v>
      </c>
      <c r="Z12" s="1">
        <f>G12*(0.255555555555555*0.9)</f>
        <v>16.329999999999963</v>
      </c>
      <c r="AA12" s="1">
        <f t="shared" si="9"/>
        <v>3.5500000000000003</v>
      </c>
      <c r="AB12" s="92">
        <f t="shared" si="10"/>
        <v>1069.660000000001</v>
      </c>
      <c r="AC12" s="30">
        <f t="shared" si="11"/>
        <v>102.24000000000008</v>
      </c>
      <c r="AD12" s="30">
        <f t="shared" si="12"/>
        <v>0</v>
      </c>
      <c r="AE12" s="157">
        <f t="shared" si="1"/>
        <v>61.913000044999997</v>
      </c>
      <c r="AF12" s="143">
        <f t="shared" si="2"/>
        <v>51.12000000000004</v>
      </c>
      <c r="AG12" s="224">
        <f t="shared" si="13"/>
        <v>1284.9330000450011</v>
      </c>
      <c r="AH12" s="30">
        <f t="shared" si="3"/>
        <v>265.62999999999897</v>
      </c>
      <c r="AI12" s="224">
        <f t="shared" si="4"/>
        <v>81.43699995499999</v>
      </c>
      <c r="AJ12" s="157">
        <v>0</v>
      </c>
      <c r="AK12" s="162">
        <v>0</v>
      </c>
      <c r="AL12" s="163">
        <f t="shared" si="5"/>
        <v>85.891243318516118</v>
      </c>
      <c r="AM12" s="92">
        <f t="shared" si="14"/>
        <v>1632</v>
      </c>
      <c r="AN12">
        <f t="shared" si="15"/>
        <v>15.999999999999931</v>
      </c>
      <c r="AO12">
        <f t="shared" si="16"/>
        <v>22.999999999999947</v>
      </c>
      <c r="AP12">
        <f t="shared" si="17"/>
        <v>0.22999999999999948</v>
      </c>
      <c r="AR12">
        <f t="shared" si="18"/>
        <v>24</v>
      </c>
      <c r="AS12" s="160">
        <f t="shared" si="6"/>
        <v>1496</v>
      </c>
      <c r="AT12" s="160">
        <f t="shared" si="7"/>
        <v>0.7900000000000007</v>
      </c>
      <c r="AU12" s="160">
        <f t="shared" si="7"/>
        <v>0.72000000000000053</v>
      </c>
      <c r="AV12" s="160" t="e">
        <f t="shared" si="7"/>
        <v>#DIV/0!</v>
      </c>
      <c r="AW12" s="160">
        <f t="shared" si="7"/>
        <v>0.95250769299999993</v>
      </c>
      <c r="AX12" s="154">
        <f t="shared" si="8"/>
        <v>1561</v>
      </c>
    </row>
    <row r="13" spans="2:50" s="142" customFormat="1" x14ac:dyDescent="0.25">
      <c r="B13" s="143">
        <v>10</v>
      </c>
      <c r="C13" s="1">
        <v>1100</v>
      </c>
      <c r="D13" s="1">
        <v>140</v>
      </c>
      <c r="E13" s="1">
        <v>0</v>
      </c>
      <c r="F13" s="1">
        <v>0</v>
      </c>
      <c r="G13" s="1">
        <v>211</v>
      </c>
      <c r="H13" s="1">
        <v>17.37</v>
      </c>
      <c r="I13" s="1">
        <v>2</v>
      </c>
      <c r="J13" s="1">
        <v>0</v>
      </c>
      <c r="K13" s="1">
        <v>0</v>
      </c>
      <c r="L13" s="1">
        <v>3</v>
      </c>
      <c r="M13" s="143">
        <f t="shared" si="0"/>
        <v>63.32757628094415</v>
      </c>
      <c r="N13" s="143">
        <f t="shared" si="0"/>
        <v>70</v>
      </c>
      <c r="O13" s="143" t="e">
        <f>E13/J13</f>
        <v>#DIV/0!</v>
      </c>
      <c r="P13" s="1" t="e">
        <f t="shared" si="0"/>
        <v>#DIV/0!</v>
      </c>
      <c r="Q13" s="1">
        <f t="shared" si="0"/>
        <v>70.333333333333329</v>
      </c>
      <c r="R13" s="143">
        <f>C13*(0.172222222222222*0.9)</f>
        <v>170.49999999999977</v>
      </c>
      <c r="S13" s="143">
        <f t="shared" ref="S13:S14" si="21">C13*0.05</f>
        <v>55</v>
      </c>
      <c r="T13" s="143">
        <f>D13*(0.277777777777777*0.9)</f>
        <v>34.999999999999901</v>
      </c>
      <c r="U13" s="143">
        <f>D13*0.05357142857</f>
        <v>7.4999999998</v>
      </c>
      <c r="V13" s="143">
        <f>E13*(0.222222222222222*0.9)</f>
        <v>0</v>
      </c>
      <c r="W13" s="143">
        <f>E13*0.05</f>
        <v>0</v>
      </c>
      <c r="X13" s="143"/>
      <c r="Y13" s="143">
        <f t="shared" si="19"/>
        <v>0</v>
      </c>
      <c r="Z13" s="1">
        <f>G13*(0.270300158*0.9)</f>
        <v>51.330000004200002</v>
      </c>
      <c r="AA13" s="1">
        <f>G13*0.052369668</f>
        <v>11.049999948</v>
      </c>
      <c r="AB13" s="92">
        <f t="shared" si="10"/>
        <v>874.50000000000023</v>
      </c>
      <c r="AC13" s="30">
        <f t="shared" si="11"/>
        <v>97.500000000200103</v>
      </c>
      <c r="AD13" s="30">
        <f t="shared" si="12"/>
        <v>0</v>
      </c>
      <c r="AE13" s="143">
        <f t="shared" si="1"/>
        <v>0</v>
      </c>
      <c r="AF13" s="143">
        <f t="shared" si="2"/>
        <v>148.6200000478</v>
      </c>
      <c r="AG13" s="91">
        <f t="shared" si="13"/>
        <v>1120.6200000480003</v>
      </c>
      <c r="AH13" s="30">
        <f t="shared" si="3"/>
        <v>256.83000000419963</v>
      </c>
      <c r="AI13" s="92">
        <f t="shared" si="4"/>
        <v>73.549999947799989</v>
      </c>
      <c r="AJ13" s="143">
        <v>0</v>
      </c>
      <c r="AK13" s="145">
        <v>0</v>
      </c>
      <c r="AL13" s="146">
        <f t="shared" si="5"/>
        <v>90.372580649032287</v>
      </c>
      <c r="AM13" s="92">
        <f t="shared" si="14"/>
        <v>1450.9999999999998</v>
      </c>
      <c r="AN13">
        <f t="shared" si="15"/>
        <v>15.49999999999998</v>
      </c>
      <c r="AO13">
        <f t="shared" si="16"/>
        <v>24.999999999999929</v>
      </c>
      <c r="AP13">
        <f t="shared" si="17"/>
        <v>0.24327014220000001</v>
      </c>
      <c r="AR13">
        <f t="shared" si="18"/>
        <v>22.37</v>
      </c>
      <c r="AS13" s="142">
        <f t="shared" si="6"/>
        <v>1240</v>
      </c>
      <c r="AT13" s="142">
        <f t="shared" si="7"/>
        <v>0.79500000000000026</v>
      </c>
      <c r="AU13" s="142">
        <f t="shared" si="7"/>
        <v>0.6964285714300007</v>
      </c>
      <c r="AV13" s="142">
        <f>AF13/G13</f>
        <v>0.70436018980000004</v>
      </c>
      <c r="AW13" s="142" t="e">
        <f t="shared" si="7"/>
        <v>#DIV/0!</v>
      </c>
      <c r="AX13">
        <f t="shared" si="8"/>
        <v>1240</v>
      </c>
    </row>
    <row r="14" spans="2:50" s="142" customFormat="1" x14ac:dyDescent="0.25">
      <c r="B14" s="143">
        <v>11</v>
      </c>
      <c r="C14" s="1">
        <v>1130</v>
      </c>
      <c r="D14" s="1">
        <v>0</v>
      </c>
      <c r="E14" s="1">
        <v>0</v>
      </c>
      <c r="F14" s="1">
        <v>0</v>
      </c>
      <c r="G14" s="1">
        <v>400</v>
      </c>
      <c r="H14" s="1">
        <v>18</v>
      </c>
      <c r="I14" s="1">
        <v>0</v>
      </c>
      <c r="J14" s="1">
        <v>0</v>
      </c>
      <c r="K14" s="1">
        <v>0</v>
      </c>
      <c r="L14" s="1">
        <v>6</v>
      </c>
      <c r="M14" s="143">
        <f t="shared" si="0"/>
        <v>62.777777777777779</v>
      </c>
      <c r="N14" s="143" t="e">
        <f t="shared" si="0"/>
        <v>#DIV/0!</v>
      </c>
      <c r="O14" s="143" t="e">
        <f t="shared" si="0"/>
        <v>#DIV/0!</v>
      </c>
      <c r="P14" s="1" t="e">
        <f t="shared" si="0"/>
        <v>#DIV/0!</v>
      </c>
      <c r="Q14" s="1">
        <f t="shared" si="0"/>
        <v>66.666666666666671</v>
      </c>
      <c r="R14" s="143">
        <f>C14*(0.166666666666666*0.9)</f>
        <v>169.49999999999932</v>
      </c>
      <c r="S14" s="143">
        <f t="shared" si="21"/>
        <v>56.5</v>
      </c>
      <c r="T14" s="143">
        <f>D14*(0.3114478112*0.9)</f>
        <v>0</v>
      </c>
      <c r="U14" s="143">
        <f t="shared" si="20"/>
        <v>0</v>
      </c>
      <c r="V14" s="143">
        <f>E14*(0.2085470086*0.9)</f>
        <v>0</v>
      </c>
      <c r="W14" s="143">
        <f>E14*0.0492307693</f>
        <v>0</v>
      </c>
      <c r="X14" s="143"/>
      <c r="Y14" s="143">
        <f t="shared" si="19"/>
        <v>0</v>
      </c>
      <c r="Z14" s="1">
        <f>G14*(0.2555555555556*0.9)</f>
        <v>92.000000000016001</v>
      </c>
      <c r="AA14" s="1">
        <f t="shared" si="9"/>
        <v>20</v>
      </c>
      <c r="AB14" s="92">
        <f t="shared" si="10"/>
        <v>904.00000000000068</v>
      </c>
      <c r="AC14" s="30">
        <f t="shared" si="11"/>
        <v>0</v>
      </c>
      <c r="AD14" s="30">
        <f t="shared" si="12"/>
        <v>0</v>
      </c>
      <c r="AE14" s="143">
        <f t="shared" si="1"/>
        <v>0</v>
      </c>
      <c r="AF14" s="143">
        <f t="shared" si="2"/>
        <v>287.99999999998397</v>
      </c>
      <c r="AG14" s="91">
        <f t="shared" si="13"/>
        <v>1191.9999999999845</v>
      </c>
      <c r="AH14" s="30">
        <f t="shared" si="3"/>
        <v>261.50000000001535</v>
      </c>
      <c r="AI14" s="92">
        <f t="shared" si="4"/>
        <v>76.5</v>
      </c>
      <c r="AJ14" s="143">
        <v>0</v>
      </c>
      <c r="AK14" s="145">
        <v>0</v>
      </c>
      <c r="AL14" s="146">
        <f t="shared" si="5"/>
        <v>105.48672566371545</v>
      </c>
      <c r="AM14" s="92">
        <f t="shared" si="14"/>
        <v>1530</v>
      </c>
      <c r="AN14">
        <f t="shared" si="15"/>
        <v>14.999999999999938</v>
      </c>
      <c r="AO14" t="e">
        <f t="shared" si="16"/>
        <v>#DIV/0!</v>
      </c>
      <c r="AP14">
        <f t="shared" si="17"/>
        <v>0.23000000000004001</v>
      </c>
      <c r="AR14">
        <f t="shared" si="18"/>
        <v>24</v>
      </c>
      <c r="AS14" s="142">
        <f t="shared" si="6"/>
        <v>1130</v>
      </c>
      <c r="AT14" s="142">
        <f t="shared" si="7"/>
        <v>0.8000000000000006</v>
      </c>
      <c r="AU14" s="142" t="e">
        <f t="shared" si="7"/>
        <v>#DIV/0!</v>
      </c>
      <c r="AV14" s="142">
        <f t="shared" ref="AV14:AV27" si="22">AF14/G14</f>
        <v>0.71999999999995989</v>
      </c>
      <c r="AW14" s="142" t="e">
        <f t="shared" si="7"/>
        <v>#DIV/0!</v>
      </c>
      <c r="AX14">
        <f t="shared" si="8"/>
        <v>1130</v>
      </c>
    </row>
    <row r="15" spans="2:50" s="142" customFormat="1" x14ac:dyDescent="0.25">
      <c r="B15" s="143">
        <v>12</v>
      </c>
      <c r="C15" s="1">
        <v>1010</v>
      </c>
      <c r="D15" s="1">
        <v>0</v>
      </c>
      <c r="E15" s="1">
        <v>0</v>
      </c>
      <c r="F15" s="1">
        <v>0</v>
      </c>
      <c r="G15" s="1">
        <v>300</v>
      </c>
      <c r="H15" s="1">
        <v>15.45</v>
      </c>
      <c r="I15" s="1">
        <v>0</v>
      </c>
      <c r="J15" s="1">
        <v>0</v>
      </c>
      <c r="K15" s="1">
        <v>0</v>
      </c>
      <c r="L15" s="1">
        <v>4.5</v>
      </c>
      <c r="M15" s="143">
        <f t="shared" si="0"/>
        <v>65.372168284789652</v>
      </c>
      <c r="N15" s="143" t="e">
        <f t="shared" si="0"/>
        <v>#DIV/0!</v>
      </c>
      <c r="O15" s="143" t="e">
        <f t="shared" si="0"/>
        <v>#DIV/0!</v>
      </c>
      <c r="P15" s="1" t="e">
        <f t="shared" si="0"/>
        <v>#DIV/0!</v>
      </c>
      <c r="Q15" s="1">
        <f t="shared" si="0"/>
        <v>66.666666666666671</v>
      </c>
      <c r="R15" s="143">
        <f>C15*(0.1740055*0.9)</f>
        <v>158.17099950000002</v>
      </c>
      <c r="S15" s="143">
        <f>C15*0.049998019</f>
        <v>50.497999189999994</v>
      </c>
      <c r="T15" s="143">
        <f>D15*(0.322222222222222*0.9)</f>
        <v>0</v>
      </c>
      <c r="U15" s="143">
        <f t="shared" si="20"/>
        <v>0</v>
      </c>
      <c r="V15" s="143">
        <f>E15*(0.297777777777777*0.9)</f>
        <v>0</v>
      </c>
      <c r="W15" s="143">
        <f>E15*0.052</f>
        <v>0</v>
      </c>
      <c r="X15" s="143"/>
      <c r="Y15" s="143">
        <f t="shared" si="19"/>
        <v>0</v>
      </c>
      <c r="Z15" s="1">
        <f>G15*(0.264*0.9)</f>
        <v>71.28</v>
      </c>
      <c r="AA15" s="1">
        <f>G15*0.05019</f>
        <v>15.057</v>
      </c>
      <c r="AB15" s="224">
        <f t="shared" si="10"/>
        <v>801.33100131000003</v>
      </c>
      <c r="AC15" s="30">
        <f t="shared" si="11"/>
        <v>0</v>
      </c>
      <c r="AD15" s="30">
        <f t="shared" si="12"/>
        <v>0</v>
      </c>
      <c r="AE15" s="143">
        <f t="shared" si="1"/>
        <v>0</v>
      </c>
      <c r="AF15" s="143">
        <f t="shared" si="2"/>
        <v>213.66300000000001</v>
      </c>
      <c r="AG15" s="224">
        <f t="shared" si="13"/>
        <v>1014.99400131</v>
      </c>
      <c r="AH15" s="224">
        <f t="shared" si="3"/>
        <v>229.45099950000002</v>
      </c>
      <c r="AI15" s="224">
        <f t="shared" si="4"/>
        <v>65.55499918999999</v>
      </c>
      <c r="AJ15" s="143">
        <v>0</v>
      </c>
      <c r="AK15" s="145">
        <v>0</v>
      </c>
      <c r="AL15" s="146">
        <f t="shared" si="5"/>
        <v>100.49445557524751</v>
      </c>
      <c r="AM15" s="92">
        <f t="shared" si="14"/>
        <v>1310</v>
      </c>
      <c r="AN15">
        <f t="shared" si="15"/>
        <v>15.660495000000003</v>
      </c>
      <c r="AO15" t="e">
        <f t="shared" si="16"/>
        <v>#DIV/0!</v>
      </c>
      <c r="AP15">
        <f t="shared" si="17"/>
        <v>0.23760000000000001</v>
      </c>
      <c r="AR15">
        <f t="shared" si="18"/>
        <v>19.95</v>
      </c>
      <c r="AS15" s="142">
        <f t="shared" si="6"/>
        <v>1010</v>
      </c>
      <c r="AT15" s="142">
        <f t="shared" si="7"/>
        <v>0.79339703100000003</v>
      </c>
      <c r="AU15" s="142" t="e">
        <f t="shared" si="7"/>
        <v>#DIV/0!</v>
      </c>
      <c r="AV15" s="142">
        <f t="shared" si="22"/>
        <v>0.71221000000000001</v>
      </c>
      <c r="AW15" s="142" t="e">
        <f t="shared" si="7"/>
        <v>#DIV/0!</v>
      </c>
      <c r="AX15">
        <f t="shared" si="8"/>
        <v>1010</v>
      </c>
    </row>
    <row r="16" spans="2:50" s="142" customFormat="1" x14ac:dyDescent="0.25">
      <c r="B16" s="143">
        <v>13</v>
      </c>
      <c r="C16" s="1">
        <v>1284</v>
      </c>
      <c r="D16" s="1">
        <v>140</v>
      </c>
      <c r="E16" s="1">
        <v>0</v>
      </c>
      <c r="F16" s="1">
        <v>0</v>
      </c>
      <c r="G16" s="1">
        <v>136</v>
      </c>
      <c r="H16" s="1">
        <v>20</v>
      </c>
      <c r="I16" s="1">
        <v>2</v>
      </c>
      <c r="J16" s="1">
        <v>0</v>
      </c>
      <c r="K16" s="1">
        <v>0</v>
      </c>
      <c r="L16" s="1">
        <v>2</v>
      </c>
      <c r="M16" s="143">
        <f t="shared" si="0"/>
        <v>64.2</v>
      </c>
      <c r="N16" s="143">
        <f t="shared" si="0"/>
        <v>70</v>
      </c>
      <c r="O16" s="143" t="e">
        <f t="shared" si="0"/>
        <v>#DIV/0!</v>
      </c>
      <c r="P16" s="1" t="e">
        <f t="shared" si="0"/>
        <v>#DIV/0!</v>
      </c>
      <c r="Q16" s="1">
        <f t="shared" si="0"/>
        <v>68</v>
      </c>
      <c r="R16" s="149">
        <f>C16*(0.187175493*0.9)</f>
        <v>216.29999971079999</v>
      </c>
      <c r="S16" s="149">
        <f>C16*0.049529595</f>
        <v>63.595999980000002</v>
      </c>
      <c r="T16" s="143">
        <f>D16*(0.255555555*0.9)</f>
        <v>32.199999929999997</v>
      </c>
      <c r="U16" s="143">
        <f t="shared" si="20"/>
        <v>7</v>
      </c>
      <c r="V16" s="143">
        <f>E16*(0.3*0.9)</f>
        <v>0</v>
      </c>
      <c r="W16" s="143">
        <f>E16*0.06</f>
        <v>0</v>
      </c>
      <c r="X16" s="143"/>
      <c r="Y16" s="143"/>
      <c r="Z16" s="1">
        <f>G16*(0.255555555*0.9)</f>
        <v>31.279999931999999</v>
      </c>
      <c r="AA16" s="1">
        <f>G16*0.050007352</f>
        <v>6.8009998719999993</v>
      </c>
      <c r="AB16" s="92">
        <f t="shared" si="10"/>
        <v>1004.1040003092</v>
      </c>
      <c r="AC16" s="30">
        <f t="shared" si="11"/>
        <v>100.80000007000001</v>
      </c>
      <c r="AD16" s="30">
        <f t="shared" si="12"/>
        <v>0</v>
      </c>
      <c r="AE16" s="143">
        <f t="shared" si="1"/>
        <v>0</v>
      </c>
      <c r="AF16" s="143">
        <f t="shared" si="2"/>
        <v>97.919000195999999</v>
      </c>
      <c r="AG16" s="230">
        <f t="shared" si="13"/>
        <v>1202.8230005752002</v>
      </c>
      <c r="AH16" s="224">
        <f t="shared" si="3"/>
        <v>279.77999957279997</v>
      </c>
      <c r="AI16" s="230">
        <f t="shared" si="4"/>
        <v>77.396999852000008</v>
      </c>
      <c r="AJ16" s="143">
        <v>0</v>
      </c>
      <c r="AK16" s="145">
        <v>0</v>
      </c>
      <c r="AL16" s="146">
        <f t="shared" si="5"/>
        <v>84.467907343764054</v>
      </c>
      <c r="AM16" s="92">
        <f t="shared" si="14"/>
        <v>1560.0000000000002</v>
      </c>
      <c r="AN16">
        <f t="shared" si="15"/>
        <v>16.84579437</v>
      </c>
      <c r="AO16">
        <f t="shared" si="16"/>
        <v>22.999999949999996</v>
      </c>
      <c r="AP16">
        <f t="shared" si="17"/>
        <v>0.2299999995</v>
      </c>
      <c r="AR16">
        <f t="shared" si="18"/>
        <v>24</v>
      </c>
      <c r="AS16" s="142">
        <f t="shared" si="6"/>
        <v>1424</v>
      </c>
      <c r="AT16" s="142">
        <f t="shared" si="7"/>
        <v>0.78201246130000002</v>
      </c>
      <c r="AU16" s="142">
        <f t="shared" si="7"/>
        <v>0.72000000050000013</v>
      </c>
      <c r="AV16" s="142">
        <f t="shared" si="22"/>
        <v>0.7199926485</v>
      </c>
      <c r="AW16" s="142" t="e">
        <f t="shared" si="7"/>
        <v>#DIV/0!</v>
      </c>
      <c r="AX16">
        <f t="shared" si="8"/>
        <v>1424</v>
      </c>
    </row>
    <row r="17" spans="2:50" x14ac:dyDescent="0.25">
      <c r="B17" s="1">
        <v>14</v>
      </c>
      <c r="C17" s="1">
        <v>1178</v>
      </c>
      <c r="D17" s="1">
        <v>68</v>
      </c>
      <c r="E17" s="1">
        <v>0</v>
      </c>
      <c r="F17" s="1">
        <v>0</v>
      </c>
      <c r="G17" s="1">
        <v>139</v>
      </c>
      <c r="H17" s="1">
        <v>18.329999999999998</v>
      </c>
      <c r="I17" s="1">
        <v>1</v>
      </c>
      <c r="J17" s="1">
        <v>0</v>
      </c>
      <c r="K17" s="1">
        <v>0</v>
      </c>
      <c r="L17" s="1">
        <v>2</v>
      </c>
      <c r="M17" s="1">
        <f t="shared" si="0"/>
        <v>64.266230223677042</v>
      </c>
      <c r="N17" s="1">
        <f t="shared" si="0"/>
        <v>68</v>
      </c>
      <c r="O17" s="1" t="e">
        <f t="shared" si="0"/>
        <v>#DIV/0!</v>
      </c>
      <c r="P17" s="1" t="e">
        <f t="shared" si="0"/>
        <v>#DIV/0!</v>
      </c>
      <c r="Q17" s="1">
        <f t="shared" si="0"/>
        <v>69.5</v>
      </c>
      <c r="R17" s="1">
        <f>C17*(0.177777777777777*0.9)</f>
        <v>188.47999999999919</v>
      </c>
      <c r="S17" s="1">
        <f>C17*0.05</f>
        <v>58.900000000000006</v>
      </c>
      <c r="T17" s="1">
        <f>D17*(0.2555555556*0.9)</f>
        <v>15.640000002719999</v>
      </c>
      <c r="U17" s="1">
        <f t="shared" si="20"/>
        <v>3.4000000000000004</v>
      </c>
      <c r="V17" s="1">
        <f>E17*(0.288888888888888*0.9)</f>
        <v>0</v>
      </c>
      <c r="W17" s="1">
        <f>E17*0.05</f>
        <v>0</v>
      </c>
      <c r="X17" s="1"/>
      <c r="Y17" s="1"/>
      <c r="Z17" s="1">
        <f>G17*(0.2501998401*0.9)</f>
        <v>31.299999996510003</v>
      </c>
      <c r="AA17" s="1">
        <f>G17*0.0503597123</f>
        <v>7.0000000096999999</v>
      </c>
      <c r="AB17" s="92">
        <f t="shared" si="10"/>
        <v>930.6200000000008</v>
      </c>
      <c r="AC17" s="30">
        <f t="shared" si="11"/>
        <v>48.959999997280001</v>
      </c>
      <c r="AD17" s="30">
        <f t="shared" si="12"/>
        <v>0</v>
      </c>
      <c r="AE17" s="143">
        <f t="shared" si="1"/>
        <v>0</v>
      </c>
      <c r="AF17" s="143">
        <f t="shared" si="2"/>
        <v>100.69999999379</v>
      </c>
      <c r="AG17" s="91">
        <f t="shared" si="13"/>
        <v>1080.2799999910708</v>
      </c>
      <c r="AH17" s="30">
        <f t="shared" si="3"/>
        <v>235.41999999922919</v>
      </c>
      <c r="AI17" s="92">
        <f t="shared" si="4"/>
        <v>69.3000000097</v>
      </c>
      <c r="AJ17" s="1">
        <v>0</v>
      </c>
      <c r="AK17" s="6">
        <v>0</v>
      </c>
      <c r="AL17" s="23">
        <f t="shared" si="5"/>
        <v>86.6998394856397</v>
      </c>
      <c r="AM17" s="92">
        <f t="shared" si="14"/>
        <v>1385</v>
      </c>
      <c r="AN17">
        <f t="shared" si="15"/>
        <v>15.999999999999931</v>
      </c>
      <c r="AO17">
        <f t="shared" si="16"/>
        <v>23.000000004</v>
      </c>
      <c r="AP17">
        <f t="shared" si="17"/>
        <v>0.22517985609000002</v>
      </c>
      <c r="AR17">
        <f t="shared" si="18"/>
        <v>21.33</v>
      </c>
      <c r="AS17">
        <f t="shared" si="6"/>
        <v>1246</v>
      </c>
      <c r="AT17">
        <f t="shared" si="7"/>
        <v>0.7900000000000007</v>
      </c>
      <c r="AU17">
        <f t="shared" si="7"/>
        <v>0.71999999995999997</v>
      </c>
      <c r="AV17" s="142">
        <f t="shared" si="22"/>
        <v>0.72446043160999996</v>
      </c>
      <c r="AW17" t="e">
        <f t="shared" si="7"/>
        <v>#DIV/0!</v>
      </c>
      <c r="AX17">
        <f t="shared" si="8"/>
        <v>1246</v>
      </c>
    </row>
    <row r="18" spans="2:50" s="154" customFormat="1" x14ac:dyDescent="0.25">
      <c r="B18" s="155">
        <v>15</v>
      </c>
      <c r="C18" s="1">
        <v>1055</v>
      </c>
      <c r="D18" s="1">
        <v>0</v>
      </c>
      <c r="E18" s="1">
        <v>0</v>
      </c>
      <c r="F18" s="1">
        <v>0</v>
      </c>
      <c r="G18" s="1">
        <v>136</v>
      </c>
      <c r="H18" s="1">
        <v>16</v>
      </c>
      <c r="I18" s="1">
        <v>0</v>
      </c>
      <c r="J18" s="1">
        <v>0</v>
      </c>
      <c r="K18" s="1">
        <v>0</v>
      </c>
      <c r="L18" s="1">
        <v>2</v>
      </c>
      <c r="M18" s="155">
        <f t="shared" si="0"/>
        <v>65.9375</v>
      </c>
      <c r="N18" s="155" t="e">
        <f t="shared" si="0"/>
        <v>#DIV/0!</v>
      </c>
      <c r="O18" s="155" t="e">
        <f t="shared" si="0"/>
        <v>#DIV/0!</v>
      </c>
      <c r="P18" s="155" t="e">
        <f t="shared" si="0"/>
        <v>#DIV/0!</v>
      </c>
      <c r="Q18" s="1">
        <f t="shared" si="0"/>
        <v>68</v>
      </c>
      <c r="R18" s="155">
        <f>C18*(0.177777777777777*0.9)</f>
        <v>168.79999999999927</v>
      </c>
      <c r="S18" s="155">
        <f>C18*0.05</f>
        <v>52.75</v>
      </c>
      <c r="T18" s="155">
        <f>D18*(0.322222222222222*0.9)</f>
        <v>0</v>
      </c>
      <c r="U18" s="155">
        <f t="shared" si="20"/>
        <v>0</v>
      </c>
      <c r="V18" s="155">
        <f>E18*(0.288888888888888*0.9)</f>
        <v>0</v>
      </c>
      <c r="W18" s="155">
        <f>E18*0.05</f>
        <v>0</v>
      </c>
      <c r="X18" s="155">
        <f>F18*(0*0.9)</f>
        <v>0</v>
      </c>
      <c r="Y18" s="155">
        <f>F18*0.05</f>
        <v>0</v>
      </c>
      <c r="Z18" s="1">
        <f>G18*(0.261111111111111*0.9)</f>
        <v>31.95999999999999</v>
      </c>
      <c r="AA18" s="1">
        <f t="shared" si="9"/>
        <v>6.8000000000000007</v>
      </c>
      <c r="AB18" s="92">
        <f t="shared" si="10"/>
        <v>833.45000000000073</v>
      </c>
      <c r="AC18" s="30">
        <f t="shared" si="11"/>
        <v>0</v>
      </c>
      <c r="AD18" s="30">
        <f t="shared" si="12"/>
        <v>0</v>
      </c>
      <c r="AE18" s="157">
        <f t="shared" si="1"/>
        <v>0</v>
      </c>
      <c r="AF18" s="143">
        <f t="shared" si="2"/>
        <v>97.240000000000009</v>
      </c>
      <c r="AG18" s="91">
        <f t="shared" si="13"/>
        <v>930.69000000000074</v>
      </c>
      <c r="AH18" s="30">
        <f t="shared" si="3"/>
        <v>200.75999999999925</v>
      </c>
      <c r="AI18" s="224">
        <f t="shared" si="4"/>
        <v>59.55</v>
      </c>
      <c r="AJ18" s="155">
        <v>0</v>
      </c>
      <c r="AK18" s="158">
        <v>0</v>
      </c>
      <c r="AL18" s="159">
        <f t="shared" si="5"/>
        <v>88.217061611374476</v>
      </c>
      <c r="AM18" s="92">
        <f t="shared" si="14"/>
        <v>1191</v>
      </c>
      <c r="AN18">
        <f t="shared" si="15"/>
        <v>15.999999999999931</v>
      </c>
      <c r="AO18" t="e">
        <f t="shared" si="16"/>
        <v>#DIV/0!</v>
      </c>
      <c r="AP18">
        <f t="shared" si="17"/>
        <v>0.23499999999999993</v>
      </c>
      <c r="AR18">
        <f t="shared" si="18"/>
        <v>18</v>
      </c>
      <c r="AS18" s="154">
        <f t="shared" si="6"/>
        <v>1055</v>
      </c>
      <c r="AT18" s="154">
        <f t="shared" si="7"/>
        <v>0.7900000000000007</v>
      </c>
      <c r="AU18" s="154" t="e">
        <f t="shared" si="7"/>
        <v>#DIV/0!</v>
      </c>
      <c r="AV18" s="142">
        <f t="shared" si="22"/>
        <v>0.71500000000000008</v>
      </c>
      <c r="AW18" s="154" t="e">
        <f t="shared" si="7"/>
        <v>#DIV/0!</v>
      </c>
      <c r="AX18" s="154">
        <f t="shared" si="8"/>
        <v>1055</v>
      </c>
    </row>
    <row r="19" spans="2:50" s="154" customFormat="1" x14ac:dyDescent="0.25">
      <c r="B19" s="155">
        <v>16</v>
      </c>
      <c r="C19" s="1">
        <v>1432</v>
      </c>
      <c r="D19" s="1">
        <v>140</v>
      </c>
      <c r="E19" s="1">
        <v>0</v>
      </c>
      <c r="F19" s="1">
        <v>0</v>
      </c>
      <c r="G19" s="1">
        <v>0</v>
      </c>
      <c r="H19" s="1">
        <v>22</v>
      </c>
      <c r="I19" s="1">
        <v>2</v>
      </c>
      <c r="J19" s="1">
        <v>0</v>
      </c>
      <c r="K19" s="1">
        <v>0</v>
      </c>
      <c r="L19" s="1">
        <v>0</v>
      </c>
      <c r="M19" s="155">
        <f t="shared" si="0"/>
        <v>65.090909090909093</v>
      </c>
      <c r="N19" s="155">
        <f>D19/I19</f>
        <v>70</v>
      </c>
      <c r="O19" s="155" t="e">
        <f t="shared" si="0"/>
        <v>#DIV/0!</v>
      </c>
      <c r="P19" s="155" t="e">
        <f t="shared" si="0"/>
        <v>#DIV/0!</v>
      </c>
      <c r="Q19" s="1" t="e">
        <f t="shared" si="0"/>
        <v>#DIV/0!</v>
      </c>
      <c r="R19" s="155">
        <f>C19*(0.172222222222222*0.9)</f>
        <v>221.95999999999972</v>
      </c>
      <c r="S19" s="155">
        <f>C19*0.05</f>
        <v>71.600000000000009</v>
      </c>
      <c r="T19" s="155">
        <f>D19*(0.266666666666666*0.9)</f>
        <v>33.599999999999916</v>
      </c>
      <c r="U19" s="155">
        <f t="shared" si="20"/>
        <v>7</v>
      </c>
      <c r="V19" s="155">
        <f>E19*(0.271416455*0.9)</f>
        <v>0</v>
      </c>
      <c r="W19" s="155">
        <f>E19*0.0480916033</f>
        <v>0</v>
      </c>
      <c r="X19" s="155"/>
      <c r="Y19" s="155">
        <f>F19*0.05</f>
        <v>0</v>
      </c>
      <c r="Z19" s="1">
        <f>G19*(0.311111111*0.9)</f>
        <v>0</v>
      </c>
      <c r="AA19" s="1">
        <f t="shared" si="9"/>
        <v>0</v>
      </c>
      <c r="AB19" s="92">
        <f t="shared" si="10"/>
        <v>1138.4400000000003</v>
      </c>
      <c r="AC19" s="30">
        <f t="shared" si="11"/>
        <v>99.400000000000091</v>
      </c>
      <c r="AD19" s="30">
        <f t="shared" si="12"/>
        <v>0</v>
      </c>
      <c r="AE19" s="157">
        <f t="shared" si="1"/>
        <v>0</v>
      </c>
      <c r="AF19" s="143">
        <f t="shared" si="2"/>
        <v>0</v>
      </c>
      <c r="AG19" s="91">
        <f t="shared" si="13"/>
        <v>1237.8400000000004</v>
      </c>
      <c r="AH19" s="224">
        <f>R19+T19+V19+Z19</f>
        <v>255.55999999999963</v>
      </c>
      <c r="AI19" s="224">
        <f t="shared" si="4"/>
        <v>78.600000000000009</v>
      </c>
      <c r="AJ19" s="155">
        <v>0</v>
      </c>
      <c r="AK19" s="158">
        <v>0</v>
      </c>
      <c r="AL19" s="159">
        <f t="shared" si="5"/>
        <v>78.74300254452929</v>
      </c>
      <c r="AM19" s="92">
        <f t="shared" si="14"/>
        <v>1572</v>
      </c>
      <c r="AN19">
        <f t="shared" si="15"/>
        <v>15.49999999999998</v>
      </c>
      <c r="AO19">
        <f t="shared" si="16"/>
        <v>23.99999999999994</v>
      </c>
      <c r="AP19" t="e">
        <f t="shared" si="17"/>
        <v>#DIV/0!</v>
      </c>
      <c r="AR19">
        <f t="shared" si="18"/>
        <v>24</v>
      </c>
      <c r="AS19" s="154">
        <f t="shared" si="6"/>
        <v>1572</v>
      </c>
      <c r="AT19" s="154">
        <f t="shared" si="7"/>
        <v>0.79500000000000015</v>
      </c>
      <c r="AU19" s="154">
        <f t="shared" si="7"/>
        <v>0.71000000000000063</v>
      </c>
      <c r="AV19" s="142" t="e">
        <f t="shared" si="22"/>
        <v>#DIV/0!</v>
      </c>
      <c r="AW19" s="154" t="e">
        <f t="shared" si="7"/>
        <v>#DIV/0!</v>
      </c>
      <c r="AX19" s="154">
        <f t="shared" si="8"/>
        <v>1572</v>
      </c>
    </row>
    <row r="20" spans="2:50" s="167" customFormat="1" ht="17.25" customHeight="1" x14ac:dyDescent="0.25">
      <c r="B20" s="168">
        <v>17</v>
      </c>
      <c r="C20" s="1">
        <v>1140</v>
      </c>
      <c r="D20" s="1">
        <v>0</v>
      </c>
      <c r="E20" s="1">
        <v>0</v>
      </c>
      <c r="F20" s="1">
        <v>0</v>
      </c>
      <c r="G20" s="1">
        <v>420</v>
      </c>
      <c r="H20" s="1">
        <v>17.649999999999999</v>
      </c>
      <c r="I20" s="1">
        <v>0</v>
      </c>
      <c r="J20" s="1">
        <v>0</v>
      </c>
      <c r="K20" s="1">
        <v>0</v>
      </c>
      <c r="L20" s="1">
        <v>6</v>
      </c>
      <c r="M20" s="168">
        <f t="shared" ref="M20:Q33" si="23">C20/H20</f>
        <v>64.589235127478759</v>
      </c>
      <c r="N20" s="168" t="e">
        <f t="shared" si="23"/>
        <v>#DIV/0!</v>
      </c>
      <c r="O20" s="168" t="e">
        <f t="shared" si="23"/>
        <v>#DIV/0!</v>
      </c>
      <c r="P20" s="155" t="e">
        <f t="shared" si="23"/>
        <v>#DIV/0!</v>
      </c>
      <c r="Q20" s="1">
        <f t="shared" si="23"/>
        <v>70</v>
      </c>
      <c r="R20" s="168">
        <f>C20*(0.172222222222222*0.9)</f>
        <v>176.69999999999979</v>
      </c>
      <c r="S20" s="168">
        <f t="shared" ref="S20" si="24">C20*0.05</f>
        <v>57</v>
      </c>
      <c r="T20" s="168">
        <f>D20*(0.3*0.9)</f>
        <v>0</v>
      </c>
      <c r="U20" s="168">
        <f t="shared" si="20"/>
        <v>0</v>
      </c>
      <c r="V20" s="168">
        <f>E20*(0.29436152566678*0.9)</f>
        <v>0</v>
      </c>
      <c r="W20" s="168">
        <f>E20*0.05</f>
        <v>0</v>
      </c>
      <c r="X20" s="168"/>
      <c r="Y20" s="169">
        <f>F20*0.0583333333333333</f>
        <v>0</v>
      </c>
      <c r="Z20" s="1">
        <f>G20*(0.257407407407*0.9)</f>
        <v>97.299999999846008</v>
      </c>
      <c r="AA20" s="1">
        <f t="shared" si="9"/>
        <v>21</v>
      </c>
      <c r="AB20" s="92">
        <f t="shared" si="10"/>
        <v>906.30000000000018</v>
      </c>
      <c r="AC20" s="30">
        <f t="shared" si="11"/>
        <v>0</v>
      </c>
      <c r="AD20" s="30">
        <f t="shared" si="12"/>
        <v>0</v>
      </c>
      <c r="AE20" s="157">
        <f t="shared" si="1"/>
        <v>0</v>
      </c>
      <c r="AF20" s="143">
        <f t="shared" si="2"/>
        <v>301.70000000015398</v>
      </c>
      <c r="AG20" s="91">
        <f t="shared" si="13"/>
        <v>1208.0000000001542</v>
      </c>
      <c r="AH20" s="30">
        <f t="shared" si="3"/>
        <v>273.99999999984578</v>
      </c>
      <c r="AI20" s="92">
        <f t="shared" si="4"/>
        <v>78</v>
      </c>
      <c r="AJ20" s="168">
        <v>0</v>
      </c>
      <c r="AK20" s="170">
        <v>0</v>
      </c>
      <c r="AL20" s="171">
        <f t="shared" si="5"/>
        <v>105.96491228071527</v>
      </c>
      <c r="AM20" s="92">
        <f t="shared" si="14"/>
        <v>1560</v>
      </c>
      <c r="AN20">
        <f t="shared" si="15"/>
        <v>15.49999999999998</v>
      </c>
      <c r="AO20" t="e">
        <f t="shared" si="16"/>
        <v>#DIV/0!</v>
      </c>
      <c r="AP20">
        <f t="shared" si="17"/>
        <v>0.23166666666630001</v>
      </c>
      <c r="AR20">
        <f t="shared" si="18"/>
        <v>23.65</v>
      </c>
      <c r="AS20" s="167">
        <f t="shared" si="6"/>
        <v>1140</v>
      </c>
      <c r="AT20" s="167">
        <f t="shared" si="7"/>
        <v>0.79500000000000015</v>
      </c>
      <c r="AU20" s="154" t="e">
        <f t="shared" si="7"/>
        <v>#DIV/0!</v>
      </c>
      <c r="AV20" s="142">
        <f t="shared" si="22"/>
        <v>0.71833333333369997</v>
      </c>
      <c r="AW20" s="154" t="e">
        <f t="shared" si="7"/>
        <v>#DIV/0!</v>
      </c>
      <c r="AX20" s="154">
        <f t="shared" si="8"/>
        <v>1140</v>
      </c>
    </row>
    <row r="21" spans="2:50" s="189" customFormat="1" x14ac:dyDescent="0.25">
      <c r="B21" s="190">
        <v>18</v>
      </c>
      <c r="C21" s="1">
        <v>1580</v>
      </c>
      <c r="D21" s="1">
        <v>0</v>
      </c>
      <c r="E21" s="1">
        <v>0</v>
      </c>
      <c r="F21" s="1">
        <v>0</v>
      </c>
      <c r="G21" s="1">
        <v>0</v>
      </c>
      <c r="H21" s="1">
        <v>24</v>
      </c>
      <c r="I21" s="1">
        <v>0</v>
      </c>
      <c r="J21" s="1">
        <v>0</v>
      </c>
      <c r="K21" s="1">
        <v>0</v>
      </c>
      <c r="L21" s="1">
        <v>0</v>
      </c>
      <c r="M21" s="190">
        <f t="shared" si="23"/>
        <v>65.833333333333329</v>
      </c>
      <c r="N21" s="190" t="e">
        <f>D21/I21</f>
        <v>#DIV/0!</v>
      </c>
      <c r="O21" s="190" t="e">
        <f t="shared" si="23"/>
        <v>#DIV/0!</v>
      </c>
      <c r="P21" s="155" t="e">
        <f t="shared" si="23"/>
        <v>#DIV/0!</v>
      </c>
      <c r="Q21" s="1" t="e">
        <f t="shared" si="23"/>
        <v>#DIV/0!</v>
      </c>
      <c r="R21" s="190">
        <f>C21*(0.166666666666666*0.9)</f>
        <v>236.99999999999903</v>
      </c>
      <c r="S21" s="233">
        <f>C21*0.05</f>
        <v>79</v>
      </c>
      <c r="T21" s="190">
        <f>D21*(0.288888888888888*0.9)</f>
        <v>0</v>
      </c>
      <c r="U21" s="190">
        <f t="shared" si="20"/>
        <v>0</v>
      </c>
      <c r="V21" s="190">
        <f>E21*(0.188034188*0.9)</f>
        <v>0</v>
      </c>
      <c r="W21" s="190">
        <f>E21*0.046153846</f>
        <v>0</v>
      </c>
      <c r="X21" s="190"/>
      <c r="Y21" s="169">
        <f>F21*0.055</f>
        <v>0</v>
      </c>
      <c r="Z21" s="1">
        <f>G21*(0.277777777777777*0.9)</f>
        <v>0</v>
      </c>
      <c r="AA21" s="1">
        <f>G21*0.05</f>
        <v>0</v>
      </c>
      <c r="AB21" s="92">
        <f t="shared" si="10"/>
        <v>1264.0000000000009</v>
      </c>
      <c r="AC21" s="30">
        <f t="shared" si="11"/>
        <v>0</v>
      </c>
      <c r="AD21" s="30">
        <f t="shared" si="12"/>
        <v>0</v>
      </c>
      <c r="AE21" s="157">
        <f t="shared" si="1"/>
        <v>0</v>
      </c>
      <c r="AF21" s="143">
        <f t="shared" si="2"/>
        <v>0</v>
      </c>
      <c r="AG21" s="91">
        <f t="shared" si="13"/>
        <v>1264.0000000000009</v>
      </c>
      <c r="AH21" s="30">
        <f t="shared" si="3"/>
        <v>236.99999999999903</v>
      </c>
      <c r="AI21" s="92">
        <f t="shared" si="4"/>
        <v>79</v>
      </c>
      <c r="AJ21" s="190">
        <v>0</v>
      </c>
      <c r="AK21" s="191">
        <v>0</v>
      </c>
      <c r="AL21" s="192">
        <f t="shared" si="5"/>
        <v>80.000000000000057</v>
      </c>
      <c r="AM21" s="92">
        <f t="shared" si="14"/>
        <v>1580</v>
      </c>
      <c r="AN21">
        <f t="shared" si="15"/>
        <v>14.999999999999938</v>
      </c>
      <c r="AO21" t="e">
        <f t="shared" si="16"/>
        <v>#DIV/0!</v>
      </c>
      <c r="AP21" t="e">
        <f t="shared" si="17"/>
        <v>#DIV/0!</v>
      </c>
      <c r="AR21">
        <f t="shared" si="18"/>
        <v>24</v>
      </c>
      <c r="AS21" s="189">
        <f t="shared" si="6"/>
        <v>1580</v>
      </c>
      <c r="AT21" s="189">
        <f t="shared" si="7"/>
        <v>0.8000000000000006</v>
      </c>
      <c r="AU21" s="154" t="e">
        <f t="shared" si="7"/>
        <v>#DIV/0!</v>
      </c>
      <c r="AV21" s="142" t="e">
        <f t="shared" si="22"/>
        <v>#DIV/0!</v>
      </c>
      <c r="AW21" s="154" t="e">
        <f t="shared" si="7"/>
        <v>#DIV/0!</v>
      </c>
      <c r="AX21" s="154">
        <f t="shared" si="8"/>
        <v>1580</v>
      </c>
    </row>
    <row r="22" spans="2:50" s="154" customFormat="1" x14ac:dyDescent="0.25">
      <c r="B22" s="155">
        <v>19</v>
      </c>
      <c r="C22" s="1">
        <v>1353</v>
      </c>
      <c r="D22" s="1">
        <v>0</v>
      </c>
      <c r="E22" s="1">
        <v>0</v>
      </c>
      <c r="F22" s="1">
        <v>0</v>
      </c>
      <c r="G22" s="1">
        <v>207</v>
      </c>
      <c r="H22" s="1">
        <v>21</v>
      </c>
      <c r="I22" s="1">
        <v>0</v>
      </c>
      <c r="J22" s="1">
        <v>0</v>
      </c>
      <c r="K22" s="1">
        <v>0</v>
      </c>
      <c r="L22" s="1">
        <v>3</v>
      </c>
      <c r="M22" s="155">
        <f t="shared" si="23"/>
        <v>64.428571428571431</v>
      </c>
      <c r="N22" s="155" t="e">
        <f t="shared" si="23"/>
        <v>#DIV/0!</v>
      </c>
      <c r="O22" s="155" t="e">
        <f t="shared" si="23"/>
        <v>#DIV/0!</v>
      </c>
      <c r="P22" s="155" t="e">
        <f>F22/K22</f>
        <v>#DIV/0!</v>
      </c>
      <c r="Q22" s="1">
        <f t="shared" si="23"/>
        <v>69</v>
      </c>
      <c r="R22" s="156">
        <f>C22*(0.153862199*0.9)</f>
        <v>187.35799972230001</v>
      </c>
      <c r="S22" s="156">
        <f>C22*0.049951219</f>
        <v>67.583999306999999</v>
      </c>
      <c r="T22" s="155">
        <f>D22*(0.333333333333333*0.9)</f>
        <v>0</v>
      </c>
      <c r="U22" s="155">
        <f t="shared" si="20"/>
        <v>0</v>
      </c>
      <c r="V22" s="155">
        <f>E22*(0.277777777777777*0.9)</f>
        <v>0</v>
      </c>
      <c r="W22" s="155">
        <f>E22*0.05</f>
        <v>0</v>
      </c>
      <c r="X22" s="155"/>
      <c r="Y22" s="155">
        <f>F22*0.111111111111111</f>
        <v>0</v>
      </c>
      <c r="Z22" s="1">
        <f>G22*(0.261111111*0.9)</f>
        <v>48.644999979300003</v>
      </c>
      <c r="AA22" s="222">
        <f t="shared" si="9"/>
        <v>10.350000000000001</v>
      </c>
      <c r="AB22" s="224">
        <f t="shared" si="10"/>
        <v>1098.0580009707</v>
      </c>
      <c r="AC22" s="30">
        <f t="shared" si="11"/>
        <v>0</v>
      </c>
      <c r="AD22" s="30">
        <f t="shared" si="12"/>
        <v>0</v>
      </c>
      <c r="AE22" s="157">
        <f t="shared" si="1"/>
        <v>0</v>
      </c>
      <c r="AF22" s="143">
        <f t="shared" si="2"/>
        <v>148.00500002070001</v>
      </c>
      <c r="AG22" s="224">
        <f t="shared" si="13"/>
        <v>1246.0630009914</v>
      </c>
      <c r="AH22" s="30">
        <f t="shared" si="3"/>
        <v>236.0029997016</v>
      </c>
      <c r="AI22" s="224">
        <f t="shared" si="4"/>
        <v>77.933999306999993</v>
      </c>
      <c r="AJ22" s="155">
        <v>0</v>
      </c>
      <c r="AK22" s="158">
        <v>0</v>
      </c>
      <c r="AL22" s="159">
        <f t="shared" si="5"/>
        <v>92.096304581773836</v>
      </c>
      <c r="AM22" s="92">
        <f t="shared" si="14"/>
        <v>1560</v>
      </c>
      <c r="AN22">
        <f t="shared" si="15"/>
        <v>13.847597910000001</v>
      </c>
      <c r="AO22" t="e">
        <f t="shared" si="16"/>
        <v>#DIV/0!</v>
      </c>
      <c r="AP22">
        <f t="shared" si="17"/>
        <v>0.23499999990000001</v>
      </c>
      <c r="AR22">
        <f t="shared" si="18"/>
        <v>24</v>
      </c>
      <c r="AS22" s="154">
        <f t="shared" si="6"/>
        <v>1353</v>
      </c>
      <c r="AT22" s="154">
        <f t="shared" si="7"/>
        <v>0.81157280190000003</v>
      </c>
      <c r="AU22" s="154" t="e">
        <f t="shared" si="7"/>
        <v>#DIV/0!</v>
      </c>
      <c r="AV22" s="142">
        <f t="shared" si="22"/>
        <v>0.71500000010000009</v>
      </c>
      <c r="AW22" s="154" t="e">
        <f t="shared" si="7"/>
        <v>#DIV/0!</v>
      </c>
      <c r="AX22" s="154">
        <f t="shared" si="8"/>
        <v>1353</v>
      </c>
    </row>
    <row r="23" spans="2:50" s="154" customFormat="1" x14ac:dyDescent="0.25">
      <c r="B23" s="155">
        <v>20</v>
      </c>
      <c r="C23" s="1">
        <v>1258</v>
      </c>
      <c r="D23" s="1">
        <v>136</v>
      </c>
      <c r="E23" s="1">
        <v>0</v>
      </c>
      <c r="F23" s="1">
        <v>0</v>
      </c>
      <c r="G23" s="1">
        <v>204</v>
      </c>
      <c r="H23" s="1">
        <v>19</v>
      </c>
      <c r="I23" s="1">
        <v>2</v>
      </c>
      <c r="J23" s="1">
        <v>0</v>
      </c>
      <c r="K23" s="1">
        <v>0</v>
      </c>
      <c r="L23" s="1">
        <v>3</v>
      </c>
      <c r="M23" s="155">
        <f t="shared" si="23"/>
        <v>66.21052631578948</v>
      </c>
      <c r="N23" s="155">
        <f t="shared" si="23"/>
        <v>68</v>
      </c>
      <c r="O23" s="155" t="e">
        <f t="shared" si="23"/>
        <v>#DIV/0!</v>
      </c>
      <c r="P23" s="155" t="e">
        <f t="shared" si="23"/>
        <v>#DIV/0!</v>
      </c>
      <c r="Q23" s="1">
        <f t="shared" si="23"/>
        <v>68</v>
      </c>
      <c r="R23" s="155">
        <f>C23*(0.148363363*0.9)</f>
        <v>167.97699958859999</v>
      </c>
      <c r="S23" s="155">
        <f>C23*0.04994674</f>
        <v>62.832998920000001</v>
      </c>
      <c r="T23" s="155">
        <f>D23*(0.188888888*0.9)</f>
        <v>23.119999891199999</v>
      </c>
      <c r="U23" s="155">
        <f>D23*0.05</f>
        <v>6.8000000000000007</v>
      </c>
      <c r="V23" s="155">
        <f>E23*(0.3*0.9)</f>
        <v>0</v>
      </c>
      <c r="W23" s="155">
        <f>E23*0.05</f>
        <v>0</v>
      </c>
      <c r="X23" s="155"/>
      <c r="Y23" s="169">
        <f>F23*0.055</f>
        <v>0</v>
      </c>
      <c r="Z23" s="1">
        <f>G23*(0.188888888*0.9)</f>
        <v>34.6799998368</v>
      </c>
      <c r="AA23" s="1">
        <f t="shared" si="9"/>
        <v>10.200000000000001</v>
      </c>
      <c r="AB23" s="224">
        <f t="shared" si="10"/>
        <v>1027.1900014914002</v>
      </c>
      <c r="AC23" s="30">
        <f t="shared" si="11"/>
        <v>106.08000010880001</v>
      </c>
      <c r="AD23" s="30">
        <f t="shared" si="12"/>
        <v>0</v>
      </c>
      <c r="AE23" s="157">
        <f t="shared" si="1"/>
        <v>0</v>
      </c>
      <c r="AF23" s="143">
        <f t="shared" si="2"/>
        <v>159.12000016320002</v>
      </c>
      <c r="AG23" s="224">
        <f t="shared" si="13"/>
        <v>1292.3900017634003</v>
      </c>
      <c r="AH23" s="30">
        <f t="shared" si="3"/>
        <v>225.77699931659998</v>
      </c>
      <c r="AI23" s="224">
        <f t="shared" si="4"/>
        <v>79.832998920000009</v>
      </c>
      <c r="AJ23" s="155">
        <v>0</v>
      </c>
      <c r="AK23" s="158">
        <v>0</v>
      </c>
      <c r="AL23" s="165">
        <f t="shared" si="5"/>
        <v>92.710904000243914</v>
      </c>
      <c r="AM23" s="92">
        <f t="shared" si="14"/>
        <v>1598.0000000000002</v>
      </c>
      <c r="AN23">
        <f t="shared" si="15"/>
        <v>13.352702669999999</v>
      </c>
      <c r="AO23">
        <f t="shared" si="16"/>
        <v>16.99999992</v>
      </c>
      <c r="AP23">
        <f t="shared" si="17"/>
        <v>0.1699999992</v>
      </c>
      <c r="AS23" s="154">
        <f t="shared" si="6"/>
        <v>1394</v>
      </c>
      <c r="AT23" s="154">
        <f t="shared" si="7"/>
        <v>0.81652623330000007</v>
      </c>
      <c r="AU23" s="154">
        <f t="shared" si="7"/>
        <v>0.78000000080000009</v>
      </c>
      <c r="AV23" s="142">
        <f t="shared" si="22"/>
        <v>0.78000000080000009</v>
      </c>
      <c r="AW23" s="154" t="e">
        <f t="shared" si="7"/>
        <v>#DIV/0!</v>
      </c>
      <c r="AX23" s="154">
        <f t="shared" si="8"/>
        <v>1394</v>
      </c>
    </row>
    <row r="24" spans="2:50" s="198" customFormat="1" x14ac:dyDescent="0.25">
      <c r="B24" s="199">
        <v>21</v>
      </c>
      <c r="C24" s="1">
        <v>840</v>
      </c>
      <c r="D24" s="1">
        <v>150</v>
      </c>
      <c r="E24" s="1">
        <v>0</v>
      </c>
      <c r="F24" s="1">
        <v>120</v>
      </c>
      <c r="G24" s="1">
        <v>480</v>
      </c>
      <c r="H24" s="1">
        <v>12.8</v>
      </c>
      <c r="I24" s="1">
        <v>2.2000000000000002</v>
      </c>
      <c r="J24" s="1">
        <v>0</v>
      </c>
      <c r="K24" s="1">
        <v>2</v>
      </c>
      <c r="L24" s="1">
        <v>7</v>
      </c>
      <c r="M24" s="199">
        <f t="shared" si="23"/>
        <v>65.625</v>
      </c>
      <c r="N24" s="199">
        <f t="shared" si="23"/>
        <v>68.181818181818173</v>
      </c>
      <c r="O24" s="199" t="e">
        <f t="shared" si="23"/>
        <v>#DIV/0!</v>
      </c>
      <c r="P24" s="199">
        <f t="shared" si="23"/>
        <v>60</v>
      </c>
      <c r="Q24" s="1">
        <f t="shared" si="23"/>
        <v>68.571428571428569</v>
      </c>
      <c r="R24" s="235">
        <f>C24*(0.133333333333333*0.9)</f>
        <v>100.79999999999976</v>
      </c>
      <c r="S24" s="235">
        <f>C24*0.05</f>
        <v>42</v>
      </c>
      <c r="T24" s="199">
        <f>D24*(0.188888888888888*0.9)</f>
        <v>25.499999999999883</v>
      </c>
      <c r="U24" s="199">
        <f>D24*0.05</f>
        <v>7.5</v>
      </c>
      <c r="V24" s="199">
        <f>E24*(0.257309941*0.9)</f>
        <v>0</v>
      </c>
      <c r="W24" s="199">
        <f>E24*0.052631578</f>
        <v>0</v>
      </c>
      <c r="X24" s="199"/>
      <c r="Y24" s="199">
        <f>F24*0.05</f>
        <v>6</v>
      </c>
      <c r="Z24" s="1">
        <f>G24*(0.188888888888888*0.9)</f>
        <v>81.599999999999625</v>
      </c>
      <c r="AA24" s="1">
        <f t="shared" si="9"/>
        <v>24</v>
      </c>
      <c r="AB24" s="92">
        <f t="shared" si="10"/>
        <v>697.20000000000027</v>
      </c>
      <c r="AC24" s="30">
        <f t="shared" si="11"/>
        <v>117.00000000000011</v>
      </c>
      <c r="AD24" s="30">
        <f t="shared" si="12"/>
        <v>0</v>
      </c>
      <c r="AE24" s="199">
        <f t="shared" si="1"/>
        <v>114</v>
      </c>
      <c r="AF24" s="143">
        <f t="shared" si="2"/>
        <v>374.40000000000038</v>
      </c>
      <c r="AG24" s="91">
        <f t="shared" si="13"/>
        <v>1302.6000000000008</v>
      </c>
      <c r="AH24" s="30">
        <f t="shared" si="3"/>
        <v>207.89999999999927</v>
      </c>
      <c r="AI24" s="92">
        <f t="shared" si="4"/>
        <v>79.5</v>
      </c>
      <c r="AJ24" s="199">
        <v>0</v>
      </c>
      <c r="AK24" s="200">
        <v>0</v>
      </c>
      <c r="AL24" s="201">
        <f t="shared" si="5"/>
        <v>131.57575757575765</v>
      </c>
      <c r="AM24" s="92">
        <f t="shared" si="14"/>
        <v>1590</v>
      </c>
      <c r="AN24">
        <f t="shared" si="15"/>
        <v>11.99999999999997</v>
      </c>
      <c r="AO24">
        <f t="shared" si="16"/>
        <v>16.999999999999922</v>
      </c>
      <c r="AP24">
        <f t="shared" si="17"/>
        <v>0.16999999999999921</v>
      </c>
      <c r="AS24" s="198">
        <f t="shared" si="6"/>
        <v>990</v>
      </c>
      <c r="AT24" s="198">
        <f t="shared" si="7"/>
        <v>0.83000000000000029</v>
      </c>
      <c r="AU24" s="198">
        <f t="shared" si="7"/>
        <v>0.7800000000000008</v>
      </c>
      <c r="AV24" s="142">
        <f t="shared" si="22"/>
        <v>0.7800000000000008</v>
      </c>
      <c r="AW24" s="198">
        <f t="shared" si="7"/>
        <v>0.95</v>
      </c>
      <c r="AX24" s="198">
        <f t="shared" si="8"/>
        <v>1110</v>
      </c>
    </row>
    <row r="25" spans="2:50" s="203" customFormat="1" x14ac:dyDescent="0.25">
      <c r="B25" s="204">
        <v>22</v>
      </c>
      <c r="C25" s="1">
        <v>1102</v>
      </c>
      <c r="D25" s="1">
        <v>201</v>
      </c>
      <c r="E25" s="1">
        <v>0</v>
      </c>
      <c r="F25" s="1">
        <v>0</v>
      </c>
      <c r="G25" s="1">
        <v>272</v>
      </c>
      <c r="H25" s="1">
        <v>17</v>
      </c>
      <c r="I25" s="1">
        <v>3</v>
      </c>
      <c r="J25" s="1">
        <v>0</v>
      </c>
      <c r="K25" s="1">
        <v>0</v>
      </c>
      <c r="L25" s="1">
        <v>4</v>
      </c>
      <c r="M25" s="204">
        <f t="shared" si="23"/>
        <v>64.82352941176471</v>
      </c>
      <c r="N25" s="204">
        <f t="shared" si="23"/>
        <v>67</v>
      </c>
      <c r="O25" s="204" t="e">
        <f t="shared" si="23"/>
        <v>#DIV/0!</v>
      </c>
      <c r="P25" s="155" t="e">
        <f t="shared" si="23"/>
        <v>#DIV/0!</v>
      </c>
      <c r="Q25" s="1">
        <f t="shared" si="23"/>
        <v>68</v>
      </c>
      <c r="R25" s="204">
        <f>C25*(0.1377495463*0.9)</f>
        <v>136.62000002034</v>
      </c>
      <c r="S25" s="204">
        <f>C25*0.05</f>
        <v>55.1</v>
      </c>
      <c r="T25" s="204">
        <f>D25*(0.1979988944*0.9)</f>
        <v>35.817999996959998</v>
      </c>
      <c r="U25" s="204">
        <f>D25*0.0498706468</f>
        <v>10.0240000068</v>
      </c>
      <c r="V25" s="204">
        <f>E25*(0.222222222222222*0.9)</f>
        <v>0</v>
      </c>
      <c r="W25" s="204">
        <f>E25*0.05</f>
        <v>0</v>
      </c>
      <c r="X25" s="204"/>
      <c r="Y25" s="204">
        <f>F25*0.052631579</f>
        <v>0</v>
      </c>
      <c r="Z25" s="1">
        <f>G25*(0.188888888888888*0.9)</f>
        <v>46.239999999999782</v>
      </c>
      <c r="AA25" s="1">
        <f t="shared" si="9"/>
        <v>13.600000000000001</v>
      </c>
      <c r="AB25" s="92">
        <f t="shared" si="10"/>
        <v>910.27999997965992</v>
      </c>
      <c r="AC25" s="30">
        <f t="shared" si="11"/>
        <v>155.15799999623999</v>
      </c>
      <c r="AD25" s="30">
        <f t="shared" si="12"/>
        <v>0</v>
      </c>
      <c r="AE25" s="157">
        <f t="shared" si="1"/>
        <v>0</v>
      </c>
      <c r="AF25" s="143">
        <f t="shared" si="2"/>
        <v>212.16000000000022</v>
      </c>
      <c r="AG25" s="92">
        <f t="shared" si="13"/>
        <v>1277.5979999759002</v>
      </c>
      <c r="AH25" s="92">
        <f t="shared" si="3"/>
        <v>218.67800001729978</v>
      </c>
      <c r="AI25" s="224">
        <f t="shared" si="4"/>
        <v>78.724000006799997</v>
      </c>
      <c r="AJ25" s="204">
        <v>0</v>
      </c>
      <c r="AK25" s="205">
        <v>0</v>
      </c>
      <c r="AL25" s="206">
        <f>AG25/(C25+D25+E25)*100</f>
        <v>98.050498846960878</v>
      </c>
      <c r="AM25" s="92">
        <f t="shared" si="14"/>
        <v>1575</v>
      </c>
      <c r="AN25">
        <f t="shared" si="15"/>
        <v>12.397459166999999</v>
      </c>
      <c r="AO25">
        <f t="shared" si="16"/>
        <v>17.819900495999999</v>
      </c>
      <c r="AP25">
        <f t="shared" si="17"/>
        <v>0.16999999999999921</v>
      </c>
      <c r="AS25" s="203">
        <f t="shared" si="6"/>
        <v>1303</v>
      </c>
      <c r="AT25" s="203">
        <f t="shared" si="7"/>
        <v>0.82602540832999993</v>
      </c>
      <c r="AU25" s="154">
        <f t="shared" si="7"/>
        <v>0.77193034823999995</v>
      </c>
      <c r="AV25" s="142">
        <f t="shared" si="22"/>
        <v>0.7800000000000008</v>
      </c>
      <c r="AW25" s="154" t="e">
        <f t="shared" si="7"/>
        <v>#DIV/0!</v>
      </c>
      <c r="AX25" s="154">
        <f t="shared" si="8"/>
        <v>1303</v>
      </c>
    </row>
    <row r="26" spans="2:50" s="154" customFormat="1" x14ac:dyDescent="0.25">
      <c r="B26" s="155">
        <v>23</v>
      </c>
      <c r="C26" s="1">
        <v>1183</v>
      </c>
      <c r="D26" s="1">
        <v>337</v>
      </c>
      <c r="E26" s="1">
        <v>0</v>
      </c>
      <c r="F26" s="1">
        <v>0</v>
      </c>
      <c r="G26" s="1">
        <v>0</v>
      </c>
      <c r="H26" s="1">
        <v>19</v>
      </c>
      <c r="I26" s="1">
        <v>5</v>
      </c>
      <c r="J26" s="1">
        <v>0</v>
      </c>
      <c r="K26" s="1">
        <v>0</v>
      </c>
      <c r="L26" s="1">
        <v>0</v>
      </c>
      <c r="M26" s="155">
        <f t="shared" si="23"/>
        <v>62.263157894736842</v>
      </c>
      <c r="N26" s="155">
        <f t="shared" si="23"/>
        <v>67.400000000000006</v>
      </c>
      <c r="O26" s="155" t="e">
        <f t="shared" si="23"/>
        <v>#DIV/0!</v>
      </c>
      <c r="P26" s="155" t="e">
        <f t="shared" si="23"/>
        <v>#DIV/0!</v>
      </c>
      <c r="Q26" s="1" t="e">
        <f t="shared" si="23"/>
        <v>#DIV/0!</v>
      </c>
      <c r="R26" s="208">
        <f>C26*(0.136666666666666*0.9)</f>
        <v>145.5089999999993</v>
      </c>
      <c r="S26" s="156">
        <f>C26*0.05</f>
        <v>59.150000000000006</v>
      </c>
      <c r="T26" s="155">
        <f>D26*(0.1946785361*0.9)</f>
        <v>59.045999999129997</v>
      </c>
      <c r="U26" s="155">
        <f>D26*0.05</f>
        <v>16.850000000000001</v>
      </c>
      <c r="V26" s="155">
        <f>E26*(0.277777777777777*0.9)</f>
        <v>0</v>
      </c>
      <c r="W26" s="155">
        <f>E26*0.05</f>
        <v>0</v>
      </c>
      <c r="X26" s="155"/>
      <c r="Y26" s="169">
        <f>F26*0.05</f>
        <v>0</v>
      </c>
      <c r="Z26" s="1">
        <f>G26*(0.277777777*0.9)</f>
        <v>0</v>
      </c>
      <c r="AA26" s="1">
        <f>G26*0.05</f>
        <v>0</v>
      </c>
      <c r="AB26" s="92">
        <f t="shared" si="10"/>
        <v>978.34100000000069</v>
      </c>
      <c r="AC26" s="30">
        <f t="shared" si="11"/>
        <v>261.10400000086997</v>
      </c>
      <c r="AD26" s="30">
        <f t="shared" si="12"/>
        <v>0</v>
      </c>
      <c r="AE26" s="157">
        <f t="shared" si="1"/>
        <v>0</v>
      </c>
      <c r="AF26" s="143">
        <f t="shared" si="2"/>
        <v>0</v>
      </c>
      <c r="AG26" s="91">
        <f t="shared" si="13"/>
        <v>1239.4450000008706</v>
      </c>
      <c r="AH26" s="224">
        <f t="shared" si="3"/>
        <v>204.55499999912931</v>
      </c>
      <c r="AI26" s="92">
        <f t="shared" si="4"/>
        <v>76</v>
      </c>
      <c r="AJ26" s="155">
        <v>0</v>
      </c>
      <c r="AK26" s="158">
        <v>0</v>
      </c>
      <c r="AL26" s="165">
        <f>AG26/(C26+D26+E26)*100</f>
        <v>81.542434210583593</v>
      </c>
      <c r="AM26" s="92">
        <f t="shared" si="14"/>
        <v>1519.9999999999998</v>
      </c>
      <c r="AN26">
        <f t="shared" si="15"/>
        <v>12.299999999999942</v>
      </c>
      <c r="AO26">
        <f t="shared" si="16"/>
        <v>17.521068248999999</v>
      </c>
      <c r="AP26" t="e">
        <f t="shared" si="17"/>
        <v>#DIV/0!</v>
      </c>
      <c r="AS26" s="154">
        <f t="shared" si="6"/>
        <v>1520</v>
      </c>
      <c r="AT26" s="154">
        <f t="shared" si="7"/>
        <v>0.82700000000000062</v>
      </c>
      <c r="AU26" s="154">
        <f t="shared" si="7"/>
        <v>0.77478931750999991</v>
      </c>
      <c r="AV26" s="142" t="e">
        <f t="shared" si="22"/>
        <v>#DIV/0!</v>
      </c>
      <c r="AW26" s="154" t="e">
        <f t="shared" si="7"/>
        <v>#DIV/0!</v>
      </c>
      <c r="AX26" s="154">
        <f t="shared" si="8"/>
        <v>1520</v>
      </c>
    </row>
    <row r="27" spans="2:50" s="154" customFormat="1" x14ac:dyDescent="0.25">
      <c r="B27" s="209">
        <v>24</v>
      </c>
      <c r="C27" s="1">
        <v>1540</v>
      </c>
      <c r="D27" s="1">
        <v>0</v>
      </c>
      <c r="E27" s="1">
        <v>0</v>
      </c>
      <c r="F27" s="1">
        <v>0</v>
      </c>
      <c r="G27" s="1">
        <v>0</v>
      </c>
      <c r="H27" s="1">
        <v>24</v>
      </c>
      <c r="I27" s="1">
        <v>0</v>
      </c>
      <c r="J27" s="1">
        <v>0</v>
      </c>
      <c r="K27" s="1">
        <v>0</v>
      </c>
      <c r="L27" s="1">
        <v>0</v>
      </c>
      <c r="M27" s="209">
        <f>C27/H27</f>
        <v>64.166666666666671</v>
      </c>
      <c r="N27" s="209" t="e">
        <f t="shared" si="23"/>
        <v>#DIV/0!</v>
      </c>
      <c r="O27" s="209" t="e">
        <f t="shared" si="23"/>
        <v>#DIV/0!</v>
      </c>
      <c r="P27" s="155" t="e">
        <f t="shared" si="23"/>
        <v>#DIV/0!</v>
      </c>
      <c r="Q27" s="1" t="e">
        <f t="shared" si="23"/>
        <v>#DIV/0!</v>
      </c>
      <c r="R27" s="236">
        <f>C27*(0.138888888888888*0.9)</f>
        <v>192.49999999999878</v>
      </c>
      <c r="S27" s="236">
        <f>C27*0.05</f>
        <v>77</v>
      </c>
      <c r="T27" s="155">
        <f>D27*(0.282051282*0.9)</f>
        <v>0</v>
      </c>
      <c r="U27" s="155">
        <f>D27*0.053846153</f>
        <v>0</v>
      </c>
      <c r="V27" s="155">
        <f>E27*(0.188679245*0.9)</f>
        <v>0</v>
      </c>
      <c r="W27" s="155">
        <f>E27*0.049056603</f>
        <v>0</v>
      </c>
      <c r="X27" s="155"/>
      <c r="Y27" s="169">
        <f t="shared" ref="Y27:Y32" si="25">F27*0.055</f>
        <v>0</v>
      </c>
      <c r="Z27" s="1">
        <f t="shared" ref="Z27" si="26">G27*(0.288800705*0.9)</f>
        <v>0</v>
      </c>
      <c r="AA27" s="1">
        <f t="shared" ref="AA27:AA30" si="27">G27*0.05</f>
        <v>0</v>
      </c>
      <c r="AB27" s="92">
        <f t="shared" si="10"/>
        <v>1270.5000000000011</v>
      </c>
      <c r="AC27" s="30">
        <f t="shared" si="11"/>
        <v>0</v>
      </c>
      <c r="AD27" s="30">
        <f t="shared" si="12"/>
        <v>0</v>
      </c>
      <c r="AE27" s="157">
        <f t="shared" si="1"/>
        <v>0</v>
      </c>
      <c r="AF27" s="143">
        <f t="shared" si="2"/>
        <v>0</v>
      </c>
      <c r="AG27" s="91">
        <f t="shared" si="13"/>
        <v>1270.5000000000011</v>
      </c>
      <c r="AH27" s="30">
        <f>R27+T27+V27+Z27</f>
        <v>192.49999999999878</v>
      </c>
      <c r="AI27" s="92">
        <f t="shared" si="4"/>
        <v>77</v>
      </c>
      <c r="AJ27" s="155">
        <v>0</v>
      </c>
      <c r="AK27" s="158">
        <v>0</v>
      </c>
      <c r="AL27" s="165">
        <f>AG27/(C27+D27+E27)*100</f>
        <v>82.500000000000071</v>
      </c>
      <c r="AM27" s="92">
        <f t="shared" si="14"/>
        <v>1540</v>
      </c>
      <c r="AN27">
        <f t="shared" si="15"/>
        <v>12.49999999999992</v>
      </c>
      <c r="AO27" t="e">
        <f t="shared" si="16"/>
        <v>#DIV/0!</v>
      </c>
      <c r="AP27" t="e">
        <f t="shared" si="17"/>
        <v>#DIV/0!</v>
      </c>
      <c r="AS27" s="154">
        <f t="shared" si="6"/>
        <v>1540</v>
      </c>
      <c r="AT27" s="154">
        <f t="shared" si="7"/>
        <v>0.82500000000000073</v>
      </c>
      <c r="AU27" s="154" t="e">
        <f t="shared" si="7"/>
        <v>#DIV/0!</v>
      </c>
      <c r="AV27" s="142" t="e">
        <f t="shared" si="22"/>
        <v>#DIV/0!</v>
      </c>
      <c r="AW27" s="154" t="e">
        <f t="shared" si="7"/>
        <v>#DIV/0!</v>
      </c>
      <c r="AX27" s="154">
        <f t="shared" si="8"/>
        <v>1540</v>
      </c>
    </row>
    <row r="28" spans="2:50" s="154" customFormat="1" x14ac:dyDescent="0.25">
      <c r="B28" s="155">
        <v>25</v>
      </c>
      <c r="C28" s="1">
        <v>1588</v>
      </c>
      <c r="D28" s="1">
        <v>0</v>
      </c>
      <c r="E28" s="1">
        <v>0</v>
      </c>
      <c r="F28" s="1">
        <v>0</v>
      </c>
      <c r="G28" s="1">
        <v>0</v>
      </c>
      <c r="H28" s="1">
        <v>24</v>
      </c>
      <c r="I28" s="1">
        <v>0</v>
      </c>
      <c r="J28" s="1">
        <v>0</v>
      </c>
      <c r="K28" s="1">
        <v>0</v>
      </c>
      <c r="L28" s="1">
        <v>0</v>
      </c>
      <c r="M28" s="155">
        <f>C28/H28</f>
        <v>66.166666666666671</v>
      </c>
      <c r="N28" s="155" t="e">
        <f>D28/I28</f>
        <v>#DIV/0!</v>
      </c>
      <c r="O28" s="155" t="e">
        <f>E28/J28</f>
        <v>#DIV/0!</v>
      </c>
      <c r="P28" s="155" t="e">
        <f t="shared" si="23"/>
        <v>#DIV/0!</v>
      </c>
      <c r="Q28" s="1" t="e">
        <f t="shared" si="23"/>
        <v>#DIV/0!</v>
      </c>
      <c r="R28" s="210">
        <f>C28*(0.144444444444444*0.9)</f>
        <v>206.43999999999934</v>
      </c>
      <c r="S28" s="210">
        <f t="shared" ref="S28" si="28">C28*0.05</f>
        <v>79.400000000000006</v>
      </c>
      <c r="T28" s="210">
        <f>D28*(0.244444444444444*0.9)</f>
        <v>0</v>
      </c>
      <c r="U28" s="210">
        <f>D28*0.055</f>
        <v>0</v>
      </c>
      <c r="V28" s="155">
        <f>E28*(0.27481217888*0.9)</f>
        <v>0</v>
      </c>
      <c r="W28" s="155">
        <f>E28*0.0508896799</f>
        <v>0</v>
      </c>
      <c r="X28" s="155"/>
      <c r="Y28" s="169">
        <f t="shared" si="25"/>
        <v>0</v>
      </c>
      <c r="Z28" s="1">
        <f>G28*(0.288888888888888*0.9)</f>
        <v>0</v>
      </c>
      <c r="AA28" s="1">
        <f t="shared" si="27"/>
        <v>0</v>
      </c>
      <c r="AB28" s="92">
        <f t="shared" si="10"/>
        <v>1302.1600000000005</v>
      </c>
      <c r="AC28" s="30">
        <f t="shared" si="11"/>
        <v>0</v>
      </c>
      <c r="AD28" s="30">
        <f t="shared" si="12"/>
        <v>0</v>
      </c>
      <c r="AE28" s="157">
        <f t="shared" si="1"/>
        <v>0</v>
      </c>
      <c r="AF28" s="143">
        <f t="shared" si="2"/>
        <v>0</v>
      </c>
      <c r="AG28" s="91">
        <f t="shared" si="13"/>
        <v>1302.1600000000005</v>
      </c>
      <c r="AH28" s="30">
        <f t="shared" ref="AH28:AH33" si="29">R28+T28+V28+Z28</f>
        <v>206.43999999999934</v>
      </c>
      <c r="AI28" s="92">
        <f t="shared" si="4"/>
        <v>79.400000000000006</v>
      </c>
      <c r="AJ28" s="155">
        <v>0</v>
      </c>
      <c r="AK28" s="158">
        <v>0</v>
      </c>
      <c r="AL28" s="165">
        <f t="shared" ref="AL28:AL33" si="30">AG28/(C28+D28)*100</f>
        <v>82.000000000000028</v>
      </c>
      <c r="AM28" s="92">
        <f t="shared" si="14"/>
        <v>1588</v>
      </c>
      <c r="AN28">
        <f t="shared" si="15"/>
        <v>12.999999999999959</v>
      </c>
      <c r="AO28" t="e">
        <f t="shared" si="16"/>
        <v>#DIV/0!</v>
      </c>
      <c r="AP28" t="e">
        <f t="shared" si="17"/>
        <v>#DIV/0!</v>
      </c>
      <c r="AS28" s="154">
        <f t="shared" si="6"/>
        <v>1588</v>
      </c>
      <c r="AT28" s="154">
        <f t="shared" ref="AT28:AW33" si="31">AB28/C28</f>
        <v>0.82000000000000028</v>
      </c>
      <c r="AU28" s="154" t="e">
        <f t="shared" si="31"/>
        <v>#DIV/0!</v>
      </c>
      <c r="AV28" s="154" t="e">
        <f t="shared" si="31"/>
        <v>#DIV/0!</v>
      </c>
      <c r="AW28" s="154" t="e">
        <f t="shared" si="31"/>
        <v>#DIV/0!</v>
      </c>
      <c r="AX28" s="154">
        <f t="shared" si="8"/>
        <v>1588</v>
      </c>
    </row>
    <row r="29" spans="2:50" s="154" customFormat="1" ht="16.5" customHeight="1" x14ac:dyDescent="0.25">
      <c r="B29" s="155">
        <v>26</v>
      </c>
      <c r="C29" s="1">
        <v>1337</v>
      </c>
      <c r="D29" s="1">
        <v>201</v>
      </c>
      <c r="E29" s="1">
        <v>0</v>
      </c>
      <c r="F29" s="1">
        <v>0</v>
      </c>
      <c r="G29" s="1">
        <v>0</v>
      </c>
      <c r="H29" s="1">
        <v>20.67</v>
      </c>
      <c r="I29" s="1">
        <v>3</v>
      </c>
      <c r="J29" s="1">
        <v>0</v>
      </c>
      <c r="K29" s="1">
        <v>0</v>
      </c>
      <c r="L29" s="1">
        <v>0</v>
      </c>
      <c r="M29" s="155">
        <f t="shared" ref="M29:O33" si="32">C29/H29</f>
        <v>64.683115626511849</v>
      </c>
      <c r="N29" s="155">
        <f t="shared" si="32"/>
        <v>67</v>
      </c>
      <c r="O29" s="155" t="e">
        <f t="shared" si="32"/>
        <v>#DIV/0!</v>
      </c>
      <c r="P29" s="155" t="e">
        <f t="shared" si="23"/>
        <v>#DIV/0!</v>
      </c>
      <c r="Q29" s="1" t="e">
        <f t="shared" si="23"/>
        <v>#DIV/0!</v>
      </c>
      <c r="R29" s="156">
        <f>C29*(0.136396576*0.9)</f>
        <v>164.1259999008</v>
      </c>
      <c r="S29" s="155">
        <f>C29*0.049938668</f>
        <v>66.767999115999999</v>
      </c>
      <c r="T29" s="155">
        <f>D29*(0.188888888*0.9)</f>
        <v>34.169999839200003</v>
      </c>
      <c r="U29" s="155">
        <f>D29*0.05</f>
        <v>10.050000000000001</v>
      </c>
      <c r="V29" s="155">
        <f>E29*(0.277777777777777*0.9)</f>
        <v>0</v>
      </c>
      <c r="W29" s="155">
        <f>E29*0.05</f>
        <v>0</v>
      </c>
      <c r="X29" s="155"/>
      <c r="Y29" s="169">
        <f t="shared" si="25"/>
        <v>0</v>
      </c>
      <c r="Z29" s="11">
        <f>G29*(0.272222222222222*0.9)</f>
        <v>0</v>
      </c>
      <c r="AA29" s="1">
        <f t="shared" si="27"/>
        <v>0</v>
      </c>
      <c r="AB29" s="224">
        <f t="shared" si="10"/>
        <v>1106.1060009831999</v>
      </c>
      <c r="AC29" s="30">
        <f t="shared" si="11"/>
        <v>156.7800001608</v>
      </c>
      <c r="AD29" s="30">
        <f t="shared" si="12"/>
        <v>0</v>
      </c>
      <c r="AE29" s="157">
        <f t="shared" si="1"/>
        <v>0</v>
      </c>
      <c r="AF29" s="143">
        <f t="shared" si="2"/>
        <v>0</v>
      </c>
      <c r="AG29" s="230">
        <f t="shared" si="13"/>
        <v>1262.8860011439999</v>
      </c>
      <c r="AH29" s="30">
        <f t="shared" si="29"/>
        <v>198.29599974000001</v>
      </c>
      <c r="AI29" s="224">
        <f t="shared" si="4"/>
        <v>76.817999115999996</v>
      </c>
      <c r="AJ29" s="155">
        <v>0</v>
      </c>
      <c r="AK29" s="158">
        <v>0</v>
      </c>
      <c r="AL29" s="165">
        <f t="shared" si="30"/>
        <v>82.112223741482438</v>
      </c>
      <c r="AM29" s="92">
        <f t="shared" si="14"/>
        <v>1538</v>
      </c>
      <c r="AN29">
        <f t="shared" si="15"/>
        <v>12.27569184</v>
      </c>
      <c r="AO29">
        <f t="shared" si="16"/>
        <v>16.99999992</v>
      </c>
      <c r="AP29" t="e">
        <f t="shared" si="17"/>
        <v>#DIV/0!</v>
      </c>
      <c r="AS29" s="154">
        <f t="shared" si="6"/>
        <v>1538</v>
      </c>
      <c r="AT29" s="154">
        <f t="shared" si="31"/>
        <v>0.82730441359999995</v>
      </c>
      <c r="AU29" s="154">
        <f t="shared" si="31"/>
        <v>0.78000000079999998</v>
      </c>
      <c r="AV29" s="154" t="e">
        <f t="shared" si="31"/>
        <v>#DIV/0!</v>
      </c>
      <c r="AW29" s="154" t="e">
        <f t="shared" si="31"/>
        <v>#DIV/0!</v>
      </c>
      <c r="AX29" s="154">
        <f t="shared" si="8"/>
        <v>1538</v>
      </c>
    </row>
    <row r="30" spans="2:50" x14ac:dyDescent="0.25">
      <c r="B30" s="1">
        <v>27</v>
      </c>
      <c r="C30" s="1">
        <v>954</v>
      </c>
      <c r="D30" s="1">
        <v>0</v>
      </c>
      <c r="E30" s="1">
        <v>0</v>
      </c>
      <c r="F30" s="1">
        <v>0</v>
      </c>
      <c r="G30" s="1">
        <v>201</v>
      </c>
      <c r="H30" s="1">
        <v>14.48</v>
      </c>
      <c r="I30" s="1">
        <v>0</v>
      </c>
      <c r="J30" s="1">
        <v>0</v>
      </c>
      <c r="K30" s="1">
        <v>0</v>
      </c>
      <c r="L30" s="1">
        <v>3</v>
      </c>
      <c r="M30" s="1">
        <f>C30/H30</f>
        <v>65.88397790055248</v>
      </c>
      <c r="N30" s="1" t="e">
        <f t="shared" si="32"/>
        <v>#DIV/0!</v>
      </c>
      <c r="O30" s="1" t="e">
        <f t="shared" si="32"/>
        <v>#DIV/0!</v>
      </c>
      <c r="P30" s="1" t="e">
        <f t="shared" si="23"/>
        <v>#DIV/0!</v>
      </c>
      <c r="Q30" s="1">
        <f t="shared" si="23"/>
        <v>67</v>
      </c>
      <c r="R30" s="1">
        <f>C30*(0.13289774*0.9)</f>
        <v>114.105999564</v>
      </c>
      <c r="S30" s="1">
        <f>C30*0.049930817</f>
        <v>47.633999418000002</v>
      </c>
      <c r="T30" s="1">
        <f>D30*(0.311111111111111*0.9)</f>
        <v>0</v>
      </c>
      <c r="U30" s="1">
        <f>D30*0.05</f>
        <v>0</v>
      </c>
      <c r="V30" s="1">
        <f>E30*(0.282186948*0.9)</f>
        <v>0</v>
      </c>
      <c r="W30" s="1">
        <f>E30*0.047619047</f>
        <v>0</v>
      </c>
      <c r="X30" s="1"/>
      <c r="Y30" s="1">
        <f t="shared" si="25"/>
        <v>0</v>
      </c>
      <c r="Z30" s="1">
        <f>G30*(0.188888888*0.9)</f>
        <v>34.169999839200003</v>
      </c>
      <c r="AA30" s="1">
        <f t="shared" si="27"/>
        <v>10.050000000000001</v>
      </c>
      <c r="AB30" s="224">
        <f t="shared" si="10"/>
        <v>792.26000101799991</v>
      </c>
      <c r="AC30" s="30">
        <f t="shared" si="11"/>
        <v>0</v>
      </c>
      <c r="AD30" s="30">
        <f t="shared" si="12"/>
        <v>0</v>
      </c>
      <c r="AE30" s="1">
        <f t="shared" si="1"/>
        <v>0</v>
      </c>
      <c r="AF30" s="1">
        <f t="shared" si="2"/>
        <v>156.7800001608</v>
      </c>
      <c r="AG30" s="224">
        <f t="shared" si="13"/>
        <v>949.04000117879991</v>
      </c>
      <c r="AH30" s="30">
        <f t="shared" si="29"/>
        <v>148.27599940319999</v>
      </c>
      <c r="AI30" s="224">
        <f t="shared" si="4"/>
        <v>57.683999417999999</v>
      </c>
      <c r="AJ30" s="1">
        <v>0</v>
      </c>
      <c r="AK30" s="6">
        <v>0</v>
      </c>
      <c r="AL30" s="23">
        <f t="shared" si="30"/>
        <v>99.480083981006288</v>
      </c>
      <c r="AM30" s="92">
        <f t="shared" si="14"/>
        <v>1155</v>
      </c>
      <c r="AN30">
        <f t="shared" si="15"/>
        <v>11.9607966</v>
      </c>
      <c r="AO30" t="e">
        <f t="shared" si="16"/>
        <v>#DIV/0!</v>
      </c>
      <c r="AP30">
        <f t="shared" si="17"/>
        <v>0.1699999992</v>
      </c>
      <c r="AS30">
        <f t="shared" si="6"/>
        <v>954</v>
      </c>
      <c r="AT30">
        <f t="shared" si="31"/>
        <v>0.83046121699999986</v>
      </c>
      <c r="AU30" t="e">
        <f t="shared" ref="AU30:AU31" si="33">AD30/E30</f>
        <v>#DIV/0!</v>
      </c>
      <c r="AV30" s="154" t="e">
        <f>AD30/E30</f>
        <v>#DIV/0!</v>
      </c>
      <c r="AX30">
        <f t="shared" si="8"/>
        <v>954</v>
      </c>
    </row>
    <row r="31" spans="2:50" x14ac:dyDescent="0.25">
      <c r="B31" s="1">
        <v>28</v>
      </c>
      <c r="C31" s="1">
        <v>1194</v>
      </c>
      <c r="D31" s="1">
        <v>0</v>
      </c>
      <c r="E31" s="1">
        <v>0</v>
      </c>
      <c r="F31" s="1">
        <v>0</v>
      </c>
      <c r="G31" s="1">
        <v>196</v>
      </c>
      <c r="H31" s="1">
        <v>17.73</v>
      </c>
      <c r="I31" s="1">
        <v>0</v>
      </c>
      <c r="J31" s="1">
        <v>0</v>
      </c>
      <c r="K31" s="1">
        <v>0</v>
      </c>
      <c r="L31" s="1">
        <v>3</v>
      </c>
      <c r="M31" s="1">
        <f>C31/H31</f>
        <v>67.343485617597295</v>
      </c>
      <c r="N31" s="1" t="e">
        <f t="shared" si="32"/>
        <v>#DIV/0!</v>
      </c>
      <c r="O31" s="1" t="e">
        <f t="shared" si="32"/>
        <v>#DIV/0!</v>
      </c>
      <c r="P31" s="1" t="e">
        <f t="shared" si="23"/>
        <v>#DIV/0!</v>
      </c>
      <c r="Q31" s="1">
        <f t="shared" si="23"/>
        <v>65.333333333333329</v>
      </c>
      <c r="R31" s="12">
        <f>C31*(0.144444444444444*0.9)</f>
        <v>155.21999999999952</v>
      </c>
      <c r="S31" s="212">
        <f>C31*0.05</f>
        <v>59.7</v>
      </c>
      <c r="T31" s="119">
        <f>D31*(0.325*0.9)</f>
        <v>0</v>
      </c>
      <c r="U31" s="1">
        <f>D31*0.05</f>
        <v>0</v>
      </c>
      <c r="V31" s="1">
        <f>E31*(0.288888888888888*0.9)</f>
        <v>0</v>
      </c>
      <c r="W31" s="1">
        <f>E31*0.05</f>
        <v>0</v>
      </c>
      <c r="X31" s="1"/>
      <c r="Y31" s="127">
        <f t="shared" si="25"/>
        <v>0</v>
      </c>
      <c r="Z31" s="1">
        <f>G31*(0.1911904762*0.9)</f>
        <v>33.726000001679999</v>
      </c>
      <c r="AA31" s="1">
        <f>G31*0.0499183674</f>
        <v>9.7840000103999998</v>
      </c>
      <c r="AB31" s="92">
        <f t="shared" si="10"/>
        <v>979.08000000000038</v>
      </c>
      <c r="AC31" s="30">
        <f t="shared" si="11"/>
        <v>0</v>
      </c>
      <c r="AD31" s="30">
        <f t="shared" si="12"/>
        <v>0</v>
      </c>
      <c r="AE31" s="143">
        <f t="shared" si="1"/>
        <v>0</v>
      </c>
      <c r="AF31" s="143">
        <f t="shared" si="2"/>
        <v>152.48999998791999</v>
      </c>
      <c r="AG31" s="91">
        <f t="shared" si="13"/>
        <v>1131.5699999879203</v>
      </c>
      <c r="AH31" s="30">
        <f t="shared" si="29"/>
        <v>188.94600000167952</v>
      </c>
      <c r="AI31" s="92">
        <f t="shared" si="4"/>
        <v>69.484000010399996</v>
      </c>
      <c r="AJ31" s="1">
        <v>0</v>
      </c>
      <c r="AK31" s="6">
        <v>0</v>
      </c>
      <c r="AL31" s="93">
        <f t="shared" si="30"/>
        <v>94.771356782907887</v>
      </c>
      <c r="AM31" s="92">
        <f t="shared" si="14"/>
        <v>1389.9999999999998</v>
      </c>
      <c r="AN31">
        <f t="shared" si="15"/>
        <v>12.999999999999959</v>
      </c>
      <c r="AO31" t="e">
        <f t="shared" si="16"/>
        <v>#DIV/0!</v>
      </c>
      <c r="AP31">
        <f t="shared" si="17"/>
        <v>0.17207142857999999</v>
      </c>
      <c r="AS31">
        <f t="shared" si="6"/>
        <v>1194</v>
      </c>
      <c r="AT31">
        <f t="shared" si="31"/>
        <v>0.82000000000000028</v>
      </c>
      <c r="AU31" t="e">
        <f t="shared" si="33"/>
        <v>#DIV/0!</v>
      </c>
      <c r="AV31" s="154" t="e">
        <f>AD31/E31</f>
        <v>#DIV/0!</v>
      </c>
      <c r="AX31">
        <f t="shared" si="8"/>
        <v>1194</v>
      </c>
    </row>
    <row r="32" spans="2:50" x14ac:dyDescent="0.25">
      <c r="B32" s="1">
        <v>29</v>
      </c>
      <c r="C32" s="1">
        <v>1066</v>
      </c>
      <c r="D32" s="1">
        <v>70</v>
      </c>
      <c r="E32" s="1">
        <v>0</v>
      </c>
      <c r="F32" s="1">
        <v>0</v>
      </c>
      <c r="G32" s="1">
        <v>204</v>
      </c>
      <c r="H32" s="1">
        <v>15.03</v>
      </c>
      <c r="I32" s="1">
        <v>1</v>
      </c>
      <c r="J32" s="1">
        <v>0</v>
      </c>
      <c r="K32" s="1">
        <v>0</v>
      </c>
      <c r="L32" s="1">
        <v>3</v>
      </c>
      <c r="M32" s="1">
        <f>C32/H32</f>
        <v>70.924817032601467</v>
      </c>
      <c r="N32" s="1">
        <f t="shared" si="32"/>
        <v>70</v>
      </c>
      <c r="O32" s="1" t="e">
        <f t="shared" si="32"/>
        <v>#DIV/0!</v>
      </c>
      <c r="P32" s="1" t="e">
        <f t="shared" si="23"/>
        <v>#DIV/0!</v>
      </c>
      <c r="Q32" s="1">
        <f t="shared" si="23"/>
        <v>68</v>
      </c>
      <c r="R32" s="226">
        <f>C32*(0.138888888888888*0.9)</f>
        <v>133.24999999999915</v>
      </c>
      <c r="S32" s="222">
        <f>C32*0.05</f>
        <v>53.300000000000004</v>
      </c>
      <c r="T32" s="1">
        <f>D32*(0.198*0.9)</f>
        <v>12.474000000000002</v>
      </c>
      <c r="U32" s="1">
        <f>D32*0.0498714286</f>
        <v>3.4910000020000003</v>
      </c>
      <c r="V32" s="1">
        <f>E32*(0.288888888888888*0.9)</f>
        <v>0</v>
      </c>
      <c r="W32" s="1">
        <f>E32*0.05</f>
        <v>0</v>
      </c>
      <c r="X32" s="1"/>
      <c r="Y32" s="127">
        <f t="shared" si="25"/>
        <v>0</v>
      </c>
      <c r="Z32" s="1">
        <f>G32*(0.194444444*0.9)</f>
        <v>35.699999918400003</v>
      </c>
      <c r="AA32" s="1">
        <f t="shared" ref="AA32:AA33" si="34">G32*0.05</f>
        <v>10.200000000000001</v>
      </c>
      <c r="AB32" s="92">
        <f t="shared" si="10"/>
        <v>879.45000000000095</v>
      </c>
      <c r="AC32" s="30">
        <f t="shared" si="11"/>
        <v>54.034999997999996</v>
      </c>
      <c r="AD32" s="30">
        <f t="shared" si="12"/>
        <v>0</v>
      </c>
      <c r="AE32" s="143">
        <f t="shared" si="1"/>
        <v>0</v>
      </c>
      <c r="AF32" s="143">
        <f t="shared" si="2"/>
        <v>158.1000000816</v>
      </c>
      <c r="AG32" s="91">
        <f t="shared" si="13"/>
        <v>1091.5850000796008</v>
      </c>
      <c r="AH32" s="30">
        <f t="shared" si="29"/>
        <v>181.42399991839915</v>
      </c>
      <c r="AI32" s="224">
        <f t="shared" si="4"/>
        <v>66.991000002000007</v>
      </c>
      <c r="AJ32" s="1">
        <v>0</v>
      </c>
      <c r="AK32" s="6">
        <v>0</v>
      </c>
      <c r="AL32" s="93">
        <f t="shared" si="30"/>
        <v>96.090228880246556</v>
      </c>
      <c r="AM32" s="92">
        <f t="shared" si="14"/>
        <v>1340</v>
      </c>
      <c r="AN32">
        <f t="shared" si="15"/>
        <v>12.49999999999992</v>
      </c>
      <c r="AO32">
        <f t="shared" si="16"/>
        <v>17.820000000000004</v>
      </c>
      <c r="AP32">
        <f t="shared" si="17"/>
        <v>0.17499999960000001</v>
      </c>
      <c r="AS32">
        <f t="shared" si="6"/>
        <v>1136</v>
      </c>
      <c r="AT32">
        <f t="shared" si="31"/>
        <v>0.82500000000000084</v>
      </c>
      <c r="AU32" s="154">
        <f t="shared" si="31"/>
        <v>0.77192857139999993</v>
      </c>
      <c r="AV32" s="142">
        <f t="shared" ref="AV32:AV33" si="35">AF32/G32</f>
        <v>0.77500000040000006</v>
      </c>
      <c r="AX32">
        <f t="shared" si="8"/>
        <v>1136</v>
      </c>
    </row>
    <row r="33" spans="1:50" s="110" customFormat="1" x14ac:dyDescent="0.25">
      <c r="B33" s="1">
        <v>30</v>
      </c>
      <c r="C33" s="1">
        <v>1450</v>
      </c>
      <c r="D33" s="1">
        <v>0</v>
      </c>
      <c r="E33" s="1">
        <v>0</v>
      </c>
      <c r="F33" s="1">
        <v>0</v>
      </c>
      <c r="G33" s="1">
        <v>0</v>
      </c>
      <c r="H33" s="1">
        <v>22</v>
      </c>
      <c r="I33" s="1">
        <v>0</v>
      </c>
      <c r="J33" s="1">
        <v>0</v>
      </c>
      <c r="K33" s="1">
        <v>0</v>
      </c>
      <c r="L33" s="1">
        <v>0</v>
      </c>
      <c r="M33" s="111">
        <f>C33/H33</f>
        <v>65.909090909090907</v>
      </c>
      <c r="N33" s="111" t="e">
        <f t="shared" si="32"/>
        <v>#DIV/0!</v>
      </c>
      <c r="O33" s="111" t="e">
        <f t="shared" si="32"/>
        <v>#DIV/0!</v>
      </c>
      <c r="P33" s="1" t="e">
        <f t="shared" si="23"/>
        <v>#DIV/0!</v>
      </c>
      <c r="Q33" s="1" t="e">
        <f t="shared" si="23"/>
        <v>#DIV/0!</v>
      </c>
      <c r="R33" s="214">
        <f>C33*(0.138888888888888*0.9)</f>
        <v>181.24999999999886</v>
      </c>
      <c r="S33" s="214">
        <f t="shared" ref="S33" si="36">C33*0.05</f>
        <v>72.5</v>
      </c>
      <c r="T33" s="111">
        <f>D33*(0.288888888888888*0.9)</f>
        <v>0</v>
      </c>
      <c r="U33" s="111">
        <f>D33*0.05</f>
        <v>0</v>
      </c>
      <c r="V33" s="111">
        <f>E33*(0.288888888888888*0.9)</f>
        <v>0</v>
      </c>
      <c r="W33" s="111">
        <f>E33*0.05</f>
        <v>0</v>
      </c>
      <c r="X33" s="1"/>
      <c r="Y33" s="127">
        <f>F33*0.057</f>
        <v>0</v>
      </c>
      <c r="Z33" s="1">
        <f>G33*(0.277777777777777*0.9)</f>
        <v>0</v>
      </c>
      <c r="AA33" s="1">
        <f t="shared" si="34"/>
        <v>0</v>
      </c>
      <c r="AB33" s="92">
        <f t="shared" si="10"/>
        <v>1196.2500000000011</v>
      </c>
      <c r="AC33" s="30">
        <f t="shared" si="11"/>
        <v>0</v>
      </c>
      <c r="AD33" s="30">
        <f t="shared" si="12"/>
        <v>0</v>
      </c>
      <c r="AE33" s="143">
        <f t="shared" si="1"/>
        <v>0</v>
      </c>
      <c r="AF33" s="143">
        <f t="shared" si="2"/>
        <v>0</v>
      </c>
      <c r="AG33" s="91">
        <f t="shared" si="13"/>
        <v>1196.2500000000011</v>
      </c>
      <c r="AH33" s="30">
        <f t="shared" si="29"/>
        <v>181.24999999999886</v>
      </c>
      <c r="AI33" s="92">
        <f t="shared" si="4"/>
        <v>72.5</v>
      </c>
      <c r="AJ33" s="111">
        <v>0</v>
      </c>
      <c r="AK33" s="6">
        <v>0</v>
      </c>
      <c r="AL33" s="112">
        <f t="shared" si="30"/>
        <v>82.500000000000071</v>
      </c>
      <c r="AM33" s="92">
        <f t="shared" si="14"/>
        <v>1450</v>
      </c>
      <c r="AN33">
        <f t="shared" si="15"/>
        <v>12.499999999999922</v>
      </c>
      <c r="AO33" t="e">
        <f t="shared" si="16"/>
        <v>#DIV/0!</v>
      </c>
      <c r="AP33" t="e">
        <f t="shared" si="17"/>
        <v>#DIV/0!</v>
      </c>
      <c r="AS33">
        <f t="shared" si="6"/>
        <v>1450</v>
      </c>
      <c r="AT33">
        <f t="shared" si="31"/>
        <v>0.82500000000000073</v>
      </c>
      <c r="AU33" s="154" t="e">
        <f t="shared" si="31"/>
        <v>#DIV/0!</v>
      </c>
      <c r="AV33" s="142" t="e">
        <f t="shared" si="35"/>
        <v>#DIV/0!</v>
      </c>
      <c r="AX33">
        <f t="shared" si="8"/>
        <v>1450</v>
      </c>
    </row>
    <row r="34" spans="1:50" x14ac:dyDescent="0.25">
      <c r="B34" s="1">
        <v>31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 t="e">
        <f t="shared" ref="M34" si="37">C34/H34</f>
        <v>#DIV/0!</v>
      </c>
      <c r="N34" s="1" t="e">
        <f t="shared" ref="N34:O34" si="38">D34/I34</f>
        <v>#DIV/0!</v>
      </c>
      <c r="O34" s="111" t="e">
        <f t="shared" si="38"/>
        <v>#DIV/0!</v>
      </c>
      <c r="P34" s="1" t="e">
        <f t="shared" ref="P34:Q34" si="39">F34/K34</f>
        <v>#DIV/0!</v>
      </c>
      <c r="Q34" s="1" t="e">
        <f t="shared" si="39"/>
        <v>#DIV/0!</v>
      </c>
      <c r="R34" s="1">
        <f>C34*(0.1888888889*0.9)</f>
        <v>0</v>
      </c>
      <c r="S34" s="1">
        <f t="shared" ref="S34" si="40">C34*0.05</f>
        <v>0</v>
      </c>
      <c r="T34" s="1">
        <f>D34*(0.3*0.9)</f>
        <v>0</v>
      </c>
      <c r="U34" s="1">
        <f>D34*0.05</f>
        <v>0</v>
      </c>
      <c r="V34" s="111">
        <f>E34*(0.277777777777777*0.9)</f>
        <v>0</v>
      </c>
      <c r="W34" s="111">
        <f>E34*0.05</f>
        <v>0</v>
      </c>
      <c r="X34" s="1"/>
      <c r="Y34" s="1"/>
      <c r="Z34" s="1">
        <f>G34*(0.283333333333333*0.9)</f>
        <v>0</v>
      </c>
      <c r="AA34" s="1">
        <f t="shared" ref="AA34" si="41">G34*0.05</f>
        <v>0</v>
      </c>
      <c r="AB34" s="92">
        <f t="shared" ref="AB34" si="42">C34-R34-S34</f>
        <v>0</v>
      </c>
      <c r="AC34" s="30">
        <f t="shared" ref="AC34" si="43">D34-T34-U34</f>
        <v>0</v>
      </c>
      <c r="AD34" s="30">
        <f t="shared" ref="AD34:AD35" si="44">E34-V34-W34</f>
        <v>0</v>
      </c>
      <c r="AE34" s="143">
        <f t="shared" ref="AE34" si="45">F34-Y34</f>
        <v>0</v>
      </c>
      <c r="AF34" s="143">
        <f t="shared" ref="AF34" si="46">G34-Z34-AA34</f>
        <v>0</v>
      </c>
      <c r="AG34" s="91">
        <f t="shared" ref="AG34" si="47">AB34+AC34+AD34+AE34+AF34</f>
        <v>0</v>
      </c>
      <c r="AH34" s="30">
        <f t="shared" ref="AH34" si="48">R34+T34+V34+Z34</f>
        <v>0</v>
      </c>
      <c r="AI34" s="92">
        <f t="shared" ref="AI34" si="49">S34+U34+W34+Y34+AA34</f>
        <v>0</v>
      </c>
      <c r="AJ34" s="1">
        <v>0</v>
      </c>
      <c r="AK34" s="1">
        <v>0</v>
      </c>
      <c r="AL34" s="23" t="e">
        <f t="shared" ref="AL34" si="50">AG34/(C34+D34)*100</f>
        <v>#DIV/0!</v>
      </c>
      <c r="AM34" s="92">
        <f t="shared" ref="AM34" si="51">AG34+AH34+AI34</f>
        <v>0</v>
      </c>
      <c r="AN34" t="e">
        <f t="shared" ref="AN34" si="52">(R34)/C34*100</f>
        <v>#DIV/0!</v>
      </c>
      <c r="AO34" t="e">
        <f t="shared" ref="AO34" si="53">(T34)/D34*100</f>
        <v>#DIV/0!</v>
      </c>
      <c r="AP34" t="e">
        <f t="shared" ref="AP34" si="54">Z34/G34</f>
        <v>#DIV/0!</v>
      </c>
      <c r="AT34" t="e">
        <f t="shared" ref="AT34" si="55">AB34/C34</f>
        <v>#DIV/0!</v>
      </c>
      <c r="AU34" t="e">
        <f t="shared" ref="AU34" si="56">AD34/E34</f>
        <v>#DIV/0!</v>
      </c>
      <c r="AV34" s="154" t="e">
        <f>AD34/E34</f>
        <v>#DIV/0!</v>
      </c>
      <c r="AX34">
        <f t="shared" ref="AX34" si="57">C34+D34+E34+F34</f>
        <v>0</v>
      </c>
    </row>
    <row r="35" spans="1:5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 t="e">
        <f t="shared" ref="M35:M39" si="58">C35/H35</f>
        <v>#DIV/0!</v>
      </c>
      <c r="N35" s="1" t="e">
        <f>D35/I35</f>
        <v>#DIV/0!</v>
      </c>
      <c r="O35" s="1"/>
      <c r="P35" s="1" t="e">
        <f>F35/K35</f>
        <v>#DIV/0!</v>
      </c>
      <c r="Q35" s="1"/>
      <c r="R35" s="1">
        <f>C35*(0.1*0.9)</f>
        <v>0</v>
      </c>
      <c r="S35" s="1">
        <f>C35*0.045</f>
        <v>0</v>
      </c>
      <c r="T35" s="1">
        <f>D35*(0.18*0.9)</f>
        <v>0</v>
      </c>
      <c r="U35" s="1">
        <f>D35*0.045</f>
        <v>0</v>
      </c>
      <c r="V35" s="1"/>
      <c r="W35" s="1"/>
      <c r="X35" s="1"/>
      <c r="Y35" s="1"/>
      <c r="Z35" s="1">
        <f t="shared" ref="Z35" si="59">G35*(0.288800705*0.9)</f>
        <v>0</v>
      </c>
      <c r="AA35" s="1">
        <f t="shared" ref="AA35:AA38" si="60">G35*0.05</f>
        <v>0</v>
      </c>
      <c r="AB35" s="1" t="e">
        <f>C35-R35-S35-#REF!</f>
        <v>#REF!</v>
      </c>
      <c r="AC35" s="1" t="e">
        <f>D35-T35-U35-#REF!</f>
        <v>#REF!</v>
      </c>
      <c r="AD35" s="30">
        <f t="shared" si="44"/>
        <v>0</v>
      </c>
      <c r="AE35" s="30">
        <f t="shared" ref="AE35" si="61">F35-Y35</f>
        <v>0</v>
      </c>
      <c r="AF35" s="143">
        <f t="shared" ref="AF35" si="62">G35-Z35-AA35</f>
        <v>0</v>
      </c>
      <c r="AG35" s="144" t="e">
        <f t="shared" ref="AG35" si="63">AB35+AC35+AD35+AE35+AF35</f>
        <v>#REF!</v>
      </c>
      <c r="AH35" s="91">
        <f t="shared" ref="AH35:AH36" si="64">R35+T35+V35+Z35</f>
        <v>0</v>
      </c>
      <c r="AI35" s="30">
        <f t="shared" ref="AI35:AI38" si="65">S35+U35+W35+Y35+AA35</f>
        <v>0</v>
      </c>
      <c r="AJ35" s="1"/>
      <c r="AK35" s="1"/>
      <c r="AL35" s="23" t="e">
        <f t="shared" ref="AL35:AL39" si="66">AG35/(C35+D35)*100</f>
        <v>#REF!</v>
      </c>
      <c r="AM35" s="12" t="e">
        <f>AG35+AH35+#REF!+AI35</f>
        <v>#REF!</v>
      </c>
      <c r="AN35" t="e">
        <f>(R35+#REF!)/C35*100</f>
        <v>#REF!</v>
      </c>
      <c r="AT35" t="e">
        <f t="shared" ref="AT35" si="67">AB35/C35</f>
        <v>#REF!</v>
      </c>
      <c r="AU35" t="e">
        <f t="shared" ref="AU35" si="68">AD35/E35</f>
        <v>#DIV/0!</v>
      </c>
      <c r="AX35">
        <f t="shared" ref="AX35:AX36" si="69">C35+D35+E35+F35</f>
        <v>0</v>
      </c>
    </row>
    <row r="36" spans="1:5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e">
        <f t="shared" si="58"/>
        <v>#DIV/0!</v>
      </c>
      <c r="N36" s="1" t="e">
        <f>D36/I36</f>
        <v>#DIV/0!</v>
      </c>
      <c r="O36" s="1"/>
      <c r="P36" s="1"/>
      <c r="Q36" s="1"/>
      <c r="R36" s="1">
        <f>C36*(0.1*0.9)</f>
        <v>0</v>
      </c>
      <c r="S36" s="1">
        <f>C36*0.045</f>
        <v>0</v>
      </c>
      <c r="T36" s="1">
        <f>D36*(0.18*0.9)</f>
        <v>0</v>
      </c>
      <c r="U36" s="1">
        <f>D36*0.045</f>
        <v>0</v>
      </c>
      <c r="V36" s="1"/>
      <c r="W36" s="1"/>
      <c r="X36" s="1"/>
      <c r="Y36" s="1"/>
      <c r="Z36" s="1"/>
      <c r="AA36" s="1">
        <f t="shared" si="60"/>
        <v>0</v>
      </c>
      <c r="AB36" s="1" t="e">
        <f>C36-R36-S36-#REF!</f>
        <v>#REF!</v>
      </c>
      <c r="AC36" s="1" t="e">
        <f>D36-T36-U36-#REF!</f>
        <v>#REF!</v>
      </c>
      <c r="AD36" s="1"/>
      <c r="AE36" s="1"/>
      <c r="AF36" s="1"/>
      <c r="AG36" s="11" t="e">
        <f>AB36+AC36</f>
        <v>#REF!</v>
      </c>
      <c r="AH36" s="91">
        <f t="shared" si="64"/>
        <v>0</v>
      </c>
      <c r="AI36" s="30">
        <f t="shared" si="65"/>
        <v>0</v>
      </c>
      <c r="AJ36" s="1"/>
      <c r="AK36" s="1"/>
      <c r="AL36" s="23" t="e">
        <f t="shared" si="66"/>
        <v>#REF!</v>
      </c>
      <c r="AM36" s="12" t="e">
        <f>AG36+AH36+#REF!+AI36</f>
        <v>#REF!</v>
      </c>
      <c r="AN36" t="e">
        <f>(R36+#REF!)/C36*100</f>
        <v>#REF!</v>
      </c>
      <c r="AX36">
        <f t="shared" si="69"/>
        <v>0</v>
      </c>
    </row>
    <row r="37" spans="1:50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e">
        <f t="shared" si="58"/>
        <v>#DIV/0!</v>
      </c>
      <c r="N37" s="1" t="e">
        <f>D37/I37</f>
        <v>#DIV/0!</v>
      </c>
      <c r="O37" s="1"/>
      <c r="P37" s="1"/>
      <c r="Q37" s="1"/>
      <c r="R37" s="1">
        <f>C37*(0.1*0.9)</f>
        <v>0</v>
      </c>
      <c r="S37" s="1">
        <f>C37*0.045</f>
        <v>0</v>
      </c>
      <c r="T37" s="1">
        <f>D37*(0.18*0.9)</f>
        <v>0</v>
      </c>
      <c r="U37" s="1">
        <f>D37*0.045</f>
        <v>0</v>
      </c>
      <c r="V37" s="1"/>
      <c r="W37" s="1"/>
      <c r="X37" s="1"/>
      <c r="Y37" s="1"/>
      <c r="Z37" s="1"/>
      <c r="AA37" s="1">
        <f t="shared" si="60"/>
        <v>0</v>
      </c>
      <c r="AB37" s="1" t="e">
        <f>C37-R37-S37-#REF!</f>
        <v>#REF!</v>
      </c>
      <c r="AC37" s="1" t="e">
        <f>D37-T37-U37-#REF!</f>
        <v>#REF!</v>
      </c>
      <c r="AD37" s="1"/>
      <c r="AE37" s="1"/>
      <c r="AF37" s="1"/>
      <c r="AG37" s="11" t="e">
        <f>AB37+AC37</f>
        <v>#REF!</v>
      </c>
      <c r="AH37" s="1">
        <f>R37+T37</f>
        <v>0</v>
      </c>
      <c r="AI37" s="30">
        <f t="shared" si="65"/>
        <v>0</v>
      </c>
      <c r="AJ37" s="1"/>
      <c r="AK37" s="1"/>
      <c r="AL37" s="23" t="e">
        <f t="shared" si="66"/>
        <v>#REF!</v>
      </c>
      <c r="AM37" s="1"/>
      <c r="AN37" t="e">
        <f>(R37+#REF!)/C37*100</f>
        <v>#REF!</v>
      </c>
    </row>
    <row r="38" spans="1:50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e">
        <f t="shared" si="58"/>
        <v>#DIV/0!</v>
      </c>
      <c r="N38" s="1" t="e">
        <f>D38/I38</f>
        <v>#DIV/0!</v>
      </c>
      <c r="O38" s="1"/>
      <c r="P38" s="1"/>
      <c r="Q38" s="1"/>
      <c r="R38" s="1">
        <f>C38*(0.1*0.9)</f>
        <v>0</v>
      </c>
      <c r="S38" s="1">
        <f>C38*0.045</f>
        <v>0</v>
      </c>
      <c r="T38" s="1">
        <f>D38*(0.18*0.9)</f>
        <v>0</v>
      </c>
      <c r="U38" s="1">
        <f>D38*0.045</f>
        <v>0</v>
      </c>
      <c r="V38" s="1"/>
      <c r="W38" s="1"/>
      <c r="X38" s="1"/>
      <c r="Y38" s="1"/>
      <c r="Z38" s="1"/>
      <c r="AA38" s="1">
        <f t="shared" si="60"/>
        <v>0</v>
      </c>
      <c r="AB38" s="1" t="e">
        <f>C38-R38-S38-#REF!</f>
        <v>#REF!</v>
      </c>
      <c r="AC38" s="1" t="e">
        <f>D38-T38-U38-#REF!</f>
        <v>#REF!</v>
      </c>
      <c r="AD38" s="1"/>
      <c r="AE38" s="1"/>
      <c r="AF38" s="1"/>
      <c r="AG38" s="11" t="e">
        <f>AB38+AC38</f>
        <v>#REF!</v>
      </c>
      <c r="AH38" s="1">
        <f>R38+T38</f>
        <v>0</v>
      </c>
      <c r="AI38" s="30">
        <f t="shared" si="65"/>
        <v>0</v>
      </c>
      <c r="AJ38" s="1"/>
      <c r="AK38" s="1"/>
      <c r="AL38" s="23" t="e">
        <f t="shared" si="66"/>
        <v>#REF!</v>
      </c>
      <c r="AM38" s="1"/>
      <c r="AN38" t="e">
        <f>(R38+#REF!)/C38*100</f>
        <v>#REF!</v>
      </c>
    </row>
    <row r="39" spans="1:50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e">
        <f t="shared" si="58"/>
        <v>#DIV/0!</v>
      </c>
      <c r="N39" s="1" t="e">
        <f>D39/I39</f>
        <v>#DIV/0!</v>
      </c>
      <c r="O39" s="1"/>
      <c r="P39" s="1"/>
      <c r="Q39" s="1"/>
      <c r="R39" s="1">
        <f>C39*(0.1*0.9)</f>
        <v>0</v>
      </c>
      <c r="S39" s="1">
        <f>C39*0.045</f>
        <v>0</v>
      </c>
      <c r="T39" s="1">
        <f>D39*(0.18*0.9)</f>
        <v>0</v>
      </c>
      <c r="U39" s="1">
        <f>D39*0.045</f>
        <v>0</v>
      </c>
      <c r="V39" s="1"/>
      <c r="W39" s="1"/>
      <c r="X39" s="1"/>
      <c r="Y39" s="1"/>
      <c r="Z39" s="1"/>
      <c r="AA39" s="1"/>
      <c r="AB39" s="1" t="e">
        <f>C39-R39-S39-#REF!</f>
        <v>#REF!</v>
      </c>
      <c r="AC39" s="1" t="e">
        <f>D39-T39-U39-#REF!</f>
        <v>#REF!</v>
      </c>
      <c r="AD39" s="1"/>
      <c r="AE39" s="1"/>
      <c r="AF39" s="1"/>
      <c r="AG39" s="11" t="e">
        <f>AB39+AC39</f>
        <v>#REF!</v>
      </c>
      <c r="AH39" s="1">
        <f>R39+T39</f>
        <v>0</v>
      </c>
      <c r="AI39" s="92">
        <f>S39+U39+W39+Y39</f>
        <v>0</v>
      </c>
      <c r="AJ39" s="1"/>
      <c r="AK39" s="1"/>
      <c r="AL39" s="23" t="e">
        <f t="shared" si="66"/>
        <v>#REF!</v>
      </c>
      <c r="AM39" s="1"/>
      <c r="AN39" t="e">
        <f>(R39+#REF!)/C39*100</f>
        <v>#REF!</v>
      </c>
    </row>
    <row r="40" spans="1:50" x14ac:dyDescent="0.25">
      <c r="A40" t="s">
        <v>44</v>
      </c>
      <c r="B40" s="1" t="s">
        <v>82</v>
      </c>
      <c r="C40" s="1">
        <f>SUM(C4:C33)</f>
        <v>36737</v>
      </c>
      <c r="D40" s="1">
        <f t="shared" ref="D40:AW40" si="70">SUM(D4:D33)</f>
        <v>1932</v>
      </c>
      <c r="E40" s="1">
        <f t="shared" si="70"/>
        <v>0</v>
      </c>
      <c r="F40" s="1">
        <f t="shared" si="70"/>
        <v>185</v>
      </c>
      <c r="G40" s="1"/>
      <c r="H40" s="1">
        <f t="shared" si="70"/>
        <v>559.36</v>
      </c>
      <c r="I40" s="1">
        <f t="shared" si="70"/>
        <v>28.2</v>
      </c>
      <c r="J40" s="1">
        <f t="shared" si="70"/>
        <v>0</v>
      </c>
      <c r="K40" s="1">
        <f t="shared" si="70"/>
        <v>3</v>
      </c>
      <c r="L40" s="1"/>
      <c r="M40" s="1">
        <f t="shared" si="70"/>
        <v>1971.8486949484948</v>
      </c>
      <c r="N40" s="1" t="e">
        <f t="shared" si="70"/>
        <v>#DIV/0!</v>
      </c>
      <c r="O40" s="1" t="e">
        <f t="shared" si="70"/>
        <v>#DIV/0!</v>
      </c>
      <c r="P40" s="1" t="e">
        <f t="shared" si="70"/>
        <v>#DIV/0!</v>
      </c>
      <c r="Q40" s="1"/>
      <c r="R40" s="1">
        <f t="shared" si="70"/>
        <v>5496.5554975546283</v>
      </c>
      <c r="S40" s="1">
        <f t="shared" si="70"/>
        <v>1841.5359952379997</v>
      </c>
      <c r="T40" s="1">
        <f t="shared" si="70"/>
        <v>391.22999951340955</v>
      </c>
      <c r="U40" s="1">
        <f t="shared" si="70"/>
        <v>97.212999833600009</v>
      </c>
      <c r="V40" s="1">
        <f t="shared" si="70"/>
        <v>0</v>
      </c>
      <c r="W40" s="1">
        <f t="shared" si="70"/>
        <v>0</v>
      </c>
      <c r="X40" s="1"/>
      <c r="Y40" s="1">
        <f t="shared" si="70"/>
        <v>9.0869999549999996</v>
      </c>
      <c r="Z40" s="1"/>
      <c r="AA40" s="1"/>
      <c r="AB40" s="1">
        <f t="shared" si="70"/>
        <v>29398.908507207365</v>
      </c>
      <c r="AC40" s="1">
        <f t="shared" si="70"/>
        <v>1443.5570006529906</v>
      </c>
      <c r="AD40" s="1">
        <f t="shared" si="70"/>
        <v>0</v>
      </c>
      <c r="AE40" s="1">
        <f t="shared" si="70"/>
        <v>175.91300004499999</v>
      </c>
      <c r="AF40" s="1"/>
      <c r="AG40" s="1">
        <f t="shared" si="70"/>
        <v>34311.798508908898</v>
      </c>
      <c r="AH40" s="1">
        <f t="shared" si="70"/>
        <v>6852.0794963634307</v>
      </c>
      <c r="AI40" s="1">
        <f t="shared" si="70"/>
        <v>2174.12199472767</v>
      </c>
      <c r="AJ40" s="1"/>
      <c r="AK40" s="1"/>
      <c r="AL40" s="1">
        <f t="shared" si="70"/>
        <v>2689.2760641817449</v>
      </c>
      <c r="AM40" s="1">
        <f t="shared" si="70"/>
        <v>43338</v>
      </c>
      <c r="AN40" s="1">
        <f t="shared" si="70"/>
        <v>448.8254212469991</v>
      </c>
      <c r="AO40" s="1" t="e">
        <f t="shared" si="70"/>
        <v>#DIV/0!</v>
      </c>
      <c r="AP40" s="1" t="e">
        <f t="shared" si="70"/>
        <v>#DIV/0!</v>
      </c>
      <c r="AQ40" s="1">
        <f t="shared" si="70"/>
        <v>0</v>
      </c>
      <c r="AR40" s="1">
        <f t="shared" si="70"/>
        <v>409.15</v>
      </c>
      <c r="AS40" s="1">
        <f t="shared" si="70"/>
        <v>38669</v>
      </c>
      <c r="AT40" s="1">
        <f t="shared" si="70"/>
        <v>24.009449805530007</v>
      </c>
      <c r="AU40" s="1" t="e">
        <f t="shared" si="70"/>
        <v>#DIV/0!</v>
      </c>
      <c r="AV40" s="1" t="e">
        <f t="shared" si="70"/>
        <v>#DIV/0!</v>
      </c>
      <c r="AW40" s="1" t="e">
        <f t="shared" si="70"/>
        <v>#DIV/0!</v>
      </c>
      <c r="AX40" s="1">
        <f>SUM(AX4:AX33)</f>
        <v>38854</v>
      </c>
    </row>
    <row r="41" spans="1:50" x14ac:dyDescent="0.25">
      <c r="A41" t="s">
        <v>44</v>
      </c>
      <c r="B41" s="1" t="s">
        <v>82</v>
      </c>
      <c r="C41" s="1">
        <f>SUM(C30:C40)</f>
        <v>41401</v>
      </c>
      <c r="D41" s="1">
        <f>SUM(D30:D40)</f>
        <v>2002</v>
      </c>
      <c r="E41" s="1"/>
      <c r="F41" s="1"/>
      <c r="G41" s="1"/>
      <c r="H41" s="1">
        <f>SUM(H30:H40)</f>
        <v>628.6</v>
      </c>
      <c r="I41" s="1">
        <f>SUM(I30:I40)</f>
        <v>29.2</v>
      </c>
      <c r="J41" s="1"/>
      <c r="K41" s="1"/>
      <c r="L41" s="1"/>
      <c r="M41" s="1" t="e">
        <f>SUM(M30:M40)</f>
        <v>#DIV/0!</v>
      </c>
      <c r="N41" s="1" t="e">
        <f>SUM(N30:N40)</f>
        <v>#DIV/0!</v>
      </c>
      <c r="O41" s="1"/>
      <c r="P41" s="1"/>
      <c r="Q41" s="1"/>
      <c r="R41" s="1">
        <f>SUM(R30:R40)</f>
        <v>6080.3814971186257</v>
      </c>
      <c r="S41" s="1">
        <f>SUM(S30:S40)</f>
        <v>2074.6699946559997</v>
      </c>
      <c r="T41" s="1">
        <f>SUM(T30:T40)</f>
        <v>403.70399951340954</v>
      </c>
      <c r="U41" s="1">
        <f>SUM(U30:U40)</f>
        <v>100.70399983560002</v>
      </c>
      <c r="V41" s="1"/>
      <c r="W41" s="1"/>
      <c r="X41" s="1"/>
      <c r="Y41" s="1"/>
      <c r="Z41" s="1"/>
      <c r="AA41" s="1"/>
      <c r="AB41" s="1" t="e">
        <f>SUM(AB30:AB40)</f>
        <v>#REF!</v>
      </c>
      <c r="AC41" s="1" t="e">
        <f>SUM(AC30:AC40)</f>
        <v>#REF!</v>
      </c>
      <c r="AD41" s="1"/>
      <c r="AE41" s="1"/>
      <c r="AF41" s="1"/>
      <c r="AG41" s="11">
        <f>SUM(AG4:AG34)</f>
        <v>34311.798508908898</v>
      </c>
      <c r="AH41" s="11">
        <f>SUM(AH30:AH40)</f>
        <v>7551.9754956867082</v>
      </c>
      <c r="AI41" s="11">
        <f>SUM(AI30:AI40)</f>
        <v>2440.7809941580699</v>
      </c>
      <c r="AJ41" s="1"/>
      <c r="AK41" s="1"/>
      <c r="AL41" s="1"/>
      <c r="AM41" s="1"/>
      <c r="AN41" t="e">
        <f>(R41+#REF!)/C41*100</f>
        <v>#REF!</v>
      </c>
    </row>
    <row r="42" spans="1:50" x14ac:dyDescent="0.25">
      <c r="A42" t="s">
        <v>45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t="e">
        <f>(R42+#REF!)/C42*100</f>
        <v>#REF!</v>
      </c>
    </row>
    <row r="43" spans="1:50" x14ac:dyDescent="0.25">
      <c r="A43" t="s">
        <v>45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t="e">
        <v>#DIV/0!</v>
      </c>
    </row>
    <row r="45" spans="1:50" x14ac:dyDescent="0.25">
      <c r="B45" t="s">
        <v>83</v>
      </c>
      <c r="C45">
        <v>1600</v>
      </c>
      <c r="D45" t="s">
        <v>84</v>
      </c>
      <c r="H45">
        <v>8000</v>
      </c>
      <c r="I45" t="s">
        <v>85</v>
      </c>
    </row>
    <row r="46" spans="1:50" x14ac:dyDescent="0.25">
      <c r="C46">
        <f>[2]Cement!G30*1600/8000</f>
        <v>4.7999999999592549E-2</v>
      </c>
      <c r="D46" t="s">
        <v>86</v>
      </c>
      <c r="H46">
        <v>13500</v>
      </c>
      <c r="I46" t="s">
        <v>85</v>
      </c>
    </row>
    <row r="53" spans="18:20" x14ac:dyDescent="0.25">
      <c r="R53">
        <f>200/85</f>
        <v>2.3529411764705883</v>
      </c>
      <c r="T53">
        <f>24-2.35</f>
        <v>21.65</v>
      </c>
    </row>
  </sheetData>
  <mergeCells count="2">
    <mergeCell ref="C2:E2"/>
    <mergeCell ref="H2:L2"/>
  </mergeCells>
  <pageMargins left="0.7" right="0.7" top="0.75" bottom="0.75" header="0.3" footer="0.3"/>
  <pageSetup paperSize="9"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AV53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9" sqref="I29"/>
    </sheetView>
  </sheetViews>
  <sheetFormatPr defaultRowHeight="15" x14ac:dyDescent="0.25"/>
  <cols>
    <col min="3" max="3" width="9.140625" customWidth="1"/>
    <col min="9" max="12" width="12.7109375" customWidth="1"/>
    <col min="13" max="16" width="9.140625" customWidth="1"/>
    <col min="17" max="17" width="17.28515625" bestFit="1" customWidth="1"/>
    <col min="18" max="18" width="14.42578125" bestFit="1" customWidth="1"/>
    <col min="19" max="19" width="17.28515625" bestFit="1" customWidth="1"/>
    <col min="20" max="20" width="14.42578125" bestFit="1" customWidth="1"/>
    <col min="21" max="21" width="22.5703125" customWidth="1"/>
    <col min="22" max="26" width="14.42578125" customWidth="1"/>
    <col min="27" max="27" width="15.7109375" customWidth="1"/>
    <col min="28" max="31" width="16.140625" customWidth="1"/>
    <col min="32" max="32" width="16.7109375" customWidth="1"/>
    <col min="33" max="33" width="12.85546875" customWidth="1"/>
    <col min="34" max="34" width="10.42578125" bestFit="1" customWidth="1"/>
    <col min="35" max="35" width="14.5703125" customWidth="1"/>
    <col min="36" max="36" width="10.140625" bestFit="1" customWidth="1"/>
    <col min="38" max="38" width="13" bestFit="1" customWidth="1"/>
  </cols>
  <sheetData>
    <row r="2" spans="1:48" x14ac:dyDescent="0.25">
      <c r="B2" s="21" t="s">
        <v>46</v>
      </c>
      <c r="C2" s="272" t="s">
        <v>54</v>
      </c>
      <c r="D2" s="273"/>
      <c r="E2" s="274"/>
      <c r="F2" s="109"/>
      <c r="G2" s="109"/>
      <c r="H2" s="275" t="s">
        <v>55</v>
      </c>
      <c r="I2" s="276"/>
      <c r="J2" s="277"/>
      <c r="K2" s="114"/>
      <c r="L2" s="114"/>
      <c r="M2" s="21" t="s">
        <v>56</v>
      </c>
      <c r="N2" s="21" t="s">
        <v>57</v>
      </c>
      <c r="O2" s="21" t="s">
        <v>58</v>
      </c>
      <c r="P2" s="21" t="s">
        <v>87</v>
      </c>
      <c r="Q2" s="21" t="s">
        <v>60</v>
      </c>
      <c r="R2" s="21" t="s">
        <v>61</v>
      </c>
      <c r="S2" s="21" t="s">
        <v>62</v>
      </c>
      <c r="T2" s="21" t="s">
        <v>63</v>
      </c>
      <c r="U2" s="21" t="s">
        <v>64</v>
      </c>
      <c r="V2" s="21" t="s">
        <v>65</v>
      </c>
      <c r="W2" s="21" t="s">
        <v>209</v>
      </c>
      <c r="X2" s="21" t="s">
        <v>66</v>
      </c>
      <c r="Y2" s="21" t="s">
        <v>206</v>
      </c>
      <c r="Z2" s="21" t="s">
        <v>207</v>
      </c>
      <c r="AA2" s="21" t="s">
        <v>67</v>
      </c>
      <c r="AB2" s="21" t="s">
        <v>68</v>
      </c>
      <c r="AC2" s="21" t="s">
        <v>69</v>
      </c>
      <c r="AD2" s="21" t="s">
        <v>70</v>
      </c>
      <c r="AE2" s="21" t="s">
        <v>205</v>
      </c>
      <c r="AF2" t="s">
        <v>71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  <c r="AL2" t="s">
        <v>77</v>
      </c>
      <c r="AM2">
        <v>42.5</v>
      </c>
      <c r="AN2">
        <v>32.5</v>
      </c>
      <c r="AO2" t="s">
        <v>52</v>
      </c>
    </row>
    <row r="3" spans="1:48" x14ac:dyDescent="0.25">
      <c r="B3" s="1" t="s">
        <v>80</v>
      </c>
      <c r="C3" s="1">
        <v>42.5</v>
      </c>
      <c r="D3" s="1">
        <v>32.5</v>
      </c>
      <c r="E3" s="1" t="s">
        <v>52</v>
      </c>
      <c r="F3" s="1" t="s">
        <v>81</v>
      </c>
      <c r="G3" s="1" t="s">
        <v>204</v>
      </c>
      <c r="H3" s="113">
        <v>42.5</v>
      </c>
      <c r="I3" s="113">
        <v>32.5</v>
      </c>
      <c r="J3" s="113" t="s">
        <v>52</v>
      </c>
      <c r="K3" s="113" t="s">
        <v>81</v>
      </c>
      <c r="L3" s="113" t="s">
        <v>204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48" s="142" customFormat="1" x14ac:dyDescent="0.25">
      <c r="B4" s="143">
        <v>1</v>
      </c>
      <c r="C4" s="1">
        <v>1240</v>
      </c>
      <c r="D4" s="1">
        <v>0</v>
      </c>
      <c r="E4" s="1">
        <v>0</v>
      </c>
      <c r="F4" s="1">
        <v>224</v>
      </c>
      <c r="G4" s="1">
        <v>0</v>
      </c>
      <c r="H4" s="1">
        <v>20</v>
      </c>
      <c r="I4" s="1">
        <v>0</v>
      </c>
      <c r="J4" s="1">
        <v>0</v>
      </c>
      <c r="K4" s="1">
        <v>4</v>
      </c>
      <c r="L4" s="1">
        <v>0</v>
      </c>
      <c r="M4" s="143">
        <f t="shared" ref="M4:N19" si="0">C4/H4</f>
        <v>62</v>
      </c>
      <c r="N4" s="143" t="e">
        <f t="shared" si="0"/>
        <v>#DIV/0!</v>
      </c>
      <c r="O4" s="143" t="e">
        <f>G4/L4</f>
        <v>#DIV/0!</v>
      </c>
      <c r="P4" s="143">
        <f t="shared" ref="P4:P26" si="1">F4/K4</f>
        <v>56</v>
      </c>
      <c r="Q4" s="143">
        <f>C4*(0.188888888888888*0.9)</f>
        <v>210.79999999999902</v>
      </c>
      <c r="R4" s="143">
        <f>C4*0.05</f>
        <v>62</v>
      </c>
      <c r="S4" s="143">
        <f>D4*(0.3*0.9)</f>
        <v>0</v>
      </c>
      <c r="T4" s="143">
        <f>D4*0.05</f>
        <v>0</v>
      </c>
      <c r="U4" s="143">
        <f>E4*(0.316666666666666*0.9)</f>
        <v>0</v>
      </c>
      <c r="V4" s="143">
        <f>E4*0.052</f>
        <v>0</v>
      </c>
      <c r="W4" s="143">
        <f t="shared" ref="W4:W20" si="2">F4*(0*0.9)</f>
        <v>0</v>
      </c>
      <c r="X4" s="143">
        <f>F4*0.05</f>
        <v>11.200000000000001</v>
      </c>
      <c r="Y4" s="143">
        <f>G4*(0.314009661*0.9)</f>
        <v>0</v>
      </c>
      <c r="Z4" s="143">
        <f>G4*0.05</f>
        <v>0</v>
      </c>
      <c r="AA4" s="220">
        <f>C4-Q4-R4</f>
        <v>967.20000000000095</v>
      </c>
      <c r="AB4" s="220">
        <f>D4-S4-T4</f>
        <v>0</v>
      </c>
      <c r="AC4" s="220">
        <f>E4-U4-V4</f>
        <v>0</v>
      </c>
      <c r="AD4" s="220">
        <f>F4-W4-X4</f>
        <v>212.8</v>
      </c>
      <c r="AE4" s="220">
        <f t="shared" ref="AE4:AE33" si="3">G4-Y4-Z4</f>
        <v>0</v>
      </c>
      <c r="AF4" s="91">
        <f>AA4+AB4+AC4+AD4+AE4</f>
        <v>1180.0000000000009</v>
      </c>
      <c r="AG4" s="74">
        <f t="shared" ref="AG4:AG23" si="4">Q4+S4+U4+Y4</f>
        <v>210.79999999999902</v>
      </c>
      <c r="AH4" s="144">
        <f t="shared" ref="AH4" si="5">R4+T4+V4+X4+Z4</f>
        <v>73.2</v>
      </c>
      <c r="AI4" s="143">
        <v>0</v>
      </c>
      <c r="AJ4" s="145">
        <v>0</v>
      </c>
      <c r="AK4" s="146">
        <f t="shared" ref="AK4:AK24" si="6">AF4/(C4+D4)*100</f>
        <v>95.161290322580712</v>
      </c>
      <c r="AL4" s="144">
        <f>AF4+AG4+AH4</f>
        <v>1464</v>
      </c>
      <c r="AM4" s="142">
        <f>(Q4)/C4*100</f>
        <v>16.999999999999922</v>
      </c>
      <c r="AN4" s="142" t="e">
        <f>(S4)/D4*100</f>
        <v>#DIV/0!</v>
      </c>
      <c r="AO4" s="142" t="e">
        <f>Y4/G4</f>
        <v>#DIV/0!</v>
      </c>
      <c r="AQ4" s="147">
        <f t="shared" ref="AQ4:AT27" si="7">AA4/C4</f>
        <v>0.7800000000000008</v>
      </c>
      <c r="AR4" s="147" t="e">
        <f t="shared" si="7"/>
        <v>#DIV/0!</v>
      </c>
      <c r="AS4" s="147" t="e">
        <f t="shared" si="7"/>
        <v>#DIV/0!</v>
      </c>
      <c r="AT4" s="147">
        <f t="shared" si="7"/>
        <v>0.95000000000000007</v>
      </c>
      <c r="AU4">
        <f t="shared" ref="AU4:AU33" si="8">C4+D4+E4+F4</f>
        <v>1464</v>
      </c>
      <c r="AV4" s="142">
        <f>H4+I4+K4+L4</f>
        <v>24</v>
      </c>
    </row>
    <row r="5" spans="1:48" x14ac:dyDescent="0.25">
      <c r="B5" s="143">
        <v>2</v>
      </c>
      <c r="C5" s="1">
        <v>1004</v>
      </c>
      <c r="D5" s="1">
        <v>0</v>
      </c>
      <c r="E5" s="1">
        <v>0</v>
      </c>
      <c r="F5" s="1">
        <v>170</v>
      </c>
      <c r="G5" s="1">
        <v>0</v>
      </c>
      <c r="H5" s="1">
        <v>16.25</v>
      </c>
      <c r="I5" s="1">
        <v>0</v>
      </c>
      <c r="J5" s="1">
        <v>0</v>
      </c>
      <c r="K5" s="1">
        <v>3</v>
      </c>
      <c r="L5" s="1">
        <v>0</v>
      </c>
      <c r="M5" s="1">
        <f t="shared" si="0"/>
        <v>61.784615384615385</v>
      </c>
      <c r="N5" s="1" t="e">
        <f t="shared" si="0"/>
        <v>#DIV/0!</v>
      </c>
      <c r="O5" s="143" t="e">
        <f t="shared" ref="O5:O33" si="9">G5/L5</f>
        <v>#DIV/0!</v>
      </c>
      <c r="P5" s="1">
        <f t="shared" si="1"/>
        <v>56.666666666666664</v>
      </c>
      <c r="Q5" s="1">
        <f>C5*(0.2*0.9)</f>
        <v>180.72000000000003</v>
      </c>
      <c r="R5" s="1">
        <f>C5*0.05</f>
        <v>50.2</v>
      </c>
      <c r="S5" s="1">
        <f>D5*(0.290598291*0.9)</f>
        <v>0</v>
      </c>
      <c r="T5" s="1">
        <f>D5*0.050769232</f>
        <v>0</v>
      </c>
      <c r="U5" s="1">
        <f>E5*(0.316666666666666*0.9)</f>
        <v>0</v>
      </c>
      <c r="V5" s="1">
        <f>E5*0.05</f>
        <v>0</v>
      </c>
      <c r="W5" s="1">
        <f t="shared" si="2"/>
        <v>0</v>
      </c>
      <c r="X5" s="1">
        <f>F5*0.05</f>
        <v>8.5</v>
      </c>
      <c r="Y5" s="143">
        <f>G5*(0.310990338*0.9)</f>
        <v>0</v>
      </c>
      <c r="Z5" s="143">
        <f>G5*0.050271739</f>
        <v>0</v>
      </c>
      <c r="AA5" s="220">
        <f t="shared" ref="AA5:AA33" si="10">C5-Q5-R5</f>
        <v>773.07999999999993</v>
      </c>
      <c r="AB5" s="220">
        <f t="shared" ref="AB5:AB33" si="11">D5-S5-T5</f>
        <v>0</v>
      </c>
      <c r="AC5" s="220">
        <f t="shared" ref="AC5:AC33" si="12">E5-U5-V5</f>
        <v>0</v>
      </c>
      <c r="AD5" s="220">
        <f t="shared" ref="AD5:AD33" si="13">F5-W5-X5</f>
        <v>161.5</v>
      </c>
      <c r="AE5" s="220">
        <f t="shared" si="3"/>
        <v>0</v>
      </c>
      <c r="AF5" s="91">
        <f>AA5+AB5+AC5+AD5+AE5</f>
        <v>934.57999999999993</v>
      </c>
      <c r="AG5" s="74">
        <f t="shared" si="4"/>
        <v>180.72000000000003</v>
      </c>
      <c r="AH5" s="144">
        <f>R5+T5+V5+X5+Z5</f>
        <v>58.7</v>
      </c>
      <c r="AI5" s="1">
        <v>0</v>
      </c>
      <c r="AJ5" s="6">
        <v>0</v>
      </c>
      <c r="AK5" s="93">
        <f t="shared" si="6"/>
        <v>93.085657370517922</v>
      </c>
      <c r="AL5" s="144">
        <f t="shared" ref="AL5:AL33" si="14">AF5+AG5+AH5</f>
        <v>1174</v>
      </c>
      <c r="AM5" s="142">
        <f t="shared" ref="AM5:AM33" si="15">(Q5)/C5*100</f>
        <v>18.000000000000004</v>
      </c>
      <c r="AN5" s="142" t="e">
        <f t="shared" ref="AN5:AN33" si="16">(S5)/D5*100</f>
        <v>#DIV/0!</v>
      </c>
      <c r="AO5" s="142" t="e">
        <f t="shared" ref="AO5:AO33" si="17">Y5/G5</f>
        <v>#DIV/0!</v>
      </c>
      <c r="AQ5" s="117">
        <f t="shared" si="7"/>
        <v>0.76999999999999991</v>
      </c>
      <c r="AR5" s="117" t="e">
        <f t="shared" si="7"/>
        <v>#DIV/0!</v>
      </c>
      <c r="AS5" s="117" t="e">
        <f t="shared" si="7"/>
        <v>#DIV/0!</v>
      </c>
      <c r="AT5" s="117">
        <f t="shared" si="7"/>
        <v>0.95</v>
      </c>
      <c r="AU5">
        <f t="shared" si="8"/>
        <v>1174</v>
      </c>
      <c r="AV5" s="142">
        <f t="shared" ref="AV5:AV20" si="18">H5+I5+K5+L5</f>
        <v>19.25</v>
      </c>
    </row>
    <row r="6" spans="1:48" x14ac:dyDescent="0.25">
      <c r="B6" s="143">
        <v>3</v>
      </c>
      <c r="C6" s="1">
        <v>1269</v>
      </c>
      <c r="D6" s="1">
        <v>0</v>
      </c>
      <c r="E6" s="1">
        <v>0</v>
      </c>
      <c r="F6" s="1">
        <v>114</v>
      </c>
      <c r="G6" s="1">
        <v>0</v>
      </c>
      <c r="H6" s="1">
        <v>21.25</v>
      </c>
      <c r="I6" s="1">
        <v>0</v>
      </c>
      <c r="J6" s="1">
        <v>0</v>
      </c>
      <c r="K6" s="1">
        <v>2</v>
      </c>
      <c r="L6" s="1">
        <v>0</v>
      </c>
      <c r="M6" s="1">
        <f t="shared" si="0"/>
        <v>59.71764705882353</v>
      </c>
      <c r="N6" s="1" t="e">
        <f t="shared" si="0"/>
        <v>#DIV/0!</v>
      </c>
      <c r="O6" s="143" t="e">
        <f t="shared" si="9"/>
        <v>#DIV/0!</v>
      </c>
      <c r="P6" s="1">
        <f t="shared" si="1"/>
        <v>57</v>
      </c>
      <c r="Q6" s="1">
        <f>C6*(0.2*0.9)</f>
        <v>228.42000000000002</v>
      </c>
      <c r="R6" s="1">
        <f>C6*0.05</f>
        <v>63.45</v>
      </c>
      <c r="S6" s="1">
        <f>D6*(0.222222222222222*0.9)</f>
        <v>0</v>
      </c>
      <c r="T6" s="1">
        <f>D6*0.05</f>
        <v>0</v>
      </c>
      <c r="U6" s="1">
        <f>E6*(0.332318622*0.9)</f>
        <v>0</v>
      </c>
      <c r="V6" s="1">
        <f>E6*0.0472146111</f>
        <v>0</v>
      </c>
      <c r="W6" s="1">
        <f t="shared" si="2"/>
        <v>0</v>
      </c>
      <c r="X6" s="1">
        <f>F6*0.05</f>
        <v>5.7</v>
      </c>
      <c r="Y6" s="143">
        <f t="shared" ref="Y6:Y20" si="19">G6*(0.316666666666666*0.9)</f>
        <v>0</v>
      </c>
      <c r="Z6" s="143">
        <f t="shared" ref="Z6:Z20" si="20">G6*0.052</f>
        <v>0</v>
      </c>
      <c r="AA6" s="220">
        <f t="shared" si="10"/>
        <v>977.12999999999988</v>
      </c>
      <c r="AB6" s="220">
        <f t="shared" si="11"/>
        <v>0</v>
      </c>
      <c r="AC6" s="220">
        <f t="shared" si="12"/>
        <v>0</v>
      </c>
      <c r="AD6" s="220">
        <f t="shared" si="13"/>
        <v>108.3</v>
      </c>
      <c r="AE6" s="220">
        <f t="shared" si="3"/>
        <v>0</v>
      </c>
      <c r="AF6" s="91">
        <f t="shared" ref="AF6:AF33" si="21">AA6+AB6+AC6+AD6+AE6</f>
        <v>1085.4299999999998</v>
      </c>
      <c r="AG6" s="74">
        <f>Q6+S6+U6+Y6</f>
        <v>228.42000000000002</v>
      </c>
      <c r="AH6" s="144">
        <f>R6+T6+V6+X6+Z6</f>
        <v>69.150000000000006</v>
      </c>
      <c r="AI6" s="1">
        <v>0</v>
      </c>
      <c r="AJ6" s="6">
        <v>0</v>
      </c>
      <c r="AK6" s="93">
        <f t="shared" si="6"/>
        <v>85.534278959810862</v>
      </c>
      <c r="AL6" s="144">
        <f t="shared" si="14"/>
        <v>1383</v>
      </c>
      <c r="AM6" s="142">
        <f t="shared" si="15"/>
        <v>18.000000000000004</v>
      </c>
      <c r="AN6" s="142" t="e">
        <f t="shared" si="16"/>
        <v>#DIV/0!</v>
      </c>
      <c r="AO6" s="142" t="e">
        <f t="shared" si="17"/>
        <v>#DIV/0!</v>
      </c>
      <c r="AQ6" s="117">
        <f t="shared" si="7"/>
        <v>0.76999999999999991</v>
      </c>
      <c r="AR6" s="117" t="e">
        <f t="shared" si="7"/>
        <v>#DIV/0!</v>
      </c>
      <c r="AS6" s="117" t="e">
        <f t="shared" si="7"/>
        <v>#DIV/0!</v>
      </c>
      <c r="AT6" s="117">
        <f t="shared" si="7"/>
        <v>0.95</v>
      </c>
      <c r="AU6">
        <f t="shared" si="8"/>
        <v>1383</v>
      </c>
      <c r="AV6" s="142">
        <f t="shared" si="18"/>
        <v>23.25</v>
      </c>
    </row>
    <row r="7" spans="1:48" s="137" customFormat="1" x14ac:dyDescent="0.25">
      <c r="B7" s="143">
        <v>4</v>
      </c>
      <c r="C7" s="1">
        <v>1201</v>
      </c>
      <c r="D7" s="1">
        <v>0</v>
      </c>
      <c r="E7" s="1">
        <v>0</v>
      </c>
      <c r="F7" s="1">
        <v>0</v>
      </c>
      <c r="G7" s="1">
        <v>0</v>
      </c>
      <c r="H7" s="1">
        <v>20.6</v>
      </c>
      <c r="I7" s="1">
        <v>0</v>
      </c>
      <c r="J7" s="1">
        <v>0</v>
      </c>
      <c r="K7" s="1">
        <v>0</v>
      </c>
      <c r="L7" s="1">
        <v>0</v>
      </c>
      <c r="M7" s="138">
        <f t="shared" si="0"/>
        <v>58.300970873786405</v>
      </c>
      <c r="N7" s="138" t="e">
        <f t="shared" si="0"/>
        <v>#DIV/0!</v>
      </c>
      <c r="O7" s="143" t="e">
        <f t="shared" si="9"/>
        <v>#DIV/0!</v>
      </c>
      <c r="P7" s="138" t="e">
        <f t="shared" si="1"/>
        <v>#DIV/0!</v>
      </c>
      <c r="Q7" s="228">
        <f>C7*(0.188888888888888*0.9)</f>
        <v>204.16999999999905</v>
      </c>
      <c r="R7" s="228">
        <f>C7*0.05</f>
        <v>60.050000000000004</v>
      </c>
      <c r="S7" s="138">
        <f>D7*(0.311111111111111*0.9)</f>
        <v>0</v>
      </c>
      <c r="T7" s="138">
        <f>D7*0.05</f>
        <v>0</v>
      </c>
      <c r="U7" s="138">
        <f>E7*(0.288194444444444*0.9)</f>
        <v>0</v>
      </c>
      <c r="V7" s="138">
        <f>E7*0.05</f>
        <v>0</v>
      </c>
      <c r="W7" s="138">
        <f t="shared" si="2"/>
        <v>0</v>
      </c>
      <c r="X7" s="138">
        <f>F7*0.05</f>
        <v>0</v>
      </c>
      <c r="Y7" s="143">
        <f t="shared" si="19"/>
        <v>0</v>
      </c>
      <c r="Z7" s="143">
        <f t="shared" si="20"/>
        <v>0</v>
      </c>
      <c r="AA7" s="220">
        <f t="shared" si="10"/>
        <v>936.780000000001</v>
      </c>
      <c r="AB7" s="220">
        <f t="shared" si="11"/>
        <v>0</v>
      </c>
      <c r="AC7" s="220">
        <f t="shared" si="12"/>
        <v>0</v>
      </c>
      <c r="AD7" s="220">
        <f t="shared" si="13"/>
        <v>0</v>
      </c>
      <c r="AE7" s="220">
        <f t="shared" si="3"/>
        <v>0</v>
      </c>
      <c r="AF7" s="91">
        <f t="shared" si="21"/>
        <v>936.780000000001</v>
      </c>
      <c r="AG7" s="74">
        <f t="shared" si="4"/>
        <v>204.16999999999905</v>
      </c>
      <c r="AH7" s="144">
        <f>R7+T7+V7+X7+Z7</f>
        <v>60.050000000000004</v>
      </c>
      <c r="AI7" s="138">
        <v>0</v>
      </c>
      <c r="AJ7" s="139">
        <v>0</v>
      </c>
      <c r="AK7" s="140">
        <f t="shared" si="6"/>
        <v>78.000000000000085</v>
      </c>
      <c r="AL7" s="144">
        <f t="shared" si="14"/>
        <v>1201</v>
      </c>
      <c r="AM7" s="142">
        <f t="shared" si="15"/>
        <v>16.999999999999922</v>
      </c>
      <c r="AN7" s="142" t="e">
        <f t="shared" si="16"/>
        <v>#DIV/0!</v>
      </c>
      <c r="AO7" s="142" t="e">
        <f t="shared" si="17"/>
        <v>#DIV/0!</v>
      </c>
      <c r="AP7" s="137" t="e">
        <f>(#REF!/C7)*100</f>
        <v>#REF!</v>
      </c>
      <c r="AQ7" s="141">
        <f t="shared" si="7"/>
        <v>0.7800000000000008</v>
      </c>
      <c r="AR7" s="141" t="e">
        <f t="shared" si="7"/>
        <v>#DIV/0!</v>
      </c>
      <c r="AS7" s="141" t="e">
        <f t="shared" si="7"/>
        <v>#DIV/0!</v>
      </c>
      <c r="AT7" s="141" t="e">
        <f t="shared" si="7"/>
        <v>#DIV/0!</v>
      </c>
      <c r="AU7">
        <f t="shared" si="8"/>
        <v>1201</v>
      </c>
      <c r="AV7" s="142">
        <f t="shared" si="18"/>
        <v>20.6</v>
      </c>
    </row>
    <row r="8" spans="1:48" s="142" customFormat="1" x14ac:dyDescent="0.25">
      <c r="B8" s="143">
        <v>5</v>
      </c>
      <c r="C8" s="1">
        <v>898</v>
      </c>
      <c r="D8" s="1">
        <v>0</v>
      </c>
      <c r="E8" s="1">
        <v>0</v>
      </c>
      <c r="F8" s="1">
        <v>0</v>
      </c>
      <c r="G8" s="1">
        <v>0</v>
      </c>
      <c r="H8" s="1">
        <v>15.92</v>
      </c>
      <c r="I8" s="1">
        <v>0</v>
      </c>
      <c r="J8" s="1">
        <v>0</v>
      </c>
      <c r="K8" s="1">
        <v>0</v>
      </c>
      <c r="L8" s="1">
        <v>0</v>
      </c>
      <c r="M8" s="143">
        <f t="shared" si="0"/>
        <v>56.4070351758794</v>
      </c>
      <c r="N8" s="143" t="e">
        <f t="shared" si="0"/>
        <v>#DIV/0!</v>
      </c>
      <c r="O8" s="143" t="e">
        <f t="shared" si="9"/>
        <v>#DIV/0!</v>
      </c>
      <c r="P8" s="143" t="e">
        <f t="shared" si="1"/>
        <v>#DIV/0!</v>
      </c>
      <c r="Q8" s="215">
        <f>C8*(0.1979967833*0.9)</f>
        <v>160.02100026306002</v>
      </c>
      <c r="R8" s="148">
        <f>C8*0.050002227</f>
        <v>44.901999846000002</v>
      </c>
      <c r="S8" s="143">
        <f>D8*(0.311111111111111*0.9)</f>
        <v>0</v>
      </c>
      <c r="T8" s="143">
        <f>D8*0.05</f>
        <v>0</v>
      </c>
      <c r="U8" s="143">
        <f>E8*(0.302222222222222*0.9)</f>
        <v>0</v>
      </c>
      <c r="V8" s="143">
        <f>E8*0.052</f>
        <v>0</v>
      </c>
      <c r="W8" s="143">
        <f t="shared" si="2"/>
        <v>0</v>
      </c>
      <c r="X8" s="143">
        <f>F8*0.048484848</f>
        <v>0</v>
      </c>
      <c r="Y8" s="143">
        <f>G8*(0.313051146*0.9)</f>
        <v>0</v>
      </c>
      <c r="Z8" s="143">
        <f>G8*0.051587301</f>
        <v>0</v>
      </c>
      <c r="AA8" s="220">
        <f t="shared" si="10"/>
        <v>693.07699989093999</v>
      </c>
      <c r="AB8" s="220">
        <f t="shared" si="11"/>
        <v>0</v>
      </c>
      <c r="AC8" s="220">
        <f t="shared" si="12"/>
        <v>0</v>
      </c>
      <c r="AD8" s="220">
        <f t="shared" si="13"/>
        <v>0</v>
      </c>
      <c r="AE8" s="220">
        <f t="shared" si="3"/>
        <v>0</v>
      </c>
      <c r="AF8" s="92">
        <f t="shared" si="21"/>
        <v>693.07699989093999</v>
      </c>
      <c r="AG8" s="74">
        <f t="shared" si="4"/>
        <v>160.02100026306002</v>
      </c>
      <c r="AH8" s="148">
        <f t="shared" ref="AH8:AH33" si="22">R8+T8+V8+X8+Z8</f>
        <v>44.901999846000002</v>
      </c>
      <c r="AI8" s="143">
        <v>0</v>
      </c>
      <c r="AJ8" s="145">
        <v>0</v>
      </c>
      <c r="AK8" s="146">
        <f t="shared" si="6"/>
        <v>77.180066803000003</v>
      </c>
      <c r="AL8" s="144">
        <f t="shared" si="14"/>
        <v>898</v>
      </c>
      <c r="AM8" s="142">
        <f t="shared" si="15"/>
        <v>17.819710497000003</v>
      </c>
      <c r="AN8" s="142" t="e">
        <f t="shared" si="16"/>
        <v>#DIV/0!</v>
      </c>
      <c r="AO8" s="142" t="e">
        <f t="shared" si="17"/>
        <v>#DIV/0!</v>
      </c>
      <c r="AP8" s="142" t="e">
        <f>#REF!/C8</f>
        <v>#REF!</v>
      </c>
      <c r="AQ8" s="147">
        <f t="shared" si="7"/>
        <v>0.77180066803000003</v>
      </c>
      <c r="AR8" s="147" t="e">
        <f t="shared" si="7"/>
        <v>#DIV/0!</v>
      </c>
      <c r="AS8" s="147" t="e">
        <f t="shared" si="7"/>
        <v>#DIV/0!</v>
      </c>
      <c r="AT8" s="147" t="e">
        <f t="shared" si="7"/>
        <v>#DIV/0!</v>
      </c>
      <c r="AU8">
        <f t="shared" si="8"/>
        <v>898</v>
      </c>
      <c r="AV8" s="142">
        <f t="shared" si="18"/>
        <v>15.92</v>
      </c>
    </row>
    <row r="9" spans="1:48" s="142" customFormat="1" x14ac:dyDescent="0.25">
      <c r="B9" s="143">
        <v>6</v>
      </c>
      <c r="C9" s="1">
        <v>598</v>
      </c>
      <c r="D9" s="1">
        <v>0</v>
      </c>
      <c r="E9" s="1">
        <v>0</v>
      </c>
      <c r="F9" s="1">
        <v>0</v>
      </c>
      <c r="G9" s="1">
        <v>0</v>
      </c>
      <c r="H9" s="1">
        <v>9.7100000000000009</v>
      </c>
      <c r="I9" s="1">
        <v>0</v>
      </c>
      <c r="J9" s="1">
        <v>0</v>
      </c>
      <c r="K9" s="1">
        <v>0</v>
      </c>
      <c r="L9" s="1">
        <v>0</v>
      </c>
      <c r="M9" s="143">
        <f t="shared" si="0"/>
        <v>61.585993820803289</v>
      </c>
      <c r="N9" s="143" t="e">
        <f t="shared" si="0"/>
        <v>#DIV/0!</v>
      </c>
      <c r="O9" s="143" t="e">
        <f t="shared" si="9"/>
        <v>#DIV/0!</v>
      </c>
      <c r="P9" s="143" t="e">
        <f t="shared" si="1"/>
        <v>#DIV/0!</v>
      </c>
      <c r="Q9" s="143">
        <f>C9*(0.2*0.9)</f>
        <v>107.64000000000001</v>
      </c>
      <c r="R9" s="143">
        <f>C9*0.049993311</f>
        <v>29.895999977999999</v>
      </c>
      <c r="S9" s="143">
        <f>D9*(0.311447811111111*0.9)</f>
        <v>0</v>
      </c>
      <c r="T9" s="143">
        <f>D9*0.05</f>
        <v>0</v>
      </c>
      <c r="U9" s="143">
        <f>E9*(0.250201288888*0.9)</f>
        <v>0</v>
      </c>
      <c r="V9" s="143">
        <f>E9*0.05</f>
        <v>0</v>
      </c>
      <c r="W9" s="143">
        <f t="shared" si="2"/>
        <v>0</v>
      </c>
      <c r="X9" s="143">
        <f>F9*0.05</f>
        <v>0</v>
      </c>
      <c r="Y9" s="143">
        <f t="shared" si="19"/>
        <v>0</v>
      </c>
      <c r="Z9" s="143">
        <f t="shared" si="20"/>
        <v>0</v>
      </c>
      <c r="AA9" s="220">
        <f t="shared" si="10"/>
        <v>460.46400002199999</v>
      </c>
      <c r="AB9" s="220">
        <f t="shared" si="11"/>
        <v>0</v>
      </c>
      <c r="AC9" s="220">
        <f t="shared" si="12"/>
        <v>0</v>
      </c>
      <c r="AD9" s="220">
        <f t="shared" si="13"/>
        <v>0</v>
      </c>
      <c r="AE9" s="220">
        <f t="shared" si="3"/>
        <v>0</v>
      </c>
      <c r="AF9" s="224">
        <f t="shared" si="21"/>
        <v>460.46400002199999</v>
      </c>
      <c r="AG9" s="225">
        <f t="shared" si="4"/>
        <v>107.64000000000001</v>
      </c>
      <c r="AH9" s="148">
        <f t="shared" si="22"/>
        <v>29.895999977999999</v>
      </c>
      <c r="AI9" s="143">
        <v>0</v>
      </c>
      <c r="AJ9" s="145">
        <v>0</v>
      </c>
      <c r="AK9" s="146">
        <f t="shared" si="6"/>
        <v>77.000668900000008</v>
      </c>
      <c r="AL9" s="144">
        <f>AF9+AG9+AH9</f>
        <v>598</v>
      </c>
      <c r="AM9" s="142">
        <f t="shared" si="15"/>
        <v>18.000000000000004</v>
      </c>
      <c r="AN9" s="142" t="e">
        <f t="shared" si="16"/>
        <v>#DIV/0!</v>
      </c>
      <c r="AO9" s="142" t="e">
        <f t="shared" si="17"/>
        <v>#DIV/0!</v>
      </c>
      <c r="AQ9" s="147">
        <f t="shared" si="7"/>
        <v>0.77000668900000002</v>
      </c>
      <c r="AR9" s="147" t="e">
        <f t="shared" si="7"/>
        <v>#DIV/0!</v>
      </c>
      <c r="AS9" s="147" t="e">
        <f t="shared" si="7"/>
        <v>#DIV/0!</v>
      </c>
      <c r="AT9" s="147" t="e">
        <f t="shared" si="7"/>
        <v>#DIV/0!</v>
      </c>
      <c r="AU9">
        <f t="shared" si="8"/>
        <v>598</v>
      </c>
      <c r="AV9" s="142">
        <f t="shared" si="18"/>
        <v>9.7100000000000009</v>
      </c>
    </row>
    <row r="10" spans="1:48" s="142" customFormat="1" x14ac:dyDescent="0.25">
      <c r="B10" s="143">
        <v>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43" t="e">
        <f t="shared" si="0"/>
        <v>#DIV/0!</v>
      </c>
      <c r="N10" s="143" t="e">
        <f t="shared" si="0"/>
        <v>#DIV/0!</v>
      </c>
      <c r="O10" s="143" t="e">
        <f t="shared" si="9"/>
        <v>#DIV/0!</v>
      </c>
      <c r="P10" s="143" t="e">
        <f t="shared" si="1"/>
        <v>#DIV/0!</v>
      </c>
      <c r="Q10" s="148">
        <f>C10*(0.188888888888888*0.9)</f>
        <v>0</v>
      </c>
      <c r="R10" s="148">
        <f>C10*0.05</f>
        <v>0</v>
      </c>
      <c r="S10" s="143">
        <f>D10*(0.192192192*0.9)</f>
        <v>0</v>
      </c>
      <c r="T10" s="143">
        <f>D10*0.048648648</f>
        <v>0</v>
      </c>
      <c r="U10" s="143">
        <f>E10*(0.288888888888888*0.9)</f>
        <v>0</v>
      </c>
      <c r="V10" s="143">
        <f>E10*0.05</f>
        <v>0</v>
      </c>
      <c r="W10" s="143">
        <f t="shared" si="2"/>
        <v>0</v>
      </c>
      <c r="X10" s="143">
        <f>F10*0.05</f>
        <v>0</v>
      </c>
      <c r="Y10" s="143">
        <f>G10*(0.288888888888888*0.9)</f>
        <v>0</v>
      </c>
      <c r="Z10" s="143">
        <f>G10*0.05</f>
        <v>0</v>
      </c>
      <c r="AA10" s="220">
        <f t="shared" si="10"/>
        <v>0</v>
      </c>
      <c r="AB10" s="220">
        <f t="shared" si="11"/>
        <v>0</v>
      </c>
      <c r="AC10" s="220">
        <f t="shared" si="12"/>
        <v>0</v>
      </c>
      <c r="AD10" s="220">
        <f t="shared" si="13"/>
        <v>0</v>
      </c>
      <c r="AE10" s="220">
        <f t="shared" si="3"/>
        <v>0</v>
      </c>
      <c r="AF10" s="91">
        <f t="shared" si="21"/>
        <v>0</v>
      </c>
      <c r="AG10" s="74">
        <f t="shared" si="4"/>
        <v>0</v>
      </c>
      <c r="AH10" s="144">
        <f t="shared" si="22"/>
        <v>0</v>
      </c>
      <c r="AI10" s="143">
        <v>0</v>
      </c>
      <c r="AJ10" s="145">
        <v>0</v>
      </c>
      <c r="AK10" s="146" t="e">
        <f t="shared" si="6"/>
        <v>#DIV/0!</v>
      </c>
      <c r="AL10" s="144">
        <f t="shared" si="14"/>
        <v>0</v>
      </c>
      <c r="AM10" s="142" t="e">
        <f t="shared" si="15"/>
        <v>#DIV/0!</v>
      </c>
      <c r="AN10" s="142" t="e">
        <f t="shared" si="16"/>
        <v>#DIV/0!</v>
      </c>
      <c r="AO10" s="142" t="e">
        <f t="shared" si="17"/>
        <v>#DIV/0!</v>
      </c>
      <c r="AQ10" s="147" t="e">
        <f t="shared" si="7"/>
        <v>#DIV/0!</v>
      </c>
      <c r="AR10" s="147" t="e">
        <f t="shared" si="7"/>
        <v>#DIV/0!</v>
      </c>
      <c r="AS10" s="147" t="e">
        <f t="shared" si="7"/>
        <v>#DIV/0!</v>
      </c>
      <c r="AT10" s="147" t="e">
        <f t="shared" si="7"/>
        <v>#DIV/0!</v>
      </c>
      <c r="AU10">
        <f t="shared" si="8"/>
        <v>0</v>
      </c>
      <c r="AV10" s="142">
        <f t="shared" si="18"/>
        <v>0</v>
      </c>
    </row>
    <row r="11" spans="1:48" s="142" customFormat="1" x14ac:dyDescent="0.25">
      <c r="B11" s="143">
        <v>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43" t="e">
        <f t="shared" si="0"/>
        <v>#DIV/0!</v>
      </c>
      <c r="N11" s="143" t="e">
        <f t="shared" si="0"/>
        <v>#DIV/0!</v>
      </c>
      <c r="O11" s="143" t="e">
        <f t="shared" si="9"/>
        <v>#DIV/0!</v>
      </c>
      <c r="P11" s="143" t="e">
        <f t="shared" si="1"/>
        <v>#DIV/0!</v>
      </c>
      <c r="Q11" s="143">
        <f>C11*(0.2*0.9)</f>
        <v>0</v>
      </c>
      <c r="R11" s="143">
        <f>C11*0.049997212</f>
        <v>0</v>
      </c>
      <c r="S11" s="143">
        <f>D11*(0.23148148148*0.9)</f>
        <v>0</v>
      </c>
      <c r="T11" s="143">
        <f>D11*0.0416666666666666</f>
        <v>0</v>
      </c>
      <c r="U11" s="143">
        <f>E11*(0.277777777777777*0.9)</f>
        <v>0</v>
      </c>
      <c r="V11" s="143">
        <f>E11*0.05</f>
        <v>0</v>
      </c>
      <c r="W11" s="143">
        <f t="shared" si="2"/>
        <v>0</v>
      </c>
      <c r="X11" s="143">
        <f>F11*0.05</f>
        <v>0</v>
      </c>
      <c r="Y11" s="143">
        <f t="shared" si="19"/>
        <v>0</v>
      </c>
      <c r="Z11" s="143">
        <f t="shared" si="20"/>
        <v>0</v>
      </c>
      <c r="AA11" s="220">
        <f t="shared" si="10"/>
        <v>0</v>
      </c>
      <c r="AB11" s="220">
        <f t="shared" si="11"/>
        <v>0</v>
      </c>
      <c r="AC11" s="220">
        <f t="shared" si="12"/>
        <v>0</v>
      </c>
      <c r="AD11" s="220">
        <f t="shared" si="13"/>
        <v>0</v>
      </c>
      <c r="AE11" s="220">
        <f t="shared" si="3"/>
        <v>0</v>
      </c>
      <c r="AF11" s="91">
        <f t="shared" si="21"/>
        <v>0</v>
      </c>
      <c r="AG11" s="74">
        <f t="shared" si="4"/>
        <v>0</v>
      </c>
      <c r="AH11" s="144">
        <f t="shared" si="22"/>
        <v>0</v>
      </c>
      <c r="AI11" s="143">
        <v>0</v>
      </c>
      <c r="AJ11" s="145">
        <v>0</v>
      </c>
      <c r="AK11" s="146" t="e">
        <f t="shared" si="6"/>
        <v>#DIV/0!</v>
      </c>
      <c r="AL11" s="144">
        <f t="shared" si="14"/>
        <v>0</v>
      </c>
      <c r="AM11" s="142" t="e">
        <f t="shared" si="15"/>
        <v>#DIV/0!</v>
      </c>
      <c r="AN11" s="142" t="e">
        <f t="shared" si="16"/>
        <v>#DIV/0!</v>
      </c>
      <c r="AO11" s="142" t="e">
        <f t="shared" si="17"/>
        <v>#DIV/0!</v>
      </c>
      <c r="AQ11" s="147" t="e">
        <f t="shared" si="7"/>
        <v>#DIV/0!</v>
      </c>
      <c r="AR11" s="147" t="e">
        <f t="shared" si="7"/>
        <v>#DIV/0!</v>
      </c>
      <c r="AS11" s="147" t="e">
        <f t="shared" si="7"/>
        <v>#DIV/0!</v>
      </c>
      <c r="AT11" s="147" t="e">
        <f t="shared" si="7"/>
        <v>#DIV/0!</v>
      </c>
      <c r="AU11">
        <f t="shared" si="8"/>
        <v>0</v>
      </c>
      <c r="AV11" s="142">
        <f t="shared" si="18"/>
        <v>0</v>
      </c>
    </row>
    <row r="12" spans="1:48" s="160" customFormat="1" x14ac:dyDescent="0.25">
      <c r="A12" s="160" t="s">
        <v>52</v>
      </c>
      <c r="B12" s="157">
        <v>9</v>
      </c>
      <c r="C12" s="1">
        <v>0</v>
      </c>
      <c r="D12" s="1">
        <v>0</v>
      </c>
      <c r="E12" s="1">
        <v>0</v>
      </c>
      <c r="F12" s="1">
        <v>85</v>
      </c>
      <c r="G12" s="1">
        <v>0</v>
      </c>
      <c r="H12" s="1">
        <v>0</v>
      </c>
      <c r="I12" s="1">
        <v>0</v>
      </c>
      <c r="J12" s="1">
        <v>0</v>
      </c>
      <c r="K12" s="1">
        <v>1.47</v>
      </c>
      <c r="L12" s="1">
        <v>0</v>
      </c>
      <c r="M12" s="157" t="e">
        <f t="shared" si="0"/>
        <v>#DIV/0!</v>
      </c>
      <c r="N12" s="157" t="e">
        <f t="shared" si="0"/>
        <v>#DIV/0!</v>
      </c>
      <c r="O12" s="143" t="e">
        <f t="shared" si="9"/>
        <v>#DIV/0!</v>
      </c>
      <c r="P12" s="157">
        <f t="shared" si="1"/>
        <v>57.823129251700678</v>
      </c>
      <c r="Q12" s="157">
        <f>C12*(0.198875*0.9)</f>
        <v>0</v>
      </c>
      <c r="R12" s="157">
        <f>C12*0.05100625</f>
        <v>0</v>
      </c>
      <c r="S12" s="157">
        <f>D12*(0.3*0.9)</f>
        <v>0</v>
      </c>
      <c r="T12" s="157">
        <f>D12*0.05</f>
        <v>0</v>
      </c>
      <c r="U12" s="157">
        <f>E12*(0.258258258258258*0.9)</f>
        <v>0</v>
      </c>
      <c r="V12" s="157">
        <f>E12*0.054054054054</f>
        <v>0</v>
      </c>
      <c r="W12" s="157">
        <f t="shared" si="2"/>
        <v>0</v>
      </c>
      <c r="X12" s="157">
        <f>F12*0.05</f>
        <v>4.25</v>
      </c>
      <c r="Y12" s="143">
        <f>G12*(0.311111111*0.9)</f>
        <v>0</v>
      </c>
      <c r="Z12" s="143">
        <f>G12*0.05</f>
        <v>0</v>
      </c>
      <c r="AA12" s="220">
        <f t="shared" si="10"/>
        <v>0</v>
      </c>
      <c r="AB12" s="220">
        <f t="shared" si="11"/>
        <v>0</v>
      </c>
      <c r="AC12" s="220">
        <f t="shared" si="12"/>
        <v>0</v>
      </c>
      <c r="AD12" s="220">
        <f t="shared" si="13"/>
        <v>80.75</v>
      </c>
      <c r="AE12" s="220">
        <f t="shared" si="3"/>
        <v>0</v>
      </c>
      <c r="AF12" s="224">
        <f t="shared" si="21"/>
        <v>80.75</v>
      </c>
      <c r="AG12" s="225">
        <f t="shared" si="4"/>
        <v>0</v>
      </c>
      <c r="AH12" s="148">
        <f t="shared" si="22"/>
        <v>4.25</v>
      </c>
      <c r="AI12" s="157">
        <v>0</v>
      </c>
      <c r="AJ12" s="162">
        <v>0</v>
      </c>
      <c r="AK12" s="163" t="e">
        <f t="shared" si="6"/>
        <v>#DIV/0!</v>
      </c>
      <c r="AL12" s="144">
        <f t="shared" si="14"/>
        <v>85</v>
      </c>
      <c r="AM12" s="142" t="e">
        <f t="shared" si="15"/>
        <v>#DIV/0!</v>
      </c>
      <c r="AN12" s="142" t="e">
        <f t="shared" si="16"/>
        <v>#DIV/0!</v>
      </c>
      <c r="AO12" s="142" t="e">
        <f t="shared" si="17"/>
        <v>#DIV/0!</v>
      </c>
      <c r="AQ12" s="164" t="e">
        <f t="shared" si="7"/>
        <v>#DIV/0!</v>
      </c>
      <c r="AR12" s="164" t="e">
        <f t="shared" si="7"/>
        <v>#DIV/0!</v>
      </c>
      <c r="AS12" s="164" t="e">
        <f t="shared" si="7"/>
        <v>#DIV/0!</v>
      </c>
      <c r="AT12" s="164">
        <f t="shared" si="7"/>
        <v>0.95</v>
      </c>
      <c r="AU12" s="154">
        <f t="shared" si="8"/>
        <v>85</v>
      </c>
      <c r="AV12" s="142">
        <f t="shared" si="18"/>
        <v>1.47</v>
      </c>
    </row>
    <row r="13" spans="1:48" s="142" customFormat="1" x14ac:dyDescent="0.25">
      <c r="B13" s="143">
        <v>10</v>
      </c>
      <c r="C13" s="1">
        <v>752</v>
      </c>
      <c r="D13" s="1">
        <v>220</v>
      </c>
      <c r="E13" s="1">
        <v>0</v>
      </c>
      <c r="F13" s="1">
        <v>114</v>
      </c>
      <c r="G13" s="1">
        <v>120</v>
      </c>
      <c r="H13" s="1">
        <v>13.65</v>
      </c>
      <c r="I13" s="1">
        <v>3.5</v>
      </c>
      <c r="J13" s="1">
        <v>0</v>
      </c>
      <c r="K13" s="1">
        <v>2</v>
      </c>
      <c r="L13" s="1">
        <v>2</v>
      </c>
      <c r="M13" s="143">
        <f t="shared" si="0"/>
        <v>55.091575091575088</v>
      </c>
      <c r="N13" s="143">
        <f t="shared" si="0"/>
        <v>62.857142857142854</v>
      </c>
      <c r="O13" s="143">
        <f t="shared" si="9"/>
        <v>60</v>
      </c>
      <c r="P13" s="143">
        <f t="shared" si="1"/>
        <v>57</v>
      </c>
      <c r="Q13" s="144">
        <f>C13*(0.166666666666666*0.9)</f>
        <v>112.79999999999954</v>
      </c>
      <c r="R13" s="144">
        <f t="shared" ref="R13" si="23">C13*0.05</f>
        <v>37.6</v>
      </c>
      <c r="S13" s="143">
        <f>D13*(0.255555555555555*0.9)</f>
        <v>50.599999999999888</v>
      </c>
      <c r="T13" s="143">
        <f>D13*0.05</f>
        <v>11</v>
      </c>
      <c r="U13" s="143">
        <f>E13*(0.31099353333*0.9)</f>
        <v>0</v>
      </c>
      <c r="V13" s="143">
        <f>E13*0.05026455</f>
        <v>0</v>
      </c>
      <c r="W13" s="143">
        <f t="shared" si="2"/>
        <v>0</v>
      </c>
      <c r="X13" s="143">
        <f>F13*0.05</f>
        <v>5.7</v>
      </c>
      <c r="Y13" s="143">
        <f>G13*(0.255555555555555*0.9)</f>
        <v>27.599999999999937</v>
      </c>
      <c r="Z13" s="143">
        <f>G13*0.05</f>
        <v>6</v>
      </c>
      <c r="AA13" s="220">
        <f t="shared" si="10"/>
        <v>601.60000000000048</v>
      </c>
      <c r="AB13" s="220">
        <f t="shared" si="11"/>
        <v>158.40000000000012</v>
      </c>
      <c r="AC13" s="220">
        <f t="shared" si="12"/>
        <v>0</v>
      </c>
      <c r="AD13" s="220">
        <f t="shared" si="13"/>
        <v>108.3</v>
      </c>
      <c r="AE13" s="220">
        <f t="shared" si="3"/>
        <v>86.400000000000063</v>
      </c>
      <c r="AF13" s="92">
        <f t="shared" si="21"/>
        <v>954.70000000000061</v>
      </c>
      <c r="AG13" s="74">
        <f t="shared" si="4"/>
        <v>190.99999999999937</v>
      </c>
      <c r="AH13" s="144">
        <f t="shared" si="22"/>
        <v>60.300000000000004</v>
      </c>
      <c r="AI13" s="143">
        <v>0</v>
      </c>
      <c r="AJ13" s="145">
        <v>0</v>
      </c>
      <c r="AK13" s="146">
        <f t="shared" si="6"/>
        <v>98.220164609053569</v>
      </c>
      <c r="AL13" s="144">
        <f t="shared" si="14"/>
        <v>1206</v>
      </c>
      <c r="AM13" s="142">
        <f t="shared" si="15"/>
        <v>14.999999999999938</v>
      </c>
      <c r="AN13" s="142">
        <f t="shared" si="16"/>
        <v>22.999999999999947</v>
      </c>
      <c r="AO13" s="142">
        <f t="shared" si="17"/>
        <v>0.22999999999999948</v>
      </c>
      <c r="AQ13" s="147">
        <f t="shared" si="7"/>
        <v>0.8000000000000006</v>
      </c>
      <c r="AR13" s="147">
        <f t="shared" si="7"/>
        <v>0.72000000000000053</v>
      </c>
      <c r="AS13" s="147" t="e">
        <f t="shared" si="7"/>
        <v>#DIV/0!</v>
      </c>
      <c r="AT13" s="147">
        <f t="shared" si="7"/>
        <v>0.95</v>
      </c>
      <c r="AU13">
        <f t="shared" si="8"/>
        <v>1086</v>
      </c>
      <c r="AV13" s="142">
        <f t="shared" si="18"/>
        <v>21.15</v>
      </c>
    </row>
    <row r="14" spans="1:48" s="142" customFormat="1" x14ac:dyDescent="0.25">
      <c r="B14" s="143">
        <v>11</v>
      </c>
      <c r="C14" s="1">
        <v>1390</v>
      </c>
      <c r="D14" s="1">
        <v>0</v>
      </c>
      <c r="E14" s="1">
        <v>0</v>
      </c>
      <c r="F14" s="1">
        <v>0</v>
      </c>
      <c r="G14" s="1">
        <v>0</v>
      </c>
      <c r="H14" s="1">
        <v>22.92</v>
      </c>
      <c r="I14" s="1">
        <v>0</v>
      </c>
      <c r="J14" s="1">
        <v>0</v>
      </c>
      <c r="K14" s="1">
        <v>0</v>
      </c>
      <c r="L14" s="1">
        <v>0</v>
      </c>
      <c r="M14" s="143">
        <f t="shared" si="0"/>
        <v>60.645724258289697</v>
      </c>
      <c r="N14" s="143" t="e">
        <f t="shared" si="0"/>
        <v>#DIV/0!</v>
      </c>
      <c r="O14" s="143" t="e">
        <f t="shared" si="9"/>
        <v>#DIV/0!</v>
      </c>
      <c r="P14" s="143" t="e">
        <f t="shared" si="1"/>
        <v>#DIV/0!</v>
      </c>
      <c r="Q14" s="143">
        <f>C14*(0.166666666666666*0.9)</f>
        <v>208.49999999999915</v>
      </c>
      <c r="R14" s="144">
        <f>C14*0.05</f>
        <v>69.5</v>
      </c>
      <c r="S14" s="143">
        <f>D14*(0.3*0.9)</f>
        <v>0</v>
      </c>
      <c r="T14" s="143">
        <f t="shared" ref="T14:T19" si="24">D14*0.05</f>
        <v>0</v>
      </c>
      <c r="U14" s="143">
        <f>E14*(0.288888888888888*0.9)</f>
        <v>0</v>
      </c>
      <c r="V14" s="143">
        <f>E14*0.05</f>
        <v>0</v>
      </c>
      <c r="W14" s="143">
        <f t="shared" si="2"/>
        <v>0</v>
      </c>
      <c r="X14" s="143">
        <f t="shared" ref="X14:X22" si="25">F14*0.05</f>
        <v>0</v>
      </c>
      <c r="Y14" s="143">
        <f t="shared" si="19"/>
        <v>0</v>
      </c>
      <c r="Z14" s="143">
        <f t="shared" si="20"/>
        <v>0</v>
      </c>
      <c r="AA14" s="220">
        <f t="shared" si="10"/>
        <v>1112.0000000000009</v>
      </c>
      <c r="AB14" s="220">
        <f t="shared" si="11"/>
        <v>0</v>
      </c>
      <c r="AC14" s="220">
        <f t="shared" si="12"/>
        <v>0</v>
      </c>
      <c r="AD14" s="220">
        <f t="shared" si="13"/>
        <v>0</v>
      </c>
      <c r="AE14" s="220">
        <f t="shared" si="3"/>
        <v>0</v>
      </c>
      <c r="AF14" s="91">
        <f t="shared" si="21"/>
        <v>1112.0000000000009</v>
      </c>
      <c r="AG14" s="74">
        <f t="shared" si="4"/>
        <v>208.49999999999915</v>
      </c>
      <c r="AH14" s="144">
        <f t="shared" si="22"/>
        <v>69.5</v>
      </c>
      <c r="AI14" s="143">
        <v>0</v>
      </c>
      <c r="AJ14" s="145">
        <v>0</v>
      </c>
      <c r="AK14" s="146">
        <f t="shared" si="6"/>
        <v>80.000000000000057</v>
      </c>
      <c r="AL14" s="144">
        <f t="shared" si="14"/>
        <v>1390</v>
      </c>
      <c r="AM14" s="142">
        <f t="shared" si="15"/>
        <v>14.999999999999938</v>
      </c>
      <c r="AN14" s="142" t="e">
        <f t="shared" si="16"/>
        <v>#DIV/0!</v>
      </c>
      <c r="AO14" s="142" t="e">
        <f t="shared" si="17"/>
        <v>#DIV/0!</v>
      </c>
      <c r="AQ14" s="147">
        <f t="shared" si="7"/>
        <v>0.8000000000000006</v>
      </c>
      <c r="AR14" s="147" t="e">
        <f t="shared" si="7"/>
        <v>#DIV/0!</v>
      </c>
      <c r="AS14" s="147" t="e">
        <f t="shared" si="7"/>
        <v>#DIV/0!</v>
      </c>
      <c r="AT14" s="147" t="e">
        <f t="shared" si="7"/>
        <v>#DIV/0!</v>
      </c>
      <c r="AU14">
        <f t="shared" si="8"/>
        <v>1390</v>
      </c>
      <c r="AV14" s="142">
        <f t="shared" si="18"/>
        <v>22.92</v>
      </c>
    </row>
    <row r="15" spans="1:48" s="142" customFormat="1" x14ac:dyDescent="0.25">
      <c r="B15" s="143">
        <v>12</v>
      </c>
      <c r="C15" s="1">
        <v>1230</v>
      </c>
      <c r="D15" s="1">
        <v>0</v>
      </c>
      <c r="E15" s="1">
        <v>0</v>
      </c>
      <c r="F15" s="1">
        <v>110</v>
      </c>
      <c r="G15" s="1">
        <v>0</v>
      </c>
      <c r="H15" s="1">
        <v>20.75</v>
      </c>
      <c r="I15" s="1">
        <v>0</v>
      </c>
      <c r="J15" s="1">
        <v>0</v>
      </c>
      <c r="K15" s="1">
        <v>2</v>
      </c>
      <c r="L15" s="1">
        <v>0</v>
      </c>
      <c r="M15" s="143">
        <f t="shared" si="0"/>
        <v>59.277108433734938</v>
      </c>
      <c r="N15" s="143" t="e">
        <f t="shared" si="0"/>
        <v>#DIV/0!</v>
      </c>
      <c r="O15" s="143" t="e">
        <f t="shared" si="9"/>
        <v>#DIV/0!</v>
      </c>
      <c r="P15" s="143">
        <f t="shared" si="1"/>
        <v>55</v>
      </c>
      <c r="Q15" s="143">
        <f>C15*(0.186463414*0.9)</f>
        <v>206.414999298</v>
      </c>
      <c r="R15" s="143">
        <f>C15*0.050060975</f>
        <v>61.574999249999998</v>
      </c>
      <c r="S15" s="143">
        <f>D15*(0.311111111111111*0.9)</f>
        <v>0</v>
      </c>
      <c r="T15" s="143">
        <f t="shared" si="24"/>
        <v>0</v>
      </c>
      <c r="U15" s="143">
        <f>E15*(0.322222222222222*0.9)</f>
        <v>0</v>
      </c>
      <c r="V15" s="143">
        <f>E15*0.05</f>
        <v>0</v>
      </c>
      <c r="W15" s="143">
        <f t="shared" si="2"/>
        <v>0</v>
      </c>
      <c r="X15" s="143">
        <f>F15*0.05</f>
        <v>5.5</v>
      </c>
      <c r="Y15" s="143">
        <f>G15*(0.3*0.9)</f>
        <v>0</v>
      </c>
      <c r="Z15" s="143">
        <f>G15*0.051</f>
        <v>0</v>
      </c>
      <c r="AA15" s="220">
        <f t="shared" si="10"/>
        <v>962.01000145199998</v>
      </c>
      <c r="AB15" s="220">
        <f t="shared" si="11"/>
        <v>0</v>
      </c>
      <c r="AC15" s="220">
        <f t="shared" si="12"/>
        <v>0</v>
      </c>
      <c r="AD15" s="220">
        <f t="shared" si="13"/>
        <v>104.5</v>
      </c>
      <c r="AE15" s="220">
        <f t="shared" si="3"/>
        <v>0</v>
      </c>
      <c r="AF15" s="224">
        <f t="shared" si="21"/>
        <v>1066.5100014519999</v>
      </c>
      <c r="AG15" s="74">
        <f t="shared" si="4"/>
        <v>206.414999298</v>
      </c>
      <c r="AH15" s="148">
        <f t="shared" si="22"/>
        <v>67.074999249999991</v>
      </c>
      <c r="AI15" s="143">
        <v>0</v>
      </c>
      <c r="AJ15" s="145">
        <v>0</v>
      </c>
      <c r="AK15" s="146">
        <f t="shared" si="6"/>
        <v>86.708130199349583</v>
      </c>
      <c r="AL15" s="144">
        <f t="shared" si="14"/>
        <v>1340</v>
      </c>
      <c r="AM15" s="142">
        <f t="shared" si="15"/>
        <v>16.781707260000001</v>
      </c>
      <c r="AN15" s="142" t="e">
        <f t="shared" si="16"/>
        <v>#DIV/0!</v>
      </c>
      <c r="AO15" s="142" t="e">
        <f t="shared" si="17"/>
        <v>#DIV/0!</v>
      </c>
      <c r="AQ15" s="147">
        <f t="shared" si="7"/>
        <v>0.78212195239999993</v>
      </c>
      <c r="AR15" s="147" t="e">
        <f t="shared" si="7"/>
        <v>#DIV/0!</v>
      </c>
      <c r="AS15" s="147" t="e">
        <f t="shared" si="7"/>
        <v>#DIV/0!</v>
      </c>
      <c r="AT15" s="147">
        <f t="shared" si="7"/>
        <v>0.95</v>
      </c>
      <c r="AU15">
        <f t="shared" si="8"/>
        <v>1340</v>
      </c>
      <c r="AV15" s="142">
        <f t="shared" si="18"/>
        <v>22.75</v>
      </c>
    </row>
    <row r="16" spans="1:48" s="142" customFormat="1" x14ac:dyDescent="0.25">
      <c r="B16" s="143">
        <v>13</v>
      </c>
      <c r="C16" s="1">
        <v>1176</v>
      </c>
      <c r="D16" s="1">
        <v>0</v>
      </c>
      <c r="E16" s="1">
        <v>0</v>
      </c>
      <c r="F16" s="1">
        <v>56</v>
      </c>
      <c r="G16" s="1">
        <v>0</v>
      </c>
      <c r="H16" s="1">
        <v>21</v>
      </c>
      <c r="I16" s="1">
        <v>0</v>
      </c>
      <c r="J16" s="1">
        <v>0</v>
      </c>
      <c r="K16" s="1">
        <v>1</v>
      </c>
      <c r="L16" s="1">
        <v>0</v>
      </c>
      <c r="M16" s="143">
        <f t="shared" si="0"/>
        <v>56</v>
      </c>
      <c r="N16" s="143" t="e">
        <f t="shared" si="0"/>
        <v>#DIV/0!</v>
      </c>
      <c r="O16" s="143" t="e">
        <f t="shared" si="9"/>
        <v>#DIV/0!</v>
      </c>
      <c r="P16" s="143">
        <f t="shared" si="1"/>
        <v>56</v>
      </c>
      <c r="Q16" s="152">
        <f>C16*(0.190495086*0.9)</f>
        <v>201.61999902240004</v>
      </c>
      <c r="R16" s="231">
        <f t="shared" ref="R16:R21" si="26">C16*0.05</f>
        <v>58.800000000000004</v>
      </c>
      <c r="S16" s="143">
        <f>D16*(0.277777777777777*0.9)</f>
        <v>0</v>
      </c>
      <c r="T16" s="143">
        <f t="shared" si="24"/>
        <v>0</v>
      </c>
      <c r="U16" s="143">
        <f>E16*(0.288888888888888*0.9)</f>
        <v>0</v>
      </c>
      <c r="V16" s="143">
        <f>E16*0.05</f>
        <v>0</v>
      </c>
      <c r="W16" s="143">
        <f t="shared" si="2"/>
        <v>0</v>
      </c>
      <c r="X16" s="143">
        <f>F16*0.05</f>
        <v>2.8000000000000003</v>
      </c>
      <c r="Y16" s="143">
        <f>G16*(0.3*0.9)</f>
        <v>0</v>
      </c>
      <c r="Z16" s="143">
        <f>G16*0.05</f>
        <v>0</v>
      </c>
      <c r="AA16" s="220">
        <f t="shared" si="10"/>
        <v>915.58000097759998</v>
      </c>
      <c r="AB16" s="220">
        <f t="shared" si="11"/>
        <v>0</v>
      </c>
      <c r="AC16" s="220">
        <f t="shared" si="12"/>
        <v>0</v>
      </c>
      <c r="AD16" s="232">
        <f t="shared" si="13"/>
        <v>53.2</v>
      </c>
      <c r="AE16" s="220">
        <f t="shared" si="3"/>
        <v>0</v>
      </c>
      <c r="AF16" s="230">
        <f t="shared" si="21"/>
        <v>968.78000097760003</v>
      </c>
      <c r="AG16" s="225">
        <f t="shared" si="4"/>
        <v>201.61999902240004</v>
      </c>
      <c r="AH16" s="148">
        <f t="shared" si="22"/>
        <v>61.6</v>
      </c>
      <c r="AI16" s="143">
        <v>0</v>
      </c>
      <c r="AJ16" s="145">
        <v>0</v>
      </c>
      <c r="AK16" s="146">
        <f t="shared" si="6"/>
        <v>82.379251783809522</v>
      </c>
      <c r="AL16" s="144">
        <f t="shared" si="14"/>
        <v>1232</v>
      </c>
      <c r="AM16" s="142">
        <f t="shared" si="15"/>
        <v>17.144557740000003</v>
      </c>
      <c r="AN16" s="142" t="e">
        <f t="shared" si="16"/>
        <v>#DIV/0!</v>
      </c>
      <c r="AO16" s="142" t="e">
        <f t="shared" si="17"/>
        <v>#DIV/0!</v>
      </c>
      <c r="AQ16" s="147">
        <f t="shared" si="7"/>
        <v>0.77855442259999996</v>
      </c>
      <c r="AR16" s="147" t="e">
        <f t="shared" si="7"/>
        <v>#DIV/0!</v>
      </c>
      <c r="AS16" s="147" t="e">
        <f t="shared" si="7"/>
        <v>#DIV/0!</v>
      </c>
      <c r="AT16" s="147">
        <f t="shared" si="7"/>
        <v>0.95000000000000007</v>
      </c>
      <c r="AU16">
        <f t="shared" si="8"/>
        <v>1232</v>
      </c>
      <c r="AV16" s="142">
        <f t="shared" si="18"/>
        <v>22</v>
      </c>
    </row>
    <row r="17" spans="1:48" s="142" customFormat="1" x14ac:dyDescent="0.25">
      <c r="B17" s="143">
        <v>14</v>
      </c>
      <c r="C17" s="1">
        <v>1270</v>
      </c>
      <c r="D17" s="1">
        <v>0</v>
      </c>
      <c r="E17" s="1">
        <v>0</v>
      </c>
      <c r="F17" s="1">
        <v>0</v>
      </c>
      <c r="G17" s="1">
        <v>0</v>
      </c>
      <c r="H17" s="1">
        <v>20.82</v>
      </c>
      <c r="I17" s="1">
        <v>0</v>
      </c>
      <c r="J17" s="1">
        <v>0</v>
      </c>
      <c r="K17" s="1">
        <v>0</v>
      </c>
      <c r="L17" s="1">
        <v>0</v>
      </c>
      <c r="M17" s="143">
        <f t="shared" si="0"/>
        <v>60.99903938520653</v>
      </c>
      <c r="N17" s="143" t="e">
        <f t="shared" si="0"/>
        <v>#DIV/0!</v>
      </c>
      <c r="O17" s="143" t="e">
        <f t="shared" si="9"/>
        <v>#DIV/0!</v>
      </c>
      <c r="P17" s="143" t="e">
        <f t="shared" si="1"/>
        <v>#DIV/0!</v>
      </c>
      <c r="Q17" s="143">
        <f>C17*(0.177777777777778*0.9)</f>
        <v>203.20000000000024</v>
      </c>
      <c r="R17" s="143">
        <f t="shared" si="26"/>
        <v>63.5</v>
      </c>
      <c r="S17" s="143">
        <f>D17*(0.3*0.9)</f>
        <v>0</v>
      </c>
      <c r="T17" s="143">
        <f t="shared" si="24"/>
        <v>0</v>
      </c>
      <c r="U17" s="143">
        <f>E17*(0.247531636*0.9)</f>
        <v>0</v>
      </c>
      <c r="V17" s="143">
        <f>E17*0.051314142</f>
        <v>0</v>
      </c>
      <c r="W17" s="143">
        <f t="shared" si="2"/>
        <v>0</v>
      </c>
      <c r="X17" s="143">
        <f t="shared" si="25"/>
        <v>0</v>
      </c>
      <c r="Y17" s="143">
        <f>G17*(0.3*0.9)</f>
        <v>0</v>
      </c>
      <c r="Z17" s="143">
        <f>G17*0.049</f>
        <v>0</v>
      </c>
      <c r="AA17" s="220">
        <f t="shared" si="10"/>
        <v>1003.2999999999997</v>
      </c>
      <c r="AB17" s="220">
        <f t="shared" si="11"/>
        <v>0</v>
      </c>
      <c r="AC17" s="220">
        <f t="shared" si="12"/>
        <v>0</v>
      </c>
      <c r="AD17" s="220">
        <f t="shared" si="13"/>
        <v>0</v>
      </c>
      <c r="AE17" s="220">
        <f t="shared" si="3"/>
        <v>0</v>
      </c>
      <c r="AF17" s="91">
        <f t="shared" si="21"/>
        <v>1003.2999999999997</v>
      </c>
      <c r="AG17" s="74">
        <f t="shared" si="4"/>
        <v>203.20000000000024</v>
      </c>
      <c r="AH17" s="144">
        <f t="shared" si="22"/>
        <v>63.5</v>
      </c>
      <c r="AI17" s="143">
        <v>0</v>
      </c>
      <c r="AJ17" s="145">
        <v>0</v>
      </c>
      <c r="AK17" s="146">
        <f t="shared" si="6"/>
        <v>78.999999999999986</v>
      </c>
      <c r="AL17" s="144">
        <f t="shared" si="14"/>
        <v>1270</v>
      </c>
      <c r="AM17" s="142">
        <f t="shared" si="15"/>
        <v>16.000000000000021</v>
      </c>
      <c r="AN17" s="142" t="e">
        <f t="shared" si="16"/>
        <v>#DIV/0!</v>
      </c>
      <c r="AO17" s="142" t="e">
        <f t="shared" si="17"/>
        <v>#DIV/0!</v>
      </c>
      <c r="AQ17" s="147">
        <f t="shared" si="7"/>
        <v>0.78999999999999981</v>
      </c>
      <c r="AR17" s="147" t="e">
        <f t="shared" si="7"/>
        <v>#DIV/0!</v>
      </c>
      <c r="AS17" s="147" t="e">
        <f t="shared" si="7"/>
        <v>#DIV/0!</v>
      </c>
      <c r="AT17" s="147" t="e">
        <f t="shared" si="7"/>
        <v>#DIV/0!</v>
      </c>
      <c r="AU17">
        <f t="shared" si="8"/>
        <v>1270</v>
      </c>
      <c r="AV17" s="142">
        <f t="shared" si="18"/>
        <v>20.82</v>
      </c>
    </row>
    <row r="18" spans="1:48" s="160" customFormat="1" x14ac:dyDescent="0.25">
      <c r="B18" s="157">
        <v>15</v>
      </c>
      <c r="C18" s="1">
        <v>1098</v>
      </c>
      <c r="D18" s="1">
        <v>60</v>
      </c>
      <c r="E18" s="1">
        <v>0</v>
      </c>
      <c r="F18" s="1">
        <v>112</v>
      </c>
      <c r="G18" s="1">
        <v>0</v>
      </c>
      <c r="H18" s="1">
        <v>18.23</v>
      </c>
      <c r="I18" s="1">
        <v>1</v>
      </c>
      <c r="J18" s="1">
        <v>0</v>
      </c>
      <c r="K18" s="1">
        <v>2</v>
      </c>
      <c r="L18" s="1">
        <v>0</v>
      </c>
      <c r="M18" s="157">
        <f t="shared" si="0"/>
        <v>60.230389467910037</v>
      </c>
      <c r="N18" s="157">
        <f t="shared" si="0"/>
        <v>60</v>
      </c>
      <c r="O18" s="143" t="e">
        <f t="shared" si="9"/>
        <v>#DIV/0!</v>
      </c>
      <c r="P18" s="157">
        <f t="shared" si="1"/>
        <v>56</v>
      </c>
      <c r="Q18" s="157">
        <f>C18*(0.177777777777777*0.9)</f>
        <v>175.67999999999924</v>
      </c>
      <c r="R18" s="157">
        <f t="shared" si="26"/>
        <v>54.900000000000006</v>
      </c>
      <c r="S18" s="157">
        <f>D18*(0.275*0.9)</f>
        <v>14.850000000000001</v>
      </c>
      <c r="T18" s="157">
        <f>D18*0.0498666666666666</f>
        <v>2.991999999999996</v>
      </c>
      <c r="U18" s="157">
        <f>E18*(0.222222222222222*0.9)</f>
        <v>0</v>
      </c>
      <c r="V18" s="157">
        <f>E18*0.05</f>
        <v>0</v>
      </c>
      <c r="W18" s="157">
        <f t="shared" si="2"/>
        <v>0</v>
      </c>
      <c r="X18" s="157">
        <f>F18*0.049999910711</f>
        <v>5.5999899996319993</v>
      </c>
      <c r="Y18" s="143">
        <f>G18*(0.288888888888889*0.9)</f>
        <v>0</v>
      </c>
      <c r="Z18" s="143">
        <f>G18*0.05</f>
        <v>0</v>
      </c>
      <c r="AA18" s="220">
        <f t="shared" si="10"/>
        <v>867.42000000000075</v>
      </c>
      <c r="AB18" s="220">
        <f t="shared" si="11"/>
        <v>42.158000000000001</v>
      </c>
      <c r="AC18" s="220">
        <f t="shared" si="12"/>
        <v>0</v>
      </c>
      <c r="AD18" s="220">
        <f t="shared" si="13"/>
        <v>106.400010000368</v>
      </c>
      <c r="AE18" s="220">
        <f t="shared" si="3"/>
        <v>0</v>
      </c>
      <c r="AF18" s="91">
        <f t="shared" si="21"/>
        <v>1015.9780100003687</v>
      </c>
      <c r="AG18" s="74">
        <f t="shared" si="4"/>
        <v>190.52999999999923</v>
      </c>
      <c r="AH18" s="148">
        <f t="shared" si="22"/>
        <v>63.491989999632004</v>
      </c>
      <c r="AI18" s="157">
        <v>0</v>
      </c>
      <c r="AJ18" s="162">
        <v>0</v>
      </c>
      <c r="AK18" s="163">
        <f t="shared" si="6"/>
        <v>87.735579447354823</v>
      </c>
      <c r="AL18" s="144">
        <f t="shared" si="14"/>
        <v>1270</v>
      </c>
      <c r="AM18" s="142">
        <f t="shared" si="15"/>
        <v>15.999999999999931</v>
      </c>
      <c r="AN18" s="142">
        <f t="shared" si="16"/>
        <v>24.750000000000004</v>
      </c>
      <c r="AO18" s="142" t="e">
        <f t="shared" si="17"/>
        <v>#DIV/0!</v>
      </c>
      <c r="AQ18" s="164">
        <f t="shared" si="7"/>
        <v>0.7900000000000007</v>
      </c>
      <c r="AR18" s="164">
        <f t="shared" si="7"/>
        <v>0.70263333333333333</v>
      </c>
      <c r="AS18" s="164" t="e">
        <f t="shared" si="7"/>
        <v>#DIV/0!</v>
      </c>
      <c r="AT18" s="164">
        <f t="shared" si="7"/>
        <v>0.95000008928900004</v>
      </c>
      <c r="AU18" s="154">
        <f t="shared" si="8"/>
        <v>1270</v>
      </c>
      <c r="AV18" s="142">
        <f t="shared" si="18"/>
        <v>21.23</v>
      </c>
    </row>
    <row r="19" spans="1:48" s="154" customFormat="1" x14ac:dyDescent="0.25">
      <c r="B19" s="157">
        <v>16</v>
      </c>
      <c r="C19" s="1">
        <v>1012</v>
      </c>
      <c r="D19" s="1">
        <v>0</v>
      </c>
      <c r="E19" s="1">
        <v>0</v>
      </c>
      <c r="F19" s="1">
        <v>130</v>
      </c>
      <c r="G19" s="1">
        <v>186</v>
      </c>
      <c r="H19" s="1">
        <v>17.48</v>
      </c>
      <c r="I19" s="1">
        <v>0</v>
      </c>
      <c r="J19" s="1">
        <v>0</v>
      </c>
      <c r="K19" s="1">
        <v>2.2999999999999998</v>
      </c>
      <c r="L19" s="1">
        <v>3</v>
      </c>
      <c r="M19" s="155">
        <f t="shared" si="0"/>
        <v>57.89473684210526</v>
      </c>
      <c r="N19" s="155" t="e">
        <f t="shared" si="0"/>
        <v>#DIV/0!</v>
      </c>
      <c r="O19" s="143">
        <f t="shared" si="9"/>
        <v>62</v>
      </c>
      <c r="P19" s="155">
        <f t="shared" si="1"/>
        <v>56.521739130434788</v>
      </c>
      <c r="Q19" s="155">
        <f>C19*(0.172222222222222*0.9)</f>
        <v>156.85999999999981</v>
      </c>
      <c r="R19" s="155">
        <f t="shared" si="26"/>
        <v>50.6</v>
      </c>
      <c r="S19" s="155">
        <f>D19*(0.311111111111111*0.9)</f>
        <v>0</v>
      </c>
      <c r="T19" s="155">
        <f t="shared" si="24"/>
        <v>0</v>
      </c>
      <c r="U19" s="155">
        <f>E19*(0.200716845*0.9)</f>
        <v>0</v>
      </c>
      <c r="V19" s="155">
        <f>E19*0.048387096</f>
        <v>0</v>
      </c>
      <c r="W19" s="155">
        <f t="shared" si="2"/>
        <v>0</v>
      </c>
      <c r="X19" s="155">
        <f>F19*0.0454692311</f>
        <v>5.9110000429999996</v>
      </c>
      <c r="Y19" s="143">
        <f>G19*(0.266666666666666*0.9)</f>
        <v>44.639999999999887</v>
      </c>
      <c r="Z19" s="143">
        <f>G19*0.05</f>
        <v>9.3000000000000007</v>
      </c>
      <c r="AA19" s="220">
        <f t="shared" si="10"/>
        <v>804.54000000000019</v>
      </c>
      <c r="AB19" s="220">
        <f t="shared" si="11"/>
        <v>0</v>
      </c>
      <c r="AC19" s="220">
        <f t="shared" si="12"/>
        <v>0</v>
      </c>
      <c r="AD19" s="220">
        <f t="shared" si="13"/>
        <v>124.088999957</v>
      </c>
      <c r="AE19" s="220">
        <f t="shared" si="3"/>
        <v>132.06000000000012</v>
      </c>
      <c r="AF19" s="224">
        <f t="shared" si="21"/>
        <v>1060.6889999570003</v>
      </c>
      <c r="AG19" s="74">
        <f t="shared" si="4"/>
        <v>201.49999999999972</v>
      </c>
      <c r="AH19" s="148">
        <f t="shared" si="22"/>
        <v>65.811000043000007</v>
      </c>
      <c r="AI19" s="155">
        <v>0</v>
      </c>
      <c r="AJ19" s="158">
        <v>0</v>
      </c>
      <c r="AK19" s="165">
        <f t="shared" si="6"/>
        <v>104.81116600365617</v>
      </c>
      <c r="AL19" s="144">
        <f t="shared" si="14"/>
        <v>1328</v>
      </c>
      <c r="AM19" s="142">
        <f t="shared" si="15"/>
        <v>15.49999999999998</v>
      </c>
      <c r="AN19" s="142" t="e">
        <f t="shared" si="16"/>
        <v>#DIV/0!</v>
      </c>
      <c r="AO19" s="142">
        <f t="shared" si="17"/>
        <v>0.23999999999999938</v>
      </c>
      <c r="AQ19" s="166">
        <f t="shared" si="7"/>
        <v>0.79500000000000015</v>
      </c>
      <c r="AR19" s="166" t="e">
        <f t="shared" si="7"/>
        <v>#DIV/0!</v>
      </c>
      <c r="AS19" s="166" t="e">
        <f t="shared" si="7"/>
        <v>#DIV/0!</v>
      </c>
      <c r="AT19" s="166">
        <f t="shared" si="7"/>
        <v>0.95453076889999999</v>
      </c>
      <c r="AU19" s="154">
        <f t="shared" si="8"/>
        <v>1142</v>
      </c>
      <c r="AV19" s="142">
        <f t="shared" si="18"/>
        <v>22.78</v>
      </c>
    </row>
    <row r="20" spans="1:48" s="167" customFormat="1" ht="17.25" customHeight="1" x14ac:dyDescent="0.25">
      <c r="B20" s="157">
        <v>17</v>
      </c>
      <c r="C20" s="1">
        <v>883</v>
      </c>
      <c r="D20" s="1">
        <v>372</v>
      </c>
      <c r="E20" s="1">
        <v>0</v>
      </c>
      <c r="F20" s="1">
        <v>0</v>
      </c>
      <c r="G20" s="1">
        <v>0</v>
      </c>
      <c r="H20" s="1">
        <v>15.95</v>
      </c>
      <c r="I20" s="1">
        <v>6</v>
      </c>
      <c r="J20" s="1">
        <v>0</v>
      </c>
      <c r="K20" s="1">
        <v>0</v>
      </c>
      <c r="L20" s="1">
        <v>0</v>
      </c>
      <c r="M20" s="168">
        <f t="shared" ref="M20:N33" si="27">C20/H20</f>
        <v>55.360501567398124</v>
      </c>
      <c r="N20" s="168">
        <f t="shared" si="27"/>
        <v>62</v>
      </c>
      <c r="O20" s="143" t="e">
        <f t="shared" si="9"/>
        <v>#DIV/0!</v>
      </c>
      <c r="P20" s="168" t="e">
        <f t="shared" si="1"/>
        <v>#DIV/0!</v>
      </c>
      <c r="Q20" s="168">
        <f>C20*(0.177777777777777*0.9)</f>
        <v>141.2799999999994</v>
      </c>
      <c r="R20" s="168">
        <f t="shared" si="26"/>
        <v>44.150000000000006</v>
      </c>
      <c r="S20" s="168">
        <f>D20*(0.266666666666666*0.9)</f>
        <v>89.279999999999774</v>
      </c>
      <c r="T20" s="168">
        <f>D20*0.05</f>
        <v>18.600000000000001</v>
      </c>
      <c r="U20" s="168">
        <f>E20*(0.277777777777777*0.9)</f>
        <v>0</v>
      </c>
      <c r="V20" s="168">
        <f>E20*0.05</f>
        <v>0</v>
      </c>
      <c r="W20" s="168">
        <f t="shared" si="2"/>
        <v>0</v>
      </c>
      <c r="X20" s="168">
        <f t="shared" si="25"/>
        <v>0</v>
      </c>
      <c r="Y20" s="143">
        <f t="shared" si="19"/>
        <v>0</v>
      </c>
      <c r="Z20" s="143">
        <f t="shared" si="20"/>
        <v>0</v>
      </c>
      <c r="AA20" s="220">
        <f t="shared" si="10"/>
        <v>697.57000000000062</v>
      </c>
      <c r="AB20" s="220">
        <f t="shared" si="11"/>
        <v>264.12000000000023</v>
      </c>
      <c r="AC20" s="220">
        <f t="shared" si="12"/>
        <v>0</v>
      </c>
      <c r="AD20" s="220">
        <f t="shared" si="13"/>
        <v>0</v>
      </c>
      <c r="AE20" s="220">
        <f t="shared" si="3"/>
        <v>0</v>
      </c>
      <c r="AF20" s="91">
        <f t="shared" si="21"/>
        <v>961.69000000000085</v>
      </c>
      <c r="AG20" s="74">
        <f t="shared" si="4"/>
        <v>230.55999999999918</v>
      </c>
      <c r="AH20" s="144">
        <f t="shared" si="22"/>
        <v>62.750000000000007</v>
      </c>
      <c r="AI20" s="168">
        <v>0</v>
      </c>
      <c r="AJ20" s="170">
        <v>0</v>
      </c>
      <c r="AK20" s="171">
        <f t="shared" si="6"/>
        <v>76.628685258964211</v>
      </c>
      <c r="AL20" s="144">
        <f t="shared" si="14"/>
        <v>1255</v>
      </c>
      <c r="AM20" s="142">
        <f t="shared" si="15"/>
        <v>15.999999999999934</v>
      </c>
      <c r="AN20" s="142">
        <f t="shared" si="16"/>
        <v>23.99999999999994</v>
      </c>
      <c r="AO20" s="142" t="e">
        <f t="shared" si="17"/>
        <v>#DIV/0!</v>
      </c>
      <c r="AP20" s="167" t="e">
        <f>(#REF!/C20)*100</f>
        <v>#REF!</v>
      </c>
      <c r="AQ20" s="172">
        <f t="shared" si="7"/>
        <v>0.7900000000000007</v>
      </c>
      <c r="AR20" s="172">
        <f t="shared" si="7"/>
        <v>0.71000000000000063</v>
      </c>
      <c r="AS20" s="166" t="e">
        <f t="shared" si="7"/>
        <v>#DIV/0!</v>
      </c>
      <c r="AT20" s="166" t="e">
        <f t="shared" si="7"/>
        <v>#DIV/0!</v>
      </c>
      <c r="AU20" s="154">
        <f t="shared" si="8"/>
        <v>1255</v>
      </c>
      <c r="AV20" s="142">
        <f t="shared" si="18"/>
        <v>21.95</v>
      </c>
    </row>
    <row r="21" spans="1:48" s="193" customFormat="1" x14ac:dyDescent="0.25">
      <c r="B21" s="157">
        <v>18</v>
      </c>
      <c r="C21" s="1">
        <v>636</v>
      </c>
      <c r="D21" s="1">
        <v>186</v>
      </c>
      <c r="E21" s="1">
        <v>0</v>
      </c>
      <c r="F21" s="1">
        <v>168</v>
      </c>
      <c r="G21" s="1">
        <v>240</v>
      </c>
      <c r="H21" s="1">
        <v>11.5</v>
      </c>
      <c r="I21" s="1">
        <v>3</v>
      </c>
      <c r="J21" s="1">
        <v>0</v>
      </c>
      <c r="K21" s="1">
        <v>3</v>
      </c>
      <c r="L21" s="1">
        <v>4</v>
      </c>
      <c r="M21" s="182">
        <f t="shared" si="27"/>
        <v>55.304347826086953</v>
      </c>
      <c r="N21" s="182">
        <f>D21/I21</f>
        <v>62</v>
      </c>
      <c r="O21" s="143">
        <f t="shared" si="9"/>
        <v>60</v>
      </c>
      <c r="P21" s="182">
        <f t="shared" si="1"/>
        <v>56</v>
      </c>
      <c r="Q21" s="182">
        <f>C21*(0.166666666666666*0.9)</f>
        <v>95.399999999999608</v>
      </c>
      <c r="R21" s="182">
        <f t="shared" si="26"/>
        <v>31.8</v>
      </c>
      <c r="S21" s="182">
        <f>D21*(0.266666666666666*0.9)</f>
        <v>44.639999999999887</v>
      </c>
      <c r="T21" s="182">
        <f>D21*0.05</f>
        <v>9.3000000000000007</v>
      </c>
      <c r="U21" s="182">
        <f>E21*(0.263157895*0.9)</f>
        <v>0</v>
      </c>
      <c r="V21" s="182">
        <f>E21*0.052631579</f>
        <v>0</v>
      </c>
      <c r="W21" s="182"/>
      <c r="X21" s="182">
        <f t="shared" si="25"/>
        <v>8.4</v>
      </c>
      <c r="Y21" s="143">
        <f>G21*(0.2775*0.9)</f>
        <v>59.940000000000005</v>
      </c>
      <c r="Z21" s="143">
        <f>G21*0.049875</f>
        <v>11.97</v>
      </c>
      <c r="AA21" s="220">
        <f t="shared" si="10"/>
        <v>508.80000000000035</v>
      </c>
      <c r="AB21" s="220">
        <f t="shared" si="11"/>
        <v>132.06000000000012</v>
      </c>
      <c r="AC21" s="220">
        <f t="shared" si="12"/>
        <v>0</v>
      </c>
      <c r="AD21" s="220">
        <f t="shared" si="13"/>
        <v>159.6</v>
      </c>
      <c r="AE21" s="220">
        <f t="shared" si="3"/>
        <v>168.09</v>
      </c>
      <c r="AF21" s="92">
        <f t="shared" si="21"/>
        <v>968.55000000000052</v>
      </c>
      <c r="AG21" s="74">
        <f t="shared" si="4"/>
        <v>199.97999999999951</v>
      </c>
      <c r="AH21" s="144">
        <f t="shared" si="22"/>
        <v>61.47</v>
      </c>
      <c r="AI21" s="182">
        <v>0</v>
      </c>
      <c r="AJ21" s="194">
        <v>0</v>
      </c>
      <c r="AK21" s="195">
        <f t="shared" si="6"/>
        <v>117.82846715328475</v>
      </c>
      <c r="AL21" s="144">
        <f t="shared" si="14"/>
        <v>1230</v>
      </c>
      <c r="AM21" s="142">
        <f t="shared" si="15"/>
        <v>14.999999999999938</v>
      </c>
      <c r="AN21" s="142">
        <f t="shared" si="16"/>
        <v>23.99999999999994</v>
      </c>
      <c r="AO21" s="142">
        <f t="shared" si="17"/>
        <v>0.24975000000000003</v>
      </c>
      <c r="AQ21" s="172">
        <f t="shared" si="7"/>
        <v>0.8000000000000006</v>
      </c>
      <c r="AR21" s="172">
        <f t="shared" si="7"/>
        <v>0.71000000000000063</v>
      </c>
      <c r="AS21" s="166" t="e">
        <f t="shared" si="7"/>
        <v>#DIV/0!</v>
      </c>
      <c r="AT21" s="196">
        <f t="shared" si="7"/>
        <v>0.95</v>
      </c>
      <c r="AU21" s="154">
        <f t="shared" si="8"/>
        <v>990</v>
      </c>
    </row>
    <row r="22" spans="1:48" s="193" customFormat="1" x14ac:dyDescent="0.25">
      <c r="B22" s="157">
        <v>19</v>
      </c>
      <c r="C22" s="1">
        <v>1000</v>
      </c>
      <c r="D22" s="1">
        <v>0</v>
      </c>
      <c r="E22" s="1">
        <v>0</v>
      </c>
      <c r="F22" s="1">
        <v>0</v>
      </c>
      <c r="G22" s="1">
        <v>420</v>
      </c>
      <c r="H22" s="1">
        <v>17</v>
      </c>
      <c r="I22" s="1">
        <v>0</v>
      </c>
      <c r="J22" s="1">
        <v>0</v>
      </c>
      <c r="K22" s="1">
        <v>0</v>
      </c>
      <c r="L22" s="1">
        <v>7</v>
      </c>
      <c r="M22" s="182">
        <f t="shared" si="27"/>
        <v>58.823529411764703</v>
      </c>
      <c r="N22" s="182" t="e">
        <f t="shared" si="27"/>
        <v>#DIV/0!</v>
      </c>
      <c r="O22" s="143">
        <f t="shared" si="9"/>
        <v>60</v>
      </c>
      <c r="P22" s="182" t="e">
        <f t="shared" si="1"/>
        <v>#DIV/0!</v>
      </c>
      <c r="Q22" s="182">
        <f>C22*(0.120877777*0.9)</f>
        <v>108.78999930000001</v>
      </c>
      <c r="R22" s="234">
        <f>C22*0.05081</f>
        <v>50.81</v>
      </c>
      <c r="S22" s="182">
        <f>D22*(0.277777777777778*0.9)</f>
        <v>0</v>
      </c>
      <c r="T22" s="182">
        <f>D22*0.05</f>
        <v>0</v>
      </c>
      <c r="U22" s="182">
        <f>E22*(0.282766666666*0.9)</f>
        <v>0</v>
      </c>
      <c r="V22" s="182">
        <f>E22*0.04968</f>
        <v>0</v>
      </c>
      <c r="W22" s="182">
        <f t="shared" ref="W22:W33" si="28">F22*(0*0.9)</f>
        <v>0</v>
      </c>
      <c r="X22" s="182">
        <f t="shared" si="25"/>
        <v>0</v>
      </c>
      <c r="Y22" s="143">
        <f>G22*(0.271714285*0.9)</f>
        <v>102.70799973000001</v>
      </c>
      <c r="Z22" s="143">
        <f>G22*0.049873809</f>
        <v>20.946999779999999</v>
      </c>
      <c r="AA22" s="220">
        <f t="shared" si="10"/>
        <v>840.40000069999996</v>
      </c>
      <c r="AB22" s="220">
        <f t="shared" si="11"/>
        <v>0</v>
      </c>
      <c r="AC22" s="220">
        <f t="shared" si="12"/>
        <v>0</v>
      </c>
      <c r="AD22" s="220">
        <f t="shared" si="13"/>
        <v>0</v>
      </c>
      <c r="AE22" s="220">
        <f t="shared" si="3"/>
        <v>296.34500049000002</v>
      </c>
      <c r="AF22" s="224">
        <f t="shared" si="21"/>
        <v>1136.74500119</v>
      </c>
      <c r="AG22" s="74">
        <f t="shared" si="4"/>
        <v>211.49799903000002</v>
      </c>
      <c r="AH22" s="148">
        <f t="shared" si="22"/>
        <v>71.756999780000001</v>
      </c>
      <c r="AI22" s="182">
        <v>0</v>
      </c>
      <c r="AJ22" s="194">
        <v>0</v>
      </c>
      <c r="AK22" s="195">
        <f t="shared" si="6"/>
        <v>113.674500119</v>
      </c>
      <c r="AL22" s="144">
        <f t="shared" si="14"/>
        <v>1420</v>
      </c>
      <c r="AM22" s="142">
        <f t="shared" si="15"/>
        <v>10.878999930000001</v>
      </c>
      <c r="AN22" s="142" t="e">
        <f t="shared" si="16"/>
        <v>#DIV/0!</v>
      </c>
      <c r="AO22" s="142">
        <f t="shared" si="17"/>
        <v>0.24454285650000002</v>
      </c>
      <c r="AQ22" s="172">
        <f t="shared" si="7"/>
        <v>0.84040000069999998</v>
      </c>
      <c r="AR22" s="172" t="e">
        <f t="shared" si="7"/>
        <v>#DIV/0!</v>
      </c>
      <c r="AS22" s="166" t="e">
        <f t="shared" si="7"/>
        <v>#DIV/0!</v>
      </c>
      <c r="AT22" s="196" t="e">
        <f t="shared" si="7"/>
        <v>#DIV/0!</v>
      </c>
      <c r="AU22" s="154">
        <f t="shared" si="8"/>
        <v>1000</v>
      </c>
    </row>
    <row r="23" spans="1:48" s="154" customFormat="1" x14ac:dyDescent="0.25">
      <c r="B23" s="157">
        <v>20</v>
      </c>
      <c r="C23" s="1">
        <v>1408</v>
      </c>
      <c r="D23" s="1">
        <v>0</v>
      </c>
      <c r="E23" s="1">
        <v>0</v>
      </c>
      <c r="F23" s="1">
        <v>0</v>
      </c>
      <c r="G23" s="1">
        <v>0</v>
      </c>
      <c r="H23" s="1">
        <v>24</v>
      </c>
      <c r="I23" s="1">
        <v>0</v>
      </c>
      <c r="J23" s="1">
        <v>0</v>
      </c>
      <c r="K23" s="1">
        <v>0</v>
      </c>
      <c r="L23" s="1">
        <v>0</v>
      </c>
      <c r="M23" s="155">
        <f t="shared" si="27"/>
        <v>58.666666666666664</v>
      </c>
      <c r="N23" s="155" t="e">
        <f t="shared" si="27"/>
        <v>#DIV/0!</v>
      </c>
      <c r="O23" s="143" t="e">
        <f t="shared" si="9"/>
        <v>#DIV/0!</v>
      </c>
      <c r="P23" s="155" t="e">
        <f t="shared" si="1"/>
        <v>#DIV/0!</v>
      </c>
      <c r="Q23" s="155">
        <f>C23*(0.144797979*0.9)</f>
        <v>183.48799898879997</v>
      </c>
      <c r="R23" s="155">
        <f>C23*0.049953835</f>
        <v>70.33499968000001</v>
      </c>
      <c r="S23" s="155">
        <f>D23*(0.300453514*0.9)</f>
        <v>0</v>
      </c>
      <c r="T23" s="155">
        <f>D23*0.051020408</f>
        <v>0</v>
      </c>
      <c r="U23" s="155">
        <f>E23*(0.256790123*0.9)</f>
        <v>0</v>
      </c>
      <c r="V23" s="155">
        <f>E23*0.05</f>
        <v>0</v>
      </c>
      <c r="W23" s="155">
        <f t="shared" si="28"/>
        <v>0</v>
      </c>
      <c r="X23" s="155">
        <f>F23*0.054054054054</f>
        <v>0</v>
      </c>
      <c r="Y23" s="143">
        <f>G23*(0.277777777777777*0.9)</f>
        <v>0</v>
      </c>
      <c r="Z23" s="143">
        <f>G23*0.05</f>
        <v>0</v>
      </c>
      <c r="AA23" s="220">
        <f t="shared" si="10"/>
        <v>1154.1770013312</v>
      </c>
      <c r="AB23" s="220">
        <f t="shared" si="11"/>
        <v>0</v>
      </c>
      <c r="AC23" s="220">
        <f t="shared" si="12"/>
        <v>0</v>
      </c>
      <c r="AD23" s="220">
        <f t="shared" si="13"/>
        <v>0</v>
      </c>
      <c r="AE23" s="220">
        <f t="shared" si="3"/>
        <v>0</v>
      </c>
      <c r="AF23" s="224">
        <f t="shared" si="21"/>
        <v>1154.1770013312</v>
      </c>
      <c r="AG23" s="74">
        <f t="shared" si="4"/>
        <v>183.48799898879997</v>
      </c>
      <c r="AH23" s="148">
        <f t="shared" si="22"/>
        <v>70.33499968000001</v>
      </c>
      <c r="AI23" s="155">
        <v>0</v>
      </c>
      <c r="AJ23" s="158">
        <v>0</v>
      </c>
      <c r="AK23" s="165">
        <f t="shared" si="6"/>
        <v>81.972798390000008</v>
      </c>
      <c r="AL23" s="144">
        <f t="shared" si="14"/>
        <v>1408</v>
      </c>
      <c r="AM23" s="142">
        <f t="shared" si="15"/>
        <v>13.031818109999998</v>
      </c>
      <c r="AN23" s="142" t="e">
        <f t="shared" si="16"/>
        <v>#DIV/0!</v>
      </c>
      <c r="AO23" s="142" t="e">
        <f t="shared" si="17"/>
        <v>#DIV/0!</v>
      </c>
      <c r="AQ23" s="172">
        <f t="shared" si="7"/>
        <v>0.81972798390000001</v>
      </c>
      <c r="AR23" s="172" t="e">
        <f t="shared" si="7"/>
        <v>#DIV/0!</v>
      </c>
      <c r="AS23" s="166" t="e">
        <f t="shared" si="7"/>
        <v>#DIV/0!</v>
      </c>
      <c r="AT23" s="166" t="e">
        <f t="shared" si="7"/>
        <v>#DIV/0!</v>
      </c>
      <c r="AU23" s="154">
        <f t="shared" si="8"/>
        <v>1408</v>
      </c>
    </row>
    <row r="24" spans="1:48" s="154" customFormat="1" x14ac:dyDescent="0.25">
      <c r="A24" s="202"/>
      <c r="B24" s="155">
        <v>21</v>
      </c>
      <c r="C24" s="1">
        <v>1420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55" t="e">
        <f t="shared" si="27"/>
        <v>#DIV/0!</v>
      </c>
      <c r="N24" s="155" t="e">
        <f t="shared" si="27"/>
        <v>#DIV/0!</v>
      </c>
      <c r="O24" s="143" t="e">
        <f t="shared" si="9"/>
        <v>#DIV/0!</v>
      </c>
      <c r="P24" s="155" t="e">
        <f t="shared" si="1"/>
        <v>#DIV/0!</v>
      </c>
      <c r="Q24" s="197">
        <f>C24*(0.131111111111111*0.9)</f>
        <v>167.55999999999986</v>
      </c>
      <c r="R24" s="155">
        <f t="shared" ref="R24" si="29">C24*0.05</f>
        <v>71</v>
      </c>
      <c r="S24" s="155">
        <f>D24*(0.3*0.9)</f>
        <v>0</v>
      </c>
      <c r="T24" s="155">
        <f>D24*0.05</f>
        <v>0</v>
      </c>
      <c r="U24" s="155">
        <f>E24*(0.254629629*0.9)</f>
        <v>0</v>
      </c>
      <c r="V24" s="155">
        <f>E24*0.05</f>
        <v>0</v>
      </c>
      <c r="W24" s="155">
        <f t="shared" si="28"/>
        <v>0</v>
      </c>
      <c r="X24" s="155">
        <f>F24*0.05</f>
        <v>0</v>
      </c>
      <c r="Y24" s="143">
        <f>G24*(0.3*0.9)</f>
        <v>0</v>
      </c>
      <c r="Z24" s="143">
        <f>G24*0.05</f>
        <v>0</v>
      </c>
      <c r="AA24" s="220">
        <f t="shared" si="10"/>
        <v>1181.44</v>
      </c>
      <c r="AB24" s="220">
        <f t="shared" si="11"/>
        <v>0</v>
      </c>
      <c r="AC24" s="220">
        <f t="shared" si="12"/>
        <v>0</v>
      </c>
      <c r="AD24" s="220">
        <f t="shared" si="13"/>
        <v>0</v>
      </c>
      <c r="AE24" s="220">
        <f t="shared" si="3"/>
        <v>0</v>
      </c>
      <c r="AF24" s="91">
        <f t="shared" si="21"/>
        <v>1181.44</v>
      </c>
      <c r="AG24" s="227">
        <f>Q24+S24+U24+Y24</f>
        <v>167.55999999999986</v>
      </c>
      <c r="AH24" s="144">
        <f t="shared" si="22"/>
        <v>71</v>
      </c>
      <c r="AI24" s="155">
        <v>0</v>
      </c>
      <c r="AJ24" s="158">
        <v>0</v>
      </c>
      <c r="AK24" s="165">
        <f t="shared" si="6"/>
        <v>83.2</v>
      </c>
      <c r="AL24" s="144">
        <f t="shared" si="14"/>
        <v>1420</v>
      </c>
      <c r="AM24" s="142">
        <f t="shared" si="15"/>
        <v>11.79999999999999</v>
      </c>
      <c r="AN24" s="142" t="e">
        <f t="shared" si="16"/>
        <v>#DIV/0!</v>
      </c>
      <c r="AO24" s="142" t="e">
        <f t="shared" si="17"/>
        <v>#DIV/0!</v>
      </c>
      <c r="AQ24" s="172">
        <f t="shared" si="7"/>
        <v>0.83200000000000007</v>
      </c>
      <c r="AR24" s="166" t="e">
        <f t="shared" si="7"/>
        <v>#DIV/0!</v>
      </c>
      <c r="AS24" s="166" t="e">
        <f t="shared" si="7"/>
        <v>#DIV/0!</v>
      </c>
      <c r="AT24" s="166" t="e">
        <f t="shared" si="7"/>
        <v>#DIV/0!</v>
      </c>
      <c r="AU24" s="154">
        <f t="shared" si="8"/>
        <v>1420</v>
      </c>
    </row>
    <row r="25" spans="1:48" s="203" customFormat="1" x14ac:dyDescent="0.25">
      <c r="B25" s="204">
        <v>22</v>
      </c>
      <c r="C25" s="1">
        <v>1420</v>
      </c>
      <c r="D25" s="1">
        <v>0</v>
      </c>
      <c r="E25" s="1">
        <v>0</v>
      </c>
      <c r="F25" s="1">
        <v>0</v>
      </c>
      <c r="G25" s="1">
        <v>0</v>
      </c>
      <c r="H25" s="1">
        <v>24</v>
      </c>
      <c r="I25" s="1">
        <v>0</v>
      </c>
      <c r="J25" s="1">
        <v>0</v>
      </c>
      <c r="K25" s="1">
        <v>0</v>
      </c>
      <c r="L25" s="1">
        <v>0</v>
      </c>
      <c r="M25" s="204">
        <f t="shared" si="27"/>
        <v>59.166666666666664</v>
      </c>
      <c r="N25" s="204" t="e">
        <f t="shared" si="27"/>
        <v>#DIV/0!</v>
      </c>
      <c r="O25" s="143" t="e">
        <f t="shared" si="9"/>
        <v>#DIV/0!</v>
      </c>
      <c r="P25" s="204" t="e">
        <f t="shared" si="1"/>
        <v>#DIV/0!</v>
      </c>
      <c r="Q25" s="211">
        <f>C25*(0.133333333333333*0.9)</f>
        <v>170.39999999999958</v>
      </c>
      <c r="R25" s="211">
        <f>C25*0.05</f>
        <v>71</v>
      </c>
      <c r="S25" s="204">
        <f>D25*(0.302222222*0.9)</f>
        <v>0</v>
      </c>
      <c r="T25" s="204">
        <f>D25*0.050666666</f>
        <v>0</v>
      </c>
      <c r="U25" s="204">
        <f>E25*(0.254629629*0.9)</f>
        <v>0</v>
      </c>
      <c r="V25" s="204">
        <f>E25*0.05</f>
        <v>0</v>
      </c>
      <c r="W25" s="204">
        <f t="shared" si="28"/>
        <v>0</v>
      </c>
      <c r="X25" s="204">
        <f>F25*0.0555555555555555</f>
        <v>0</v>
      </c>
      <c r="Y25" s="143">
        <f t="shared" ref="Y25" si="30">G25*(0.316666666666666*0.9)</f>
        <v>0</v>
      </c>
      <c r="Z25" s="143">
        <f t="shared" ref="Z25" si="31">G25*0.052</f>
        <v>0</v>
      </c>
      <c r="AA25" s="220">
        <f t="shared" si="10"/>
        <v>1178.6000000000004</v>
      </c>
      <c r="AB25" s="220">
        <f t="shared" si="11"/>
        <v>0</v>
      </c>
      <c r="AC25" s="220">
        <f t="shared" si="12"/>
        <v>0</v>
      </c>
      <c r="AD25" s="220">
        <f t="shared" si="13"/>
        <v>0</v>
      </c>
      <c r="AE25" s="220">
        <f t="shared" si="3"/>
        <v>0</v>
      </c>
      <c r="AF25" s="91">
        <f t="shared" si="21"/>
        <v>1178.6000000000004</v>
      </c>
      <c r="AG25" s="227">
        <f t="shared" ref="AG25:AG33" si="32">Q25+S25+U25+Y25</f>
        <v>170.39999999999958</v>
      </c>
      <c r="AH25" s="144">
        <f t="shared" si="22"/>
        <v>71</v>
      </c>
      <c r="AI25" s="204">
        <v>0</v>
      </c>
      <c r="AJ25" s="205">
        <v>0</v>
      </c>
      <c r="AK25" s="206">
        <f>AF25/(C25+D25+E25)*100</f>
        <v>83.000000000000028</v>
      </c>
      <c r="AL25" s="144">
        <f t="shared" si="14"/>
        <v>1420</v>
      </c>
      <c r="AM25" s="142">
        <f t="shared" si="15"/>
        <v>11.99999999999997</v>
      </c>
      <c r="AN25" s="142" t="e">
        <f t="shared" si="16"/>
        <v>#DIV/0!</v>
      </c>
      <c r="AO25" s="142" t="e">
        <f t="shared" si="17"/>
        <v>#DIV/0!</v>
      </c>
      <c r="AP25" s="203">
        <f>AA25/C25</f>
        <v>0.83000000000000029</v>
      </c>
      <c r="AQ25" s="207">
        <f t="shared" si="7"/>
        <v>0.83000000000000029</v>
      </c>
      <c r="AR25" s="207" t="e">
        <f t="shared" si="7"/>
        <v>#DIV/0!</v>
      </c>
      <c r="AS25" s="207" t="e">
        <f t="shared" si="7"/>
        <v>#DIV/0!</v>
      </c>
      <c r="AT25" s="166" t="e">
        <f t="shared" si="7"/>
        <v>#DIV/0!</v>
      </c>
      <c r="AU25" s="154">
        <f t="shared" si="8"/>
        <v>1420</v>
      </c>
    </row>
    <row r="26" spans="1:48" s="154" customFormat="1" x14ac:dyDescent="0.25">
      <c r="A26" s="202"/>
      <c r="B26" s="155">
        <v>23</v>
      </c>
      <c r="C26" s="1">
        <v>880</v>
      </c>
      <c r="D26" s="1">
        <v>120</v>
      </c>
      <c r="E26" s="1">
        <v>0</v>
      </c>
      <c r="F26" s="1">
        <v>116</v>
      </c>
      <c r="G26" s="1">
        <v>180</v>
      </c>
      <c r="H26" s="1">
        <v>17</v>
      </c>
      <c r="I26" s="1">
        <v>2</v>
      </c>
      <c r="J26" s="1">
        <v>0</v>
      </c>
      <c r="K26" s="1">
        <v>2</v>
      </c>
      <c r="L26" s="1">
        <v>3</v>
      </c>
      <c r="M26" s="155">
        <f t="shared" si="27"/>
        <v>51.764705882352942</v>
      </c>
      <c r="N26" s="155">
        <f t="shared" si="27"/>
        <v>60</v>
      </c>
      <c r="O26" s="143">
        <f t="shared" si="9"/>
        <v>60</v>
      </c>
      <c r="P26" s="155">
        <f t="shared" si="1"/>
        <v>58</v>
      </c>
      <c r="Q26" s="155">
        <f>C26*(0.135555555555555*0.9)</f>
        <v>107.35999999999957</v>
      </c>
      <c r="R26" s="155">
        <f>C26*0.05</f>
        <v>44</v>
      </c>
      <c r="S26" s="155">
        <f>D26*(0.167*0.9)</f>
        <v>18.036000000000001</v>
      </c>
      <c r="T26" s="155">
        <f>D26*0.049875</f>
        <v>5.9850000000000003</v>
      </c>
      <c r="U26" s="155">
        <f>E26*(0.277777777777777*0.9)</f>
        <v>0</v>
      </c>
      <c r="V26" s="155">
        <f>E26*0.05</f>
        <v>0</v>
      </c>
      <c r="W26" s="155">
        <f t="shared" si="28"/>
        <v>0</v>
      </c>
      <c r="X26" s="155">
        <f>F26*0.0498706897</f>
        <v>5.7850000051999997</v>
      </c>
      <c r="Y26" s="143">
        <f>G26*(0.188888888888888*0.9)</f>
        <v>30.599999999999856</v>
      </c>
      <c r="Z26" s="143">
        <f t="shared" ref="Z26:Z29" si="33">G26*0.05</f>
        <v>9</v>
      </c>
      <c r="AA26" s="220">
        <f t="shared" si="10"/>
        <v>728.64000000000044</v>
      </c>
      <c r="AB26" s="220">
        <f t="shared" si="11"/>
        <v>95.978999999999999</v>
      </c>
      <c r="AC26" s="220">
        <f t="shared" si="12"/>
        <v>0</v>
      </c>
      <c r="AD26" s="220">
        <f t="shared" si="13"/>
        <v>110.2149999948</v>
      </c>
      <c r="AE26" s="220">
        <f t="shared" si="3"/>
        <v>140.40000000000015</v>
      </c>
      <c r="AF26" s="91">
        <f t="shared" si="21"/>
        <v>1075.2339999948006</v>
      </c>
      <c r="AG26" s="227">
        <f t="shared" si="32"/>
        <v>155.99599999999944</v>
      </c>
      <c r="AH26" s="148">
        <f t="shared" si="22"/>
        <v>64.770000005199989</v>
      </c>
      <c r="AI26" s="155">
        <v>0</v>
      </c>
      <c r="AJ26" s="158">
        <v>0</v>
      </c>
      <c r="AK26" s="165">
        <f>AF26/(C26+D26+E26)*100</f>
        <v>107.52339999948006</v>
      </c>
      <c r="AL26" s="144">
        <f t="shared" si="14"/>
        <v>1296</v>
      </c>
      <c r="AM26" s="142">
        <f t="shared" si="15"/>
        <v>12.199999999999951</v>
      </c>
      <c r="AN26" s="142">
        <f t="shared" si="16"/>
        <v>15.030000000000001</v>
      </c>
      <c r="AO26" s="142">
        <f t="shared" si="17"/>
        <v>0.16999999999999921</v>
      </c>
      <c r="AP26" s="154">
        <f>AA26/C26</f>
        <v>0.82800000000000051</v>
      </c>
      <c r="AQ26" s="166">
        <f t="shared" si="7"/>
        <v>0.82800000000000051</v>
      </c>
      <c r="AR26" s="166">
        <f t="shared" si="7"/>
        <v>0.79982500000000001</v>
      </c>
      <c r="AS26" s="166" t="e">
        <f t="shared" si="7"/>
        <v>#DIV/0!</v>
      </c>
      <c r="AT26" s="166">
        <f t="shared" si="7"/>
        <v>0.95012931029999992</v>
      </c>
      <c r="AU26" s="154">
        <f t="shared" si="8"/>
        <v>1116</v>
      </c>
    </row>
    <row r="27" spans="1:48" s="154" customFormat="1" x14ac:dyDescent="0.25">
      <c r="B27" s="209">
        <v>24</v>
      </c>
      <c r="C27" s="1">
        <v>615</v>
      </c>
      <c r="D27" s="1">
        <v>240</v>
      </c>
      <c r="E27" s="1">
        <v>0</v>
      </c>
      <c r="F27" s="1">
        <v>165</v>
      </c>
      <c r="G27" s="1">
        <v>300</v>
      </c>
      <c r="H27" s="1">
        <v>12</v>
      </c>
      <c r="I27" s="1">
        <v>4</v>
      </c>
      <c r="J27" s="1">
        <v>0</v>
      </c>
      <c r="K27" s="1">
        <v>3</v>
      </c>
      <c r="L27" s="1">
        <v>5</v>
      </c>
      <c r="M27" s="209">
        <f t="shared" si="27"/>
        <v>51.25</v>
      </c>
      <c r="N27" s="209">
        <f t="shared" si="27"/>
        <v>60</v>
      </c>
      <c r="O27" s="143">
        <f t="shared" si="9"/>
        <v>60</v>
      </c>
      <c r="P27" s="209">
        <f>F27/K27</f>
        <v>55</v>
      </c>
      <c r="Q27" s="209">
        <f>C27*(0.144444444444444*0.9)</f>
        <v>79.949999999999747</v>
      </c>
      <c r="R27" s="209">
        <f t="shared" ref="R27:R28" si="34">C27*0.05</f>
        <v>30.75</v>
      </c>
      <c r="S27" s="209">
        <f>D27*(0.188888888888888*0.9)</f>
        <v>40.799999999999812</v>
      </c>
      <c r="T27" s="209">
        <f>D27*0.05</f>
        <v>12</v>
      </c>
      <c r="U27" s="209">
        <f>E27*(0.264550266*0.9)</f>
        <v>0</v>
      </c>
      <c r="V27" s="209">
        <f>E27*0.05</f>
        <v>0</v>
      </c>
      <c r="W27" s="209">
        <f t="shared" si="28"/>
        <v>0</v>
      </c>
      <c r="X27" s="209">
        <f>F27*0.049860606</f>
        <v>8.2269999899999995</v>
      </c>
      <c r="Y27" s="143">
        <f>G27*(0.188888888888888*0.9)</f>
        <v>50.999999999999766</v>
      </c>
      <c r="Z27" s="143">
        <f t="shared" si="33"/>
        <v>15</v>
      </c>
      <c r="AA27" s="220">
        <f t="shared" si="10"/>
        <v>504.3000000000003</v>
      </c>
      <c r="AB27" s="220">
        <f t="shared" si="11"/>
        <v>187.20000000000019</v>
      </c>
      <c r="AC27" s="220">
        <f t="shared" si="12"/>
        <v>0</v>
      </c>
      <c r="AD27" s="220">
        <f t="shared" si="13"/>
        <v>156.77300001</v>
      </c>
      <c r="AE27" s="220">
        <f t="shared" si="3"/>
        <v>234.00000000000023</v>
      </c>
      <c r="AF27" s="91">
        <f t="shared" si="21"/>
        <v>1082.2730000100007</v>
      </c>
      <c r="AG27" s="227">
        <f t="shared" si="32"/>
        <v>171.74999999999932</v>
      </c>
      <c r="AH27" s="144">
        <f t="shared" si="22"/>
        <v>65.976999989999996</v>
      </c>
      <c r="AI27" s="155">
        <v>0</v>
      </c>
      <c r="AJ27" s="158">
        <v>0</v>
      </c>
      <c r="AK27" s="165">
        <f>AF27/(C27+D27+E27)*100</f>
        <v>126.58163742807025</v>
      </c>
      <c r="AL27" s="144">
        <f t="shared" si="14"/>
        <v>1320</v>
      </c>
      <c r="AM27" s="142">
        <f t="shared" si="15"/>
        <v>12.999999999999959</v>
      </c>
      <c r="AN27" s="142">
        <f t="shared" si="16"/>
        <v>16.999999999999922</v>
      </c>
      <c r="AO27" s="142">
        <f t="shared" si="17"/>
        <v>0.16999999999999921</v>
      </c>
      <c r="AQ27" s="166">
        <f t="shared" si="7"/>
        <v>0.82000000000000051</v>
      </c>
      <c r="AR27" s="166">
        <f t="shared" si="7"/>
        <v>0.7800000000000008</v>
      </c>
      <c r="AS27" s="166" t="e">
        <f t="shared" si="7"/>
        <v>#DIV/0!</v>
      </c>
      <c r="AT27" s="166">
        <f t="shared" si="7"/>
        <v>0.95013939400000003</v>
      </c>
      <c r="AU27" s="154">
        <f t="shared" si="8"/>
        <v>1020</v>
      </c>
    </row>
    <row r="28" spans="1:48" s="154" customFormat="1" ht="16.5" customHeight="1" x14ac:dyDescent="0.25">
      <c r="B28" s="155">
        <v>25</v>
      </c>
      <c r="C28" s="1">
        <v>1003</v>
      </c>
      <c r="D28" s="1">
        <v>0</v>
      </c>
      <c r="E28" s="1">
        <v>0</v>
      </c>
      <c r="F28" s="1">
        <v>0</v>
      </c>
      <c r="G28" s="1">
        <v>348</v>
      </c>
      <c r="H28" s="1">
        <v>17</v>
      </c>
      <c r="I28" s="1">
        <v>0</v>
      </c>
      <c r="J28" s="1">
        <v>0</v>
      </c>
      <c r="K28" s="1">
        <v>0</v>
      </c>
      <c r="L28" s="1">
        <v>6</v>
      </c>
      <c r="M28" s="155">
        <f t="shared" si="27"/>
        <v>59</v>
      </c>
      <c r="N28" s="155" t="e">
        <f t="shared" si="27"/>
        <v>#DIV/0!</v>
      </c>
      <c r="O28" s="143">
        <f t="shared" si="9"/>
        <v>58</v>
      </c>
      <c r="P28" s="155" t="e">
        <f t="shared" ref="P28:P33" si="35">F28/K28</f>
        <v>#DIV/0!</v>
      </c>
      <c r="Q28" s="155">
        <f>C28*(0.14*0.9)</f>
        <v>126.37800000000003</v>
      </c>
      <c r="R28" s="155">
        <f t="shared" si="34"/>
        <v>50.150000000000006</v>
      </c>
      <c r="S28" s="155">
        <f>D28*(0.3*0.9)</f>
        <v>0</v>
      </c>
      <c r="T28" s="155">
        <f>D28*0.05</f>
        <v>0</v>
      </c>
      <c r="U28" s="155">
        <f>E28*(0.277777777777777*0.9)</f>
        <v>0</v>
      </c>
      <c r="V28" s="155">
        <f>E28*0.0518518518518</f>
        <v>0</v>
      </c>
      <c r="W28" s="155">
        <f t="shared" si="28"/>
        <v>0</v>
      </c>
      <c r="X28" s="155">
        <f>F28*0.05</f>
        <v>0</v>
      </c>
      <c r="Y28" s="143">
        <f>G28*(0.194444444444444*0.9)</f>
        <v>60.899999999999864</v>
      </c>
      <c r="Z28" s="143">
        <f t="shared" si="33"/>
        <v>17.400000000000002</v>
      </c>
      <c r="AA28" s="220">
        <f t="shared" si="10"/>
        <v>826.47199999999998</v>
      </c>
      <c r="AB28" s="220">
        <f t="shared" si="11"/>
        <v>0</v>
      </c>
      <c r="AC28" s="220">
        <f t="shared" si="12"/>
        <v>0</v>
      </c>
      <c r="AD28" s="220">
        <f t="shared" si="13"/>
        <v>0</v>
      </c>
      <c r="AE28" s="220">
        <f t="shared" si="3"/>
        <v>269.70000000000016</v>
      </c>
      <c r="AF28" s="91">
        <f t="shared" si="21"/>
        <v>1096.172</v>
      </c>
      <c r="AG28" s="227">
        <f t="shared" si="32"/>
        <v>187.27799999999991</v>
      </c>
      <c r="AH28" s="144">
        <f t="shared" si="22"/>
        <v>67.550000000000011</v>
      </c>
      <c r="AI28" s="155">
        <v>0</v>
      </c>
      <c r="AJ28" s="158">
        <v>0</v>
      </c>
      <c r="AK28" s="165">
        <f t="shared" ref="AK28:AK33" si="36">AF28/(C28+D28)*100</f>
        <v>109.28933200398805</v>
      </c>
      <c r="AL28" s="144">
        <f t="shared" si="14"/>
        <v>1350.9999999999998</v>
      </c>
      <c r="AM28" s="142">
        <f t="shared" si="15"/>
        <v>12.600000000000003</v>
      </c>
      <c r="AN28" s="142" t="e">
        <f t="shared" si="16"/>
        <v>#DIV/0!</v>
      </c>
      <c r="AO28" s="142">
        <f t="shared" si="17"/>
        <v>0.1749999999999996</v>
      </c>
      <c r="AQ28" s="166">
        <f t="shared" ref="AQ28:AT33" si="37">AA28/C28</f>
        <v>0.82399999999999995</v>
      </c>
      <c r="AR28" s="166" t="e">
        <f t="shared" si="37"/>
        <v>#DIV/0!</v>
      </c>
      <c r="AS28" s="166" t="e">
        <f t="shared" si="37"/>
        <v>#DIV/0!</v>
      </c>
      <c r="AT28" s="166" t="e">
        <f t="shared" si="37"/>
        <v>#DIV/0!</v>
      </c>
      <c r="AU28" s="154">
        <f t="shared" si="8"/>
        <v>1003</v>
      </c>
    </row>
    <row r="29" spans="1:48" s="154" customFormat="1" ht="16.5" customHeight="1" x14ac:dyDescent="0.25">
      <c r="B29" s="155">
        <v>26</v>
      </c>
      <c r="C29" s="1">
        <v>904</v>
      </c>
      <c r="D29" s="1">
        <v>120</v>
      </c>
      <c r="E29" s="1">
        <v>0</v>
      </c>
      <c r="F29" s="1">
        <v>0</v>
      </c>
      <c r="G29" s="1">
        <v>351</v>
      </c>
      <c r="H29" s="1">
        <v>15.3</v>
      </c>
      <c r="I29" s="1">
        <v>2</v>
      </c>
      <c r="J29" s="1">
        <v>0</v>
      </c>
      <c r="K29" s="1">
        <v>0</v>
      </c>
      <c r="L29" s="1">
        <v>6</v>
      </c>
      <c r="M29" s="155">
        <f t="shared" si="27"/>
        <v>59.084967320261434</v>
      </c>
      <c r="N29" s="155">
        <f t="shared" si="27"/>
        <v>60</v>
      </c>
      <c r="O29" s="143">
        <f t="shared" si="9"/>
        <v>58.5</v>
      </c>
      <c r="P29" s="155" t="e">
        <f t="shared" si="35"/>
        <v>#DIV/0!</v>
      </c>
      <c r="Q29" s="156">
        <f>C29*(0.142841691*0.9)</f>
        <v>116.21599979760001</v>
      </c>
      <c r="R29" s="155">
        <f>C29*0.049917035</f>
        <v>45.124999639999999</v>
      </c>
      <c r="S29" s="156">
        <f>D29*(0.188888888*0.9)</f>
        <v>20.399999904000001</v>
      </c>
      <c r="T29" s="155">
        <f>D29*0.05</f>
        <v>6</v>
      </c>
      <c r="U29" s="155">
        <f>E29*(0.277777777777777*0.9)</f>
        <v>0</v>
      </c>
      <c r="V29" s="155">
        <f>E29*0.05</f>
        <v>0</v>
      </c>
      <c r="W29" s="155">
        <f t="shared" si="28"/>
        <v>0</v>
      </c>
      <c r="X29" s="155">
        <f>F29*0.05</f>
        <v>0</v>
      </c>
      <c r="Y29" s="143">
        <f>G29*(0.188888888*0.9)</f>
        <v>59.6699997192</v>
      </c>
      <c r="Z29" s="148">
        <f t="shared" si="33"/>
        <v>17.55</v>
      </c>
      <c r="AA29" s="220">
        <f t="shared" si="10"/>
        <v>742.65900056240002</v>
      </c>
      <c r="AB29" s="220">
        <f t="shared" si="11"/>
        <v>93.600000096000002</v>
      </c>
      <c r="AC29" s="220">
        <f t="shared" si="12"/>
        <v>0</v>
      </c>
      <c r="AD29" s="220">
        <f t="shared" si="13"/>
        <v>0</v>
      </c>
      <c r="AE29" s="237">
        <f t="shared" si="3"/>
        <v>273.78000028079998</v>
      </c>
      <c r="AF29" s="224">
        <f t="shared" si="21"/>
        <v>1110.0390009391999</v>
      </c>
      <c r="AG29" s="225">
        <f t="shared" si="32"/>
        <v>196.28599942080001</v>
      </c>
      <c r="AH29" s="148">
        <f t="shared" si="22"/>
        <v>68.674999639999996</v>
      </c>
      <c r="AI29" s="155">
        <v>0</v>
      </c>
      <c r="AJ29" s="158">
        <v>0</v>
      </c>
      <c r="AK29" s="165">
        <f t="shared" si="36"/>
        <v>108.40224618546874</v>
      </c>
      <c r="AL29" s="144">
        <f t="shared" si="14"/>
        <v>1374.9999999999998</v>
      </c>
      <c r="AM29" s="142">
        <f t="shared" si="15"/>
        <v>12.85575219</v>
      </c>
      <c r="AN29" s="142">
        <f t="shared" si="16"/>
        <v>16.99999992</v>
      </c>
      <c r="AO29" s="142">
        <f t="shared" si="17"/>
        <v>0.1699999992</v>
      </c>
      <c r="AQ29" s="166">
        <f t="shared" si="37"/>
        <v>0.82152544309999997</v>
      </c>
      <c r="AR29" s="166">
        <f t="shared" si="37"/>
        <v>0.78000000079999998</v>
      </c>
      <c r="AS29" s="166" t="e">
        <f t="shared" si="37"/>
        <v>#DIV/0!</v>
      </c>
      <c r="AT29" s="166" t="e">
        <f t="shared" si="37"/>
        <v>#DIV/0!</v>
      </c>
      <c r="AU29" s="154">
        <f t="shared" si="8"/>
        <v>1024</v>
      </c>
    </row>
    <row r="30" spans="1:48" ht="16.5" customHeight="1" x14ac:dyDescent="0.25">
      <c r="B30" s="1">
        <v>27</v>
      </c>
      <c r="C30" s="1">
        <v>828</v>
      </c>
      <c r="D30" s="1">
        <v>180</v>
      </c>
      <c r="E30" s="1">
        <v>0</v>
      </c>
      <c r="F30" s="1">
        <v>0</v>
      </c>
      <c r="G30" s="1">
        <v>240</v>
      </c>
      <c r="H30" s="1">
        <v>14.16</v>
      </c>
      <c r="I30" s="1">
        <v>3</v>
      </c>
      <c r="J30" s="1">
        <v>0</v>
      </c>
      <c r="K30" s="1">
        <v>0</v>
      </c>
      <c r="L30" s="1">
        <v>4</v>
      </c>
      <c r="M30" s="1">
        <f t="shared" si="27"/>
        <v>58.474576271186443</v>
      </c>
      <c r="N30" s="1">
        <f t="shared" si="27"/>
        <v>60</v>
      </c>
      <c r="O30" s="143">
        <f t="shared" si="9"/>
        <v>60</v>
      </c>
      <c r="P30" s="1" t="e">
        <f t="shared" si="35"/>
        <v>#DIV/0!</v>
      </c>
      <c r="Q30" s="1">
        <f>C30*(0.14139694*0.9)</f>
        <v>105.36899968799999</v>
      </c>
      <c r="R30" s="1">
        <f>C30*0.049931159</f>
        <v>41.342999652000003</v>
      </c>
      <c r="S30" s="1">
        <f>D30*(0.188888888*0.9)</f>
        <v>30.599999856</v>
      </c>
      <c r="T30" s="1">
        <f>D30*0.05</f>
        <v>9</v>
      </c>
      <c r="U30" s="1">
        <f>E30*(0.279279272727273*0.9)</f>
        <v>0</v>
      </c>
      <c r="V30" s="1">
        <f>E30*0.0513513513513513</f>
        <v>0</v>
      </c>
      <c r="W30" s="1">
        <f t="shared" si="28"/>
        <v>0</v>
      </c>
      <c r="X30" s="1">
        <f>F30*0.066666666</f>
        <v>0</v>
      </c>
      <c r="Y30" s="143">
        <f>G30*(0.198*0.9)</f>
        <v>42.768000000000008</v>
      </c>
      <c r="Z30" s="143">
        <f>G30*0.049875</f>
        <v>11.97</v>
      </c>
      <c r="AA30" s="220">
        <f t="shared" si="10"/>
        <v>681.28800065999997</v>
      </c>
      <c r="AB30" s="237">
        <f t="shared" si="11"/>
        <v>140.40000014399999</v>
      </c>
      <c r="AC30" s="220">
        <f t="shared" si="12"/>
        <v>0</v>
      </c>
      <c r="AD30" s="220">
        <f t="shared" si="13"/>
        <v>0</v>
      </c>
      <c r="AE30" s="220">
        <f t="shared" si="3"/>
        <v>185.262</v>
      </c>
      <c r="AF30" s="224">
        <f t="shared" si="21"/>
        <v>1006.950000804</v>
      </c>
      <c r="AG30" s="225">
        <f t="shared" si="32"/>
        <v>178.73699954399999</v>
      </c>
      <c r="AH30" s="148">
        <f t="shared" si="22"/>
        <v>62.312999652000002</v>
      </c>
      <c r="AI30" s="1">
        <v>0</v>
      </c>
      <c r="AJ30" s="6">
        <v>0</v>
      </c>
      <c r="AK30" s="23">
        <f t="shared" si="36"/>
        <v>99.895833413095232</v>
      </c>
      <c r="AL30" s="144">
        <f t="shared" si="14"/>
        <v>1247.9999999999998</v>
      </c>
      <c r="AM30" s="142">
        <f t="shared" si="15"/>
        <v>12.725724599999999</v>
      </c>
      <c r="AN30" s="142">
        <f t="shared" si="16"/>
        <v>16.99999992</v>
      </c>
      <c r="AO30" s="142">
        <f t="shared" si="17"/>
        <v>0.17820000000000003</v>
      </c>
      <c r="AQ30" s="216">
        <f t="shared" si="37"/>
        <v>0.82281159500000001</v>
      </c>
      <c r="AR30" s="216">
        <f t="shared" si="37"/>
        <v>0.78000000079999998</v>
      </c>
      <c r="AS30" s="216" t="e">
        <f t="shared" si="37"/>
        <v>#DIV/0!</v>
      </c>
      <c r="AT30" s="216" t="e">
        <f t="shared" si="37"/>
        <v>#DIV/0!</v>
      </c>
      <c r="AU30">
        <f t="shared" si="8"/>
        <v>1008</v>
      </c>
    </row>
    <row r="31" spans="1:48" s="13" customFormat="1" x14ac:dyDescent="0.25">
      <c r="A31" s="116"/>
      <c r="B31" s="14">
        <v>28</v>
      </c>
      <c r="C31" s="1">
        <v>1172</v>
      </c>
      <c r="D31" s="1">
        <v>0</v>
      </c>
      <c r="E31" s="1">
        <v>0</v>
      </c>
      <c r="F31" s="1">
        <v>58</v>
      </c>
      <c r="G31" s="1">
        <v>200</v>
      </c>
      <c r="H31" s="1">
        <v>19.25</v>
      </c>
      <c r="I31" s="1">
        <v>0</v>
      </c>
      <c r="J31" s="1">
        <v>0</v>
      </c>
      <c r="K31" s="1">
        <v>1</v>
      </c>
      <c r="L31" s="1">
        <v>3.2</v>
      </c>
      <c r="M31" s="14">
        <f t="shared" si="27"/>
        <v>60.883116883116884</v>
      </c>
      <c r="N31" s="14" t="e">
        <f t="shared" si="27"/>
        <v>#DIV/0!</v>
      </c>
      <c r="O31" s="143">
        <f t="shared" si="9"/>
        <v>62.5</v>
      </c>
      <c r="P31" s="14">
        <f t="shared" si="35"/>
        <v>58</v>
      </c>
      <c r="Q31" s="221">
        <f>C31*(0.144444444444444*0.9)</f>
        <v>152.35999999999953</v>
      </c>
      <c r="R31" s="14">
        <f>C31*0.05</f>
        <v>58.6</v>
      </c>
      <c r="S31" s="14">
        <f>D31*(0.332056194*0.9)</f>
        <v>0</v>
      </c>
      <c r="T31" s="14">
        <f>D31*0.048850574</f>
        <v>0</v>
      </c>
      <c r="U31" s="14">
        <f>E31*(0.227920227988888*0.9)</f>
        <v>0</v>
      </c>
      <c r="V31" s="14">
        <f>E31*0.04871794875</f>
        <v>0</v>
      </c>
      <c r="W31" s="14">
        <f t="shared" si="28"/>
        <v>0</v>
      </c>
      <c r="X31" s="14">
        <f>F31*0.04987932</f>
        <v>2.8930005599999999</v>
      </c>
      <c r="Y31" s="143">
        <f>G31*(0.18888888889*0.9)</f>
        <v>34.000000000199996</v>
      </c>
      <c r="Z31" s="238">
        <f>G31*0.05</f>
        <v>10</v>
      </c>
      <c r="AA31" s="220">
        <f t="shared" si="10"/>
        <v>961.04000000000042</v>
      </c>
      <c r="AB31" s="220">
        <f t="shared" si="11"/>
        <v>0</v>
      </c>
      <c r="AC31" s="220">
        <f t="shared" si="12"/>
        <v>0</v>
      </c>
      <c r="AD31" s="220">
        <f t="shared" si="13"/>
        <v>55.106999440000003</v>
      </c>
      <c r="AE31" s="220">
        <f t="shared" si="3"/>
        <v>155.9999999998</v>
      </c>
      <c r="AF31" s="91">
        <f t="shared" si="21"/>
        <v>1172.1469994398003</v>
      </c>
      <c r="AG31" s="227">
        <f t="shared" si="32"/>
        <v>186.36000000019953</v>
      </c>
      <c r="AH31" s="144">
        <f t="shared" si="22"/>
        <v>71.493000559999999</v>
      </c>
      <c r="AI31" s="14">
        <v>0</v>
      </c>
      <c r="AJ31" s="27">
        <v>0</v>
      </c>
      <c r="AK31" s="97">
        <f t="shared" si="36"/>
        <v>100.01254261431743</v>
      </c>
      <c r="AL31" s="144">
        <f t="shared" si="14"/>
        <v>1429.9999999999998</v>
      </c>
      <c r="AM31" s="142">
        <f t="shared" si="15"/>
        <v>12.999999999999959</v>
      </c>
      <c r="AN31" s="142" t="e">
        <f t="shared" si="16"/>
        <v>#DIV/0!</v>
      </c>
      <c r="AO31" s="142">
        <f t="shared" si="17"/>
        <v>0.17000000000099999</v>
      </c>
      <c r="AQ31" s="117">
        <f t="shared" si="37"/>
        <v>0.8200000000000004</v>
      </c>
      <c r="AR31" s="117" t="e">
        <f t="shared" si="37"/>
        <v>#DIV/0!</v>
      </c>
      <c r="AS31" s="117" t="e">
        <f t="shared" si="37"/>
        <v>#DIV/0!</v>
      </c>
      <c r="AT31" s="117">
        <f t="shared" si="37"/>
        <v>0.95012068000000005</v>
      </c>
      <c r="AU31">
        <f t="shared" si="8"/>
        <v>1230</v>
      </c>
    </row>
    <row r="32" spans="1:48" x14ac:dyDescent="0.25">
      <c r="B32" s="1">
        <v>29</v>
      </c>
      <c r="C32" s="1">
        <v>818</v>
      </c>
      <c r="D32" s="1">
        <v>0</v>
      </c>
      <c r="E32" s="1">
        <v>0</v>
      </c>
      <c r="F32" s="1">
        <v>174</v>
      </c>
      <c r="G32" s="1">
        <v>180</v>
      </c>
      <c r="H32" s="1">
        <v>13.36</v>
      </c>
      <c r="I32" s="1">
        <v>0</v>
      </c>
      <c r="J32" s="1">
        <v>0</v>
      </c>
      <c r="K32" s="1">
        <v>3</v>
      </c>
      <c r="L32" s="1">
        <v>3</v>
      </c>
      <c r="M32" s="1">
        <f t="shared" si="27"/>
        <v>61.227544910179645</v>
      </c>
      <c r="N32" s="1" t="e">
        <f t="shared" si="27"/>
        <v>#DIV/0!</v>
      </c>
      <c r="O32" s="143">
        <f t="shared" si="9"/>
        <v>60</v>
      </c>
      <c r="P32" s="1">
        <f t="shared" si="35"/>
        <v>58</v>
      </c>
      <c r="Q32" s="1">
        <f>C32*(0.155555555555555*0.9)</f>
        <v>114.5199999999996</v>
      </c>
      <c r="R32" s="1">
        <f>C32*0.05</f>
        <v>40.900000000000006</v>
      </c>
      <c r="S32" s="1">
        <f>D32*(0.305555555555555*0.9)</f>
        <v>0</v>
      </c>
      <c r="T32" s="1">
        <f>D32*0.05</f>
        <v>0</v>
      </c>
      <c r="U32" s="1">
        <f>E32*(0.28888888888889*0.9)</f>
        <v>0</v>
      </c>
      <c r="V32" s="1">
        <f>E32*0.05</f>
        <v>0</v>
      </c>
      <c r="W32" s="1">
        <f t="shared" si="28"/>
        <v>0</v>
      </c>
      <c r="X32" s="1">
        <f>F32*0.05</f>
        <v>8.7000000000000011</v>
      </c>
      <c r="Y32" s="143">
        <f>G32*(0.198*0.9)</f>
        <v>32.076000000000008</v>
      </c>
      <c r="Z32" s="143">
        <f>G32*0.0498722222222222</f>
        <v>8.9769999999999968</v>
      </c>
      <c r="AA32" s="220">
        <f t="shared" si="10"/>
        <v>662.58000000000038</v>
      </c>
      <c r="AB32" s="220">
        <f t="shared" si="11"/>
        <v>0</v>
      </c>
      <c r="AC32" s="220">
        <f t="shared" si="12"/>
        <v>0</v>
      </c>
      <c r="AD32" s="220">
        <f t="shared" si="13"/>
        <v>165.3</v>
      </c>
      <c r="AE32" s="220">
        <f t="shared" si="3"/>
        <v>138.94699999999997</v>
      </c>
      <c r="AF32" s="91">
        <f t="shared" si="21"/>
        <v>966.82700000000034</v>
      </c>
      <c r="AG32" s="227">
        <f t="shared" si="32"/>
        <v>146.59599999999961</v>
      </c>
      <c r="AH32" s="148">
        <f t="shared" si="22"/>
        <v>58.577000000000005</v>
      </c>
      <c r="AI32" s="1">
        <v>0</v>
      </c>
      <c r="AJ32" s="6">
        <v>0</v>
      </c>
      <c r="AK32" s="93">
        <f t="shared" si="36"/>
        <v>118.19400977995113</v>
      </c>
      <c r="AL32" s="144">
        <f t="shared" si="14"/>
        <v>1172</v>
      </c>
      <c r="AM32" s="142">
        <f t="shared" si="15"/>
        <v>13.999999999999952</v>
      </c>
      <c r="AN32" s="142" t="e">
        <f t="shared" si="16"/>
        <v>#DIV/0!</v>
      </c>
      <c r="AO32" s="142">
        <f t="shared" si="17"/>
        <v>0.17820000000000005</v>
      </c>
      <c r="AQ32" s="117">
        <f t="shared" si="37"/>
        <v>0.8100000000000005</v>
      </c>
      <c r="AR32" s="117" t="e">
        <f t="shared" si="37"/>
        <v>#DIV/0!</v>
      </c>
      <c r="AS32" s="117" t="e">
        <f t="shared" si="37"/>
        <v>#DIV/0!</v>
      </c>
      <c r="AT32" s="117">
        <f t="shared" si="37"/>
        <v>0.95000000000000007</v>
      </c>
      <c r="AU32">
        <f t="shared" si="8"/>
        <v>992</v>
      </c>
    </row>
    <row r="33" spans="1:47" x14ac:dyDescent="0.25">
      <c r="B33" s="1">
        <v>30</v>
      </c>
      <c r="C33" s="1">
        <v>525</v>
      </c>
      <c r="D33" s="1">
        <v>120</v>
      </c>
      <c r="E33" s="1">
        <v>0</v>
      </c>
      <c r="F33" s="1">
        <v>55</v>
      </c>
      <c r="G33" s="1">
        <v>610</v>
      </c>
      <c r="H33" s="1">
        <v>9</v>
      </c>
      <c r="I33" s="1">
        <v>2</v>
      </c>
      <c r="J33" s="1">
        <v>0</v>
      </c>
      <c r="K33" s="1">
        <v>1</v>
      </c>
      <c r="L33" s="1">
        <v>9.5</v>
      </c>
      <c r="M33" s="1">
        <f t="shared" si="27"/>
        <v>58.333333333333336</v>
      </c>
      <c r="N33" s="1">
        <f t="shared" si="27"/>
        <v>60</v>
      </c>
      <c r="O33" s="143">
        <f t="shared" si="9"/>
        <v>64.21052631578948</v>
      </c>
      <c r="P33" s="1">
        <f t="shared" si="35"/>
        <v>55</v>
      </c>
      <c r="Q33" s="12">
        <f>C33*(0.133333333333333*0.9)</f>
        <v>62.999999999999844</v>
      </c>
      <c r="R33" s="222">
        <f>C33*0.05</f>
        <v>26.25</v>
      </c>
      <c r="S33" s="1">
        <f>D33*(0.209*0.9)</f>
        <v>22.571999999999999</v>
      </c>
      <c r="T33" s="1">
        <f>D33*0.05</f>
        <v>6</v>
      </c>
      <c r="U33" s="1">
        <f>E33*(0.21021021021*0.9)</f>
        <v>0</v>
      </c>
      <c r="V33" s="1">
        <f>E33*0.05135135135135</f>
        <v>0</v>
      </c>
      <c r="W33" s="1">
        <f t="shared" si="28"/>
        <v>0</v>
      </c>
      <c r="X33" s="1">
        <f>F33*0.04991818181818</f>
        <v>2.7454999999998999</v>
      </c>
      <c r="Y33" s="143">
        <f>G33*(0.1825956288*0.9)</f>
        <v>100.24500021119999</v>
      </c>
      <c r="Z33" s="143">
        <f>G33*0.04997540989</f>
        <v>30.4850000329</v>
      </c>
      <c r="AA33" s="220">
        <f t="shared" si="10"/>
        <v>435.75000000000017</v>
      </c>
      <c r="AB33" s="220">
        <f t="shared" si="11"/>
        <v>91.427999999999997</v>
      </c>
      <c r="AC33" s="220">
        <f t="shared" si="12"/>
        <v>0</v>
      </c>
      <c r="AD33" s="220">
        <f t="shared" si="13"/>
        <v>52.2545000000001</v>
      </c>
      <c r="AE33" s="220">
        <f t="shared" si="3"/>
        <v>479.26999975589996</v>
      </c>
      <c r="AF33" s="91">
        <f t="shared" si="21"/>
        <v>1058.7024997559001</v>
      </c>
      <c r="AG33" s="227">
        <f t="shared" si="32"/>
        <v>185.81700021119985</v>
      </c>
      <c r="AH33" s="144">
        <f t="shared" si="22"/>
        <v>65.480500032899897</v>
      </c>
      <c r="AI33" s="1">
        <v>0</v>
      </c>
      <c r="AJ33" s="6">
        <v>0</v>
      </c>
      <c r="AK33" s="93">
        <f t="shared" si="36"/>
        <v>164.13992244277523</v>
      </c>
      <c r="AL33" s="144">
        <f t="shared" si="14"/>
        <v>1310</v>
      </c>
      <c r="AM33" s="142">
        <f t="shared" si="15"/>
        <v>11.99999999999997</v>
      </c>
      <c r="AN33" s="142">
        <f t="shared" si="16"/>
        <v>18.809999999999999</v>
      </c>
      <c r="AO33" s="142">
        <f t="shared" si="17"/>
        <v>0.16433606592</v>
      </c>
      <c r="AQ33" s="117">
        <f t="shared" si="37"/>
        <v>0.83000000000000029</v>
      </c>
      <c r="AR33" s="117">
        <f t="shared" si="37"/>
        <v>0.76190000000000002</v>
      </c>
      <c r="AS33" s="117" t="e">
        <f t="shared" si="37"/>
        <v>#DIV/0!</v>
      </c>
      <c r="AT33" s="117">
        <f t="shared" si="37"/>
        <v>0.95008181818182003</v>
      </c>
      <c r="AU33">
        <f t="shared" si="8"/>
        <v>700</v>
      </c>
    </row>
    <row r="34" spans="1:47" s="129" customFormat="1" x14ac:dyDescent="0.25">
      <c r="B34" s="130">
        <v>31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31" t="e">
        <f t="shared" ref="M34:N34" si="38">C34/H34</f>
        <v>#DIV/0!</v>
      </c>
      <c r="N34" s="131" t="e">
        <f t="shared" si="38"/>
        <v>#DIV/0!</v>
      </c>
      <c r="O34" s="143" t="e">
        <f t="shared" ref="O34" si="39">G34/L34</f>
        <v>#DIV/0!</v>
      </c>
      <c r="P34" s="131" t="e">
        <f t="shared" ref="P34" si="40">F34/K34</f>
        <v>#DIV/0!</v>
      </c>
      <c r="Q34" s="131">
        <f>C34*(0.188888888888888*0.9)</f>
        <v>0</v>
      </c>
      <c r="R34" s="131">
        <f>C34*0.05</f>
        <v>0</v>
      </c>
      <c r="S34" s="131">
        <f>D34*(0.3096446704*0.9)</f>
        <v>0</v>
      </c>
      <c r="T34" s="131">
        <f>D34*0.05</f>
        <v>0</v>
      </c>
      <c r="U34" s="131">
        <f>E34*(0.222222222222222*0.9)</f>
        <v>0</v>
      </c>
      <c r="V34" s="131">
        <f>E34*0.05</f>
        <v>0</v>
      </c>
      <c r="W34" s="130">
        <f t="shared" ref="W34" si="41">F34*(0*0.9)</f>
        <v>0</v>
      </c>
      <c r="X34" s="130">
        <f>F34*0.0512096777</f>
        <v>0</v>
      </c>
      <c r="Y34" s="143">
        <f t="shared" ref="Y34" si="42">G34*(0.316666666666666*0.9)</f>
        <v>0</v>
      </c>
      <c r="Z34" s="143">
        <f>G34*0.05</f>
        <v>0</v>
      </c>
      <c r="AA34" s="220">
        <f t="shared" ref="AA34" si="43">C34-Q34-R34</f>
        <v>0</v>
      </c>
      <c r="AB34" s="220">
        <f t="shared" ref="AB34" si="44">D34-S34-T34</f>
        <v>0</v>
      </c>
      <c r="AC34" s="220">
        <f t="shared" ref="AC34" si="45">E34-U34-V34</f>
        <v>0</v>
      </c>
      <c r="AD34" s="220">
        <f t="shared" ref="AD34" si="46">F34-W34-X34</f>
        <v>0</v>
      </c>
      <c r="AE34" s="220">
        <f t="shared" ref="AE34" si="47">G34-Y34-Z34</f>
        <v>0</v>
      </c>
      <c r="AF34" s="91">
        <f t="shared" ref="AF34" si="48">AA34+AB34+AC34+AD34+AE34</f>
        <v>0</v>
      </c>
      <c r="AG34" s="227">
        <f t="shared" ref="AG34" si="49">Q34+S34+U34+Y34</f>
        <v>0</v>
      </c>
      <c r="AH34" s="144">
        <f t="shared" ref="AH34" si="50">R34+T34+V34+X34+Z34</f>
        <v>0</v>
      </c>
      <c r="AI34" s="131">
        <v>0</v>
      </c>
      <c r="AJ34" s="132">
        <v>0</v>
      </c>
      <c r="AK34" s="133" t="e">
        <f t="shared" ref="AK34" si="51">AF34/(C34+D34)*100</f>
        <v>#DIV/0!</v>
      </c>
      <c r="AL34" s="144">
        <f t="shared" ref="AL34" si="52">AF34+AG34+AH34</f>
        <v>0</v>
      </c>
      <c r="AM34" s="142" t="e">
        <f t="shared" ref="AM34" si="53">(Q34)/C34*100</f>
        <v>#DIV/0!</v>
      </c>
      <c r="AN34" s="142" t="e">
        <f t="shared" ref="AN34" si="54">(S34)/D34*100</f>
        <v>#DIV/0!</v>
      </c>
      <c r="AO34" s="142" t="e">
        <f t="shared" ref="AO34" si="55">Y34/G34</f>
        <v>#DIV/0!</v>
      </c>
      <c r="AQ34" s="134" t="e">
        <f t="shared" ref="AQ34:AT34" si="56">AA34/C34</f>
        <v>#DIV/0!</v>
      </c>
      <c r="AR34" s="134" t="e">
        <f t="shared" si="56"/>
        <v>#DIV/0!</v>
      </c>
      <c r="AS34" s="134" t="e">
        <f t="shared" si="56"/>
        <v>#DIV/0!</v>
      </c>
      <c r="AT34" s="117" t="e">
        <f t="shared" si="56"/>
        <v>#DIV/0!</v>
      </c>
      <c r="AU34">
        <f t="shared" ref="AU34" si="57">C34+D34+E34+F34</f>
        <v>0</v>
      </c>
    </row>
    <row r="35" spans="1:47" x14ac:dyDescent="0.25">
      <c r="B35" s="1"/>
      <c r="C35" s="1">
        <v>0</v>
      </c>
      <c r="D35" s="1">
        <v>0</v>
      </c>
      <c r="E35" s="1">
        <v>0</v>
      </c>
      <c r="F35" s="1">
        <v>0</v>
      </c>
      <c r="G35" s="1"/>
      <c r="H35" s="1">
        <v>0</v>
      </c>
      <c r="I35" s="1">
        <v>0</v>
      </c>
      <c r="J35" s="1">
        <v>0</v>
      </c>
      <c r="K35" s="2"/>
      <c r="L35" s="2"/>
      <c r="M35" s="1" t="e">
        <f t="shared" ref="M35:N40" si="58">C35/H35</f>
        <v>#DIV/0!</v>
      </c>
      <c r="N35" s="1" t="e">
        <f t="shared" si="58"/>
        <v>#DIV/0!</v>
      </c>
      <c r="O35" s="1"/>
      <c r="P35" s="1"/>
      <c r="Q35" s="1">
        <f t="shared" ref="Q35:Q40" si="59">C35*(0.1*0.9)</f>
        <v>0</v>
      </c>
      <c r="R35" s="1">
        <f t="shared" ref="R35:R40" si="60">C35*0.045</f>
        <v>0</v>
      </c>
      <c r="S35" s="1">
        <f t="shared" ref="S35:S40" si="61">D35*(0.18*0.9)</f>
        <v>0</v>
      </c>
      <c r="T35" s="1">
        <f t="shared" ref="T35:T40" si="62">D35*0.045</f>
        <v>0</v>
      </c>
      <c r="U35" s="1"/>
      <c r="V35" s="1"/>
      <c r="W35" s="1"/>
      <c r="X35" s="1"/>
      <c r="Y35" s="1"/>
      <c r="Z35" s="1"/>
      <c r="AA35" s="143">
        <f t="shared" ref="AA35:AA38" si="63">C35-Q35-R35</f>
        <v>0</v>
      </c>
      <c r="AB35" s="143">
        <f t="shared" ref="AB35:AB36" si="64">D35-S35-T35</f>
        <v>0</v>
      </c>
      <c r="AC35" s="143">
        <f t="shared" ref="AC35:AC37" si="65">E35-U35-V35</f>
        <v>0</v>
      </c>
      <c r="AD35" s="143">
        <f t="shared" ref="AD35:AD37" si="66">F35-X35</f>
        <v>0</v>
      </c>
      <c r="AE35" s="143">
        <f t="shared" ref="AE35:AE38" si="67">G35-Y35-Z35</f>
        <v>0</v>
      </c>
      <c r="AF35" s="143">
        <f t="shared" ref="AF35:AF36" si="68">AA35+AB35+AC35+AD35+AE35</f>
        <v>0</v>
      </c>
      <c r="AG35" s="91">
        <f t="shared" ref="AG35:AG39" si="69">Q35+S35+U35+Y35</f>
        <v>0</v>
      </c>
      <c r="AH35" s="74">
        <f t="shared" ref="AH35:AH38" si="70">R35+T35+V35+X35+Z35</f>
        <v>0</v>
      </c>
      <c r="AI35" s="1">
        <v>0</v>
      </c>
      <c r="AJ35" s="1">
        <v>0</v>
      </c>
      <c r="AK35" s="23" t="e">
        <f t="shared" ref="AK35:AK40" si="71">AF35/(C35+D35)*100</f>
        <v>#DIV/0!</v>
      </c>
      <c r="AL35" s="144">
        <f t="shared" ref="AL35:AL39" si="72">AF35+AG35+AH35</f>
        <v>0</v>
      </c>
      <c r="AM35" t="e">
        <f>(Q35+#REF!)/C35*100</f>
        <v>#REF!</v>
      </c>
      <c r="AU35">
        <f t="shared" ref="AU35:AU36" si="73">C35+D35+E35+F35</f>
        <v>0</v>
      </c>
    </row>
    <row r="36" spans="1:47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e">
        <f t="shared" si="58"/>
        <v>#DIV/0!</v>
      </c>
      <c r="N36" s="1" t="e">
        <f t="shared" si="58"/>
        <v>#DIV/0!</v>
      </c>
      <c r="O36" s="1"/>
      <c r="P36" s="1"/>
      <c r="Q36" s="1">
        <f t="shared" si="59"/>
        <v>0</v>
      </c>
      <c r="R36" s="1">
        <f t="shared" si="60"/>
        <v>0</v>
      </c>
      <c r="S36" s="1">
        <f t="shared" si="61"/>
        <v>0</v>
      </c>
      <c r="T36" s="1">
        <f t="shared" si="62"/>
        <v>0</v>
      </c>
      <c r="U36" s="1"/>
      <c r="V36" s="1"/>
      <c r="W36" s="1"/>
      <c r="X36" s="1"/>
      <c r="Y36" s="1"/>
      <c r="Z36" s="1"/>
      <c r="AA36" s="143">
        <f t="shared" si="63"/>
        <v>0</v>
      </c>
      <c r="AB36" s="143">
        <f t="shared" si="64"/>
        <v>0</v>
      </c>
      <c r="AC36" s="143">
        <f t="shared" si="65"/>
        <v>0</v>
      </c>
      <c r="AD36" s="143">
        <f t="shared" si="66"/>
        <v>0</v>
      </c>
      <c r="AE36" s="143">
        <f t="shared" si="67"/>
        <v>0</v>
      </c>
      <c r="AF36" s="143">
        <f t="shared" si="68"/>
        <v>0</v>
      </c>
      <c r="AG36" s="91">
        <f t="shared" si="69"/>
        <v>0</v>
      </c>
      <c r="AH36" s="74">
        <f t="shared" si="70"/>
        <v>0</v>
      </c>
      <c r="AI36" s="1">
        <v>0</v>
      </c>
      <c r="AJ36" s="1">
        <v>0</v>
      </c>
      <c r="AK36" s="23" t="e">
        <f t="shared" si="71"/>
        <v>#DIV/0!</v>
      </c>
      <c r="AL36" s="144">
        <f t="shared" si="72"/>
        <v>0</v>
      </c>
      <c r="AM36" t="e">
        <f>(Q36+#REF!)/C36*100</f>
        <v>#REF!</v>
      </c>
      <c r="AU36">
        <f t="shared" si="73"/>
        <v>0</v>
      </c>
    </row>
    <row r="37" spans="1:47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e">
        <f t="shared" si="58"/>
        <v>#DIV/0!</v>
      </c>
      <c r="N37" s="1" t="e">
        <f t="shared" si="58"/>
        <v>#DIV/0!</v>
      </c>
      <c r="O37" s="1"/>
      <c r="P37" s="1"/>
      <c r="Q37" s="1">
        <f t="shared" si="59"/>
        <v>0</v>
      </c>
      <c r="R37" s="1">
        <f t="shared" si="60"/>
        <v>0</v>
      </c>
      <c r="S37" s="1">
        <f t="shared" si="61"/>
        <v>0</v>
      </c>
      <c r="T37" s="1">
        <f t="shared" si="62"/>
        <v>0</v>
      </c>
      <c r="U37" s="1"/>
      <c r="V37" s="1"/>
      <c r="W37" s="1"/>
      <c r="X37" s="1"/>
      <c r="Y37" s="1"/>
      <c r="Z37" s="1"/>
      <c r="AA37" s="143">
        <f t="shared" si="63"/>
        <v>0</v>
      </c>
      <c r="AB37" s="1" t="e">
        <f>D37-S37-T37-#REF!</f>
        <v>#REF!</v>
      </c>
      <c r="AC37" s="143">
        <f t="shared" si="65"/>
        <v>0</v>
      </c>
      <c r="AD37" s="143">
        <f t="shared" si="66"/>
        <v>0</v>
      </c>
      <c r="AE37" s="143">
        <f t="shared" si="67"/>
        <v>0</v>
      </c>
      <c r="AF37" s="143" t="e">
        <f t="shared" ref="AF37:AF38" si="74">AA37+AB37+AC37+AD37+AE37</f>
        <v>#REF!</v>
      </c>
      <c r="AG37" s="91">
        <f t="shared" si="69"/>
        <v>0</v>
      </c>
      <c r="AH37" s="74">
        <f t="shared" si="70"/>
        <v>0</v>
      </c>
      <c r="AI37" s="1">
        <v>0</v>
      </c>
      <c r="AJ37" s="1">
        <v>0</v>
      </c>
      <c r="AK37" s="23" t="e">
        <f t="shared" si="71"/>
        <v>#REF!</v>
      </c>
      <c r="AL37" s="144" t="e">
        <f t="shared" si="72"/>
        <v>#REF!</v>
      </c>
      <c r="AM37" t="e">
        <f>(Q37+#REF!)/C37*100</f>
        <v>#REF!</v>
      </c>
    </row>
    <row r="38" spans="1:47" ht="13.5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e">
        <f t="shared" si="58"/>
        <v>#DIV/0!</v>
      </c>
      <c r="N38" s="1" t="e">
        <f t="shared" si="58"/>
        <v>#DIV/0!</v>
      </c>
      <c r="O38" s="1"/>
      <c r="P38" s="1"/>
      <c r="Q38" s="1">
        <f t="shared" si="59"/>
        <v>0</v>
      </c>
      <c r="R38" s="1">
        <f t="shared" si="60"/>
        <v>0</v>
      </c>
      <c r="S38" s="1">
        <f t="shared" si="61"/>
        <v>0</v>
      </c>
      <c r="T38" s="1">
        <f t="shared" si="62"/>
        <v>0</v>
      </c>
      <c r="U38" s="1"/>
      <c r="V38" s="1"/>
      <c r="W38" s="1"/>
      <c r="X38" s="1"/>
      <c r="Y38" s="1"/>
      <c r="Z38" s="1"/>
      <c r="AA38" s="143">
        <f t="shared" si="63"/>
        <v>0</v>
      </c>
      <c r="AB38" s="1" t="e">
        <f>D38-S38-T38-#REF!</f>
        <v>#REF!</v>
      </c>
      <c r="AC38" s="1"/>
      <c r="AD38" s="1"/>
      <c r="AE38" s="143">
        <f t="shared" si="67"/>
        <v>0</v>
      </c>
      <c r="AF38" s="143" t="e">
        <f t="shared" si="74"/>
        <v>#REF!</v>
      </c>
      <c r="AG38" s="91">
        <f t="shared" si="69"/>
        <v>0</v>
      </c>
      <c r="AH38" s="74">
        <f t="shared" si="70"/>
        <v>0</v>
      </c>
      <c r="AI38" s="1">
        <v>0</v>
      </c>
      <c r="AJ38" s="1">
        <v>0</v>
      </c>
      <c r="AK38" s="23" t="e">
        <f t="shared" si="71"/>
        <v>#REF!</v>
      </c>
      <c r="AL38" s="144" t="e">
        <f t="shared" si="72"/>
        <v>#REF!</v>
      </c>
      <c r="AM38" t="e">
        <f>(Q38+#REF!)/C38*100</f>
        <v>#REF!</v>
      </c>
    </row>
    <row r="39" spans="1:4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e">
        <f t="shared" si="58"/>
        <v>#DIV/0!</v>
      </c>
      <c r="N39" s="1" t="e">
        <f t="shared" si="58"/>
        <v>#DIV/0!</v>
      </c>
      <c r="O39" s="1"/>
      <c r="P39" s="1"/>
      <c r="Q39" s="1">
        <f t="shared" si="59"/>
        <v>0</v>
      </c>
      <c r="R39" s="1">
        <f t="shared" si="60"/>
        <v>0</v>
      </c>
      <c r="S39" s="1">
        <f t="shared" si="61"/>
        <v>0</v>
      </c>
      <c r="T39" s="1">
        <f t="shared" si="62"/>
        <v>0</v>
      </c>
      <c r="U39" s="1"/>
      <c r="V39" s="1"/>
      <c r="W39" s="1"/>
      <c r="X39" s="1"/>
      <c r="Y39" s="1"/>
      <c r="Z39" s="1"/>
      <c r="AA39" s="143">
        <f t="shared" ref="AA39" si="75">C39-Q39-R39</f>
        <v>0</v>
      </c>
      <c r="AB39" s="1" t="e">
        <f>D39-S39-T39-#REF!</f>
        <v>#REF!</v>
      </c>
      <c r="AC39" s="1"/>
      <c r="AD39" s="1"/>
      <c r="AE39" s="1"/>
      <c r="AF39" s="11" t="e">
        <f>AA39+AB39</f>
        <v>#REF!</v>
      </c>
      <c r="AG39" s="91">
        <f t="shared" si="69"/>
        <v>0</v>
      </c>
      <c r="AH39" s="12">
        <f>R39+T39</f>
        <v>0</v>
      </c>
      <c r="AI39" s="1">
        <v>0</v>
      </c>
      <c r="AJ39" s="1"/>
      <c r="AK39" s="23" t="e">
        <f t="shared" si="71"/>
        <v>#REF!</v>
      </c>
      <c r="AL39" s="144" t="e">
        <f t="shared" si="72"/>
        <v>#REF!</v>
      </c>
      <c r="AM39" t="e">
        <f>(Q39+#REF!)/C39*100</f>
        <v>#REF!</v>
      </c>
    </row>
    <row r="40" spans="1:47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e">
        <f t="shared" si="58"/>
        <v>#DIV/0!</v>
      </c>
      <c r="N40" s="1" t="e">
        <f t="shared" si="58"/>
        <v>#DIV/0!</v>
      </c>
      <c r="O40" s="1"/>
      <c r="P40" s="1"/>
      <c r="Q40" s="1">
        <f t="shared" si="59"/>
        <v>0</v>
      </c>
      <c r="R40" s="1">
        <f t="shared" si="60"/>
        <v>0</v>
      </c>
      <c r="S40" s="1">
        <f t="shared" si="61"/>
        <v>0</v>
      </c>
      <c r="T40" s="1">
        <f t="shared" si="62"/>
        <v>0</v>
      </c>
      <c r="U40" s="1"/>
      <c r="V40" s="1"/>
      <c r="W40" s="1"/>
      <c r="X40" s="1"/>
      <c r="Y40" s="1"/>
      <c r="Z40" s="1"/>
      <c r="AA40" s="1" t="e">
        <f>C40-Q40-R40-#REF!</f>
        <v>#REF!</v>
      </c>
      <c r="AB40" s="1" t="e">
        <f>D40-S40-T40-#REF!</f>
        <v>#REF!</v>
      </c>
      <c r="AC40" s="1"/>
      <c r="AD40" s="1"/>
      <c r="AE40" s="1"/>
      <c r="AF40" s="11" t="e">
        <f>AA40+AB40</f>
        <v>#REF!</v>
      </c>
      <c r="AG40" s="1">
        <f>Q40+S40</f>
        <v>0</v>
      </c>
      <c r="AH40" s="12">
        <f>R40+T40</f>
        <v>0</v>
      </c>
      <c r="AI40" s="1">
        <v>0</v>
      </c>
      <c r="AJ40" s="1"/>
      <c r="AK40" s="23" t="e">
        <f t="shared" si="71"/>
        <v>#REF!</v>
      </c>
      <c r="AL40" s="1"/>
      <c r="AM40" t="e">
        <f>(Q40+#REF!)/C40*100</f>
        <v>#REF!</v>
      </c>
    </row>
    <row r="41" spans="1:47" x14ac:dyDescent="0.25">
      <c r="A41" t="s">
        <v>44</v>
      </c>
      <c r="B41" s="1" t="s">
        <v>82</v>
      </c>
      <c r="C41" s="1">
        <f>SUM(C30:C40)</f>
        <v>3343</v>
      </c>
      <c r="D41" s="1">
        <f>SUM(D30:D40)</f>
        <v>300</v>
      </c>
      <c r="E41" s="1"/>
      <c r="F41" s="1"/>
      <c r="G41" s="1"/>
      <c r="H41" s="1">
        <f>SUM(H30:H40)</f>
        <v>55.769999999999996</v>
      </c>
      <c r="I41" s="1">
        <f>SUM(I30:I40)</f>
        <v>5</v>
      </c>
      <c r="J41" s="1"/>
      <c r="K41" s="1"/>
      <c r="L41" s="1"/>
      <c r="M41" s="1" t="e">
        <f>SUM(M30:M40)</f>
        <v>#DIV/0!</v>
      </c>
      <c r="N41" s="1" t="e">
        <f>SUM(N30:N40)</f>
        <v>#DIV/0!</v>
      </c>
      <c r="O41" s="1"/>
      <c r="P41" s="1" t="e">
        <f>SUM(P4:P34)</f>
        <v>#DIV/0!</v>
      </c>
      <c r="Q41" s="1">
        <f>SUM(Q30:Q40)</f>
        <v>435.24899968799895</v>
      </c>
      <c r="R41" s="1">
        <f>SUM(R30:R40)</f>
        <v>167.092999652</v>
      </c>
      <c r="S41" s="1">
        <f>SUM(S30:S40)</f>
        <v>53.171999855999999</v>
      </c>
      <c r="T41" s="1">
        <f>SUM(T30:T40)</f>
        <v>15</v>
      </c>
      <c r="U41" s="1"/>
      <c r="V41" s="1"/>
      <c r="W41" s="1"/>
      <c r="X41" s="1"/>
      <c r="Y41" s="1"/>
      <c r="Z41" s="1"/>
      <c r="AA41" s="1" t="e">
        <f>SUM(AA30:AA40)</f>
        <v>#REF!</v>
      </c>
      <c r="AB41" s="1" t="e">
        <f>SUM(AB30:AB40)</f>
        <v>#REF!</v>
      </c>
      <c r="AC41" s="1"/>
      <c r="AD41" s="1"/>
      <c r="AE41" s="1"/>
      <c r="AF41" s="11">
        <f>SUM(AF4:AF34)</f>
        <v>27702.584515764822</v>
      </c>
      <c r="AG41" s="11">
        <f>SUM(AG30:AG40)</f>
        <v>697.50999975539901</v>
      </c>
      <c r="AH41" s="11">
        <f>SUM(AH30:AH40)</f>
        <v>257.86350024489991</v>
      </c>
      <c r="AI41" s="1">
        <v>0</v>
      </c>
      <c r="AJ41" s="1"/>
      <c r="AK41" s="1"/>
      <c r="AL41" s="1"/>
      <c r="AM41" t="e">
        <f>(Q41+#REF!)/C41*100</f>
        <v>#REF!</v>
      </c>
    </row>
    <row r="42" spans="1:47" x14ac:dyDescent="0.25">
      <c r="A42" t="s">
        <v>45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>
        <v>0</v>
      </c>
      <c r="AJ42" s="1"/>
      <c r="AK42" s="1"/>
      <c r="AL42" s="1"/>
      <c r="AM42" t="e">
        <f>(Q42+#REF!)/C42*100</f>
        <v>#REF!</v>
      </c>
    </row>
    <row r="43" spans="1:47" x14ac:dyDescent="0.25">
      <c r="A43" t="s">
        <v>45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t="e">
        <v>#DIV/0!</v>
      </c>
    </row>
    <row r="45" spans="1:47" x14ac:dyDescent="0.25">
      <c r="B45" t="s">
        <v>83</v>
      </c>
      <c r="C45">
        <v>1600</v>
      </c>
      <c r="D45" t="s">
        <v>84</v>
      </c>
      <c r="H45">
        <v>8000</v>
      </c>
      <c r="I45" t="s">
        <v>85</v>
      </c>
    </row>
    <row r="46" spans="1:47" x14ac:dyDescent="0.25">
      <c r="C46">
        <f>[2]Cement!G30*1600/8000</f>
        <v>4.7999999999592549E-2</v>
      </c>
      <c r="D46" t="s">
        <v>86</v>
      </c>
      <c r="H46">
        <v>13500</v>
      </c>
      <c r="I46" t="s">
        <v>85</v>
      </c>
    </row>
    <row r="53" spans="17:19" x14ac:dyDescent="0.25">
      <c r="Q53">
        <f>200/85</f>
        <v>2.3529411764705883</v>
      </c>
      <c r="S53">
        <f>24-2.35</f>
        <v>21.65</v>
      </c>
    </row>
  </sheetData>
  <mergeCells count="2">
    <mergeCell ref="C2:E2"/>
    <mergeCell ref="H2:J2"/>
  </mergeCells>
  <pageMargins left="0.7" right="0.7" top="0.75" bottom="0.75" header="0.3" footer="0.3"/>
  <pageSetup paperSize="9" scale="4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B1:Z36"/>
  <sheetViews>
    <sheetView zoomScale="60" zoomScaleNormal="6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B21" sqref="AB21"/>
    </sheetView>
  </sheetViews>
  <sheetFormatPr defaultRowHeight="15" x14ac:dyDescent="0.25"/>
  <cols>
    <col min="1" max="1" width="5.5703125" customWidth="1"/>
    <col min="2" max="2" width="8.140625" customWidth="1"/>
    <col min="3" max="3" width="9.140625" bestFit="1" customWidth="1"/>
    <col min="4" max="4" width="24.42578125" bestFit="1" customWidth="1"/>
    <col min="5" max="25" width="20.5703125" customWidth="1"/>
  </cols>
  <sheetData>
    <row r="1" spans="2:25" ht="15.75" thickBot="1" x14ac:dyDescent="0.3">
      <c r="B1" s="3" t="s">
        <v>88</v>
      </c>
      <c r="C1" s="3"/>
      <c r="D1" s="278" t="s">
        <v>36</v>
      </c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2:25" x14ac:dyDescent="0.25">
      <c r="B2" s="4" t="s">
        <v>30</v>
      </c>
      <c r="C2" s="4" t="s">
        <v>89</v>
      </c>
      <c r="D2" s="18" t="s">
        <v>90</v>
      </c>
      <c r="E2" s="18" t="s">
        <v>91</v>
      </c>
      <c r="F2" s="18" t="s">
        <v>92</v>
      </c>
      <c r="G2" s="98" t="s">
        <v>93</v>
      </c>
      <c r="H2" s="18" t="s">
        <v>94</v>
      </c>
      <c r="I2" s="18" t="s">
        <v>95</v>
      </c>
      <c r="J2" s="18" t="s">
        <v>96</v>
      </c>
      <c r="K2" s="18" t="s">
        <v>97</v>
      </c>
      <c r="L2" s="18" t="s">
        <v>98</v>
      </c>
      <c r="M2" s="18" t="s">
        <v>99</v>
      </c>
      <c r="N2" s="98" t="s">
        <v>100</v>
      </c>
      <c r="O2" s="18" t="s">
        <v>101</v>
      </c>
      <c r="P2" s="18" t="s">
        <v>102</v>
      </c>
      <c r="Q2" s="18" t="s">
        <v>18</v>
      </c>
      <c r="R2" s="98" t="s">
        <v>19</v>
      </c>
      <c r="S2" s="18" t="s">
        <v>20</v>
      </c>
      <c r="T2" s="18" t="s">
        <v>103</v>
      </c>
      <c r="U2" s="18" t="s">
        <v>22</v>
      </c>
      <c r="V2" s="18" t="s">
        <v>104</v>
      </c>
      <c r="W2" s="98" t="s">
        <v>24</v>
      </c>
      <c r="X2" s="98" t="s">
        <v>105</v>
      </c>
      <c r="Y2" s="98" t="s">
        <v>26</v>
      </c>
    </row>
    <row r="3" spans="2:25" x14ac:dyDescent="0.25">
      <c r="B3" s="4">
        <v>1</v>
      </c>
      <c r="C3" s="4">
        <v>0</v>
      </c>
      <c r="D3" s="4">
        <v>0</v>
      </c>
      <c r="E3" s="4">
        <v>0</v>
      </c>
      <c r="F3" s="4">
        <v>0</v>
      </c>
      <c r="G3" s="4">
        <v>156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</row>
    <row r="4" spans="2:25" x14ac:dyDescent="0.25">
      <c r="B4" s="4">
        <v>2</v>
      </c>
      <c r="C4" s="4">
        <v>0</v>
      </c>
      <c r="D4" s="4">
        <v>0</v>
      </c>
      <c r="E4" s="4">
        <v>0</v>
      </c>
      <c r="F4" s="4">
        <v>0</v>
      </c>
      <c r="G4" s="4">
        <v>130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</row>
    <row r="5" spans="2:25" x14ac:dyDescent="0.25"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138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</row>
    <row r="6" spans="2:25" x14ac:dyDescent="0.25">
      <c r="B6" s="4">
        <v>4</v>
      </c>
      <c r="C6" s="4">
        <v>0</v>
      </c>
      <c r="D6" s="4">
        <v>0</v>
      </c>
      <c r="E6" s="4">
        <v>0</v>
      </c>
      <c r="F6" s="4">
        <v>0</v>
      </c>
      <c r="G6" s="4">
        <v>158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</row>
    <row r="7" spans="2:25" x14ac:dyDescent="0.25">
      <c r="B7" s="4">
        <v>5</v>
      </c>
      <c r="C7" s="4">
        <v>0</v>
      </c>
      <c r="D7" s="4">
        <v>0</v>
      </c>
      <c r="E7" s="4">
        <v>0</v>
      </c>
      <c r="F7" s="4">
        <v>0</v>
      </c>
      <c r="G7" s="4">
        <v>140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</row>
    <row r="8" spans="2:25" x14ac:dyDescent="0.25">
      <c r="B8" s="4">
        <v>6</v>
      </c>
      <c r="C8" s="4">
        <v>0</v>
      </c>
      <c r="D8" s="4">
        <v>0</v>
      </c>
      <c r="E8" s="4">
        <v>0</v>
      </c>
      <c r="F8" s="4">
        <v>0</v>
      </c>
      <c r="G8" s="4">
        <v>140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</row>
    <row r="9" spans="2:25" x14ac:dyDescent="0.25">
      <c r="B9" s="4">
        <v>7</v>
      </c>
      <c r="C9" s="4">
        <v>0</v>
      </c>
      <c r="D9" s="4">
        <v>0</v>
      </c>
      <c r="E9" s="4">
        <v>0</v>
      </c>
      <c r="F9" s="4">
        <v>0</v>
      </c>
      <c r="G9" s="4">
        <v>138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</row>
    <row r="10" spans="2:25" x14ac:dyDescent="0.25">
      <c r="B10" s="4">
        <v>8</v>
      </c>
      <c r="C10" s="4">
        <v>0</v>
      </c>
      <c r="D10" s="4">
        <v>0</v>
      </c>
      <c r="E10" s="4">
        <v>0</v>
      </c>
      <c r="F10" s="4">
        <v>0</v>
      </c>
      <c r="G10" s="4">
        <v>137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</row>
    <row r="11" spans="2:25" x14ac:dyDescent="0.25">
      <c r="B11" s="4">
        <v>9</v>
      </c>
      <c r="C11" s="4">
        <v>0</v>
      </c>
      <c r="D11" s="4">
        <v>0</v>
      </c>
      <c r="E11" s="4">
        <v>0</v>
      </c>
      <c r="F11" s="4">
        <v>0</v>
      </c>
      <c r="G11" s="4">
        <v>130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</row>
    <row r="12" spans="2:25" x14ac:dyDescent="0.25">
      <c r="B12" s="4">
        <v>10</v>
      </c>
      <c r="C12" s="4">
        <v>0</v>
      </c>
      <c r="D12" s="4">
        <v>0</v>
      </c>
      <c r="E12" s="4">
        <v>0</v>
      </c>
      <c r="F12" s="4">
        <v>0</v>
      </c>
      <c r="G12" s="4">
        <v>131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</row>
    <row r="13" spans="2:25" x14ac:dyDescent="0.25">
      <c r="B13" s="4">
        <v>11</v>
      </c>
      <c r="C13" s="4">
        <v>0</v>
      </c>
      <c r="D13" s="4">
        <v>0</v>
      </c>
      <c r="E13" s="4">
        <v>0</v>
      </c>
      <c r="F13" s="4">
        <v>0</v>
      </c>
      <c r="G13" s="4">
        <v>137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</row>
    <row r="14" spans="2:25" x14ac:dyDescent="0.25">
      <c r="B14" s="4">
        <v>12</v>
      </c>
      <c r="C14" s="4">
        <v>0</v>
      </c>
      <c r="D14" s="4">
        <v>0</v>
      </c>
      <c r="E14" s="4">
        <v>0</v>
      </c>
      <c r="F14" s="4">
        <v>0</v>
      </c>
      <c r="G14" s="4">
        <v>137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</row>
    <row r="15" spans="2:25" x14ac:dyDescent="0.25">
      <c r="B15" s="4">
        <v>13</v>
      </c>
      <c r="C15" s="4">
        <v>0</v>
      </c>
      <c r="D15" s="4">
        <v>0</v>
      </c>
      <c r="E15" s="4">
        <v>0</v>
      </c>
      <c r="F15" s="4">
        <v>0</v>
      </c>
      <c r="G15" s="4">
        <v>126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</row>
    <row r="16" spans="2:25" x14ac:dyDescent="0.25">
      <c r="B16" s="4">
        <v>14</v>
      </c>
      <c r="C16" s="4">
        <v>0</v>
      </c>
      <c r="D16" s="4">
        <v>0</v>
      </c>
      <c r="E16" s="4">
        <v>0</v>
      </c>
      <c r="F16" s="4">
        <v>0</v>
      </c>
      <c r="G16" s="4">
        <v>130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</row>
    <row r="17" spans="2:25" x14ac:dyDescent="0.25">
      <c r="B17" s="4">
        <v>15</v>
      </c>
      <c r="C17" s="4">
        <v>0</v>
      </c>
      <c r="D17" s="4">
        <v>0</v>
      </c>
      <c r="E17" s="4">
        <v>0</v>
      </c>
      <c r="F17" s="4">
        <v>0</v>
      </c>
      <c r="G17" s="4">
        <v>147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</row>
    <row r="18" spans="2:25" x14ac:dyDescent="0.25">
      <c r="B18" s="4">
        <v>16</v>
      </c>
      <c r="C18" s="4">
        <v>0</v>
      </c>
      <c r="D18" s="4">
        <v>0</v>
      </c>
      <c r="E18" s="4">
        <v>0</v>
      </c>
      <c r="F18" s="4">
        <v>0</v>
      </c>
      <c r="G18" s="4">
        <v>172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</row>
    <row r="19" spans="2:25" x14ac:dyDescent="0.25">
      <c r="B19" s="4">
        <v>17</v>
      </c>
      <c r="C19" s="4">
        <v>0</v>
      </c>
      <c r="D19" s="4">
        <v>0</v>
      </c>
      <c r="E19" s="4">
        <v>0</v>
      </c>
      <c r="F19" s="4">
        <v>0</v>
      </c>
      <c r="G19" s="4">
        <v>155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</row>
    <row r="20" spans="2:25" x14ac:dyDescent="0.25">
      <c r="B20" s="4">
        <v>18</v>
      </c>
      <c r="C20" s="4">
        <v>0</v>
      </c>
      <c r="D20" s="4">
        <v>0</v>
      </c>
      <c r="E20" s="4">
        <v>0</v>
      </c>
      <c r="F20" s="4">
        <v>0</v>
      </c>
      <c r="G20" s="4">
        <v>164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</row>
    <row r="21" spans="2:25" x14ac:dyDescent="0.25">
      <c r="B21" s="4">
        <v>19</v>
      </c>
      <c r="C21" s="4">
        <v>0</v>
      </c>
      <c r="D21" s="4">
        <v>0</v>
      </c>
      <c r="E21" s="4">
        <v>0</v>
      </c>
      <c r="F21" s="4">
        <v>0</v>
      </c>
      <c r="G21" s="4">
        <v>172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</row>
    <row r="22" spans="2:25" x14ac:dyDescent="0.25">
      <c r="B22" s="4">
        <v>20</v>
      </c>
      <c r="C22" s="4">
        <v>0</v>
      </c>
      <c r="D22" s="4">
        <v>0</v>
      </c>
      <c r="E22" s="4">
        <v>0</v>
      </c>
      <c r="F22" s="4">
        <v>0</v>
      </c>
      <c r="G22" s="4">
        <v>171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</row>
    <row r="23" spans="2:25" x14ac:dyDescent="0.25">
      <c r="B23" s="4">
        <v>21</v>
      </c>
      <c r="C23" s="4">
        <v>0</v>
      </c>
      <c r="D23" s="4">
        <v>0</v>
      </c>
      <c r="E23" s="4">
        <v>0</v>
      </c>
      <c r="F23" s="4">
        <v>0</v>
      </c>
      <c r="G23" s="4">
        <v>144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</row>
    <row r="24" spans="2:25" x14ac:dyDescent="0.25">
      <c r="B24" s="4">
        <v>22</v>
      </c>
      <c r="C24" s="4">
        <v>0</v>
      </c>
      <c r="D24" s="4">
        <v>0</v>
      </c>
      <c r="E24" s="4">
        <v>0</v>
      </c>
      <c r="F24" s="4">
        <v>0</v>
      </c>
      <c r="G24" s="4">
        <v>161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</row>
    <row r="25" spans="2:25" x14ac:dyDescent="0.25">
      <c r="B25" s="4">
        <v>23</v>
      </c>
      <c r="C25" s="4">
        <v>0</v>
      </c>
      <c r="D25" s="4">
        <v>0</v>
      </c>
      <c r="E25" s="4">
        <v>0</v>
      </c>
      <c r="F25" s="4">
        <v>0</v>
      </c>
      <c r="G25" s="4">
        <v>94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</row>
    <row r="26" spans="2:25" x14ac:dyDescent="0.25">
      <c r="B26" s="4">
        <v>24</v>
      </c>
      <c r="C26" s="4">
        <v>0</v>
      </c>
      <c r="D26" s="4">
        <v>0</v>
      </c>
      <c r="E26" s="4">
        <v>0</v>
      </c>
      <c r="F26" s="4">
        <v>0</v>
      </c>
      <c r="G26" s="4">
        <v>122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10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</row>
    <row r="27" spans="2:25" x14ac:dyDescent="0.25">
      <c r="B27" s="4">
        <v>25</v>
      </c>
      <c r="C27" s="4">
        <v>0</v>
      </c>
      <c r="D27" s="4">
        <v>0</v>
      </c>
      <c r="E27" s="4">
        <v>0</v>
      </c>
      <c r="F27" s="4">
        <v>0</v>
      </c>
      <c r="G27" s="4">
        <v>148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</row>
    <row r="28" spans="2:25" x14ac:dyDescent="0.25">
      <c r="B28" s="4">
        <v>26</v>
      </c>
      <c r="C28" s="4">
        <v>0</v>
      </c>
      <c r="D28" s="4">
        <v>0</v>
      </c>
      <c r="E28" s="4">
        <v>0</v>
      </c>
      <c r="F28" s="4">
        <v>0</v>
      </c>
      <c r="G28" s="4">
        <v>140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</row>
    <row r="29" spans="2:25" x14ac:dyDescent="0.25">
      <c r="B29" s="4">
        <v>27</v>
      </c>
      <c r="C29" s="4">
        <v>0</v>
      </c>
      <c r="D29" s="4">
        <v>0</v>
      </c>
      <c r="E29" s="4">
        <v>0</v>
      </c>
      <c r="F29" s="4">
        <v>0</v>
      </c>
      <c r="G29" s="4">
        <v>143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</row>
    <row r="30" spans="2:25" x14ac:dyDescent="0.25">
      <c r="B30" s="4">
        <v>28</v>
      </c>
      <c r="C30" s="4">
        <v>0</v>
      </c>
      <c r="D30" s="4">
        <v>0</v>
      </c>
      <c r="E30" s="4">
        <v>0</v>
      </c>
      <c r="F30" s="4">
        <v>0</v>
      </c>
      <c r="G30" s="4">
        <v>145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</row>
    <row r="31" spans="2:25" x14ac:dyDescent="0.25">
      <c r="B31" s="4">
        <v>29</v>
      </c>
      <c r="C31" s="4">
        <v>0</v>
      </c>
      <c r="D31" s="4">
        <v>0</v>
      </c>
      <c r="E31" s="4">
        <v>0</v>
      </c>
      <c r="F31" s="4">
        <v>0</v>
      </c>
      <c r="G31" s="4">
        <v>150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</row>
    <row r="32" spans="2:25" x14ac:dyDescent="0.25">
      <c r="B32" s="4">
        <v>30</v>
      </c>
      <c r="C32" s="4">
        <v>0</v>
      </c>
      <c r="D32" s="4">
        <v>0</v>
      </c>
      <c r="E32" s="4">
        <v>0</v>
      </c>
      <c r="F32" s="4">
        <v>0</v>
      </c>
      <c r="G32" s="4">
        <v>122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</row>
    <row r="33" spans="2:26" x14ac:dyDescent="0.25">
      <c r="B33" s="4">
        <v>31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</row>
    <row r="34" spans="2:26" ht="15.75" thickBot="1" x14ac:dyDescent="0.3">
      <c r="B34" s="15" t="s">
        <v>44</v>
      </c>
      <c r="C34" s="15"/>
      <c r="D34" s="5">
        <f>SUM(D3:D33)</f>
        <v>0</v>
      </c>
      <c r="E34" s="5">
        <f t="shared" ref="E34:Y34" si="0">SUM(E3:E33)</f>
        <v>0</v>
      </c>
      <c r="F34" s="5">
        <f t="shared" si="0"/>
        <v>0</v>
      </c>
      <c r="G34" s="5">
        <f t="shared" si="0"/>
        <v>4278</v>
      </c>
      <c r="H34" s="5">
        <f t="shared" si="0"/>
        <v>0</v>
      </c>
      <c r="I34" s="5">
        <f t="shared" si="0"/>
        <v>0</v>
      </c>
      <c r="J34" s="5">
        <f t="shared" si="0"/>
        <v>0</v>
      </c>
      <c r="K34" s="5">
        <f t="shared" si="0"/>
        <v>0</v>
      </c>
      <c r="L34" s="5">
        <f t="shared" si="0"/>
        <v>0</v>
      </c>
      <c r="M34" s="5">
        <f t="shared" si="0"/>
        <v>10</v>
      </c>
      <c r="N34" s="5">
        <f t="shared" si="0"/>
        <v>0</v>
      </c>
      <c r="O34" s="5">
        <f t="shared" si="0"/>
        <v>0</v>
      </c>
      <c r="P34" s="5">
        <f t="shared" si="0"/>
        <v>0</v>
      </c>
      <c r="Q34" s="5">
        <f t="shared" si="0"/>
        <v>0</v>
      </c>
      <c r="R34" s="5">
        <f t="shared" si="0"/>
        <v>0</v>
      </c>
      <c r="S34" s="5">
        <f t="shared" si="0"/>
        <v>0</v>
      </c>
      <c r="T34" s="5">
        <f t="shared" si="0"/>
        <v>0</v>
      </c>
      <c r="U34" s="5">
        <f t="shared" si="0"/>
        <v>0</v>
      </c>
      <c r="V34" s="5">
        <f t="shared" si="0"/>
        <v>0</v>
      </c>
      <c r="W34" s="5">
        <f t="shared" si="0"/>
        <v>0</v>
      </c>
      <c r="X34" s="5">
        <f t="shared" si="0"/>
        <v>0</v>
      </c>
      <c r="Y34" s="5">
        <f t="shared" si="0"/>
        <v>0</v>
      </c>
      <c r="Z34" s="5"/>
    </row>
    <row r="35" spans="2:26" x14ac:dyDescent="0.25">
      <c r="B35" t="s">
        <v>45</v>
      </c>
      <c r="D35" s="13">
        <f>D36+SUM(D3:D33)</f>
        <v>0</v>
      </c>
      <c r="E35" s="13">
        <f t="shared" ref="E35:Y35" si="1">E36+SUM(E3:E33)</f>
        <v>0</v>
      </c>
      <c r="F35" s="13">
        <f t="shared" si="1"/>
        <v>0</v>
      </c>
      <c r="G35" s="13">
        <f t="shared" si="1"/>
        <v>11103</v>
      </c>
      <c r="H35" s="13">
        <f t="shared" si="1"/>
        <v>1327</v>
      </c>
      <c r="I35" s="13">
        <f t="shared" si="1"/>
        <v>0</v>
      </c>
      <c r="J35" s="13">
        <f t="shared" si="1"/>
        <v>0</v>
      </c>
      <c r="K35" s="13">
        <f t="shared" si="1"/>
        <v>0</v>
      </c>
      <c r="L35" s="13">
        <f t="shared" si="1"/>
        <v>0</v>
      </c>
      <c r="M35" s="13">
        <f t="shared" si="1"/>
        <v>10</v>
      </c>
      <c r="N35" s="13">
        <f t="shared" si="1"/>
        <v>0</v>
      </c>
      <c r="O35" s="13">
        <f t="shared" si="1"/>
        <v>0</v>
      </c>
      <c r="P35" s="13">
        <f t="shared" si="1"/>
        <v>0</v>
      </c>
      <c r="Q35" s="13">
        <f t="shared" si="1"/>
        <v>0</v>
      </c>
      <c r="R35" s="13">
        <f t="shared" si="1"/>
        <v>0</v>
      </c>
      <c r="S35" s="13">
        <f t="shared" si="1"/>
        <v>0</v>
      </c>
      <c r="T35" s="13">
        <f t="shared" si="1"/>
        <v>0</v>
      </c>
      <c r="U35" s="13">
        <f t="shared" si="1"/>
        <v>0</v>
      </c>
      <c r="V35" s="13">
        <f t="shared" si="1"/>
        <v>0</v>
      </c>
      <c r="W35" s="13">
        <f t="shared" si="1"/>
        <v>0</v>
      </c>
      <c r="X35" s="13">
        <f t="shared" si="1"/>
        <v>20</v>
      </c>
      <c r="Y35" s="13">
        <f t="shared" si="1"/>
        <v>0</v>
      </c>
    </row>
    <row r="36" spans="2:26" x14ac:dyDescent="0.25">
      <c r="B36" t="s">
        <v>45</v>
      </c>
      <c r="D36">
        <v>0</v>
      </c>
      <c r="E36">
        <v>0</v>
      </c>
      <c r="F36">
        <v>0</v>
      </c>
      <c r="G36">
        <v>6825</v>
      </c>
      <c r="H36">
        <v>1327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20</v>
      </c>
      <c r="Y36">
        <v>0</v>
      </c>
    </row>
  </sheetData>
  <mergeCells count="1">
    <mergeCell ref="D1:X1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B36"/>
  <sheetViews>
    <sheetView tabSelected="1" zoomScale="60" zoomScaleNormal="60" workbookViewId="0">
      <pane ySplit="2" topLeftCell="A3" activePane="bottomLeft" state="frozen"/>
      <selection pane="bottomLeft" activeCell="R13" sqref="R13"/>
    </sheetView>
  </sheetViews>
  <sheetFormatPr defaultRowHeight="15" x14ac:dyDescent="0.25"/>
  <cols>
    <col min="6" max="6" width="14.7109375" bestFit="1" customWidth="1"/>
    <col min="7" max="7" width="15.140625" bestFit="1" customWidth="1"/>
    <col min="8" max="8" width="14.7109375" bestFit="1" customWidth="1"/>
    <col min="9" max="9" width="14" bestFit="1" customWidth="1"/>
    <col min="10" max="10" width="20.5703125" bestFit="1" customWidth="1"/>
    <col min="11" max="11" width="10.5703125" bestFit="1" customWidth="1"/>
    <col min="17" max="17" width="14.7109375" bestFit="1" customWidth="1"/>
    <col min="18" max="18" width="15.140625" bestFit="1" customWidth="1"/>
    <col min="19" max="19" width="14.7109375" bestFit="1" customWidth="1"/>
    <col min="20" max="20" width="14" bestFit="1" customWidth="1"/>
    <col min="21" max="21" width="20.5703125" bestFit="1" customWidth="1"/>
    <col min="22" max="22" width="10.5703125" bestFit="1" customWidth="1"/>
  </cols>
  <sheetData>
    <row r="1" spans="1:28" ht="25.5" customHeight="1" thickBot="1" x14ac:dyDescent="0.5">
      <c r="A1" s="280" t="s">
        <v>106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M1" s="280" t="s">
        <v>33</v>
      </c>
      <c r="N1" s="280"/>
      <c r="O1" s="280"/>
      <c r="P1" s="280"/>
      <c r="Q1" s="280"/>
      <c r="R1" s="280"/>
      <c r="S1" s="280"/>
      <c r="T1" s="280"/>
      <c r="U1" s="280"/>
      <c r="V1" s="280"/>
      <c r="W1" s="280"/>
    </row>
    <row r="2" spans="1:28" ht="62.25" customHeight="1" thickBot="1" x14ac:dyDescent="0.3">
      <c r="A2" s="35" t="s">
        <v>30</v>
      </c>
      <c r="B2" s="43" t="s">
        <v>107</v>
      </c>
      <c r="C2" s="43" t="s">
        <v>108</v>
      </c>
      <c r="D2" s="36" t="s">
        <v>37</v>
      </c>
      <c r="E2" s="36" t="s">
        <v>109</v>
      </c>
      <c r="F2" s="36" t="s">
        <v>110</v>
      </c>
      <c r="G2" s="36" t="s">
        <v>111</v>
      </c>
      <c r="H2" s="36" t="s">
        <v>112</v>
      </c>
      <c r="I2" s="36" t="s">
        <v>113</v>
      </c>
      <c r="J2" s="36" t="s">
        <v>114</v>
      </c>
      <c r="K2" s="36" t="s">
        <v>115</v>
      </c>
      <c r="M2" s="35" t="s">
        <v>30</v>
      </c>
      <c r="N2" s="36" t="s">
        <v>108</v>
      </c>
      <c r="O2" s="36" t="s">
        <v>37</v>
      </c>
      <c r="P2" s="36" t="s">
        <v>109</v>
      </c>
      <c r="Q2" s="36" t="s">
        <v>110</v>
      </c>
      <c r="R2" s="36" t="s">
        <v>111</v>
      </c>
      <c r="S2" s="36" t="s">
        <v>112</v>
      </c>
      <c r="T2" s="36" t="s">
        <v>113</v>
      </c>
      <c r="U2" s="36" t="s">
        <v>114</v>
      </c>
      <c r="V2" s="36" t="s">
        <v>115</v>
      </c>
      <c r="W2" s="36" t="s">
        <v>116</v>
      </c>
      <c r="Y2" s="36" t="s">
        <v>117</v>
      </c>
      <c r="Z2" s="36" t="s">
        <v>118</v>
      </c>
      <c r="AA2" s="36" t="s">
        <v>119</v>
      </c>
      <c r="AB2" s="36" t="s">
        <v>116</v>
      </c>
    </row>
    <row r="3" spans="1:28" x14ac:dyDescent="0.25">
      <c r="A3" s="16">
        <v>1</v>
      </c>
      <c r="B3" s="34">
        <v>26145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/>
      <c r="M3" s="16">
        <v>1</v>
      </c>
      <c r="N3" s="34">
        <v>0</v>
      </c>
      <c r="O3" s="34">
        <v>0</v>
      </c>
      <c r="P3" s="34">
        <v>0</v>
      </c>
      <c r="Q3" s="34">
        <v>70</v>
      </c>
      <c r="R3" s="34">
        <v>835</v>
      </c>
      <c r="S3" s="34">
        <v>0</v>
      </c>
      <c r="T3" s="34">
        <v>0</v>
      </c>
      <c r="U3" s="34">
        <v>0</v>
      </c>
      <c r="V3" s="34">
        <f>SUM(N3:U3)</f>
        <v>905</v>
      </c>
      <c r="W3" s="34">
        <f>B3+C3-V3-AA3</f>
        <v>25240</v>
      </c>
      <c r="Y3" s="34">
        <v>0</v>
      </c>
      <c r="Z3" s="34">
        <v>0</v>
      </c>
      <c r="AA3" s="34">
        <v>0</v>
      </c>
      <c r="AB3" s="34">
        <f>Y3</f>
        <v>0</v>
      </c>
    </row>
    <row r="4" spans="1:28" x14ac:dyDescent="0.25">
      <c r="A4" s="6">
        <v>2</v>
      </c>
      <c r="B4" s="1">
        <f>W3</f>
        <v>25240</v>
      </c>
      <c r="C4" s="34">
        <v>32000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1"/>
      <c r="M4" s="6">
        <v>2</v>
      </c>
      <c r="N4" s="34">
        <v>0</v>
      </c>
      <c r="O4" s="34">
        <v>0</v>
      </c>
      <c r="P4" s="34">
        <v>0</v>
      </c>
      <c r="Q4" s="34">
        <v>0</v>
      </c>
      <c r="R4" s="34">
        <v>561</v>
      </c>
      <c r="S4" s="34">
        <v>0</v>
      </c>
      <c r="T4" s="34">
        <v>0</v>
      </c>
      <c r="U4" s="34">
        <v>0</v>
      </c>
      <c r="V4" s="34">
        <f t="shared" ref="V4:V33" si="0">SUM(N4:U4)</f>
        <v>561</v>
      </c>
      <c r="W4" s="34">
        <f t="shared" ref="W4:W33" si="1">B4+C4-V4-AA4</f>
        <v>56679</v>
      </c>
      <c r="Y4" s="34">
        <f>AB3</f>
        <v>0</v>
      </c>
      <c r="Z4" s="34">
        <v>0</v>
      </c>
      <c r="AA4" s="34">
        <v>0</v>
      </c>
      <c r="AB4" s="34">
        <f>Y4</f>
        <v>0</v>
      </c>
    </row>
    <row r="5" spans="1:28" x14ac:dyDescent="0.25">
      <c r="A5" s="6">
        <v>3</v>
      </c>
      <c r="B5" s="1">
        <f>W4</f>
        <v>56679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1"/>
      <c r="M5" s="6">
        <v>3</v>
      </c>
      <c r="N5" s="34">
        <v>0</v>
      </c>
      <c r="O5" s="34">
        <v>0</v>
      </c>
      <c r="P5" s="34">
        <v>0</v>
      </c>
      <c r="Q5" s="34">
        <v>2500</v>
      </c>
      <c r="R5" s="34">
        <v>752</v>
      </c>
      <c r="S5" s="34">
        <v>0</v>
      </c>
      <c r="T5" s="34">
        <v>0</v>
      </c>
      <c r="U5" s="34">
        <v>0</v>
      </c>
      <c r="V5" s="34">
        <f t="shared" si="0"/>
        <v>3252</v>
      </c>
      <c r="W5" s="34">
        <f t="shared" si="1"/>
        <v>53427</v>
      </c>
      <c r="Y5" s="34">
        <f t="shared" ref="Y5:Y33" si="2">AB4</f>
        <v>0</v>
      </c>
      <c r="Z5" s="34">
        <v>0</v>
      </c>
      <c r="AA5" s="34">
        <v>0</v>
      </c>
      <c r="AB5" s="34">
        <f t="shared" ref="AB5:AB32" si="3">Y5</f>
        <v>0</v>
      </c>
    </row>
    <row r="6" spans="1:28" x14ac:dyDescent="0.25">
      <c r="A6" s="6">
        <v>4</v>
      </c>
      <c r="B6" s="1">
        <f t="shared" ref="B6:B33" si="4">W5</f>
        <v>53427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1"/>
      <c r="M6" s="6">
        <v>4</v>
      </c>
      <c r="N6" s="34">
        <v>0</v>
      </c>
      <c r="O6" s="34">
        <v>0</v>
      </c>
      <c r="P6" s="34">
        <v>0</v>
      </c>
      <c r="Q6" s="34">
        <v>30</v>
      </c>
      <c r="R6" s="34">
        <v>505</v>
      </c>
      <c r="S6" s="34">
        <v>0</v>
      </c>
      <c r="T6" s="34">
        <v>0</v>
      </c>
      <c r="U6" s="34">
        <v>0</v>
      </c>
      <c r="V6" s="34">
        <f t="shared" si="0"/>
        <v>535</v>
      </c>
      <c r="W6" s="34">
        <f t="shared" si="1"/>
        <v>52892</v>
      </c>
      <c r="Y6" s="34">
        <f t="shared" si="2"/>
        <v>0</v>
      </c>
      <c r="Z6" s="34">
        <v>0</v>
      </c>
      <c r="AA6" s="34">
        <v>0</v>
      </c>
      <c r="AB6" s="34">
        <f t="shared" si="3"/>
        <v>0</v>
      </c>
    </row>
    <row r="7" spans="1:28" x14ac:dyDescent="0.25">
      <c r="A7" s="6">
        <v>5</v>
      </c>
      <c r="B7" s="1">
        <f t="shared" si="4"/>
        <v>52892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1"/>
      <c r="M7" s="6">
        <v>5</v>
      </c>
      <c r="N7" s="34">
        <v>0</v>
      </c>
      <c r="O7" s="34">
        <v>0</v>
      </c>
      <c r="P7" s="34">
        <v>40</v>
      </c>
      <c r="Q7" s="34">
        <v>2740</v>
      </c>
      <c r="R7" s="34">
        <v>765</v>
      </c>
      <c r="S7" s="34">
        <v>0</v>
      </c>
      <c r="T7" s="34">
        <v>0</v>
      </c>
      <c r="U7" s="34">
        <v>0</v>
      </c>
      <c r="V7" s="34">
        <f t="shared" si="0"/>
        <v>3545</v>
      </c>
      <c r="W7" s="34">
        <f t="shared" si="1"/>
        <v>49347</v>
      </c>
      <c r="Y7" s="34">
        <f t="shared" si="2"/>
        <v>0</v>
      </c>
      <c r="Z7" s="34">
        <v>0</v>
      </c>
      <c r="AA7" s="34">
        <v>0</v>
      </c>
      <c r="AB7" s="34">
        <f t="shared" si="3"/>
        <v>0</v>
      </c>
    </row>
    <row r="8" spans="1:28" x14ac:dyDescent="0.25">
      <c r="A8" s="6">
        <v>6</v>
      </c>
      <c r="B8" s="1">
        <f t="shared" si="4"/>
        <v>49347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1"/>
      <c r="M8" s="6">
        <v>6</v>
      </c>
      <c r="N8" s="34">
        <v>0</v>
      </c>
      <c r="O8" s="34">
        <v>0</v>
      </c>
      <c r="P8" s="34">
        <v>0</v>
      </c>
      <c r="Q8" s="34">
        <v>2000</v>
      </c>
      <c r="R8" s="34">
        <v>1605</v>
      </c>
      <c r="S8" s="34">
        <v>0</v>
      </c>
      <c r="T8" s="34">
        <v>0</v>
      </c>
      <c r="U8" s="34">
        <v>0</v>
      </c>
      <c r="V8" s="34">
        <f t="shared" si="0"/>
        <v>3605</v>
      </c>
      <c r="W8" s="34">
        <f t="shared" si="1"/>
        <v>45742</v>
      </c>
      <c r="Y8" s="34">
        <f t="shared" si="2"/>
        <v>0</v>
      </c>
      <c r="Z8" s="34">
        <v>0</v>
      </c>
      <c r="AA8" s="34">
        <v>0</v>
      </c>
      <c r="AB8" s="34">
        <f t="shared" si="3"/>
        <v>0</v>
      </c>
    </row>
    <row r="9" spans="1:28" x14ac:dyDescent="0.25">
      <c r="A9" s="6">
        <v>7</v>
      </c>
      <c r="B9" s="1">
        <f t="shared" si="4"/>
        <v>45742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1"/>
      <c r="M9" s="6">
        <v>7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f t="shared" si="0"/>
        <v>0</v>
      </c>
      <c r="W9" s="34">
        <f t="shared" si="1"/>
        <v>45742</v>
      </c>
      <c r="Y9" s="34">
        <f t="shared" si="2"/>
        <v>0</v>
      </c>
      <c r="Z9" s="34">
        <v>0</v>
      </c>
      <c r="AA9" s="34">
        <v>0</v>
      </c>
      <c r="AB9" s="34">
        <f t="shared" si="3"/>
        <v>0</v>
      </c>
    </row>
    <row r="10" spans="1:28" x14ac:dyDescent="0.25">
      <c r="A10" s="6">
        <v>8</v>
      </c>
      <c r="B10" s="1">
        <f t="shared" si="4"/>
        <v>45742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1"/>
      <c r="M10" s="6">
        <v>8</v>
      </c>
      <c r="N10" s="34">
        <v>0</v>
      </c>
      <c r="O10" s="34">
        <v>0</v>
      </c>
      <c r="P10" s="34">
        <v>0</v>
      </c>
      <c r="Q10" s="34">
        <v>0</v>
      </c>
      <c r="R10" s="34">
        <v>545</v>
      </c>
      <c r="S10" s="34">
        <v>0</v>
      </c>
      <c r="T10" s="34">
        <v>0</v>
      </c>
      <c r="U10" s="34">
        <v>0</v>
      </c>
      <c r="V10" s="34">
        <f t="shared" si="0"/>
        <v>545</v>
      </c>
      <c r="W10" s="34">
        <f t="shared" si="1"/>
        <v>45197</v>
      </c>
      <c r="Y10" s="34">
        <f t="shared" si="2"/>
        <v>0</v>
      </c>
      <c r="Z10" s="34">
        <v>0</v>
      </c>
      <c r="AA10" s="34">
        <v>0</v>
      </c>
      <c r="AB10" s="34">
        <f t="shared" si="3"/>
        <v>0</v>
      </c>
    </row>
    <row r="11" spans="1:28" x14ac:dyDescent="0.25">
      <c r="A11" s="6">
        <v>9</v>
      </c>
      <c r="B11" s="1">
        <f>W10</f>
        <v>45197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1"/>
      <c r="M11" s="6">
        <v>9</v>
      </c>
      <c r="N11" s="34">
        <v>0</v>
      </c>
      <c r="O11" s="34">
        <v>0</v>
      </c>
      <c r="P11" s="34">
        <v>0</v>
      </c>
      <c r="Q11" s="34">
        <v>0</v>
      </c>
      <c r="R11" s="34">
        <v>812</v>
      </c>
      <c r="S11" s="34">
        <v>0</v>
      </c>
      <c r="T11" s="34">
        <v>0</v>
      </c>
      <c r="U11" s="34">
        <v>0</v>
      </c>
      <c r="V11" s="34">
        <f t="shared" si="0"/>
        <v>812</v>
      </c>
      <c r="W11" s="34">
        <f t="shared" si="1"/>
        <v>44385</v>
      </c>
      <c r="Y11" s="34">
        <f t="shared" si="2"/>
        <v>0</v>
      </c>
      <c r="Z11" s="34">
        <v>0</v>
      </c>
      <c r="AA11" s="34">
        <v>0</v>
      </c>
      <c r="AB11" s="34">
        <f t="shared" si="3"/>
        <v>0</v>
      </c>
    </row>
    <row r="12" spans="1:28" x14ac:dyDescent="0.25">
      <c r="A12" s="6">
        <v>10</v>
      </c>
      <c r="B12" s="1">
        <f t="shared" si="4"/>
        <v>44385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1"/>
      <c r="M12" s="6">
        <v>10</v>
      </c>
      <c r="N12" s="34">
        <v>0</v>
      </c>
      <c r="O12" s="34">
        <v>0</v>
      </c>
      <c r="P12" s="34">
        <v>0</v>
      </c>
      <c r="Q12" s="34">
        <v>2080</v>
      </c>
      <c r="R12" s="34">
        <v>515</v>
      </c>
      <c r="S12" s="34">
        <v>0</v>
      </c>
      <c r="T12" s="34">
        <v>0</v>
      </c>
      <c r="U12" s="34">
        <v>0</v>
      </c>
      <c r="V12" s="34">
        <f t="shared" si="0"/>
        <v>2595</v>
      </c>
      <c r="W12" s="34">
        <f t="shared" si="1"/>
        <v>41790</v>
      </c>
      <c r="Y12" s="34">
        <f t="shared" si="2"/>
        <v>0</v>
      </c>
      <c r="Z12" s="34">
        <v>0</v>
      </c>
      <c r="AA12" s="34">
        <v>0</v>
      </c>
      <c r="AB12" s="34">
        <f t="shared" si="3"/>
        <v>0</v>
      </c>
    </row>
    <row r="13" spans="1:28" x14ac:dyDescent="0.25">
      <c r="A13" s="6">
        <v>11</v>
      </c>
      <c r="B13" s="1">
        <f t="shared" si="4"/>
        <v>41790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1"/>
      <c r="M13" s="6">
        <v>11</v>
      </c>
      <c r="N13" s="34">
        <v>0</v>
      </c>
      <c r="O13" s="34">
        <v>0</v>
      </c>
      <c r="P13" s="34">
        <v>0</v>
      </c>
      <c r="Q13" s="34">
        <v>2781</v>
      </c>
      <c r="R13" s="34">
        <v>719</v>
      </c>
      <c r="S13" s="34">
        <v>0</v>
      </c>
      <c r="T13" s="34">
        <v>0</v>
      </c>
      <c r="U13" s="34">
        <v>0</v>
      </c>
      <c r="V13" s="34">
        <f t="shared" si="0"/>
        <v>3500</v>
      </c>
      <c r="W13" s="34">
        <f t="shared" si="1"/>
        <v>38290</v>
      </c>
      <c r="Y13" s="34">
        <f t="shared" si="2"/>
        <v>0</v>
      </c>
      <c r="Z13" s="34">
        <v>0</v>
      </c>
      <c r="AA13" s="34">
        <v>0</v>
      </c>
      <c r="AB13" s="34">
        <f t="shared" si="3"/>
        <v>0</v>
      </c>
    </row>
    <row r="14" spans="1:28" x14ac:dyDescent="0.25">
      <c r="A14" s="6">
        <v>12</v>
      </c>
      <c r="B14" s="1">
        <f t="shared" si="4"/>
        <v>38290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1"/>
      <c r="M14" s="6">
        <v>12</v>
      </c>
      <c r="N14" s="34">
        <v>0</v>
      </c>
      <c r="O14" s="34">
        <v>0</v>
      </c>
      <c r="P14" s="34">
        <v>35</v>
      </c>
      <c r="Q14" s="34">
        <v>0</v>
      </c>
      <c r="R14" s="34">
        <v>666</v>
      </c>
      <c r="S14" s="34">
        <v>0</v>
      </c>
      <c r="T14" s="34">
        <v>0</v>
      </c>
      <c r="U14" s="34">
        <v>0</v>
      </c>
      <c r="V14" s="34">
        <f t="shared" si="0"/>
        <v>701</v>
      </c>
      <c r="W14" s="34">
        <f t="shared" si="1"/>
        <v>37589</v>
      </c>
      <c r="Y14" s="34">
        <f t="shared" si="2"/>
        <v>0</v>
      </c>
      <c r="Z14" s="34">
        <v>0</v>
      </c>
      <c r="AA14" s="34">
        <v>0</v>
      </c>
      <c r="AB14" s="34">
        <f t="shared" si="3"/>
        <v>0</v>
      </c>
    </row>
    <row r="15" spans="1:28" x14ac:dyDescent="0.25">
      <c r="A15" s="6">
        <v>13</v>
      </c>
      <c r="B15" s="1">
        <f t="shared" si="4"/>
        <v>37589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1"/>
      <c r="M15" s="6">
        <v>13</v>
      </c>
      <c r="N15" s="34">
        <v>0</v>
      </c>
      <c r="O15" s="34">
        <v>0</v>
      </c>
      <c r="P15" s="34">
        <v>0</v>
      </c>
      <c r="Q15" s="34">
        <v>2060</v>
      </c>
      <c r="R15" s="34">
        <v>1270</v>
      </c>
      <c r="S15" s="34">
        <v>0</v>
      </c>
      <c r="T15" s="34">
        <v>0</v>
      </c>
      <c r="U15" s="34">
        <v>0</v>
      </c>
      <c r="V15" s="34">
        <f t="shared" si="0"/>
        <v>3330</v>
      </c>
      <c r="W15" s="34">
        <f t="shared" si="1"/>
        <v>34259</v>
      </c>
      <c r="Y15" s="34">
        <f t="shared" si="2"/>
        <v>0</v>
      </c>
      <c r="Z15" s="34">
        <v>0</v>
      </c>
      <c r="AA15" s="34">
        <v>0</v>
      </c>
      <c r="AB15" s="34">
        <f t="shared" si="3"/>
        <v>0</v>
      </c>
    </row>
    <row r="16" spans="1:28" x14ac:dyDescent="0.25">
      <c r="A16" s="6">
        <v>14</v>
      </c>
      <c r="B16" s="1">
        <f t="shared" si="4"/>
        <v>34259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1"/>
      <c r="M16" s="6">
        <v>14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f>SUM(N16:U16)</f>
        <v>0</v>
      </c>
      <c r="W16" s="34">
        <f t="shared" si="1"/>
        <v>34259</v>
      </c>
      <c r="Y16" s="34">
        <f t="shared" si="2"/>
        <v>0</v>
      </c>
      <c r="Z16" s="34">
        <v>0</v>
      </c>
      <c r="AA16" s="34">
        <v>0</v>
      </c>
      <c r="AB16" s="34">
        <f t="shared" si="3"/>
        <v>0</v>
      </c>
    </row>
    <row r="17" spans="1:28" x14ac:dyDescent="0.25">
      <c r="A17" s="6">
        <v>15</v>
      </c>
      <c r="B17" s="1">
        <f t="shared" si="4"/>
        <v>34259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1"/>
      <c r="M17" s="6">
        <v>15</v>
      </c>
      <c r="N17" s="34">
        <v>0</v>
      </c>
      <c r="O17" s="34">
        <v>0</v>
      </c>
      <c r="P17" s="34">
        <v>0</v>
      </c>
      <c r="Q17" s="34">
        <v>0</v>
      </c>
      <c r="R17" s="34">
        <v>581</v>
      </c>
      <c r="S17" s="34">
        <v>0</v>
      </c>
      <c r="T17" s="34">
        <v>0</v>
      </c>
      <c r="U17" s="34">
        <v>0</v>
      </c>
      <c r="V17" s="34">
        <f t="shared" si="0"/>
        <v>581</v>
      </c>
      <c r="W17" s="34">
        <f t="shared" si="1"/>
        <v>33678</v>
      </c>
      <c r="Y17" s="34">
        <f t="shared" si="2"/>
        <v>0</v>
      </c>
      <c r="Z17" s="34">
        <v>0</v>
      </c>
      <c r="AA17" s="34">
        <v>0</v>
      </c>
      <c r="AB17" s="34">
        <f t="shared" si="3"/>
        <v>0</v>
      </c>
    </row>
    <row r="18" spans="1:28" x14ac:dyDescent="0.25">
      <c r="A18" s="6">
        <v>16</v>
      </c>
      <c r="B18" s="1">
        <f t="shared" si="4"/>
        <v>33678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1"/>
      <c r="M18" s="6">
        <v>16</v>
      </c>
      <c r="N18" s="34">
        <v>0</v>
      </c>
      <c r="O18" s="34">
        <v>0</v>
      </c>
      <c r="P18" s="34">
        <v>0</v>
      </c>
      <c r="Q18" s="34">
        <v>30</v>
      </c>
      <c r="R18" s="34">
        <v>914</v>
      </c>
      <c r="S18" s="34">
        <v>0</v>
      </c>
      <c r="T18" s="34">
        <v>0</v>
      </c>
      <c r="U18" s="34">
        <v>0</v>
      </c>
      <c r="V18" s="34">
        <f t="shared" si="0"/>
        <v>944</v>
      </c>
      <c r="W18" s="34">
        <f t="shared" si="1"/>
        <v>32734</v>
      </c>
      <c r="Y18" s="34">
        <f t="shared" si="2"/>
        <v>0</v>
      </c>
      <c r="Z18" s="34">
        <v>0</v>
      </c>
      <c r="AA18" s="34">
        <v>0</v>
      </c>
      <c r="AB18" s="34">
        <f t="shared" si="3"/>
        <v>0</v>
      </c>
    </row>
    <row r="19" spans="1:28" x14ac:dyDescent="0.25">
      <c r="A19" s="6">
        <v>17</v>
      </c>
      <c r="B19" s="1">
        <f t="shared" si="4"/>
        <v>32734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1"/>
      <c r="M19" s="6">
        <v>17</v>
      </c>
      <c r="N19" s="34">
        <v>0</v>
      </c>
      <c r="O19" s="34">
        <v>0</v>
      </c>
      <c r="P19" s="34">
        <v>0</v>
      </c>
      <c r="Q19" s="34">
        <v>2500</v>
      </c>
      <c r="R19" s="34">
        <v>574</v>
      </c>
      <c r="S19" s="34">
        <v>0</v>
      </c>
      <c r="T19" s="34">
        <v>0</v>
      </c>
      <c r="U19" s="34">
        <v>0</v>
      </c>
      <c r="V19" s="34">
        <f t="shared" si="0"/>
        <v>3074</v>
      </c>
      <c r="W19" s="34">
        <f t="shared" si="1"/>
        <v>29660</v>
      </c>
      <c r="Y19" s="34">
        <f t="shared" si="2"/>
        <v>0</v>
      </c>
      <c r="Z19" s="34">
        <v>0</v>
      </c>
      <c r="AA19" s="34">
        <v>0</v>
      </c>
      <c r="AB19" s="34">
        <f t="shared" si="3"/>
        <v>0</v>
      </c>
    </row>
    <row r="20" spans="1:28" x14ac:dyDescent="0.25">
      <c r="A20" s="6">
        <v>18</v>
      </c>
      <c r="B20" s="1">
        <f t="shared" si="4"/>
        <v>29660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1"/>
      <c r="M20" s="6">
        <v>18</v>
      </c>
      <c r="N20" s="34">
        <v>0</v>
      </c>
      <c r="O20" s="34">
        <v>0</v>
      </c>
      <c r="P20" s="34">
        <v>0</v>
      </c>
      <c r="Q20" s="34">
        <v>80</v>
      </c>
      <c r="R20" s="34">
        <v>551</v>
      </c>
      <c r="S20" s="34">
        <v>0</v>
      </c>
      <c r="T20" s="34">
        <v>0</v>
      </c>
      <c r="U20" s="34">
        <v>0</v>
      </c>
      <c r="V20" s="34">
        <f t="shared" si="0"/>
        <v>631</v>
      </c>
      <c r="W20" s="34">
        <f t="shared" si="1"/>
        <v>29029</v>
      </c>
      <c r="Y20" s="34">
        <f t="shared" si="2"/>
        <v>0</v>
      </c>
      <c r="Z20" s="34">
        <v>0</v>
      </c>
      <c r="AA20" s="34">
        <v>0</v>
      </c>
      <c r="AB20" s="34">
        <f t="shared" si="3"/>
        <v>0</v>
      </c>
    </row>
    <row r="21" spans="1:28" x14ac:dyDescent="0.25">
      <c r="A21" s="6">
        <v>19</v>
      </c>
      <c r="B21" s="1">
        <f t="shared" si="4"/>
        <v>29029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1"/>
      <c r="M21" s="6">
        <v>19</v>
      </c>
      <c r="N21" s="34">
        <v>0</v>
      </c>
      <c r="O21" s="34">
        <v>0</v>
      </c>
      <c r="P21" s="34">
        <v>0</v>
      </c>
      <c r="Q21" s="34">
        <v>0</v>
      </c>
      <c r="R21" s="34">
        <v>508</v>
      </c>
      <c r="S21" s="34">
        <v>0</v>
      </c>
      <c r="T21" s="34">
        <v>0</v>
      </c>
      <c r="U21" s="34">
        <v>0</v>
      </c>
      <c r="V21" s="34">
        <f t="shared" si="0"/>
        <v>508</v>
      </c>
      <c r="W21" s="34">
        <f t="shared" si="1"/>
        <v>28521</v>
      </c>
      <c r="Y21" s="34">
        <f t="shared" si="2"/>
        <v>0</v>
      </c>
      <c r="Z21" s="34">
        <v>0</v>
      </c>
      <c r="AA21" s="34">
        <v>0</v>
      </c>
      <c r="AB21" s="34">
        <f t="shared" si="3"/>
        <v>0</v>
      </c>
    </row>
    <row r="22" spans="1:28" x14ac:dyDescent="0.25">
      <c r="A22" s="6">
        <v>20</v>
      </c>
      <c r="B22" s="1">
        <f t="shared" si="4"/>
        <v>28521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1"/>
      <c r="M22" s="6">
        <v>20</v>
      </c>
      <c r="N22" s="34">
        <v>0</v>
      </c>
      <c r="O22" s="34">
        <v>0</v>
      </c>
      <c r="P22" s="34">
        <v>30</v>
      </c>
      <c r="Q22" s="34">
        <v>3030</v>
      </c>
      <c r="R22" s="34">
        <v>1401</v>
      </c>
      <c r="S22" s="34">
        <v>0</v>
      </c>
      <c r="T22" s="34">
        <v>0</v>
      </c>
      <c r="U22" s="34">
        <v>0</v>
      </c>
      <c r="V22" s="34">
        <f t="shared" si="0"/>
        <v>4461</v>
      </c>
      <c r="W22" s="34">
        <f t="shared" si="1"/>
        <v>24060</v>
      </c>
      <c r="Y22" s="34">
        <f t="shared" si="2"/>
        <v>0</v>
      </c>
      <c r="Z22" s="34">
        <v>0</v>
      </c>
      <c r="AA22" s="34">
        <v>0</v>
      </c>
      <c r="AB22" s="34">
        <f t="shared" si="3"/>
        <v>0</v>
      </c>
    </row>
    <row r="23" spans="1:28" x14ac:dyDescent="0.25">
      <c r="A23" s="6">
        <v>21</v>
      </c>
      <c r="B23" s="1">
        <f t="shared" si="4"/>
        <v>24060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1"/>
      <c r="M23" s="6">
        <v>21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f>SUM(N23:U23)</f>
        <v>0</v>
      </c>
      <c r="W23" s="34">
        <f t="shared" si="1"/>
        <v>24060</v>
      </c>
      <c r="Y23" s="34">
        <f t="shared" si="2"/>
        <v>0</v>
      </c>
      <c r="Z23" s="34">
        <v>0</v>
      </c>
      <c r="AA23" s="34">
        <v>0</v>
      </c>
      <c r="AB23" s="34">
        <f t="shared" si="3"/>
        <v>0</v>
      </c>
    </row>
    <row r="24" spans="1:28" x14ac:dyDescent="0.25">
      <c r="A24" s="6">
        <v>22</v>
      </c>
      <c r="B24" s="1">
        <f t="shared" si="4"/>
        <v>24060</v>
      </c>
      <c r="C24" s="34">
        <v>33000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1"/>
      <c r="M24" s="6">
        <v>22</v>
      </c>
      <c r="N24" s="34">
        <v>0</v>
      </c>
      <c r="O24" s="34">
        <v>0</v>
      </c>
      <c r="P24" s="34">
        <v>0</v>
      </c>
      <c r="Q24" s="34">
        <v>0</v>
      </c>
      <c r="R24" s="34">
        <v>1001</v>
      </c>
      <c r="S24" s="34">
        <v>0</v>
      </c>
      <c r="T24" s="34">
        <v>0</v>
      </c>
      <c r="U24" s="34">
        <v>0</v>
      </c>
      <c r="V24" s="34">
        <f t="shared" si="0"/>
        <v>1001</v>
      </c>
      <c r="W24" s="34">
        <f t="shared" si="1"/>
        <v>56059</v>
      </c>
      <c r="Y24" s="34">
        <f t="shared" si="2"/>
        <v>0</v>
      </c>
      <c r="Z24" s="34">
        <v>0</v>
      </c>
      <c r="AA24" s="34">
        <v>0</v>
      </c>
      <c r="AB24" s="34">
        <f t="shared" si="3"/>
        <v>0</v>
      </c>
    </row>
    <row r="25" spans="1:28" x14ac:dyDescent="0.25">
      <c r="A25" s="6">
        <v>23</v>
      </c>
      <c r="B25" s="1">
        <f t="shared" si="4"/>
        <v>56059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1"/>
      <c r="M25" s="6">
        <v>23</v>
      </c>
      <c r="N25" s="34">
        <v>0</v>
      </c>
      <c r="O25" s="34">
        <v>3000</v>
      </c>
      <c r="P25" s="34">
        <v>0</v>
      </c>
      <c r="Q25" s="34">
        <v>1000</v>
      </c>
      <c r="R25" s="34">
        <v>530</v>
      </c>
      <c r="S25" s="34">
        <v>0</v>
      </c>
      <c r="T25" s="34">
        <v>0</v>
      </c>
      <c r="U25" s="34">
        <v>0</v>
      </c>
      <c r="V25" s="34">
        <f t="shared" si="0"/>
        <v>4530</v>
      </c>
      <c r="W25" s="34">
        <f t="shared" si="1"/>
        <v>51529</v>
      </c>
      <c r="Y25" s="34">
        <f t="shared" si="2"/>
        <v>0</v>
      </c>
      <c r="Z25" s="34">
        <v>0</v>
      </c>
      <c r="AA25" s="34">
        <v>0</v>
      </c>
      <c r="AB25" s="34">
        <f t="shared" si="3"/>
        <v>0</v>
      </c>
    </row>
    <row r="26" spans="1:28" x14ac:dyDescent="0.25">
      <c r="A26" s="6">
        <v>24</v>
      </c>
      <c r="B26" s="1">
        <f t="shared" si="4"/>
        <v>51529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1"/>
      <c r="M26" s="6">
        <v>24</v>
      </c>
      <c r="N26" s="34">
        <v>0</v>
      </c>
      <c r="O26" s="34">
        <v>2000</v>
      </c>
      <c r="P26" s="34">
        <v>0</v>
      </c>
      <c r="Q26" s="34">
        <v>27</v>
      </c>
      <c r="R26" s="34">
        <v>819</v>
      </c>
      <c r="S26" s="34">
        <v>0</v>
      </c>
      <c r="T26" s="34">
        <v>0</v>
      </c>
      <c r="U26" s="34">
        <v>0</v>
      </c>
      <c r="V26" s="34">
        <f t="shared" si="0"/>
        <v>2846</v>
      </c>
      <c r="W26" s="34">
        <f t="shared" si="1"/>
        <v>48683</v>
      </c>
      <c r="Y26" s="34">
        <f t="shared" si="2"/>
        <v>0</v>
      </c>
      <c r="Z26" s="34">
        <v>0</v>
      </c>
      <c r="AA26" s="34">
        <v>0</v>
      </c>
      <c r="AB26" s="34">
        <f t="shared" si="3"/>
        <v>0</v>
      </c>
    </row>
    <row r="27" spans="1:28" x14ac:dyDescent="0.25">
      <c r="A27" s="6">
        <v>25</v>
      </c>
      <c r="B27" s="1">
        <f t="shared" si="4"/>
        <v>48683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1"/>
      <c r="M27" s="6">
        <v>25</v>
      </c>
      <c r="N27" s="34">
        <v>0</v>
      </c>
      <c r="O27" s="34">
        <v>0</v>
      </c>
      <c r="P27" s="34">
        <v>0</v>
      </c>
      <c r="Q27" s="34">
        <v>600</v>
      </c>
      <c r="R27" s="34">
        <v>755</v>
      </c>
      <c r="S27" s="34">
        <v>0</v>
      </c>
      <c r="T27" s="34">
        <v>0</v>
      </c>
      <c r="U27" s="34">
        <v>0</v>
      </c>
      <c r="V27" s="34">
        <f t="shared" si="0"/>
        <v>1355</v>
      </c>
      <c r="W27" s="34">
        <f t="shared" si="1"/>
        <v>47328</v>
      </c>
      <c r="Y27" s="34">
        <f t="shared" si="2"/>
        <v>0</v>
      </c>
      <c r="Z27" s="34">
        <v>0</v>
      </c>
      <c r="AA27" s="34">
        <v>0</v>
      </c>
      <c r="AB27" s="34">
        <f t="shared" si="3"/>
        <v>0</v>
      </c>
    </row>
    <row r="28" spans="1:28" x14ac:dyDescent="0.25">
      <c r="A28" s="6">
        <v>26</v>
      </c>
      <c r="B28" s="1">
        <f t="shared" si="4"/>
        <v>47328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1"/>
      <c r="M28" s="6">
        <v>26</v>
      </c>
      <c r="N28" s="34">
        <v>0</v>
      </c>
      <c r="O28" s="34">
        <v>0</v>
      </c>
      <c r="P28" s="34">
        <v>0</v>
      </c>
      <c r="Q28" s="34">
        <v>3074</v>
      </c>
      <c r="R28" s="34">
        <v>690</v>
      </c>
      <c r="S28" s="34">
        <v>0</v>
      </c>
      <c r="T28" s="34">
        <v>0</v>
      </c>
      <c r="U28" s="34">
        <v>0</v>
      </c>
      <c r="V28" s="34">
        <f t="shared" si="0"/>
        <v>3764</v>
      </c>
      <c r="W28" s="34">
        <f t="shared" si="1"/>
        <v>43564</v>
      </c>
      <c r="Y28" s="34">
        <f t="shared" si="2"/>
        <v>0</v>
      </c>
      <c r="Z28" s="34">
        <v>0</v>
      </c>
      <c r="AA28" s="34">
        <v>0</v>
      </c>
      <c r="AB28" s="34">
        <f t="shared" si="3"/>
        <v>0</v>
      </c>
    </row>
    <row r="29" spans="1:28" x14ac:dyDescent="0.25">
      <c r="A29" s="6">
        <v>27</v>
      </c>
      <c r="B29" s="1">
        <f t="shared" si="4"/>
        <v>43564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1"/>
      <c r="M29" s="6">
        <v>27</v>
      </c>
      <c r="N29" s="34">
        <v>0</v>
      </c>
      <c r="O29" s="34">
        <v>0</v>
      </c>
      <c r="P29" s="34">
        <v>0</v>
      </c>
      <c r="Q29" s="34">
        <v>0</v>
      </c>
      <c r="R29" s="34">
        <v>1500</v>
      </c>
      <c r="S29" s="34">
        <v>0</v>
      </c>
      <c r="T29" s="34">
        <v>0</v>
      </c>
      <c r="U29" s="34">
        <v>0</v>
      </c>
      <c r="V29" s="34">
        <f t="shared" si="0"/>
        <v>1500</v>
      </c>
      <c r="W29" s="34">
        <f t="shared" si="1"/>
        <v>42064</v>
      </c>
      <c r="Y29" s="34">
        <f t="shared" si="2"/>
        <v>0</v>
      </c>
      <c r="Z29" s="34">
        <v>0</v>
      </c>
      <c r="AA29" s="34">
        <v>0</v>
      </c>
      <c r="AB29" s="34">
        <f t="shared" si="3"/>
        <v>0</v>
      </c>
    </row>
    <row r="30" spans="1:28" x14ac:dyDescent="0.25">
      <c r="A30" s="6">
        <v>28</v>
      </c>
      <c r="B30" s="1">
        <f t="shared" si="4"/>
        <v>42064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1"/>
      <c r="M30" s="6">
        <v>28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f t="shared" si="0"/>
        <v>0</v>
      </c>
      <c r="W30" s="34">
        <f t="shared" si="1"/>
        <v>42064</v>
      </c>
      <c r="Y30" s="34">
        <f t="shared" si="2"/>
        <v>0</v>
      </c>
      <c r="Z30" s="34">
        <v>0</v>
      </c>
      <c r="AA30" s="34">
        <v>0</v>
      </c>
      <c r="AB30" s="34">
        <f t="shared" si="3"/>
        <v>0</v>
      </c>
    </row>
    <row r="31" spans="1:28" x14ac:dyDescent="0.25">
      <c r="A31" s="6">
        <v>29</v>
      </c>
      <c r="B31" s="1">
        <f t="shared" si="4"/>
        <v>42064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1"/>
      <c r="M31" s="6">
        <v>29</v>
      </c>
      <c r="N31" s="34">
        <v>0</v>
      </c>
      <c r="O31" s="34">
        <v>0</v>
      </c>
      <c r="P31" s="34">
        <v>0</v>
      </c>
      <c r="Q31" s="34">
        <v>3100</v>
      </c>
      <c r="R31" s="34">
        <v>774</v>
      </c>
      <c r="S31" s="34">
        <v>0</v>
      </c>
      <c r="T31" s="34">
        <v>0</v>
      </c>
      <c r="U31" s="34">
        <v>0</v>
      </c>
      <c r="V31" s="34">
        <f t="shared" si="0"/>
        <v>3874</v>
      </c>
      <c r="W31" s="34">
        <f t="shared" si="1"/>
        <v>38190</v>
      </c>
      <c r="Y31" s="34">
        <f t="shared" si="2"/>
        <v>0</v>
      </c>
      <c r="Z31" s="34">
        <v>0</v>
      </c>
      <c r="AA31" s="34">
        <v>0</v>
      </c>
      <c r="AB31" s="34">
        <f t="shared" si="3"/>
        <v>0</v>
      </c>
    </row>
    <row r="32" spans="1:28" x14ac:dyDescent="0.25">
      <c r="A32" s="6">
        <v>30</v>
      </c>
      <c r="B32" s="1">
        <f t="shared" si="4"/>
        <v>38190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1"/>
      <c r="M32" s="6">
        <v>30</v>
      </c>
      <c r="N32" s="34">
        <v>0</v>
      </c>
      <c r="O32" s="34">
        <v>0</v>
      </c>
      <c r="P32" s="34">
        <v>0</v>
      </c>
      <c r="Q32" s="34">
        <v>0</v>
      </c>
      <c r="R32" s="34">
        <v>734</v>
      </c>
      <c r="S32" s="34">
        <v>0</v>
      </c>
      <c r="T32" s="34">
        <v>0</v>
      </c>
      <c r="U32" s="34">
        <v>0</v>
      </c>
      <c r="V32" s="34">
        <f t="shared" si="0"/>
        <v>734</v>
      </c>
      <c r="W32" s="34">
        <f t="shared" si="1"/>
        <v>37456</v>
      </c>
      <c r="Y32" s="34">
        <f t="shared" si="2"/>
        <v>0</v>
      </c>
      <c r="Z32" s="34">
        <v>0</v>
      </c>
      <c r="AA32" s="34">
        <v>0</v>
      </c>
      <c r="AB32" s="34">
        <f t="shared" si="3"/>
        <v>0</v>
      </c>
    </row>
    <row r="33" spans="1:28" ht="15.75" thickBot="1" x14ac:dyDescent="0.3">
      <c r="A33" s="8">
        <v>31</v>
      </c>
      <c r="B33" s="1">
        <f t="shared" si="4"/>
        <v>37456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21"/>
      <c r="M33" s="17">
        <v>31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f t="shared" si="0"/>
        <v>0</v>
      </c>
      <c r="W33" s="34">
        <f t="shared" si="1"/>
        <v>37456</v>
      </c>
      <c r="Y33" s="34">
        <f t="shared" si="2"/>
        <v>0</v>
      </c>
      <c r="Z33" s="34">
        <v>0</v>
      </c>
      <c r="AA33" s="34">
        <v>0</v>
      </c>
      <c r="AB33" s="34" t="s">
        <v>120</v>
      </c>
    </row>
    <row r="34" spans="1:28" ht="15.75" thickBot="1" x14ac:dyDescent="0.3">
      <c r="A34" t="s">
        <v>44</v>
      </c>
      <c r="B34" s="40"/>
      <c r="C34" s="40">
        <f>SUM(C3:C33)</f>
        <v>65000</v>
      </c>
      <c r="D34" s="40">
        <f>SUM(D3:D33)</f>
        <v>0</v>
      </c>
      <c r="E34" s="40">
        <f t="shared" ref="E34:J34" si="5">SUM(E3:E33)</f>
        <v>0</v>
      </c>
      <c r="F34" s="40">
        <f t="shared" si="5"/>
        <v>0</v>
      </c>
      <c r="G34" s="40">
        <f t="shared" si="5"/>
        <v>0</v>
      </c>
      <c r="H34" s="40">
        <f t="shared" si="5"/>
        <v>0</v>
      </c>
      <c r="I34" s="40">
        <f t="shared" si="5"/>
        <v>0</v>
      </c>
      <c r="J34" s="40">
        <f t="shared" si="5"/>
        <v>0</v>
      </c>
      <c r="K34" s="40"/>
      <c r="L34" s="40"/>
      <c r="M34" s="40" t="s">
        <v>44</v>
      </c>
      <c r="N34" s="40">
        <f>SUM(N3:N33)</f>
        <v>0</v>
      </c>
      <c r="O34" s="40">
        <f>SUM(O3:O33)</f>
        <v>5000</v>
      </c>
      <c r="P34" s="40">
        <f t="shared" ref="P34:V34" si="6">SUM(P3:P33)</f>
        <v>105</v>
      </c>
      <c r="Q34" s="40">
        <f>SUM(Q3:Q33)</f>
        <v>27702</v>
      </c>
      <c r="R34" s="40">
        <f>SUM(R3:R33)</f>
        <v>20882</v>
      </c>
      <c r="S34" s="40">
        <f t="shared" si="6"/>
        <v>0</v>
      </c>
      <c r="T34" s="40">
        <f t="shared" si="6"/>
        <v>0</v>
      </c>
      <c r="U34" s="40">
        <f t="shared" si="6"/>
        <v>0</v>
      </c>
      <c r="V34" s="40">
        <f t="shared" si="6"/>
        <v>53689</v>
      </c>
      <c r="W34" s="40"/>
      <c r="Y34" s="40"/>
      <c r="Z34" s="40"/>
      <c r="AA34" s="40"/>
      <c r="AB34" s="40"/>
    </row>
    <row r="35" spans="1:28" ht="15.75" thickTop="1" x14ac:dyDescent="0.25">
      <c r="A35" s="13" t="s">
        <v>45</v>
      </c>
      <c r="B35" s="13"/>
      <c r="C35" s="13">
        <f>C36+SUM(C3:C33)</f>
        <v>155000</v>
      </c>
      <c r="D35" s="13">
        <f>D36+SUM(D3:D33)</f>
        <v>0</v>
      </c>
      <c r="E35" s="13">
        <f t="shared" ref="E35:K35" si="7">SUM(E3:E33)</f>
        <v>0</v>
      </c>
      <c r="F35" s="13">
        <f t="shared" si="7"/>
        <v>0</v>
      </c>
      <c r="G35" s="13">
        <f t="shared" si="7"/>
        <v>0</v>
      </c>
      <c r="H35" s="13">
        <f t="shared" si="7"/>
        <v>0</v>
      </c>
      <c r="I35" s="13">
        <f t="shared" si="7"/>
        <v>0</v>
      </c>
      <c r="J35" s="13">
        <f t="shared" si="7"/>
        <v>0</v>
      </c>
      <c r="K35" s="13">
        <f t="shared" si="7"/>
        <v>0</v>
      </c>
      <c r="M35" s="13" t="s">
        <v>45</v>
      </c>
      <c r="N35" s="13">
        <f>N36+SUM(N3:N33)</f>
        <v>0</v>
      </c>
      <c r="O35" s="13">
        <f>O36+SUM(O3:O33)</f>
        <v>20000</v>
      </c>
      <c r="P35" s="13">
        <f t="shared" ref="P35:W35" si="8">P36+SUM(P3:P33)</f>
        <v>708</v>
      </c>
      <c r="Q35" s="13">
        <f t="shared" si="8"/>
        <v>82337</v>
      </c>
      <c r="R35" s="13">
        <f t="shared" si="8"/>
        <v>63590</v>
      </c>
      <c r="S35" s="13">
        <f t="shared" si="8"/>
        <v>0</v>
      </c>
      <c r="T35" s="13">
        <f t="shared" si="8"/>
        <v>0</v>
      </c>
      <c r="U35" s="13">
        <f t="shared" si="8"/>
        <v>0</v>
      </c>
      <c r="V35" s="13">
        <f t="shared" si="8"/>
        <v>166635</v>
      </c>
      <c r="W35" s="13">
        <f t="shared" si="8"/>
        <v>17906028</v>
      </c>
      <c r="Y35" s="13">
        <f>Y36+SUM(Y3:Y33)</f>
        <v>0</v>
      </c>
      <c r="Z35" s="13">
        <f>Z36+SUM(Z3:Z33)</f>
        <v>0</v>
      </c>
      <c r="AA35" s="13">
        <f>AA36+SUM(AA3:AA33)</f>
        <v>0</v>
      </c>
      <c r="AB35" s="13">
        <f>AB36+SUM(AB3:AB33)</f>
        <v>0</v>
      </c>
    </row>
    <row r="36" spans="1:28" x14ac:dyDescent="0.25">
      <c r="A36" t="s">
        <v>45</v>
      </c>
      <c r="C36">
        <v>90000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M36" t="s">
        <v>45</v>
      </c>
      <c r="N36">
        <v>0</v>
      </c>
      <c r="O36">
        <v>15000</v>
      </c>
      <c r="P36">
        <v>603</v>
      </c>
      <c r="Q36">
        <v>54635</v>
      </c>
      <c r="R36">
        <v>42708</v>
      </c>
      <c r="S36">
        <v>0</v>
      </c>
      <c r="T36">
        <v>0</v>
      </c>
      <c r="U36">
        <v>0</v>
      </c>
      <c r="V36">
        <v>112946</v>
      </c>
      <c r="W36">
        <v>16655055</v>
      </c>
      <c r="Y36">
        <v>0</v>
      </c>
      <c r="Z36">
        <v>0</v>
      </c>
      <c r="AA36">
        <v>0</v>
      </c>
      <c r="AB36">
        <v>0</v>
      </c>
    </row>
  </sheetData>
  <mergeCells count="2">
    <mergeCell ref="A1:K1"/>
    <mergeCell ref="M1:W1"/>
  </mergeCells>
  <pageMargins left="0.7" right="0.7" top="0.75" bottom="0.75" header="0.3" footer="0.3"/>
  <pageSetup paperSize="11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8" sqref="J8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8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 t="s">
        <v>214</v>
      </c>
      <c r="Q3" s="316"/>
    </row>
    <row r="4" spans="2:18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8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8" x14ac:dyDescent="0.25">
      <c r="B6" s="54">
        <v>1</v>
      </c>
      <c r="C6" s="308" t="s">
        <v>135</v>
      </c>
      <c r="D6" s="309"/>
      <c r="E6" s="310"/>
      <c r="F6" s="45">
        <f>Clinker!C3</f>
        <v>2647.92</v>
      </c>
      <c r="G6" s="45">
        <f>Clinker!D3</f>
        <v>0</v>
      </c>
      <c r="H6" s="45">
        <f>G6</f>
        <v>0</v>
      </c>
      <c r="I6" s="45">
        <f>G6+Clinker!D36</f>
        <v>417.28000000000003</v>
      </c>
      <c r="J6" s="45">
        <f>Clinker!E3</f>
        <v>52</v>
      </c>
      <c r="K6" s="45">
        <f>J6</f>
        <v>52</v>
      </c>
      <c r="L6" s="45">
        <f>J6+Clinker!E36</f>
        <v>3187</v>
      </c>
      <c r="M6" s="45">
        <f>F6+G6-J6</f>
        <v>2595.92</v>
      </c>
      <c r="N6" s="45">
        <v>0</v>
      </c>
      <c r="O6" s="45">
        <v>3000</v>
      </c>
      <c r="P6" s="45">
        <v>6000</v>
      </c>
      <c r="Q6" s="55">
        <f>SUM(M6+N6)-O6</f>
        <v>-404.07999999999993</v>
      </c>
      <c r="R6" s="90"/>
    </row>
    <row r="7" spans="2:18" x14ac:dyDescent="0.25">
      <c r="B7" s="50">
        <v>2</v>
      </c>
      <c r="C7" s="305" t="s">
        <v>136</v>
      </c>
      <c r="D7" s="306"/>
      <c r="E7" s="307"/>
      <c r="F7" s="46">
        <f>Cement!C3</f>
        <v>4208.3058581561772</v>
      </c>
      <c r="G7" s="46">
        <f>Cement!D3</f>
        <v>0</v>
      </c>
      <c r="H7" s="45">
        <f>G7</f>
        <v>0</v>
      </c>
      <c r="I7" s="45">
        <f>G7+Cement!D36</f>
        <v>2126.62</v>
      </c>
      <c r="J7" s="46">
        <f>Cement!I3</f>
        <v>106.15789473684212</v>
      </c>
      <c r="K7" s="45">
        <f>J7</f>
        <v>106.15789473684212</v>
      </c>
      <c r="L7" s="45">
        <f>J7+Cement!E36</f>
        <v>5332.3878850643423</v>
      </c>
      <c r="M7" s="45">
        <f>F7+G7-J7</f>
        <v>4102.1479634193347</v>
      </c>
      <c r="N7" s="46">
        <v>0</v>
      </c>
      <c r="O7" s="46">
        <v>3000</v>
      </c>
      <c r="P7" s="46">
        <v>6000</v>
      </c>
      <c r="Q7" s="56">
        <f>SUM(M7+N7)-O7</f>
        <v>1102.1479634193347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Clinker!EI3</f>
        <v>31251.90208780696</v>
      </c>
      <c r="G8" s="46">
        <f>Clinker!EJ3</f>
        <v>1970</v>
      </c>
      <c r="H8" s="45">
        <f>G8</f>
        <v>1970</v>
      </c>
      <c r="I8" s="45">
        <f>G8+Clinker!EJ36</f>
        <v>100886.66</v>
      </c>
      <c r="J8" s="46">
        <f>Clinker!EK3</f>
        <v>1611.3400000000015</v>
      </c>
      <c r="K8" s="45">
        <f>J8</f>
        <v>1611.3400000000015</v>
      </c>
      <c r="L8" s="45">
        <f>J8+Clinker!EK36</f>
        <v>81407.187019819932</v>
      </c>
      <c r="M8" s="45">
        <f>F8+G8-J8</f>
        <v>31610.562087806957</v>
      </c>
      <c r="N8" s="46">
        <v>0</v>
      </c>
      <c r="O8" s="46"/>
      <c r="P8" s="46"/>
      <c r="Q8" s="56"/>
    </row>
    <row r="9" spans="2:18" s="67" customFormat="1" x14ac:dyDescent="0.25">
      <c r="B9" s="287">
        <v>4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88"/>
      <c r="C10" s="281" t="s">
        <v>138</v>
      </c>
      <c r="D10" s="282"/>
      <c r="E10" s="283"/>
      <c r="F10" s="46">
        <f>Clinker!K3</f>
        <v>0</v>
      </c>
      <c r="G10" s="46">
        <f>Clinker!L3</f>
        <v>0</v>
      </c>
      <c r="H10" s="46">
        <f>G10</f>
        <v>0</v>
      </c>
      <c r="I10" s="46">
        <f>G10+Clinker!L36</f>
        <v>0</v>
      </c>
      <c r="J10" s="46">
        <f>Clinker!N3</f>
        <v>0</v>
      </c>
      <c r="K10" s="46">
        <f>J10</f>
        <v>0</v>
      </c>
      <c r="L10" s="46">
        <f>J10+Clinker!N36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88"/>
      <c r="C11" s="281" t="s">
        <v>139</v>
      </c>
      <c r="D11" s="282"/>
      <c r="E11" s="283"/>
      <c r="F11" s="46">
        <f>Clinker!W3</f>
        <v>1063.0399999999981</v>
      </c>
      <c r="G11" s="46">
        <f>Clinker!X3</f>
        <v>0</v>
      </c>
      <c r="H11" s="46">
        <f t="shared" ref="H11:H20" si="0">G11</f>
        <v>0</v>
      </c>
      <c r="I11" s="46">
        <f>G11+Clinker!X36</f>
        <v>0</v>
      </c>
      <c r="J11" s="46">
        <f>Clinker!Z3</f>
        <v>0</v>
      </c>
      <c r="K11" s="46">
        <f t="shared" ref="K11:K24" si="1">J11</f>
        <v>0</v>
      </c>
      <c r="L11" s="46">
        <f>J11+Clinker!Z36</f>
        <v>7623.8399999999992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8" ht="15" customHeight="1" x14ac:dyDescent="0.25">
      <c r="B12" s="288"/>
      <c r="C12" s="281" t="s">
        <v>140</v>
      </c>
      <c r="D12" s="282"/>
      <c r="E12" s="283"/>
      <c r="F12" s="46">
        <f>Clinker!AT3</f>
        <v>2933.9000000000024</v>
      </c>
      <c r="G12" s="46">
        <f>Clinker!AU3</f>
        <v>0</v>
      </c>
      <c r="H12" s="46">
        <f>G12</f>
        <v>0</v>
      </c>
      <c r="I12" s="46">
        <f>G12+Clinker!AU36</f>
        <v>181.5</v>
      </c>
      <c r="J12" s="46">
        <f>Clinker!AV3</f>
        <v>306.23</v>
      </c>
      <c r="K12" s="46">
        <f>J12</f>
        <v>306.23</v>
      </c>
      <c r="L12" s="46">
        <f>J12+Clinker!AV36</f>
        <v>3047.93</v>
      </c>
      <c r="M12" s="45">
        <f>F12+G12-J12-J37</f>
        <v>2627.6700000000023</v>
      </c>
      <c r="N12" s="46">
        <v>0</v>
      </c>
      <c r="O12" s="46"/>
      <c r="P12" s="46"/>
      <c r="Q12" s="70"/>
    </row>
    <row r="13" spans="2:18" x14ac:dyDescent="0.25">
      <c r="B13" s="288"/>
      <c r="C13" s="281" t="s">
        <v>9</v>
      </c>
      <c r="D13" s="282"/>
      <c r="E13" s="69"/>
      <c r="F13" s="46">
        <f>Clinker!AO3</f>
        <v>0</v>
      </c>
      <c r="G13" s="46">
        <f>Clinker!AP3</f>
        <v>0</v>
      </c>
      <c r="H13" s="46">
        <f t="shared" si="0"/>
        <v>0</v>
      </c>
      <c r="I13" s="46">
        <f>G13+Clinker!AP36</f>
        <v>0</v>
      </c>
      <c r="J13" s="46">
        <f>Clinker!AQ3</f>
        <v>0</v>
      </c>
      <c r="K13" s="46">
        <f t="shared" si="1"/>
        <v>0</v>
      </c>
      <c r="L13" s="46">
        <f>J13+Clinker!AQ36</f>
        <v>0</v>
      </c>
      <c r="M13" s="45">
        <f>F13+G13-J13-J36</f>
        <v>0</v>
      </c>
      <c r="N13" s="46">
        <v>0</v>
      </c>
      <c r="O13" s="46"/>
      <c r="P13" s="46"/>
      <c r="Q13" s="71"/>
    </row>
    <row r="14" spans="2:18" x14ac:dyDescent="0.25">
      <c r="B14" s="288"/>
      <c r="C14" s="281" t="s">
        <v>8</v>
      </c>
      <c r="D14" s="282"/>
      <c r="E14" s="69"/>
      <c r="F14" s="46">
        <f>Clinker!AK3</f>
        <v>0</v>
      </c>
      <c r="G14" s="46">
        <f>Clinker!AL3</f>
        <v>0</v>
      </c>
      <c r="H14" s="46">
        <f t="shared" si="0"/>
        <v>0</v>
      </c>
      <c r="I14" s="46">
        <f>G14+Clinker!AL36</f>
        <v>0</v>
      </c>
      <c r="J14" s="46">
        <f>Clinker!AM3</f>
        <v>0</v>
      </c>
      <c r="K14" s="46">
        <f t="shared" si="1"/>
        <v>0</v>
      </c>
      <c r="L14" s="46">
        <f>J14+Clinker!AM36</f>
        <v>0</v>
      </c>
      <c r="M14" s="45">
        <f>F14+G14-J14</f>
        <v>0</v>
      </c>
      <c r="N14" s="46">
        <v>0</v>
      </c>
      <c r="O14" s="46"/>
      <c r="P14" s="46"/>
      <c r="Q14" s="71"/>
    </row>
    <row r="15" spans="2:18" x14ac:dyDescent="0.25">
      <c r="B15" s="288"/>
      <c r="C15" s="281" t="s">
        <v>11</v>
      </c>
      <c r="D15" s="282"/>
      <c r="E15" s="69"/>
      <c r="F15" s="46">
        <f>Clinker!AY3</f>
        <v>412.02699999999027</v>
      </c>
      <c r="G15" s="46">
        <f>Clinker!AZ3</f>
        <v>121.76</v>
      </c>
      <c r="H15" s="46">
        <f t="shared" si="0"/>
        <v>121.76</v>
      </c>
      <c r="I15" s="46">
        <f>G15+Clinker!AZ36</f>
        <v>533.5</v>
      </c>
      <c r="J15" s="46">
        <f>Clinker!BA3</f>
        <v>0</v>
      </c>
      <c r="K15" s="46">
        <f t="shared" si="1"/>
        <v>0</v>
      </c>
      <c r="L15" s="46">
        <f>J15+Clinker!BA36</f>
        <v>0</v>
      </c>
      <c r="M15" s="45">
        <f>F15+G15-J15-J38</f>
        <v>533.78699999999026</v>
      </c>
      <c r="N15" s="75">
        <v>0</v>
      </c>
      <c r="O15" s="46">
        <v>5000</v>
      </c>
      <c r="P15" s="46">
        <v>9000</v>
      </c>
      <c r="Q15" s="70"/>
    </row>
    <row r="16" spans="2:18" x14ac:dyDescent="0.25">
      <c r="B16" s="288"/>
      <c r="C16" s="76" t="s">
        <v>141</v>
      </c>
      <c r="D16" s="77"/>
      <c r="E16" s="69"/>
      <c r="F16" s="46">
        <f>Clinker!BD3</f>
        <v>0</v>
      </c>
      <c r="G16" s="46">
        <f>Clinker!BE3</f>
        <v>0</v>
      </c>
      <c r="H16" s="46">
        <f t="shared" si="0"/>
        <v>0</v>
      </c>
      <c r="I16" s="46">
        <f>G16+Clinker!BE36</f>
        <v>0</v>
      </c>
      <c r="J16" s="46">
        <f>Clinker!BF3</f>
        <v>0</v>
      </c>
      <c r="K16" s="46">
        <f t="shared" si="1"/>
        <v>0</v>
      </c>
      <c r="L16" s="46">
        <f>J16+Clinker!BF36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13</v>
      </c>
      <c r="D17" s="282"/>
      <c r="E17" s="283"/>
      <c r="F17" s="46">
        <f>Clinker!BI3</f>
        <v>0</v>
      </c>
      <c r="G17" s="46">
        <f>Clinker!BJ3</f>
        <v>0</v>
      </c>
      <c r="H17" s="46">
        <f t="shared" si="0"/>
        <v>0</v>
      </c>
      <c r="I17" s="46">
        <f>G17+Clinker!BJ36</f>
        <v>0</v>
      </c>
      <c r="J17" s="46">
        <f>Clinker!BK3</f>
        <v>0</v>
      </c>
      <c r="K17" s="46">
        <f t="shared" si="1"/>
        <v>0</v>
      </c>
      <c r="L17" s="46">
        <f>J17+Clinker!BK36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Clinker!BN3</f>
        <v>0</v>
      </c>
      <c r="G18" s="46">
        <f>Clinker!BO3</f>
        <v>0</v>
      </c>
      <c r="H18" s="46">
        <f t="shared" si="0"/>
        <v>0</v>
      </c>
      <c r="I18" s="46">
        <f>G18+Clinker!BO36</f>
        <v>0</v>
      </c>
      <c r="J18" s="46">
        <f>Clinker!BP3</f>
        <v>0</v>
      </c>
      <c r="K18" s="46">
        <f t="shared" si="1"/>
        <v>0</v>
      </c>
      <c r="L18" s="46">
        <f>J18+Clinker!BP36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Clinker!BS3</f>
        <v>0</v>
      </c>
      <c r="G19" s="46">
        <f>Clinker!BT3</f>
        <v>0</v>
      </c>
      <c r="H19" s="46">
        <f t="shared" si="0"/>
        <v>0</v>
      </c>
      <c r="I19" s="46">
        <f>G19+Clinker!BT36</f>
        <v>0</v>
      </c>
      <c r="J19" s="46">
        <f>Clinker!BU3</f>
        <v>0</v>
      </c>
      <c r="K19" s="46">
        <f t="shared" si="1"/>
        <v>0</v>
      </c>
      <c r="L19" s="46">
        <f>J19+Clinker!BU36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Clinker!BX3</f>
        <v>0</v>
      </c>
      <c r="G20" s="46">
        <f>Clinker!BY3</f>
        <v>0</v>
      </c>
      <c r="H20" s="46">
        <f t="shared" si="0"/>
        <v>0</v>
      </c>
      <c r="I20" s="46">
        <f>G20+Clinker!BY36</f>
        <v>0</v>
      </c>
      <c r="J20" s="46">
        <f>Clinker!BZ3</f>
        <v>0</v>
      </c>
      <c r="K20" s="46">
        <f t="shared" si="1"/>
        <v>0</v>
      </c>
      <c r="L20" s="46">
        <f>J20+Clinker!AH36</f>
        <v>4052.88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Clinker!CR3</f>
        <v>0</v>
      </c>
      <c r="G21" s="46">
        <f>Clinker!CS3</f>
        <v>0</v>
      </c>
      <c r="H21" s="46">
        <f t="shared" ref="H21:H26" si="2">G21</f>
        <v>0</v>
      </c>
      <c r="I21" s="46">
        <f>G21+Clinker!CS36</f>
        <v>0</v>
      </c>
      <c r="J21" s="46">
        <f>Clinker!CT3</f>
        <v>0</v>
      </c>
      <c r="K21" s="46">
        <f t="shared" si="1"/>
        <v>0</v>
      </c>
      <c r="L21" s="46">
        <f>J21+Clinker!BU38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143</v>
      </c>
      <c r="D22" s="77"/>
      <c r="E22" s="69"/>
      <c r="F22" s="46">
        <f>Clinker!CW3</f>
        <v>0</v>
      </c>
      <c r="G22" s="46">
        <f>Clinker!CX3</f>
        <v>0</v>
      </c>
      <c r="H22" s="46">
        <f t="shared" si="2"/>
        <v>0</v>
      </c>
      <c r="I22" s="46">
        <f>G22+Clinker!CX36</f>
        <v>0</v>
      </c>
      <c r="J22" s="46">
        <f>Clinker!CY3</f>
        <v>0</v>
      </c>
      <c r="K22" s="46">
        <f t="shared" si="1"/>
        <v>0</v>
      </c>
      <c r="L22" s="46">
        <f>J22+Clinker!CY36</f>
        <v>0</v>
      </c>
      <c r="M22" s="45">
        <f>F22+G22-J22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Clinker!DB3</f>
        <v>7.1100000000000136</v>
      </c>
      <c r="G23" s="46">
        <f>Clinker!DC3</f>
        <v>0</v>
      </c>
      <c r="H23" s="46">
        <f t="shared" si="2"/>
        <v>0</v>
      </c>
      <c r="I23" s="46">
        <f>G23+Clinker!DC36</f>
        <v>0</v>
      </c>
      <c r="J23" s="46">
        <f>Clinker!DD3</f>
        <v>7.1</v>
      </c>
      <c r="K23" s="46">
        <f t="shared" si="1"/>
        <v>7.1</v>
      </c>
      <c r="L23" s="46">
        <f>J23+Clinker!DD36</f>
        <v>305.99</v>
      </c>
      <c r="M23" s="45">
        <f>F23+G23-J23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Clinker!DG3</f>
        <v>0</v>
      </c>
      <c r="G24" s="46">
        <f>Clinker!DH3</f>
        <v>0</v>
      </c>
      <c r="H24" s="46">
        <f t="shared" si="2"/>
        <v>0</v>
      </c>
      <c r="I24" s="46">
        <f>G24+Clinker!DH36</f>
        <v>0</v>
      </c>
      <c r="J24" s="46">
        <f>Clinker!DI3</f>
        <v>0</v>
      </c>
      <c r="K24" s="46">
        <f t="shared" si="1"/>
        <v>0</v>
      </c>
      <c r="L24" s="46">
        <f>J24+Clinker!DI36</f>
        <v>0</v>
      </c>
      <c r="M24" s="45">
        <f>F24+G24-J24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Clinker!DL3</f>
        <v>212</v>
      </c>
      <c r="G25" s="46">
        <f>Clinker!DM3</f>
        <v>30</v>
      </c>
      <c r="H25" s="46">
        <f t="shared" si="2"/>
        <v>30</v>
      </c>
      <c r="I25" s="46">
        <f>G25+Clinker!DM36</f>
        <v>242</v>
      </c>
      <c r="J25" s="46">
        <f>Clinker!DN3</f>
        <v>0</v>
      </c>
      <c r="K25" s="46">
        <f>J25</f>
        <v>0</v>
      </c>
      <c r="L25" s="46">
        <f>J25+Clinker!DN36</f>
        <v>0</v>
      </c>
      <c r="M25" s="45">
        <f>F25+G25-J25-J47</f>
        <v>242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Clinker!DV3</f>
        <v>0</v>
      </c>
      <c r="G26" s="46">
        <f>Clinker!DW3</f>
        <v>0</v>
      </c>
      <c r="H26" s="46">
        <f t="shared" si="2"/>
        <v>0</v>
      </c>
      <c r="I26" s="46">
        <f>G26+Clinker!DW36</f>
        <v>0</v>
      </c>
      <c r="J26" s="46">
        <f>Clinker!DX3</f>
        <v>0</v>
      </c>
      <c r="K26" s="46">
        <f>J26</f>
        <v>0</v>
      </c>
      <c r="L26" s="46">
        <f>J26+Clinker!DX36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4628.0769999999902</v>
      </c>
      <c r="G27" s="46">
        <f t="shared" ref="G27:Q27" si="3">SUM(G10:G26)</f>
        <v>151.76</v>
      </c>
      <c r="H27" s="46">
        <f t="shared" si="3"/>
        <v>151.76</v>
      </c>
      <c r="I27" s="46">
        <f t="shared" si="3"/>
        <v>957</v>
      </c>
      <c r="J27" s="46">
        <f t="shared" si="3"/>
        <v>313.33000000000004</v>
      </c>
      <c r="K27" s="46">
        <f t="shared" si="3"/>
        <v>313.33000000000004</v>
      </c>
      <c r="L27" s="46">
        <f t="shared" si="3"/>
        <v>15030.639999999998</v>
      </c>
      <c r="M27" s="46">
        <f t="shared" si="3"/>
        <v>4466.5069999999905</v>
      </c>
      <c r="N27" s="46">
        <f t="shared" si="3"/>
        <v>0</v>
      </c>
      <c r="O27" s="46">
        <f t="shared" si="3"/>
        <v>10000</v>
      </c>
      <c r="P27" s="46">
        <f t="shared" si="3"/>
        <v>18000</v>
      </c>
      <c r="Q27" s="46">
        <f t="shared" si="3"/>
        <v>1063.0399999999981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Clinker!Q3</f>
        <v>0</v>
      </c>
      <c r="G29" s="46">
        <f>Clinker!R3</f>
        <v>0</v>
      </c>
      <c r="H29" s="46">
        <f>G29</f>
        <v>0</v>
      </c>
      <c r="I29" s="46">
        <f>G29+Clinker!R36</f>
        <v>0</v>
      </c>
      <c r="J29" s="46">
        <f>Clinker!S3</f>
        <v>0</v>
      </c>
      <c r="K29" s="46">
        <f>J29</f>
        <v>0</v>
      </c>
      <c r="L29" s="46">
        <f>J29+Clinker!U36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</f>
        <v>0</v>
      </c>
      <c r="I30" s="46">
        <v>0</v>
      </c>
      <c r="J30" s="46">
        <v>0</v>
      </c>
      <c r="K30" s="46">
        <f t="shared" ref="K30:K53" si="4">J30</f>
        <v>0</v>
      </c>
      <c r="L30" s="46">
        <f>J30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</f>
        <v>0</v>
      </c>
      <c r="I31" s="46">
        <v>0</v>
      </c>
      <c r="J31" s="46">
        <v>0</v>
      </c>
      <c r="K31" s="46">
        <f t="shared" si="4"/>
        <v>0</v>
      </c>
      <c r="L31" s="46">
        <f>J31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/>
      <c r="G32" s="46"/>
      <c r="H32" s="46"/>
      <c r="I32" s="46"/>
      <c r="J32" s="46">
        <f>Clinker!DT3</f>
        <v>0</v>
      </c>
      <c r="K32" s="46">
        <f>J32</f>
        <v>0</v>
      </c>
      <c r="L32" s="46">
        <f>J32+Clinker!DT36</f>
        <v>0</v>
      </c>
      <c r="M32" s="45"/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</f>
        <v>0</v>
      </c>
      <c r="I33" s="46">
        <v>0</v>
      </c>
      <c r="J33" s="46">
        <v>0</v>
      </c>
      <c r="K33" s="46">
        <f t="shared" si="4"/>
        <v>0</v>
      </c>
      <c r="L33" s="46">
        <f>J33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Clinker!Y3</f>
        <v>0</v>
      </c>
      <c r="K34" s="46">
        <f t="shared" si="4"/>
        <v>0</v>
      </c>
      <c r="L34" s="46">
        <f>J34+Clinker!Y36</f>
        <v>1327</v>
      </c>
      <c r="M34" s="45"/>
      <c r="N34" s="46">
        <v>0</v>
      </c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Clinker!M3</f>
        <v>0</v>
      </c>
      <c r="K35" s="46">
        <f t="shared" si="4"/>
        <v>0</v>
      </c>
      <c r="L35" s="46">
        <f>J35+Clinker!M36</f>
        <v>0</v>
      </c>
      <c r="M35" s="45"/>
      <c r="N35" s="46">
        <v>0</v>
      </c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Clinker!AR3</f>
        <v>0</v>
      </c>
      <c r="K36" s="46">
        <f t="shared" si="4"/>
        <v>0</v>
      </c>
      <c r="L36" s="46">
        <f>J36+Clinker!AR36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140</v>
      </c>
      <c r="D37" s="282"/>
      <c r="E37" s="69"/>
      <c r="F37" s="46"/>
      <c r="G37" s="46"/>
      <c r="H37" s="46"/>
      <c r="I37" s="46"/>
      <c r="J37" s="46">
        <f>Clinker!AW3</f>
        <v>0</v>
      </c>
      <c r="K37" s="46">
        <f t="shared" si="4"/>
        <v>0</v>
      </c>
      <c r="L37" s="46">
        <f>J37+Clinker!AW36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Clinker!BB3</f>
        <v>0</v>
      </c>
      <c r="K38" s="46">
        <f t="shared" si="4"/>
        <v>0</v>
      </c>
      <c r="L38" s="46">
        <f>J38+Clinker!BB36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Clinker!BG3</f>
        <v>0</v>
      </c>
      <c r="K39" s="46">
        <f t="shared" si="4"/>
        <v>0</v>
      </c>
      <c r="L39" s="46">
        <f>J39+Clinker!BG36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13</v>
      </c>
      <c r="D40" s="282"/>
      <c r="E40" s="283"/>
      <c r="F40" s="46"/>
      <c r="G40" s="46"/>
      <c r="H40" s="46"/>
      <c r="I40" s="46"/>
      <c r="J40" s="46">
        <f>Clinker!BL3</f>
        <v>0</v>
      </c>
      <c r="K40" s="46">
        <f t="shared" si="4"/>
        <v>0</v>
      </c>
      <c r="L40" s="46">
        <f>J40+Clinker!BL36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Clinker!BQ3</f>
        <v>0</v>
      </c>
      <c r="K41" s="46">
        <f t="shared" si="4"/>
        <v>0</v>
      </c>
      <c r="L41" s="46">
        <f>J41+Clinker!BQ36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Clinker!BV3</f>
        <v>0</v>
      </c>
      <c r="K42" s="46">
        <f t="shared" si="4"/>
        <v>0</v>
      </c>
      <c r="L42" s="46">
        <f>J42+Clinker!BV36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Clinker!CU3</f>
        <v>0</v>
      </c>
      <c r="K43" s="46">
        <f t="shared" si="4"/>
        <v>0</v>
      </c>
      <c r="L43" s="46">
        <f>J43+Clinker!CU36</f>
        <v>0</v>
      </c>
      <c r="M43" s="45"/>
      <c r="N43" s="46"/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Clinker!CZ3</f>
        <v>0</v>
      </c>
      <c r="K44" s="46">
        <f t="shared" si="4"/>
        <v>0</v>
      </c>
      <c r="L44" s="46">
        <f>J44+Clinker!CZ36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153</v>
      </c>
      <c r="D45" s="77"/>
      <c r="E45" s="69"/>
      <c r="F45" s="46"/>
      <c r="G45" s="46"/>
      <c r="H45" s="46"/>
      <c r="I45" s="46"/>
      <c r="J45" s="46">
        <f>Clinker!DE3</f>
        <v>0</v>
      </c>
      <c r="K45" s="46">
        <f t="shared" si="4"/>
        <v>0</v>
      </c>
      <c r="L45" s="46">
        <f>J45+Clinker!DE36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Clinker!DJ3</f>
        <v>0</v>
      </c>
      <c r="K46" s="46">
        <f t="shared" si="4"/>
        <v>0</v>
      </c>
      <c r="L46" s="46">
        <f>J46+Clinker!DY36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Clinker!DO3</f>
        <v>0</v>
      </c>
      <c r="K47" s="46">
        <f>J47</f>
        <v>0</v>
      </c>
      <c r="L47" s="46">
        <f>J47+Clinker!DO36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Clinker!CM3</f>
        <v>5.0000000000181899E-2</v>
      </c>
      <c r="G48" s="46">
        <f>Clinker!CN3</f>
        <v>0</v>
      </c>
      <c r="H48" s="46">
        <f t="shared" ref="H48:H53" si="5">G48</f>
        <v>0</v>
      </c>
      <c r="I48" s="46">
        <f>G48+Clinker!CN36</f>
        <v>0</v>
      </c>
      <c r="J48" s="46">
        <f>Clinker!CP3</f>
        <v>0</v>
      </c>
      <c r="K48" s="46">
        <f t="shared" si="4"/>
        <v>0</v>
      </c>
      <c r="L48" s="46">
        <f>J48+Clinker!CP36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88"/>
      <c r="C49" s="76" t="s">
        <v>102</v>
      </c>
      <c r="D49" s="77"/>
      <c r="E49" s="69"/>
      <c r="F49" s="46">
        <f>Clinker!CC3</f>
        <v>0</v>
      </c>
      <c r="G49" s="46">
        <f>Clinker!CD3</f>
        <v>0</v>
      </c>
      <c r="H49" s="46">
        <f t="shared" si="5"/>
        <v>0</v>
      </c>
      <c r="I49" s="46">
        <f>G49+Clinker!CD36</f>
        <v>0</v>
      </c>
      <c r="J49" s="46">
        <f>Clinker!CF3</f>
        <v>0</v>
      </c>
      <c r="K49" s="46">
        <f t="shared" si="4"/>
        <v>0</v>
      </c>
      <c r="L49" s="46">
        <f>J49+Clinker!CF36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88"/>
      <c r="C50" s="281" t="s">
        <v>154</v>
      </c>
      <c r="D50" s="282"/>
      <c r="E50" s="69"/>
      <c r="F50" s="46">
        <f>Clinker!CH3</f>
        <v>0</v>
      </c>
      <c r="G50" s="46">
        <f>Clinker!CI3</f>
        <v>0</v>
      </c>
      <c r="H50" s="46">
        <f t="shared" si="5"/>
        <v>0</v>
      </c>
      <c r="I50" s="46">
        <f>G50+Clinker!CI36</f>
        <v>0</v>
      </c>
      <c r="J50" s="46">
        <f>Clinker!CK3</f>
        <v>0</v>
      </c>
      <c r="K50" s="46">
        <f t="shared" si="4"/>
        <v>0</v>
      </c>
      <c r="L50" s="46">
        <f>J50+Clinker!CK36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88"/>
      <c r="C51" s="281" t="s">
        <v>155</v>
      </c>
      <c r="D51" s="282"/>
      <c r="E51" s="283"/>
      <c r="F51" s="46">
        <f>Clinker!AF3</f>
        <v>4048.6699999999937</v>
      </c>
      <c r="G51" s="46">
        <f>Clinker!AG3</f>
        <v>272.05</v>
      </c>
      <c r="H51" s="46">
        <f t="shared" si="5"/>
        <v>272.05</v>
      </c>
      <c r="I51" s="46">
        <f>G51+Clinker!AG36</f>
        <v>2413</v>
      </c>
      <c r="J51" s="46">
        <f>Clinker!AI3</f>
        <v>156</v>
      </c>
      <c r="K51" s="46">
        <f t="shared" si="4"/>
        <v>156</v>
      </c>
      <c r="L51" s="46">
        <f>J51+Clinker!AI36</f>
        <v>6981</v>
      </c>
      <c r="M51" s="45">
        <f>F51+G51-J51</f>
        <v>4164.7199999999939</v>
      </c>
      <c r="N51" s="46">
        <v>0</v>
      </c>
      <c r="O51" s="46">
        <v>1500</v>
      </c>
      <c r="P51" s="46">
        <v>3000</v>
      </c>
      <c r="Q51" s="56">
        <f>SUM(M51+N51)-O51</f>
        <v>2664.7199999999939</v>
      </c>
    </row>
    <row r="52" spans="2:17" x14ac:dyDescent="0.25">
      <c r="B52" s="288"/>
      <c r="C52" s="281" t="s">
        <v>156</v>
      </c>
      <c r="D52" s="282"/>
      <c r="E52" s="283"/>
      <c r="F52" s="46">
        <f>Clinker!AB3</f>
        <v>0</v>
      </c>
      <c r="G52" s="46">
        <f>Clinker!AC3</f>
        <v>0</v>
      </c>
      <c r="H52" s="46">
        <f t="shared" si="5"/>
        <v>0</v>
      </c>
      <c r="I52" s="46">
        <f>G52+Clinker!AC36</f>
        <v>0</v>
      </c>
      <c r="J52" s="46">
        <f>Clinker!AD3</f>
        <v>0</v>
      </c>
      <c r="K52" s="46">
        <f t="shared" si="4"/>
        <v>0</v>
      </c>
      <c r="L52" s="46">
        <f>J52+Clinker!AD36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88"/>
      <c r="C53" s="281" t="s">
        <v>146</v>
      </c>
      <c r="D53" s="282"/>
      <c r="E53" s="283"/>
      <c r="F53" s="46">
        <f>SUM(F29:F52)</f>
        <v>4048.7199999999939</v>
      </c>
      <c r="G53" s="46">
        <f>SUM(G29:G52)</f>
        <v>272.05</v>
      </c>
      <c r="H53" s="46">
        <f t="shared" si="5"/>
        <v>272.05</v>
      </c>
      <c r="I53" s="46">
        <f t="shared" ref="I53:P53" si="6">SUM(I29:I52)</f>
        <v>2413</v>
      </c>
      <c r="J53" s="46">
        <f>SUM(J29:J52)</f>
        <v>156</v>
      </c>
      <c r="K53" s="46">
        <f t="shared" si="4"/>
        <v>156</v>
      </c>
      <c r="L53" s="46">
        <f>SUM(L29:L52)</f>
        <v>8328</v>
      </c>
      <c r="M53" s="46">
        <f t="shared" si="6"/>
        <v>4164.7699999999941</v>
      </c>
      <c r="N53" s="46">
        <f t="shared" si="6"/>
        <v>0</v>
      </c>
      <c r="O53" s="46">
        <f t="shared" si="6"/>
        <v>3000</v>
      </c>
      <c r="P53" s="46">
        <f t="shared" si="6"/>
        <v>6000</v>
      </c>
      <c r="Q53" s="46">
        <f>SUM(Q29:Q52)</f>
        <v>2664.7199999999939</v>
      </c>
    </row>
    <row r="54" spans="2:17" x14ac:dyDescent="0.25">
      <c r="B54" s="289"/>
      <c r="C54" s="284" t="s">
        <v>157</v>
      </c>
      <c r="D54" s="285"/>
      <c r="E54" s="286"/>
      <c r="F54" s="59">
        <f>SUM(F27+F53)</f>
        <v>8676.7969999999841</v>
      </c>
      <c r="G54" s="59">
        <f>SUM(G27+G53)</f>
        <v>423.81</v>
      </c>
      <c r="H54" s="59">
        <f t="shared" ref="H54:Q54" si="7">SUM(H27+H53)</f>
        <v>423.81</v>
      </c>
      <c r="I54" s="59">
        <f t="shared" si="7"/>
        <v>3370</v>
      </c>
      <c r="J54" s="59">
        <f>SUM(J27+J53)</f>
        <v>469.33000000000004</v>
      </c>
      <c r="K54" s="59">
        <f t="shared" si="7"/>
        <v>469.33000000000004</v>
      </c>
      <c r="L54" s="59">
        <f t="shared" si="7"/>
        <v>23358.639999999999</v>
      </c>
      <c r="M54" s="59">
        <f>SUM(M27+M53)</f>
        <v>8631.2769999999837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7"/>
        <v>3727.759999999992</v>
      </c>
    </row>
    <row r="55" spans="2:17" ht="15.6" customHeight="1" x14ac:dyDescent="0.25">
      <c r="B55" s="287">
        <v>5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7" x14ac:dyDescent="0.25">
      <c r="B56" s="288"/>
      <c r="C56" s="281" t="s">
        <v>159</v>
      </c>
      <c r="D56" s="282"/>
      <c r="E56" s="283"/>
      <c r="F56" s="46">
        <f>'Packing bag '!C3</f>
        <v>2627235</v>
      </c>
      <c r="G56" s="46">
        <f>'Packing bag '!D3</f>
        <v>0</v>
      </c>
      <c r="H56" s="46">
        <f t="shared" ref="H56:H61" si="8">G56</f>
        <v>0</v>
      </c>
      <c r="I56" s="46">
        <f>G56+'Packing bag '!D36</f>
        <v>3152500</v>
      </c>
      <c r="J56" s="46">
        <f>'Packing bag '!E3</f>
        <v>38647</v>
      </c>
      <c r="K56" s="46">
        <f t="shared" ref="K56:K61" si="9">J56</f>
        <v>38647</v>
      </c>
      <c r="L56" s="46">
        <f>J56+'Packing bag '!E36</f>
        <v>1615481</v>
      </c>
      <c r="M56" s="46">
        <f>F56+G56-J56</f>
        <v>2588588</v>
      </c>
      <c r="N56" s="46"/>
      <c r="O56" s="46">
        <v>400000</v>
      </c>
      <c r="P56" s="46">
        <v>800000</v>
      </c>
      <c r="Q56" s="56">
        <f>SUM(M56+N56)-O56</f>
        <v>2188588</v>
      </c>
    </row>
    <row r="57" spans="2:17" x14ac:dyDescent="0.25">
      <c r="B57" s="288"/>
      <c r="C57" s="281" t="s">
        <v>160</v>
      </c>
      <c r="D57" s="282"/>
      <c r="E57" s="283"/>
      <c r="F57" s="46">
        <f>'Packing bag '!G3</f>
        <v>602161</v>
      </c>
      <c r="G57" s="46">
        <f>'Packing bag '!H3</f>
        <v>0</v>
      </c>
      <c r="H57" s="46">
        <f t="shared" si="8"/>
        <v>0</v>
      </c>
      <c r="I57" s="46">
        <f>G57+'Packing bag '!H36</f>
        <v>291500</v>
      </c>
      <c r="J57" s="46">
        <f>'Packing bag '!I3</f>
        <v>0</v>
      </c>
      <c r="K57" s="46">
        <f t="shared" si="9"/>
        <v>0</v>
      </c>
      <c r="L57" s="46">
        <f>J57+'Packing bag '!I36</f>
        <v>89621</v>
      </c>
      <c r="M57" s="46">
        <f>F57+G57-J57</f>
        <v>602161</v>
      </c>
      <c r="N57" s="46"/>
      <c r="O57" s="46">
        <v>100000</v>
      </c>
      <c r="P57" s="46">
        <v>250000</v>
      </c>
      <c r="Q57" s="56">
        <f>SUM(M57+N57)-O57</f>
        <v>502161</v>
      </c>
    </row>
    <row r="58" spans="2:17" x14ac:dyDescent="0.25">
      <c r="B58" s="288"/>
      <c r="C58" s="281" t="s">
        <v>161</v>
      </c>
      <c r="D58" s="282"/>
      <c r="E58" s="283"/>
      <c r="F58" s="46">
        <f>'Packing bag '!K3</f>
        <v>528763</v>
      </c>
      <c r="G58" s="46">
        <f>'Packing bag '!L3</f>
        <v>0</v>
      </c>
      <c r="H58" s="46">
        <f t="shared" si="8"/>
        <v>0</v>
      </c>
      <c r="I58" s="46">
        <f>G58+'Packing bag '!L36</f>
        <v>295000</v>
      </c>
      <c r="J58" s="46">
        <f>'Packing bag '!M3</f>
        <v>1230</v>
      </c>
      <c r="K58" s="46">
        <f t="shared" si="9"/>
        <v>1230</v>
      </c>
      <c r="L58" s="46">
        <f>J58+'Packing bag '!M36</f>
        <v>173522</v>
      </c>
      <c r="M58" s="46">
        <f>F58+G58-J58</f>
        <v>527533</v>
      </c>
      <c r="N58" s="46"/>
      <c r="O58" s="46">
        <v>50000</v>
      </c>
      <c r="P58" s="46">
        <v>150000</v>
      </c>
      <c r="Q58" s="56">
        <f>SUM(M58+N58)-O58</f>
        <v>477533</v>
      </c>
    </row>
    <row r="59" spans="2:17" x14ac:dyDescent="0.25">
      <c r="B59" s="288"/>
      <c r="C59" s="281" t="s">
        <v>162</v>
      </c>
      <c r="D59" s="282"/>
      <c r="E59" s="283"/>
      <c r="F59" s="46">
        <f>'Packing bag '!O3</f>
        <v>68932</v>
      </c>
      <c r="G59" s="46">
        <f>'Packing bag '!P3</f>
        <v>0</v>
      </c>
      <c r="H59" s="46">
        <f t="shared" si="8"/>
        <v>0</v>
      </c>
      <c r="I59" s="46">
        <f>G59+'Packing bag '!P36</f>
        <v>0</v>
      </c>
      <c r="J59" s="46">
        <f>'Packing bag '!Q3</f>
        <v>612</v>
      </c>
      <c r="K59" s="46">
        <f t="shared" si="9"/>
        <v>612</v>
      </c>
      <c r="L59" s="46">
        <f>J59+'Packing bag '!Q36</f>
        <v>15381</v>
      </c>
      <c r="M59" s="46">
        <f>F59+G59-J59</f>
        <v>68320</v>
      </c>
      <c r="N59" s="46"/>
      <c r="O59" s="46"/>
      <c r="P59" s="46"/>
      <c r="Q59" s="56"/>
    </row>
    <row r="60" spans="2:17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 t="shared" si="8"/>
        <v>0</v>
      </c>
      <c r="I60" s="46">
        <v>0</v>
      </c>
      <c r="J60" s="46">
        <v>0</v>
      </c>
      <c r="K60" s="46">
        <f t="shared" si="9"/>
        <v>0</v>
      </c>
      <c r="L60" s="46">
        <f>J60+'30'!L60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 t="shared" si="8"/>
        <v>0</v>
      </c>
      <c r="I61" s="46">
        <v>0</v>
      </c>
      <c r="J61" s="46">
        <v>0</v>
      </c>
      <c r="K61" s="46">
        <f t="shared" si="9"/>
        <v>0</v>
      </c>
      <c r="L61" s="46">
        <f>J61+'30'!L61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89"/>
      <c r="C62" s="284" t="s">
        <v>165</v>
      </c>
      <c r="D62" s="285"/>
      <c r="E62" s="286"/>
      <c r="F62" s="59">
        <f>SUM(F56:F61)</f>
        <v>3827091</v>
      </c>
      <c r="G62" s="59">
        <f>SUM(G56:G61)</f>
        <v>0</v>
      </c>
      <c r="H62" s="59">
        <f t="shared" ref="H62:Q62" si="10">SUM(H56:H61)</f>
        <v>0</v>
      </c>
      <c r="I62" s="59">
        <f t="shared" si="10"/>
        <v>3739000</v>
      </c>
      <c r="J62" s="59">
        <f t="shared" si="10"/>
        <v>40489</v>
      </c>
      <c r="K62" s="59">
        <f t="shared" si="10"/>
        <v>40489</v>
      </c>
      <c r="L62" s="59">
        <f t="shared" si="10"/>
        <v>1894005</v>
      </c>
      <c r="M62" s="59">
        <f t="shared" si="10"/>
        <v>3786602</v>
      </c>
      <c r="N62" s="46"/>
      <c r="O62" s="59">
        <f t="shared" si="10"/>
        <v>551500</v>
      </c>
      <c r="P62" s="59">
        <f t="shared" si="10"/>
        <v>1207000</v>
      </c>
      <c r="Q62" s="59">
        <f t="shared" si="10"/>
        <v>3166782</v>
      </c>
    </row>
    <row r="63" spans="2:17" ht="15.6" customHeight="1" x14ac:dyDescent="0.25">
      <c r="B63" s="287">
        <v>6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7" x14ac:dyDescent="0.25">
      <c r="B64" s="288"/>
      <c r="C64" s="281" t="s">
        <v>48</v>
      </c>
      <c r="D64" s="282"/>
      <c r="E64" s="283"/>
      <c r="F64" s="46">
        <f>Cement!G3</f>
        <v>0</v>
      </c>
      <c r="G64" s="46">
        <f>Cement!H3</f>
        <v>0</v>
      </c>
      <c r="H64" s="46">
        <f>G64</f>
        <v>0</v>
      </c>
      <c r="I64" s="46">
        <f>G64+Cement!H36</f>
        <v>0</v>
      </c>
      <c r="J64" s="46">
        <v>0</v>
      </c>
      <c r="K64" s="46">
        <f>J64</f>
        <v>0</v>
      </c>
      <c r="L64" s="46"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Cement!K3</f>
        <v>0</v>
      </c>
      <c r="G65" s="46">
        <f>Cement!L3</f>
        <v>0</v>
      </c>
      <c r="H65" s="46">
        <f>G65</f>
        <v>0</v>
      </c>
      <c r="I65" s="46">
        <f>G65+Cement!L36</f>
        <v>0</v>
      </c>
      <c r="J65" s="46">
        <v>0</v>
      </c>
      <c r="K65" s="46">
        <f>J65</f>
        <v>0</v>
      </c>
      <c r="L65" s="46">
        <f>J65+Cement!M36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11">SUM(H64:H65)</f>
        <v>0</v>
      </c>
      <c r="I66" s="59">
        <f t="shared" si="11"/>
        <v>0</v>
      </c>
      <c r="J66" s="59">
        <f>SUM(J64:J65)</f>
        <v>0</v>
      </c>
      <c r="K66" s="59">
        <f t="shared" si="11"/>
        <v>0</v>
      </c>
      <c r="L66" s="59">
        <f t="shared" si="11"/>
        <v>0</v>
      </c>
      <c r="M66" s="59">
        <f t="shared" si="11"/>
        <v>0</v>
      </c>
      <c r="N66" s="59"/>
      <c r="O66" s="59"/>
      <c r="P66" s="59"/>
      <c r="Q66" s="60"/>
    </row>
    <row r="67" spans="2:17" x14ac:dyDescent="0.25">
      <c r="B67" s="296">
        <v>7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Diesel!B3</f>
        <v>26145</v>
      </c>
      <c r="G68" s="46">
        <f>Diesel!C3</f>
        <v>0</v>
      </c>
      <c r="H68" s="46">
        <f>G68</f>
        <v>0</v>
      </c>
      <c r="I68" s="46">
        <f>G68+Diesel!C36</f>
        <v>90000</v>
      </c>
      <c r="J68" s="46">
        <v>0</v>
      </c>
      <c r="K68" s="46">
        <f>J68</f>
        <v>0</v>
      </c>
      <c r="L68" s="46">
        <f>J68+'30'!L68</f>
        <v>0</v>
      </c>
      <c r="M68" s="46">
        <f>F68+G68-J76</f>
        <v>25240</v>
      </c>
      <c r="N68" s="46"/>
      <c r="O68" s="46">
        <v>30000</v>
      </c>
      <c r="P68" s="46">
        <v>60000</v>
      </c>
      <c r="Q68" s="56">
        <f>SUM(M68+N68)-O68</f>
        <v>-4760</v>
      </c>
    </row>
    <row r="69" spans="2:17" x14ac:dyDescent="0.25">
      <c r="B69" s="297"/>
      <c r="C69" s="281" t="s">
        <v>171</v>
      </c>
      <c r="D69" s="282"/>
      <c r="E69" s="283"/>
      <c r="F69" s="46">
        <f>Diesel!Y3</f>
        <v>0</v>
      </c>
      <c r="G69" s="46">
        <f>Diesel!Z3</f>
        <v>0</v>
      </c>
      <c r="H69" s="46">
        <f t="shared" ref="H69:H75" si="12">G69</f>
        <v>0</v>
      </c>
      <c r="I69" s="46">
        <f>G69+Diesel!Z36</f>
        <v>0</v>
      </c>
      <c r="J69" s="46">
        <f>Diesel!N3</f>
        <v>0</v>
      </c>
      <c r="K69" s="46">
        <f>J69</f>
        <v>0</v>
      </c>
      <c r="L69" s="46">
        <f>J69+Diesel!O36</f>
        <v>15000</v>
      </c>
      <c r="M69" s="46"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 t="shared" si="12"/>
        <v>0</v>
      </c>
      <c r="I70" s="46">
        <f>G70+'30'!I70</f>
        <v>0</v>
      </c>
      <c r="J70" s="46">
        <f>Diesel!P3</f>
        <v>0</v>
      </c>
      <c r="K70" s="46">
        <f t="shared" ref="K70:K75" si="13">J70</f>
        <v>0</v>
      </c>
      <c r="L70" s="46">
        <f>J70+Diesel!P36</f>
        <v>603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 t="shared" si="12"/>
        <v>0</v>
      </c>
      <c r="I71" s="46">
        <f>G71+'30'!I71</f>
        <v>0</v>
      </c>
      <c r="J71" s="46">
        <f>Diesel!Q3</f>
        <v>70</v>
      </c>
      <c r="K71" s="46">
        <f t="shared" si="13"/>
        <v>70</v>
      </c>
      <c r="L71" s="46">
        <f>J71+Diesel!Q36</f>
        <v>54705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 t="shared" si="12"/>
        <v>0</v>
      </c>
      <c r="I72" s="46">
        <f>G72+'30'!I72</f>
        <v>0</v>
      </c>
      <c r="J72" s="46">
        <f>Diesel!R3</f>
        <v>835</v>
      </c>
      <c r="K72" s="46">
        <f t="shared" si="13"/>
        <v>835</v>
      </c>
      <c r="L72" s="46">
        <f>J72+Diesel!R36</f>
        <v>43543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 t="shared" si="12"/>
        <v>0</v>
      </c>
      <c r="I73" s="46">
        <f>G73+'30'!I73</f>
        <v>0</v>
      </c>
      <c r="J73" s="46">
        <f>Diesel!S3</f>
        <v>0</v>
      </c>
      <c r="K73" s="46">
        <f t="shared" si="13"/>
        <v>0</v>
      </c>
      <c r="L73" s="46">
        <f>J73+Diesel!S36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 t="shared" si="12"/>
        <v>0</v>
      </c>
      <c r="I74" s="46">
        <f>G74+'30'!I74</f>
        <v>0</v>
      </c>
      <c r="J74" s="46">
        <f>Diesel!T3</f>
        <v>0</v>
      </c>
      <c r="K74" s="46">
        <f t="shared" si="13"/>
        <v>0</v>
      </c>
      <c r="L74" s="46">
        <f>J74+Diesel!T36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 t="shared" si="12"/>
        <v>0</v>
      </c>
      <c r="I75" s="46">
        <f>G75+'30'!I75</f>
        <v>0</v>
      </c>
      <c r="J75" s="61">
        <f>Diesel!U3</f>
        <v>0</v>
      </c>
      <c r="K75" s="46">
        <f t="shared" si="13"/>
        <v>0</v>
      </c>
      <c r="L75" s="46">
        <f>J75+Diesel!U36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26145</v>
      </c>
      <c r="G76" s="62">
        <v>0</v>
      </c>
      <c r="H76" s="62">
        <v>0</v>
      </c>
      <c r="I76" s="62">
        <f>I68</f>
        <v>90000</v>
      </c>
      <c r="J76" s="62">
        <f>SUM(J68:J75)</f>
        <v>905</v>
      </c>
      <c r="K76" s="62">
        <f>SUM(K68:K75)</f>
        <v>905</v>
      </c>
      <c r="L76" s="62">
        <f>SUM(L68:L75)</f>
        <v>113851</v>
      </c>
      <c r="M76" s="62">
        <f>SUM(M68:M75)</f>
        <v>25240</v>
      </c>
      <c r="N76" s="63"/>
      <c r="O76" s="64"/>
      <c r="P76" s="62"/>
      <c r="Q76" s="65"/>
    </row>
  </sheetData>
  <mergeCells count="70">
    <mergeCell ref="B9:B54"/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4:E54"/>
    <mergeCell ref="C7:E7"/>
    <mergeCell ref="C51:E51"/>
    <mergeCell ref="C52:E52"/>
    <mergeCell ref="C28:E28"/>
    <mergeCell ref="C29:E29"/>
    <mergeCell ref="C30:E30"/>
    <mergeCell ref="C34:E34"/>
    <mergeCell ref="C35:E35"/>
    <mergeCell ref="C31:E31"/>
    <mergeCell ref="C32:E32"/>
    <mergeCell ref="C11:E11"/>
    <mergeCell ref="C27:E27"/>
    <mergeCell ref="C12:E12"/>
    <mergeCell ref="C36:D36"/>
    <mergeCell ref="C15:D15"/>
    <mergeCell ref="C38:D38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64:E64"/>
    <mergeCell ref="C65:E65"/>
    <mergeCell ref="C66:E66"/>
    <mergeCell ref="C61:E61"/>
    <mergeCell ref="B55:B62"/>
    <mergeCell ref="C55:Q55"/>
    <mergeCell ref="C56:E56"/>
    <mergeCell ref="C57:E57"/>
    <mergeCell ref="C58:E58"/>
    <mergeCell ref="C60:E60"/>
    <mergeCell ref="C62:E62"/>
    <mergeCell ref="C59:E59"/>
    <mergeCell ref="C53:E53"/>
    <mergeCell ref="C33:E33"/>
    <mergeCell ref="C9:E9"/>
    <mergeCell ref="C10:E10"/>
    <mergeCell ref="C14:D14"/>
    <mergeCell ref="C13:D13"/>
    <mergeCell ref="C37:D37"/>
    <mergeCell ref="C17:E17"/>
    <mergeCell ref="C18:E18"/>
    <mergeCell ref="C20:D20"/>
    <mergeCell ref="C40:E40"/>
    <mergeCell ref="C50:D50"/>
    <mergeCell ref="C47:D47"/>
  </mergeCells>
  <pageMargins left="0.7" right="0.7" top="0.75" bottom="0.75" header="0.3" footer="0.3"/>
  <pageSetup paperSize="9" scale="4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8" sqref="J8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9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 t="s">
        <v>208</v>
      </c>
      <c r="Q3" s="316"/>
    </row>
    <row r="4" spans="2:19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9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9" x14ac:dyDescent="0.25">
      <c r="B6" s="54">
        <v>1</v>
      </c>
      <c r="C6" s="308" t="s">
        <v>135</v>
      </c>
      <c r="D6" s="309"/>
      <c r="E6" s="310"/>
      <c r="F6" s="45">
        <f>Clinker!C4</f>
        <v>2595.92</v>
      </c>
      <c r="G6" s="45">
        <f>Clinker!D4</f>
        <v>0</v>
      </c>
      <c r="H6" s="45">
        <f>G6+'01'!H6</f>
        <v>0</v>
      </c>
      <c r="I6" s="45">
        <f>G6+'01'!I6</f>
        <v>417.28000000000003</v>
      </c>
      <c r="J6" s="45">
        <f>Clinker!E4</f>
        <v>49</v>
      </c>
      <c r="K6" s="45">
        <f>J6+'01'!K6</f>
        <v>101</v>
      </c>
      <c r="L6" s="45">
        <f>J6+'01'!L6</f>
        <v>3236</v>
      </c>
      <c r="M6" s="45">
        <f>F6+G6-J6</f>
        <v>2546.92</v>
      </c>
      <c r="N6" s="45">
        <v>0</v>
      </c>
      <c r="O6" s="45">
        <v>3000</v>
      </c>
      <c r="P6" s="45">
        <v>6000</v>
      </c>
      <c r="Q6" s="55">
        <f>SUM(M6+N6)-O6</f>
        <v>-453.07999999999993</v>
      </c>
      <c r="R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Cement!C4</f>
        <v>4102.1479634193347</v>
      </c>
      <c r="G7" s="46">
        <f>Cement!D4</f>
        <v>0</v>
      </c>
      <c r="H7" s="45">
        <f>G7+'01'!H7</f>
        <v>0</v>
      </c>
      <c r="I7" s="45">
        <f>G7+'01'!I7</f>
        <v>2126.62</v>
      </c>
      <c r="J7" s="46">
        <f>Cement!I4</f>
        <v>117.31789473684211</v>
      </c>
      <c r="K7" s="45">
        <f>J7+'01'!K7</f>
        <v>223.47578947368424</v>
      </c>
      <c r="L7" s="45">
        <f>J7+'01'!L7</f>
        <v>5449.7057798011847</v>
      </c>
      <c r="M7" s="45">
        <f>F7+G7-J7</f>
        <v>3984.8300686824928</v>
      </c>
      <c r="N7" s="46">
        <v>0</v>
      </c>
      <c r="O7" s="46">
        <v>3000</v>
      </c>
      <c r="P7" s="46">
        <v>6000</v>
      </c>
      <c r="Q7" s="56">
        <f>SUM(M7+N7)-O7</f>
        <v>984.83006868249277</v>
      </c>
      <c r="R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Clinker!EI4</f>
        <v>31610.562087806957</v>
      </c>
      <c r="G8" s="46">
        <f>Clinker!EJ4</f>
        <v>1615</v>
      </c>
      <c r="H8" s="45">
        <f>G8+'01'!H8</f>
        <v>3585</v>
      </c>
      <c r="I8" s="45">
        <f>G8+'01'!I8</f>
        <v>102501.66</v>
      </c>
      <c r="J8" s="46">
        <f>Clinker!EK4</f>
        <v>1783.0079999999998</v>
      </c>
      <c r="K8" s="45">
        <f>J8+'01'!K8</f>
        <v>3394.3480000000013</v>
      </c>
      <c r="L8" s="45">
        <f>J8+'01'!L8</f>
        <v>83190.195019819934</v>
      </c>
      <c r="M8" s="45">
        <f>F8+G8-J8</f>
        <v>31442.554087806959</v>
      </c>
      <c r="N8" s="46">
        <v>0</v>
      </c>
      <c r="O8" s="46"/>
      <c r="P8" s="46"/>
      <c r="Q8" s="56"/>
      <c r="R8" s="90"/>
      <c r="S8" s="90"/>
    </row>
    <row r="9" spans="2:19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88"/>
      <c r="C10" s="281" t="s">
        <v>138</v>
      </c>
      <c r="D10" s="282"/>
      <c r="E10" s="283"/>
      <c r="F10" s="46">
        <f>Clinker!K4</f>
        <v>0</v>
      </c>
      <c r="G10" s="46">
        <f>Clinker!L4</f>
        <v>0</v>
      </c>
      <c r="H10" s="46">
        <f>G10+'01'!H10</f>
        <v>0</v>
      </c>
      <c r="I10" s="46">
        <f>G10+'01'!I10</f>
        <v>0</v>
      </c>
      <c r="J10" s="46">
        <f>Clinker!N4</f>
        <v>0</v>
      </c>
      <c r="K10" s="46">
        <f>J10+'01'!K10</f>
        <v>0</v>
      </c>
      <c r="L10" s="46">
        <f>J10+'01'!L10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88"/>
      <c r="C11" s="281" t="s">
        <v>139</v>
      </c>
      <c r="D11" s="282"/>
      <c r="E11" s="283"/>
      <c r="F11" s="46">
        <f>Clinker!W4</f>
        <v>1063.0399999999981</v>
      </c>
      <c r="G11" s="46">
        <f>Clinker!X4</f>
        <v>0</v>
      </c>
      <c r="H11" s="46">
        <f>G11+'01'!H11</f>
        <v>0</v>
      </c>
      <c r="I11" s="46">
        <f>G11+'01'!I11</f>
        <v>0</v>
      </c>
      <c r="J11" s="46">
        <f>Clinker!Z4</f>
        <v>0</v>
      </c>
      <c r="K11" s="46">
        <f>J11+'01'!K11</f>
        <v>0</v>
      </c>
      <c r="L11" s="46">
        <f>J11+'01'!L11</f>
        <v>7623.8399999999992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9" ht="15" customHeight="1" x14ac:dyDescent="0.25">
      <c r="B12" s="288"/>
      <c r="C12" s="281" t="s">
        <v>140</v>
      </c>
      <c r="D12" s="282"/>
      <c r="E12" s="283"/>
      <c r="F12" s="46">
        <f>Clinker!AT4</f>
        <v>2627.6700000000023</v>
      </c>
      <c r="G12" s="46">
        <f>Clinker!AU4</f>
        <v>0</v>
      </c>
      <c r="H12" s="46">
        <f>G12+'01'!H12</f>
        <v>0</v>
      </c>
      <c r="I12" s="46">
        <f>G12+'01'!I12</f>
        <v>181.5</v>
      </c>
      <c r="J12" s="46">
        <f>Clinker!AV4</f>
        <v>277.77999999999997</v>
      </c>
      <c r="K12" s="46">
        <f>J12+'01'!K12</f>
        <v>584.01</v>
      </c>
      <c r="L12" s="46">
        <f>J12+'01'!L12</f>
        <v>3325.71</v>
      </c>
      <c r="M12" s="45">
        <f>F12+G12-J12-J37</f>
        <v>2349.8900000000021</v>
      </c>
      <c r="N12" s="46">
        <v>0</v>
      </c>
      <c r="O12" s="46"/>
      <c r="P12" s="46"/>
      <c r="Q12" s="70"/>
    </row>
    <row r="13" spans="2:19" x14ac:dyDescent="0.25">
      <c r="B13" s="288"/>
      <c r="C13" s="281" t="s">
        <v>9</v>
      </c>
      <c r="D13" s="282"/>
      <c r="E13" s="69"/>
      <c r="F13" s="46">
        <f>Clinker!AO4</f>
        <v>0</v>
      </c>
      <c r="G13" s="46">
        <f>Clinker!AP4</f>
        <v>0</v>
      </c>
      <c r="H13" s="46">
        <f>G13+'01'!H13</f>
        <v>0</v>
      </c>
      <c r="I13" s="46">
        <f>G13+'01'!I13</f>
        <v>0</v>
      </c>
      <c r="J13" s="46">
        <f>Clinker!AQ4</f>
        <v>0</v>
      </c>
      <c r="K13" s="46">
        <f>J13+'01'!K13</f>
        <v>0</v>
      </c>
      <c r="L13" s="46">
        <f>J13+'01'!L13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88"/>
      <c r="C14" s="281" t="s">
        <v>8</v>
      </c>
      <c r="D14" s="282"/>
      <c r="E14" s="69"/>
      <c r="F14" s="46">
        <f>Clinker!AK4</f>
        <v>0</v>
      </c>
      <c r="G14" s="46">
        <f>Clinker!AL4</f>
        <v>0</v>
      </c>
      <c r="H14" s="46">
        <f>G14+'01'!H14</f>
        <v>0</v>
      </c>
      <c r="I14" s="46">
        <f>G14+'01'!I14</f>
        <v>0</v>
      </c>
      <c r="J14" s="46">
        <f>Clinker!AM4</f>
        <v>0</v>
      </c>
      <c r="K14" s="46">
        <f>J14+'01'!K14</f>
        <v>0</v>
      </c>
      <c r="L14" s="46">
        <f>J14+'01'!L14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ht="15" customHeight="1" x14ac:dyDescent="0.25">
      <c r="B15" s="288"/>
      <c r="C15" s="281" t="s">
        <v>11</v>
      </c>
      <c r="D15" s="282"/>
      <c r="E15" s="69"/>
      <c r="F15" s="46">
        <f>Clinker!AY4</f>
        <v>533.78699999999026</v>
      </c>
      <c r="G15" s="46">
        <f>Clinker!AZ4</f>
        <v>156.97999999999999</v>
      </c>
      <c r="H15" s="46">
        <f>G15+'01'!H15</f>
        <v>278.74</v>
      </c>
      <c r="I15" s="46">
        <f>G15+'01'!I15</f>
        <v>690.48</v>
      </c>
      <c r="J15" s="46">
        <f>Clinker!BA4</f>
        <v>0</v>
      </c>
      <c r="K15" s="46">
        <f>J15+'01'!K15</f>
        <v>0</v>
      </c>
      <c r="L15" s="46">
        <f>J15+'01'!L15</f>
        <v>0</v>
      </c>
      <c r="M15" s="45">
        <f>F15+G15-J15-J38</f>
        <v>690.76699999999028</v>
      </c>
      <c r="N15" s="75">
        <v>221.94</v>
      </c>
      <c r="O15" s="46">
        <v>5000</v>
      </c>
      <c r="P15" s="46">
        <v>9000</v>
      </c>
      <c r="Q15" s="70"/>
    </row>
    <row r="16" spans="2:19" x14ac:dyDescent="0.25">
      <c r="B16" s="288"/>
      <c r="C16" s="76" t="s">
        <v>141</v>
      </c>
      <c r="D16" s="77"/>
      <c r="E16" s="69"/>
      <c r="F16" s="46">
        <f>Clinker!BD4</f>
        <v>0</v>
      </c>
      <c r="G16" s="46">
        <f>Clinker!BE4</f>
        <v>0</v>
      </c>
      <c r="H16" s="46">
        <f>G16+'01'!H16</f>
        <v>0</v>
      </c>
      <c r="I16" s="46">
        <f>G16+'01'!I16</f>
        <v>0</v>
      </c>
      <c r="J16" s="46">
        <f>Clinker!BF4</f>
        <v>0</v>
      </c>
      <c r="K16" s="46">
        <f>J16+'01'!K16</f>
        <v>0</v>
      </c>
      <c r="L16" s="46">
        <f>J16+'01'!L16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13</v>
      </c>
      <c r="D17" s="282"/>
      <c r="E17" s="283"/>
      <c r="F17" s="46">
        <f>Clinker!BI4</f>
        <v>0</v>
      </c>
      <c r="G17" s="46">
        <f>Clinker!BJ4</f>
        <v>0</v>
      </c>
      <c r="H17" s="46">
        <f>G17+'01'!H17</f>
        <v>0</v>
      </c>
      <c r="I17" s="46">
        <f>G17+'01'!I17</f>
        <v>0</v>
      </c>
      <c r="J17" s="46">
        <f>Clinker!BK4</f>
        <v>0</v>
      </c>
      <c r="K17" s="46">
        <f>J17+'01'!K17</f>
        <v>0</v>
      </c>
      <c r="L17" s="46">
        <f>J17+'01'!L17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Clinker!BN4</f>
        <v>0</v>
      </c>
      <c r="G18" s="46">
        <f>Clinker!BO4</f>
        <v>0</v>
      </c>
      <c r="H18" s="46">
        <f>G18+'01'!H18</f>
        <v>0</v>
      </c>
      <c r="I18" s="46">
        <f>G18+'01'!I18</f>
        <v>0</v>
      </c>
      <c r="J18" s="46">
        <f>Clinker!BP4</f>
        <v>0</v>
      </c>
      <c r="K18" s="46">
        <f>J18+'01'!K18</f>
        <v>0</v>
      </c>
      <c r="L18" s="46">
        <f>J18+'01'!L18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Clinker!BS4</f>
        <v>0</v>
      </c>
      <c r="G19" s="46">
        <f>Clinker!BT4</f>
        <v>0</v>
      </c>
      <c r="H19" s="46">
        <f>G19+'01'!H19</f>
        <v>0</v>
      </c>
      <c r="I19" s="46">
        <f>G19+'01'!I19</f>
        <v>0</v>
      </c>
      <c r="J19" s="46">
        <f>Clinker!BU4</f>
        <v>0</v>
      </c>
      <c r="K19" s="46">
        <f>J19+'01'!K19</f>
        <v>0</v>
      </c>
      <c r="L19" s="46">
        <f>J19+'01'!L19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16</v>
      </c>
      <c r="D20" s="282"/>
      <c r="E20" s="69"/>
      <c r="F20" s="46">
        <f>Clinker!BX4</f>
        <v>0</v>
      </c>
      <c r="G20" s="46">
        <f>Clinker!BY4</f>
        <v>0</v>
      </c>
      <c r="H20" s="46">
        <f>G20+'01'!H20</f>
        <v>0</v>
      </c>
      <c r="I20" s="46">
        <f>G20+'01'!I20</f>
        <v>0</v>
      </c>
      <c r="J20" s="46">
        <f>Clinker!BZ4</f>
        <v>0</v>
      </c>
      <c r="K20" s="46">
        <f>J20+'01'!K20</f>
        <v>0</v>
      </c>
      <c r="L20" s="46">
        <f>J20+'01'!L20</f>
        <v>4052.88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Clinker!CR4</f>
        <v>0</v>
      </c>
      <c r="G21" s="46">
        <f>Clinker!CS4</f>
        <v>0</v>
      </c>
      <c r="H21" s="46">
        <f>G21+'01'!H21</f>
        <v>0</v>
      </c>
      <c r="I21" s="46">
        <f>G21+'01'!I21</f>
        <v>0</v>
      </c>
      <c r="J21" s="46">
        <f>Clinker!CT4</f>
        <v>0</v>
      </c>
      <c r="K21" s="46">
        <f>J21+'01'!K21</f>
        <v>0</v>
      </c>
      <c r="L21" s="46">
        <f>J21+'01'!L21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143</v>
      </c>
      <c r="D22" s="77"/>
      <c r="E22" s="69"/>
      <c r="F22" s="46">
        <f>Clinker!CW4</f>
        <v>0</v>
      </c>
      <c r="G22" s="46">
        <f>Clinker!CX4</f>
        <v>0</v>
      </c>
      <c r="H22" s="46">
        <f>G22+'01'!H22</f>
        <v>0</v>
      </c>
      <c r="I22" s="46">
        <f>G22+'01'!I22</f>
        <v>0</v>
      </c>
      <c r="J22" s="46">
        <f>Clinker!CY4</f>
        <v>0</v>
      </c>
      <c r="K22" s="46">
        <f>J22+'01'!K22</f>
        <v>0</v>
      </c>
      <c r="L22" s="46">
        <f>J22+'01'!L22</f>
        <v>0</v>
      </c>
      <c r="M22" s="45">
        <f>F22+G22-J22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Clinker!DB4</f>
        <v>1.0000000000013998E-2</v>
      </c>
      <c r="G23" s="46">
        <f>Clinker!DC4</f>
        <v>0</v>
      </c>
      <c r="H23" s="46">
        <f>G23+'01'!H23</f>
        <v>0</v>
      </c>
      <c r="I23" s="46">
        <f>G23+'01'!I23</f>
        <v>0</v>
      </c>
      <c r="J23" s="46">
        <f>Clinker!DD4</f>
        <v>0</v>
      </c>
      <c r="K23" s="46">
        <f>J23+'01'!K23</f>
        <v>7.1</v>
      </c>
      <c r="L23" s="46">
        <f>J23+'01'!L23</f>
        <v>305.99</v>
      </c>
      <c r="M23" s="45">
        <f>F23+G23-J23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179</v>
      </c>
      <c r="D24" s="77"/>
      <c r="E24" s="69"/>
      <c r="F24" s="46">
        <f>Clinker!DG4</f>
        <v>0</v>
      </c>
      <c r="G24" s="46">
        <f>Clinker!DH4</f>
        <v>0</v>
      </c>
      <c r="H24" s="46">
        <f>G24+'01'!H24</f>
        <v>0</v>
      </c>
      <c r="I24" s="46">
        <f>G24+'01'!I24</f>
        <v>0</v>
      </c>
      <c r="J24" s="46">
        <f>Clinker!DI4</f>
        <v>0</v>
      </c>
      <c r="K24" s="46">
        <f>J24+'01'!K24</f>
        <v>0</v>
      </c>
      <c r="L24" s="46">
        <f>J24+'01'!L24</f>
        <v>0</v>
      </c>
      <c r="M24" s="45">
        <f>F24+G24-J24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Clinker!DL4</f>
        <v>242</v>
      </c>
      <c r="G25" s="46">
        <f>Clinker!DM4</f>
        <v>30</v>
      </c>
      <c r="H25" s="46">
        <f>G25+'01'!H25</f>
        <v>60</v>
      </c>
      <c r="I25" s="46">
        <f>G25+'01'!I25</f>
        <v>272</v>
      </c>
      <c r="J25" s="46">
        <f>Clinker!DN4</f>
        <v>0</v>
      </c>
      <c r="K25" s="46">
        <f>J25+'01'!K25</f>
        <v>0</v>
      </c>
      <c r="L25" s="46">
        <f>J25+'01'!L25</f>
        <v>0</v>
      </c>
      <c r="M25" s="45">
        <f>F25+G25-J25-J47</f>
        <v>272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Clinker!DV4</f>
        <v>0</v>
      </c>
      <c r="G26" s="46">
        <f>Clinker!DW4</f>
        <v>0</v>
      </c>
      <c r="H26" s="46">
        <f>G26+'01'!H26</f>
        <v>0</v>
      </c>
      <c r="I26" s="46">
        <f>G26+'01'!I26</f>
        <v>0</v>
      </c>
      <c r="J26" s="46">
        <f>Clinker!DX4</f>
        <v>0</v>
      </c>
      <c r="K26" s="46">
        <f>J26+'01'!K26</f>
        <v>0</v>
      </c>
      <c r="L26" s="46">
        <f>J26+'01'!L26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4466.5069999999905</v>
      </c>
      <c r="G27" s="46">
        <f t="shared" ref="G27:Q27" si="0">SUM(G10:G26)</f>
        <v>186.98</v>
      </c>
      <c r="H27" s="46">
        <f t="shared" si="0"/>
        <v>338.74</v>
      </c>
      <c r="I27" s="46">
        <f t="shared" si="0"/>
        <v>1143.98</v>
      </c>
      <c r="J27" s="46">
        <f t="shared" si="0"/>
        <v>277.77999999999997</v>
      </c>
      <c r="K27" s="46">
        <f t="shared" si="0"/>
        <v>591.11</v>
      </c>
      <c r="L27" s="46">
        <f t="shared" si="0"/>
        <v>15308.42</v>
      </c>
      <c r="M27" s="46">
        <f t="shared" si="0"/>
        <v>4375.7069999999912</v>
      </c>
      <c r="N27" s="46">
        <f t="shared" si="0"/>
        <v>221.94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Clinker!Q4</f>
        <v>0</v>
      </c>
      <c r="G29" s="46">
        <f>Clinker!R4</f>
        <v>0</v>
      </c>
      <c r="H29" s="46">
        <f>G29+'01'!H29</f>
        <v>0</v>
      </c>
      <c r="I29" s="46">
        <f>G29+'01'!I29</f>
        <v>0</v>
      </c>
      <c r="J29" s="46">
        <f>Clinker!S4</f>
        <v>0</v>
      </c>
      <c r="K29" s="46">
        <f>J29+'01'!K29</f>
        <v>0</v>
      </c>
      <c r="L29" s="46">
        <f>J29+'01'!L29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G30+'01'!H30</f>
        <v>0</v>
      </c>
      <c r="I30" s="46">
        <f>G30+'01'!I30</f>
        <v>0</v>
      </c>
      <c r="J30" s="46">
        <v>0</v>
      </c>
      <c r="K30" s="46">
        <f>J30+'01'!K30</f>
        <v>0</v>
      </c>
      <c r="L30" s="46">
        <f>J30+'01'!L30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G31+'01'!H31</f>
        <v>0</v>
      </c>
      <c r="I31" s="46">
        <f>G31+'01'!I31</f>
        <v>0</v>
      </c>
      <c r="J31" s="46">
        <v>0</v>
      </c>
      <c r="K31" s="46">
        <f>J31+'01'!K31</f>
        <v>0</v>
      </c>
      <c r="L31" s="46">
        <f>J31+'01'!L31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x14ac:dyDescent="0.25">
      <c r="B32" s="288"/>
      <c r="C32" s="281" t="s">
        <v>25</v>
      </c>
      <c r="D32" s="282"/>
      <c r="E32" s="283"/>
      <c r="F32" s="46">
        <f>Clinker!DQ4</f>
        <v>0</v>
      </c>
      <c r="G32" s="46">
        <f>Clinker!DR4</f>
        <v>0</v>
      </c>
      <c r="H32" s="46">
        <f>G32+'01'!H32</f>
        <v>0</v>
      </c>
      <c r="I32" s="46">
        <f>G32+'01'!I32</f>
        <v>0</v>
      </c>
      <c r="J32" s="46">
        <f>Clinker!DT4</f>
        <v>0</v>
      </c>
      <c r="K32" s="46">
        <f>J32+'01'!K32</f>
        <v>0</v>
      </c>
      <c r="L32" s="46">
        <f>J32+'01'!L32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G33+'01'!H33</f>
        <v>0</v>
      </c>
      <c r="I33" s="46">
        <f>G33+'01'!I33</f>
        <v>0</v>
      </c>
      <c r="J33" s="46">
        <v>0</v>
      </c>
      <c r="K33" s="46">
        <f>J33+'01'!K33</f>
        <v>0</v>
      </c>
      <c r="L33" s="46">
        <f>J33+'01'!L33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Clinker!Y4</f>
        <v>0</v>
      </c>
      <c r="K34" s="46">
        <f>J34+'01'!K34</f>
        <v>0</v>
      </c>
      <c r="L34" s="46">
        <f>J34+'01'!L34</f>
        <v>1327</v>
      </c>
      <c r="M34" s="45"/>
      <c r="N34" s="46">
        <v>0</v>
      </c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Clinker!M4</f>
        <v>0</v>
      </c>
      <c r="K35" s="46">
        <f>J35+'01'!K35</f>
        <v>0</v>
      </c>
      <c r="L35" s="46">
        <f>J35+'01'!L35</f>
        <v>0</v>
      </c>
      <c r="M35" s="45"/>
      <c r="N35" s="46">
        <v>0</v>
      </c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Clinker!AR4</f>
        <v>0</v>
      </c>
      <c r="K36" s="46">
        <f>J36+'01'!K36</f>
        <v>0</v>
      </c>
      <c r="L36" s="46">
        <f>J36+'01'!L36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Clinker!AW4</f>
        <v>0</v>
      </c>
      <c r="K37" s="46">
        <f>J37+'01'!K37</f>
        <v>0</v>
      </c>
      <c r="L37" s="46">
        <f>J37+'01'!L37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Clinker!BB4</f>
        <v>0</v>
      </c>
      <c r="K38" s="46">
        <f>J38+'01'!K38</f>
        <v>0</v>
      </c>
      <c r="L38" s="46">
        <f>J38+'01'!L38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Clinker!BG4</f>
        <v>0</v>
      </c>
      <c r="K39" s="46">
        <f>J39+'01'!K39</f>
        <v>0</v>
      </c>
      <c r="L39" s="46">
        <f>J39+'01'!L39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13</v>
      </c>
      <c r="D40" s="282"/>
      <c r="E40" s="283"/>
      <c r="F40" s="46"/>
      <c r="G40" s="46"/>
      <c r="H40" s="46"/>
      <c r="I40" s="46"/>
      <c r="J40" s="46">
        <f>Clinker!BL4</f>
        <v>0</v>
      </c>
      <c r="K40" s="46">
        <f>J40+'01'!K40</f>
        <v>0</v>
      </c>
      <c r="L40" s="46">
        <f>J40+'01'!L40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Clinker!BQ4</f>
        <v>0</v>
      </c>
      <c r="K41" s="46">
        <f>J41+'01'!K41</f>
        <v>0</v>
      </c>
      <c r="L41" s="46">
        <f>J41+'01'!L41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Clinker!BV4</f>
        <v>0</v>
      </c>
      <c r="K42" s="46">
        <f>J42+'01'!K42</f>
        <v>0</v>
      </c>
      <c r="L42" s="46">
        <f>J42+'01'!L42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Clinker!CU4</f>
        <v>0</v>
      </c>
      <c r="K43" s="46">
        <f>J43+'01'!K43</f>
        <v>0</v>
      </c>
      <c r="L43" s="46">
        <f>J43+'01'!L43</f>
        <v>0</v>
      </c>
      <c r="M43" s="45"/>
      <c r="N43" s="46"/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Clinker!CZ4</f>
        <v>0</v>
      </c>
      <c r="K44" s="46">
        <f>J44+'01'!K44</f>
        <v>0</v>
      </c>
      <c r="L44" s="46">
        <f>J44+'01'!L44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153</v>
      </c>
      <c r="D45" s="77"/>
      <c r="E45" s="69"/>
      <c r="F45" s="46"/>
      <c r="G45" s="46"/>
      <c r="H45" s="46"/>
      <c r="I45" s="46"/>
      <c r="J45" s="46">
        <f>Clinker!DE4</f>
        <v>0</v>
      </c>
      <c r="K45" s="46">
        <f>J45+'01'!K45</f>
        <v>0</v>
      </c>
      <c r="L45" s="46">
        <f>J45+'01'!L45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Clinker!DJ4</f>
        <v>0</v>
      </c>
      <c r="K46" s="46">
        <f>J46+'01'!K46</f>
        <v>0</v>
      </c>
      <c r="L46" s="46">
        <f>J46+'01'!L46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Clinker!DO4</f>
        <v>0</v>
      </c>
      <c r="K47" s="46">
        <f>J47+'01'!K47</f>
        <v>0</v>
      </c>
      <c r="L47" s="46">
        <f>J47+'01'!L47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Clinker!CM4</f>
        <v>5.0000000000181899E-2</v>
      </c>
      <c r="G48" s="46">
        <f>Clinker!CN4</f>
        <v>0</v>
      </c>
      <c r="H48" s="46">
        <f>G48+'01'!H48</f>
        <v>0</v>
      </c>
      <c r="I48" s="46">
        <f>G48+'01'!I48</f>
        <v>0</v>
      </c>
      <c r="J48" s="46">
        <f>Clinker!CP4</f>
        <v>0</v>
      </c>
      <c r="K48" s="46">
        <f>J48+'01'!K48</f>
        <v>0</v>
      </c>
      <c r="L48" s="46">
        <f>J48+'01'!L48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Clinker!CC4</f>
        <v>0</v>
      </c>
      <c r="G49" s="46">
        <f>Clinker!CD4</f>
        <v>0</v>
      </c>
      <c r="H49" s="46">
        <f>G49+'01'!H49</f>
        <v>0</v>
      </c>
      <c r="I49" s="46">
        <f>G49+'01'!I49</f>
        <v>0</v>
      </c>
      <c r="J49" s="46">
        <f>Clinker!CF4</f>
        <v>0</v>
      </c>
      <c r="K49" s="46">
        <f>J49+'01'!K49</f>
        <v>0</v>
      </c>
      <c r="L49" s="46">
        <f>J49+'01'!L49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Clinker!CH4</f>
        <v>0</v>
      </c>
      <c r="G50" s="46">
        <f>Clinker!CI3</f>
        <v>0</v>
      </c>
      <c r="H50" s="46">
        <f>G50+'01'!H50</f>
        <v>0</v>
      </c>
      <c r="I50" s="46">
        <f>G50+'01'!I50</f>
        <v>0</v>
      </c>
      <c r="J50" s="46">
        <f>Clinker!CK3</f>
        <v>0</v>
      </c>
      <c r="K50" s="46">
        <f>J50+'01'!K50</f>
        <v>0</v>
      </c>
      <c r="L50" s="46">
        <f>J50+'01'!L50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Clinker!AF4</f>
        <v>4164.7199999999939</v>
      </c>
      <c r="G51" s="46">
        <f>Clinker!AG4</f>
        <v>150.1</v>
      </c>
      <c r="H51" s="46">
        <f>G51+'01'!H51</f>
        <v>422.15</v>
      </c>
      <c r="I51" s="46">
        <f>G51+'01'!I51</f>
        <v>2563.1</v>
      </c>
      <c r="J51" s="46">
        <f>Clinker!AI4</f>
        <v>130</v>
      </c>
      <c r="K51" s="46">
        <f>J51+'01'!K51</f>
        <v>286</v>
      </c>
      <c r="L51" s="46">
        <f>J51+'01'!L51</f>
        <v>7111</v>
      </c>
      <c r="M51" s="45">
        <f>F51+G51-J51</f>
        <v>4184.8199999999943</v>
      </c>
      <c r="N51" s="46">
        <v>396.61</v>
      </c>
      <c r="O51" s="46">
        <v>1500</v>
      </c>
      <c r="P51" s="46">
        <v>3000</v>
      </c>
      <c r="Q51" s="56">
        <f>SUM(M51+N51)-O51</f>
        <v>3081.4299999999939</v>
      </c>
    </row>
    <row r="52" spans="2:19" x14ac:dyDescent="0.25">
      <c r="B52" s="288"/>
      <c r="C52" s="281" t="s">
        <v>156</v>
      </c>
      <c r="D52" s="282"/>
      <c r="E52" s="283"/>
      <c r="F52" s="46">
        <f>Clinker!AB4</f>
        <v>0</v>
      </c>
      <c r="G52" s="46">
        <f>Clinker!AC4</f>
        <v>0</v>
      </c>
      <c r="H52" s="46">
        <f>G52+'01'!H52</f>
        <v>0</v>
      </c>
      <c r="I52" s="46">
        <f>G52+'01'!I52</f>
        <v>0</v>
      </c>
      <c r="J52" s="46">
        <f>Clinker!AD4</f>
        <v>0</v>
      </c>
      <c r="K52" s="46">
        <f>J52+'01'!K52</f>
        <v>0</v>
      </c>
      <c r="L52" s="46">
        <f>J52+'01'!L52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>SUM(F29:F52)</f>
        <v>4164.7699999999941</v>
      </c>
      <c r="G53" s="46">
        <f>SUM(G29:G52)</f>
        <v>150.1</v>
      </c>
      <c r="H53" s="46">
        <f>G53+'01'!H53</f>
        <v>422.15</v>
      </c>
      <c r="I53" s="46">
        <f>SUM(I29:I52)</f>
        <v>2563.1</v>
      </c>
      <c r="J53" s="46">
        <f>SUM(J29:J52)</f>
        <v>130</v>
      </c>
      <c r="K53" s="46">
        <f>J53+'01'!K53</f>
        <v>286</v>
      </c>
      <c r="L53" s="46">
        <f t="shared" ref="L53:Q53" si="1">SUM(L29:L52)</f>
        <v>8458</v>
      </c>
      <c r="M53" s="46">
        <f t="shared" si="1"/>
        <v>4184.8699999999944</v>
      </c>
      <c r="N53" s="46">
        <f t="shared" si="1"/>
        <v>396.61</v>
      </c>
      <c r="O53" s="46">
        <f t="shared" si="1"/>
        <v>3000</v>
      </c>
      <c r="P53" s="46">
        <f t="shared" si="1"/>
        <v>6000</v>
      </c>
      <c r="Q53" s="46">
        <f t="shared" si="1"/>
        <v>3081.4299999999939</v>
      </c>
    </row>
    <row r="54" spans="2:19" x14ac:dyDescent="0.25">
      <c r="B54" s="289"/>
      <c r="C54" s="284" t="s">
        <v>157</v>
      </c>
      <c r="D54" s="285"/>
      <c r="E54" s="286"/>
      <c r="F54" s="59">
        <f t="shared" ref="F54:Q54" si="2">SUM(F27+F53)</f>
        <v>8631.2769999999837</v>
      </c>
      <c r="G54" s="59">
        <f t="shared" si="2"/>
        <v>337.08</v>
      </c>
      <c r="H54" s="59">
        <f>SUM(H27+H53)</f>
        <v>760.89</v>
      </c>
      <c r="I54" s="59">
        <f>SUM(I27+I53)</f>
        <v>3707.08</v>
      </c>
      <c r="J54" s="59">
        <f t="shared" si="2"/>
        <v>407.78</v>
      </c>
      <c r="K54" s="59">
        <f t="shared" si="2"/>
        <v>877.11</v>
      </c>
      <c r="L54" s="59">
        <f t="shared" si="2"/>
        <v>23766.42</v>
      </c>
      <c r="M54" s="59">
        <f>SUM(M27+M53)</f>
        <v>8560.5769999999866</v>
      </c>
      <c r="N54" s="59">
        <f>SUM(N27+N53)</f>
        <v>618.54999999999995</v>
      </c>
      <c r="O54" s="59">
        <f>SUM(O27+O53)</f>
        <v>13000</v>
      </c>
      <c r="P54" s="59">
        <f>SUM(P27+P53)</f>
        <v>24000</v>
      </c>
      <c r="Q54" s="59">
        <f t="shared" si="2"/>
        <v>4144.4699999999921</v>
      </c>
      <c r="R54" s="90"/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'!C4</f>
        <v>2588588</v>
      </c>
      <c r="G56" s="46">
        <f>'Packing bag '!D4</f>
        <v>0</v>
      </c>
      <c r="H56" s="46">
        <f>G56+'01'!H56</f>
        <v>0</v>
      </c>
      <c r="I56" s="46">
        <f>G56+'01'!I56</f>
        <v>3152500</v>
      </c>
      <c r="J56" s="46">
        <f>'Packing bag '!E4</f>
        <v>42919</v>
      </c>
      <c r="K56" s="46">
        <f>J56+'01'!K56</f>
        <v>81566</v>
      </c>
      <c r="L56" s="46">
        <f>J56+'01'!L56</f>
        <v>1658400</v>
      </c>
      <c r="M56" s="46">
        <f>F56+G56-J56</f>
        <v>2545669</v>
      </c>
      <c r="N56" s="46"/>
      <c r="O56" s="46">
        <v>400000</v>
      </c>
      <c r="P56" s="46">
        <v>800000</v>
      </c>
      <c r="Q56" s="56">
        <f>SUM(M56+N56)-O56</f>
        <v>2145669</v>
      </c>
    </row>
    <row r="57" spans="2:19" x14ac:dyDescent="0.25">
      <c r="B57" s="288"/>
      <c r="C57" s="281" t="s">
        <v>160</v>
      </c>
      <c r="D57" s="282"/>
      <c r="E57" s="283"/>
      <c r="F57" s="46">
        <f>'Packing bag '!G4</f>
        <v>602161</v>
      </c>
      <c r="G57" s="46">
        <f>'Packing bag '!H4</f>
        <v>0</v>
      </c>
      <c r="H57" s="46">
        <f>G57+'01'!H57</f>
        <v>0</v>
      </c>
      <c r="I57" s="46">
        <f>G57+'01'!I57</f>
        <v>291500</v>
      </c>
      <c r="J57" s="46">
        <f>'Packing bag '!I4</f>
        <v>2532</v>
      </c>
      <c r="K57" s="46">
        <f>J57+'01'!K57</f>
        <v>2532</v>
      </c>
      <c r="L57" s="46">
        <f>J57+'01'!L57</f>
        <v>92153</v>
      </c>
      <c r="M57" s="46">
        <f>F57+G57-J57</f>
        <v>599629</v>
      </c>
      <c r="N57" s="46"/>
      <c r="O57" s="46">
        <v>100000</v>
      </c>
      <c r="P57" s="46">
        <v>250000</v>
      </c>
      <c r="Q57" s="56">
        <f>SUM(M57+N57)-O57</f>
        <v>499629</v>
      </c>
    </row>
    <row r="58" spans="2:19" x14ac:dyDescent="0.25">
      <c r="B58" s="288"/>
      <c r="C58" s="281" t="s">
        <v>161</v>
      </c>
      <c r="D58" s="282"/>
      <c r="E58" s="283"/>
      <c r="F58" s="46">
        <f>'Packing bag '!K4</f>
        <v>527533</v>
      </c>
      <c r="G58" s="46">
        <f>'Packing bag '!L4</f>
        <v>0</v>
      </c>
      <c r="H58" s="46">
        <f>G58+'01'!H58</f>
        <v>0</v>
      </c>
      <c r="I58" s="46">
        <f>G58+'01'!I58</f>
        <v>295000</v>
      </c>
      <c r="J58" s="46">
        <f>'Packing bag '!M4</f>
        <v>5505</v>
      </c>
      <c r="K58" s="46">
        <f>J58+'01'!K58</f>
        <v>6735</v>
      </c>
      <c r="L58" s="46">
        <f>J58+'01'!L58</f>
        <v>179027</v>
      </c>
      <c r="M58" s="46">
        <f>F58+G58-J58</f>
        <v>522028</v>
      </c>
      <c r="N58" s="46"/>
      <c r="O58" s="46">
        <v>50000</v>
      </c>
      <c r="P58" s="46">
        <v>150000</v>
      </c>
      <c r="Q58" s="56">
        <f>SUM(M58+N58)-O58</f>
        <v>472028</v>
      </c>
    </row>
    <row r="59" spans="2:19" x14ac:dyDescent="0.25">
      <c r="B59" s="288"/>
      <c r="C59" s="281" t="s">
        <v>162</v>
      </c>
      <c r="D59" s="282"/>
      <c r="E59" s="283"/>
      <c r="F59" s="46">
        <f>'Packing bag '!O4</f>
        <v>68320</v>
      </c>
      <c r="G59" s="46">
        <f>'Packing bag '!P4</f>
        <v>0</v>
      </c>
      <c r="H59" s="46">
        <f>G59+'01'!J59</f>
        <v>612</v>
      </c>
      <c r="I59" s="46">
        <f>G59+'01'!I59</f>
        <v>0</v>
      </c>
      <c r="J59" s="46">
        <f>'Packing bag '!Q4</f>
        <v>600</v>
      </c>
      <c r="K59" s="46">
        <f>J59+'01'!K59</f>
        <v>1212</v>
      </c>
      <c r="L59" s="46">
        <f>J59+'01'!L59</f>
        <v>15981</v>
      </c>
      <c r="M59" s="46">
        <f>F59+G59-J59</f>
        <v>67720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G60+'01'!H60</f>
        <v>0</v>
      </c>
      <c r="I60" s="46">
        <f>G60+'01'!I60</f>
        <v>0</v>
      </c>
      <c r="J60" s="46">
        <v>0</v>
      </c>
      <c r="K60" s="46">
        <f>J60+'01'!K60</f>
        <v>0</v>
      </c>
      <c r="L60" s="46">
        <f>J60+'01'!L60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G61+'01'!H61</f>
        <v>0</v>
      </c>
      <c r="I61" s="46">
        <f>G61+'01'!I61</f>
        <v>0</v>
      </c>
      <c r="J61" s="46">
        <v>0</v>
      </c>
      <c r="K61" s="46">
        <f>J61+'01'!K61</f>
        <v>0</v>
      </c>
      <c r="L61" s="46">
        <f>J61+'01'!L61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3786602</v>
      </c>
      <c r="G62" s="59">
        <f>SUM(G56:G61)</f>
        <v>0</v>
      </c>
      <c r="H62" s="59">
        <f t="shared" ref="H62:Q62" si="3">SUM(H56:H61)</f>
        <v>612</v>
      </c>
      <c r="I62" s="59">
        <f t="shared" si="3"/>
        <v>3739000</v>
      </c>
      <c r="J62" s="59">
        <f t="shared" si="3"/>
        <v>51556</v>
      </c>
      <c r="K62" s="59">
        <f t="shared" si="3"/>
        <v>92045</v>
      </c>
      <c r="L62" s="59">
        <f t="shared" si="3"/>
        <v>1945561</v>
      </c>
      <c r="M62" s="59">
        <f t="shared" si="3"/>
        <v>3735046</v>
      </c>
      <c r="N62" s="46"/>
      <c r="O62" s="59">
        <f t="shared" si="3"/>
        <v>551500</v>
      </c>
      <c r="P62" s="59">
        <f t="shared" si="3"/>
        <v>1207000</v>
      </c>
      <c r="Q62" s="59">
        <f t="shared" si="3"/>
        <v>3115826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Cement!G4</f>
        <v>0</v>
      </c>
      <c r="G64" s="46">
        <f>Cement!H4</f>
        <v>0</v>
      </c>
      <c r="H64" s="46">
        <f>G64+'01'!H64</f>
        <v>0</v>
      </c>
      <c r="I64" s="46">
        <f>G64+'01'!I64</f>
        <v>0</v>
      </c>
      <c r="J64" s="46">
        <v>0</v>
      </c>
      <c r="K64" s="46">
        <f>J64+'01'!K64</f>
        <v>0</v>
      </c>
      <c r="L64" s="46"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Cement!K4</f>
        <v>0</v>
      </c>
      <c r="G65" s="46">
        <f>Cement!L4</f>
        <v>0</v>
      </c>
      <c r="H65" s="46">
        <f>G65+'01'!H65</f>
        <v>0</v>
      </c>
      <c r="I65" s="46">
        <f>G65+'01'!I65</f>
        <v>0</v>
      </c>
      <c r="J65" s="46">
        <f>Cement!M4</f>
        <v>0</v>
      </c>
      <c r="K65" s="46">
        <f>J65+'01'!K65</f>
        <v>0</v>
      </c>
      <c r="L65" s="46">
        <f>J65+'01'!L65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46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Diesel!B4</f>
        <v>25240</v>
      </c>
      <c r="G68" s="46">
        <f>Diesel!C4</f>
        <v>32000</v>
      </c>
      <c r="H68" s="46">
        <f>G68+'01'!H68</f>
        <v>32000</v>
      </c>
      <c r="I68" s="46">
        <f>G68+'01'!I68</f>
        <v>122000</v>
      </c>
      <c r="J68" s="46">
        <v>0</v>
      </c>
      <c r="K68" s="46">
        <f>J68+'01'!K68</f>
        <v>0</v>
      </c>
      <c r="L68" s="46">
        <f>J68+'01'!L68</f>
        <v>0</v>
      </c>
      <c r="M68" s="46">
        <f>F68+G68-J68-J76</f>
        <v>56679</v>
      </c>
      <c r="N68" s="46"/>
      <c r="O68" s="46">
        <v>30000</v>
      </c>
      <c r="P68" s="46">
        <v>60000</v>
      </c>
      <c r="Q68" s="56">
        <f>SUM(M68+N68)-O68</f>
        <v>26679</v>
      </c>
    </row>
    <row r="69" spans="2:17" x14ac:dyDescent="0.25">
      <c r="B69" s="297"/>
      <c r="C69" s="281" t="s">
        <v>171</v>
      </c>
      <c r="D69" s="282"/>
      <c r="E69" s="283"/>
      <c r="F69" s="46">
        <f>Diesel!Y4</f>
        <v>0</v>
      </c>
      <c r="G69" s="46">
        <f>Diesel!Z4</f>
        <v>0</v>
      </c>
      <c r="H69" s="46">
        <f>G69+'01'!H69</f>
        <v>0</v>
      </c>
      <c r="I69" s="46">
        <f>G69+'01'!I69</f>
        <v>0</v>
      </c>
      <c r="J69" s="46">
        <f>Diesel!O4</f>
        <v>0</v>
      </c>
      <c r="K69" s="46">
        <f>J69+'01'!K69</f>
        <v>0</v>
      </c>
      <c r="L69" s="46">
        <f>J69+'01'!L69</f>
        <v>15000</v>
      </c>
      <c r="M69" s="46"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G70+'01'!H70</f>
        <v>0</v>
      </c>
      <c r="I70" s="46">
        <f>G70+'01'!I70</f>
        <v>0</v>
      </c>
      <c r="J70" s="46">
        <f>Diesel!P4</f>
        <v>0</v>
      </c>
      <c r="K70" s="46">
        <f>J70+'01'!K70</f>
        <v>0</v>
      </c>
      <c r="L70" s="46">
        <f>J70+'01'!L70</f>
        <v>603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G71+'01'!H71</f>
        <v>0</v>
      </c>
      <c r="I71" s="46">
        <f>G71+'01'!I71</f>
        <v>0</v>
      </c>
      <c r="J71" s="46">
        <f>Diesel!Q4</f>
        <v>0</v>
      </c>
      <c r="K71" s="46">
        <f>J71+'01'!K71</f>
        <v>70</v>
      </c>
      <c r="L71" s="46">
        <f>J71+'01'!L71</f>
        <v>54705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G72+'01'!H72</f>
        <v>0</v>
      </c>
      <c r="I72" s="46">
        <f>G72+'01'!I72</f>
        <v>0</v>
      </c>
      <c r="J72" s="46">
        <f>Diesel!R4</f>
        <v>561</v>
      </c>
      <c r="K72" s="46">
        <f>J72+'01'!K72</f>
        <v>1396</v>
      </c>
      <c r="L72" s="46">
        <f>J72+'01'!L72</f>
        <v>44104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G73+'01'!H73</f>
        <v>0</v>
      </c>
      <c r="I73" s="46">
        <f>G73+'01'!I73</f>
        <v>0</v>
      </c>
      <c r="J73" s="46">
        <f>Diesel!S4</f>
        <v>0</v>
      </c>
      <c r="K73" s="46">
        <f>J73+'01'!K73</f>
        <v>0</v>
      </c>
      <c r="L73" s="46">
        <f>J73+'01'!L73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G74+'01'!H74</f>
        <v>0</v>
      </c>
      <c r="I74" s="46">
        <f>G74+'01'!I74</f>
        <v>0</v>
      </c>
      <c r="J74" s="46">
        <f>Diesel!T4</f>
        <v>0</v>
      </c>
      <c r="K74" s="46">
        <f>J74+'01'!K74</f>
        <v>0</v>
      </c>
      <c r="L74" s="46">
        <f>J74+'01'!L74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G75+'01'!H75</f>
        <v>0</v>
      </c>
      <c r="I75" s="46">
        <f>G75+'01'!I75</f>
        <v>0</v>
      </c>
      <c r="J75" s="61">
        <f>Diesel!U4</f>
        <v>0</v>
      </c>
      <c r="K75" s="46">
        <f>J75+'01'!K75</f>
        <v>0</v>
      </c>
      <c r="L75" s="46">
        <f>J75+'01'!L75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25240</v>
      </c>
      <c r="G76" s="62">
        <f t="shared" ref="G76:M76" si="5">SUM(G68:G75)</f>
        <v>32000</v>
      </c>
      <c r="H76" s="62">
        <f t="shared" si="5"/>
        <v>32000</v>
      </c>
      <c r="I76" s="62">
        <f t="shared" si="5"/>
        <v>122000</v>
      </c>
      <c r="J76" s="62">
        <f t="shared" si="5"/>
        <v>561</v>
      </c>
      <c r="K76" s="62">
        <f t="shared" si="5"/>
        <v>1466</v>
      </c>
      <c r="L76" s="62">
        <f t="shared" si="5"/>
        <v>114412</v>
      </c>
      <c r="M76" s="62">
        <f t="shared" si="5"/>
        <v>56679</v>
      </c>
      <c r="N76" s="63"/>
      <c r="O76" s="64"/>
      <c r="P76" s="62"/>
      <c r="Q76" s="65"/>
    </row>
  </sheetData>
  <mergeCells count="70">
    <mergeCell ref="B55:B62"/>
    <mergeCell ref="B63:B66"/>
    <mergeCell ref="C63:Q63"/>
    <mergeCell ref="C64:E64"/>
    <mergeCell ref="C65:E65"/>
    <mergeCell ref="C66:E66"/>
    <mergeCell ref="C61:E61"/>
    <mergeCell ref="C62:E62"/>
    <mergeCell ref="C60:E60"/>
    <mergeCell ref="C55:Q55"/>
    <mergeCell ref="C59:E59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:E6"/>
    <mergeCell ref="C9:E9"/>
    <mergeCell ref="C56:E56"/>
    <mergeCell ref="C57:E57"/>
    <mergeCell ref="C58:E58"/>
    <mergeCell ref="C29:E29"/>
    <mergeCell ref="C35:E35"/>
    <mergeCell ref="C36:D36"/>
    <mergeCell ref="C37:D37"/>
    <mergeCell ref="C38:D38"/>
    <mergeCell ref="C34:E34"/>
    <mergeCell ref="C40:E40"/>
    <mergeCell ref="C15:D15"/>
    <mergeCell ref="C28:E28"/>
    <mergeCell ref="C17:E17"/>
    <mergeCell ref="C18:E18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B9:B54"/>
    <mergeCell ref="C51:E51"/>
    <mergeCell ref="C52:E52"/>
    <mergeCell ref="C53:E53"/>
    <mergeCell ref="C54:E54"/>
    <mergeCell ref="C50:D50"/>
    <mergeCell ref="C47:D47"/>
    <mergeCell ref="C14:D14"/>
    <mergeCell ref="C12:E12"/>
    <mergeCell ref="C13:D13"/>
    <mergeCell ref="C33:E33"/>
    <mergeCell ref="C20:D20"/>
    <mergeCell ref="C7:E7"/>
    <mergeCell ref="C10:E10"/>
    <mergeCell ref="C30:E30"/>
    <mergeCell ref="C31:E31"/>
    <mergeCell ref="C32:E32"/>
    <mergeCell ref="C11:E11"/>
    <mergeCell ref="C27:E27"/>
  </mergeCells>
  <pageMargins left="0.7" right="0.7" top="0.75" bottom="0.75" header="0.3" footer="0.3"/>
  <pageSetup paperSize="9" scale="4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8" sqref="J8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9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 t="s">
        <v>215</v>
      </c>
      <c r="Q3" s="316"/>
    </row>
    <row r="4" spans="2:19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9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9" x14ac:dyDescent="0.25">
      <c r="B6" s="54">
        <v>1</v>
      </c>
      <c r="C6" s="308" t="s">
        <v>135</v>
      </c>
      <c r="D6" s="309"/>
      <c r="E6" s="310"/>
      <c r="F6" s="45">
        <f>Clinker!C5</f>
        <v>2546.92</v>
      </c>
      <c r="G6" s="45">
        <f>Clinker!D5</f>
        <v>0</v>
      </c>
      <c r="H6" s="45">
        <f>G6+'2'!H6</f>
        <v>0</v>
      </c>
      <c r="I6" s="45">
        <f>G6+'2'!I6</f>
        <v>417.28000000000003</v>
      </c>
      <c r="J6" s="45">
        <f>Clinker!E5</f>
        <v>67</v>
      </c>
      <c r="K6" s="45">
        <f>J6+'2'!K6</f>
        <v>168</v>
      </c>
      <c r="L6" s="45">
        <f>J6+'2'!L6</f>
        <v>3303</v>
      </c>
      <c r="M6" s="45">
        <f>F6+G6-J6</f>
        <v>2479.92</v>
      </c>
      <c r="N6" s="45">
        <v>0</v>
      </c>
      <c r="O6" s="45">
        <v>3000</v>
      </c>
      <c r="P6" s="45">
        <v>6000</v>
      </c>
      <c r="Q6" s="55">
        <f>SUM(M6+N6)-O6</f>
        <v>-520.07999999999993</v>
      </c>
    </row>
    <row r="7" spans="2:19" x14ac:dyDescent="0.25">
      <c r="B7" s="50">
        <v>2</v>
      </c>
      <c r="C7" s="305" t="s">
        <v>136</v>
      </c>
      <c r="D7" s="306"/>
      <c r="E7" s="307"/>
      <c r="F7" s="46">
        <f>Cement!C5</f>
        <v>3984.8300686824928</v>
      </c>
      <c r="G7" s="46">
        <f>Cement!D5</f>
        <v>0</v>
      </c>
      <c r="H7" s="45">
        <f>G7+'2'!H7</f>
        <v>0</v>
      </c>
      <c r="I7" s="45">
        <f>G7+'2'!I7</f>
        <v>2126.62</v>
      </c>
      <c r="J7" s="46">
        <f>Cement!I5</f>
        <v>162.7578947368421</v>
      </c>
      <c r="K7" s="45">
        <f>J7+'2'!K7</f>
        <v>386.23368421052635</v>
      </c>
      <c r="L7" s="45">
        <f>J7+'2'!L7</f>
        <v>5612.4636745380267</v>
      </c>
      <c r="M7" s="45">
        <f>F7+G7-J7</f>
        <v>3822.0721739456508</v>
      </c>
      <c r="N7" s="46">
        <v>0</v>
      </c>
      <c r="O7" s="46">
        <v>3000</v>
      </c>
      <c r="P7" s="46">
        <v>6000</v>
      </c>
      <c r="Q7" s="56">
        <f>SUM(M7+N7)-O7</f>
        <v>822.07217394565077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Clinker!EI5</f>
        <v>31442.554087806959</v>
      </c>
      <c r="G8" s="46">
        <f>Clinker!EJ5</f>
        <v>1408</v>
      </c>
      <c r="H8" s="45">
        <f>G8+'2'!H8</f>
        <v>4993</v>
      </c>
      <c r="I8" s="45">
        <f>G8+'2'!I8</f>
        <v>103909.66</v>
      </c>
      <c r="J8" s="46">
        <f>Clinker!EK5</f>
        <v>2274.2399999999998</v>
      </c>
      <c r="K8" s="45">
        <f>J8+'2'!K8</f>
        <v>5668.5880000000016</v>
      </c>
      <c r="L8" s="45">
        <f>J8+'2'!L8</f>
        <v>85464.435019819939</v>
      </c>
      <c r="M8" s="45">
        <f>F8+G8-J8</f>
        <v>30576.314087806961</v>
      </c>
      <c r="N8" s="46">
        <v>0</v>
      </c>
      <c r="O8" s="46"/>
      <c r="P8" s="46"/>
      <c r="Q8" s="56"/>
    </row>
    <row r="9" spans="2:19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88"/>
      <c r="C10" s="281" t="s">
        <v>138</v>
      </c>
      <c r="D10" s="282"/>
      <c r="E10" s="283"/>
      <c r="F10" s="46">
        <f>Clinker!K5</f>
        <v>0</v>
      </c>
      <c r="G10" s="46">
        <f>Clinker!L5</f>
        <v>0</v>
      </c>
      <c r="H10" s="46">
        <f>G10+'2'!H10</f>
        <v>0</v>
      </c>
      <c r="I10" s="46">
        <f>G10+'2'!I10</f>
        <v>0</v>
      </c>
      <c r="J10" s="46">
        <f>Clinker!N5</f>
        <v>0</v>
      </c>
      <c r="K10" s="46">
        <f>J10+'2'!K10</f>
        <v>0</v>
      </c>
      <c r="L10" s="46">
        <f>J10+'2'!L10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88"/>
      <c r="C11" s="281" t="s">
        <v>139</v>
      </c>
      <c r="D11" s="282"/>
      <c r="E11" s="283"/>
      <c r="F11" s="46">
        <f>Clinker!W5</f>
        <v>1063.0399999999981</v>
      </c>
      <c r="G11" s="46">
        <f>Clinker!X5</f>
        <v>0</v>
      </c>
      <c r="H11" s="46">
        <f>G11+'2'!H11</f>
        <v>0</v>
      </c>
      <c r="I11" s="46">
        <f>G11+'2'!I11</f>
        <v>0</v>
      </c>
      <c r="J11" s="46">
        <f>Clinker!Z5</f>
        <v>0</v>
      </c>
      <c r="K11" s="46">
        <f>J11+'2'!K11</f>
        <v>0</v>
      </c>
      <c r="L11" s="46">
        <f>J11+'2'!L11</f>
        <v>7623.8399999999992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9" ht="15" customHeight="1" x14ac:dyDescent="0.25">
      <c r="B12" s="288"/>
      <c r="C12" s="281" t="s">
        <v>140</v>
      </c>
      <c r="D12" s="282"/>
      <c r="E12" s="283"/>
      <c r="F12" s="46">
        <f>Clinker!AT5</f>
        <v>2349.8900000000021</v>
      </c>
      <c r="G12" s="46">
        <f>Clinker!AU5</f>
        <v>0</v>
      </c>
      <c r="H12" s="46">
        <f>G12+'2'!H12</f>
        <v>0</v>
      </c>
      <c r="I12" s="46">
        <f>G12+'2'!I12</f>
        <v>181.5</v>
      </c>
      <c r="J12" s="46">
        <f>Clinker!AV5</f>
        <v>239</v>
      </c>
      <c r="K12" s="46">
        <f>J12+'2'!K12</f>
        <v>823.01</v>
      </c>
      <c r="L12" s="46">
        <f>J12+'2'!L12</f>
        <v>3564.71</v>
      </c>
      <c r="M12" s="45">
        <f>F12+G12-J12-J37</f>
        <v>2110.8900000000021</v>
      </c>
      <c r="N12" s="46">
        <v>0</v>
      </c>
      <c r="O12" s="46"/>
      <c r="P12" s="46"/>
      <c r="Q12" s="70"/>
    </row>
    <row r="13" spans="2:19" x14ac:dyDescent="0.25">
      <c r="B13" s="288"/>
      <c r="C13" s="281" t="s">
        <v>9</v>
      </c>
      <c r="D13" s="282"/>
      <c r="E13" s="69"/>
      <c r="F13" s="46">
        <f>Clinker!AO5</f>
        <v>0</v>
      </c>
      <c r="G13" s="46">
        <f>Clinker!AP5</f>
        <v>0</v>
      </c>
      <c r="H13" s="46">
        <f>G13+'2'!H13</f>
        <v>0</v>
      </c>
      <c r="I13" s="46">
        <f>G13+'2'!I13</f>
        <v>0</v>
      </c>
      <c r="J13" s="46">
        <f>Clinker!AQ5</f>
        <v>0</v>
      </c>
      <c r="K13" s="46">
        <f>J13+'2'!K13</f>
        <v>0</v>
      </c>
      <c r="L13" s="46">
        <f>J13+'2'!L13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ht="15" customHeight="1" x14ac:dyDescent="0.25">
      <c r="B14" s="288"/>
      <c r="C14" s="281" t="s">
        <v>8</v>
      </c>
      <c r="D14" s="282"/>
      <c r="E14" s="69"/>
      <c r="F14" s="46">
        <f>Clinker!AK5</f>
        <v>0</v>
      </c>
      <c r="G14" s="46">
        <f>Clinker!AL5</f>
        <v>0</v>
      </c>
      <c r="H14" s="46">
        <f>G14+'2'!H14</f>
        <v>0</v>
      </c>
      <c r="I14" s="46">
        <f>G14+'2'!I14</f>
        <v>0</v>
      </c>
      <c r="J14" s="46">
        <f>Clinker!AM5</f>
        <v>0</v>
      </c>
      <c r="K14" s="46">
        <f>J14+'2'!K14</f>
        <v>0</v>
      </c>
      <c r="L14" s="46">
        <f>J14+'2'!L14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88"/>
      <c r="C15" s="281" t="s">
        <v>11</v>
      </c>
      <c r="D15" s="282"/>
      <c r="E15" s="69"/>
      <c r="F15" s="46">
        <f>Clinker!AY5</f>
        <v>690.76699999999028</v>
      </c>
      <c r="G15" s="46">
        <f>Clinker!AZ5</f>
        <v>221.94</v>
      </c>
      <c r="H15" s="46">
        <f>G15+'2'!H15</f>
        <v>500.68</v>
      </c>
      <c r="I15" s="46">
        <f>G15+'2'!I15</f>
        <v>912.42000000000007</v>
      </c>
      <c r="J15" s="46">
        <f>Clinker!BA5</f>
        <v>0</v>
      </c>
      <c r="K15" s="46">
        <f>J15+'2'!K15</f>
        <v>0</v>
      </c>
      <c r="L15" s="46">
        <f>J15+'2'!L15</f>
        <v>0</v>
      </c>
      <c r="M15" s="45">
        <f>F15+G15-J15-J38</f>
        <v>912.70699999999033</v>
      </c>
      <c r="N15" s="75">
        <v>92.16</v>
      </c>
      <c r="O15" s="46">
        <v>5000</v>
      </c>
      <c r="P15" s="46">
        <v>9000</v>
      </c>
      <c r="Q15" s="70"/>
    </row>
    <row r="16" spans="2:19" x14ac:dyDescent="0.25">
      <c r="B16" s="288"/>
      <c r="C16" s="76" t="s">
        <v>141</v>
      </c>
      <c r="D16" s="77"/>
      <c r="E16" s="69"/>
      <c r="F16" s="46">
        <f>Clinker!BD5</f>
        <v>0</v>
      </c>
      <c r="G16" s="46">
        <f>Clinker!BE5</f>
        <v>0</v>
      </c>
      <c r="H16" s="46">
        <f>G16+'2'!H16</f>
        <v>0</v>
      </c>
      <c r="I16" s="46">
        <f>G16+'2'!I16</f>
        <v>0</v>
      </c>
      <c r="J16" s="46">
        <f>Clinker!BF5</f>
        <v>0</v>
      </c>
      <c r="K16" s="46">
        <f>J16+'2'!K16</f>
        <v>0</v>
      </c>
      <c r="L16" s="46">
        <f>J16+'2'!L16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180</v>
      </c>
      <c r="D17" s="282"/>
      <c r="E17" s="283"/>
      <c r="F17" s="46">
        <f>Clinker!BI5</f>
        <v>0</v>
      </c>
      <c r="G17" s="46">
        <f>Clinker!BJ5</f>
        <v>0</v>
      </c>
      <c r="H17" s="46">
        <f>G17+'2'!H17</f>
        <v>0</v>
      </c>
      <c r="I17" s="46">
        <f>G17+'2'!I17</f>
        <v>0</v>
      </c>
      <c r="J17" s="46">
        <f>Clinker!BK5</f>
        <v>0</v>
      </c>
      <c r="K17" s="46">
        <f>J17+'2'!K17</f>
        <v>0</v>
      </c>
      <c r="L17" s="46">
        <f>J17+'2'!L17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Clinker!BN5</f>
        <v>0</v>
      </c>
      <c r="G18" s="46">
        <f>Clinker!BO5</f>
        <v>0</v>
      </c>
      <c r="H18" s="46">
        <f>G18+'2'!H18</f>
        <v>0</v>
      </c>
      <c r="I18" s="46">
        <f>G18+'2'!I18</f>
        <v>0</v>
      </c>
      <c r="J18" s="46">
        <f>Clinker!BP5</f>
        <v>0</v>
      </c>
      <c r="K18" s="46">
        <f>J18+'2'!K18</f>
        <v>0</v>
      </c>
      <c r="L18" s="46">
        <f>J18+'2'!L18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Clinker!BS5</f>
        <v>0</v>
      </c>
      <c r="G19" s="46">
        <f>Clinker!BT5</f>
        <v>0</v>
      </c>
      <c r="H19" s="46">
        <f>G19+'2'!H19</f>
        <v>0</v>
      </c>
      <c r="I19" s="46">
        <f>G19+'2'!I19</f>
        <v>0</v>
      </c>
      <c r="J19" s="46">
        <f>Clinker!BU5</f>
        <v>0</v>
      </c>
      <c r="K19" s="46">
        <f>J19+'2'!K19</f>
        <v>0</v>
      </c>
      <c r="L19" s="46">
        <f>J19+'2'!L19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16</v>
      </c>
      <c r="D20" s="282"/>
      <c r="E20" s="69"/>
      <c r="F20" s="46">
        <f>Clinker!BX5</f>
        <v>0</v>
      </c>
      <c r="G20" s="46">
        <f>Clinker!BY5</f>
        <v>0</v>
      </c>
      <c r="H20" s="46">
        <f>G20+'2'!H20</f>
        <v>0</v>
      </c>
      <c r="I20" s="46">
        <f>G20+'2'!I20</f>
        <v>0</v>
      </c>
      <c r="J20" s="46">
        <f>Clinker!BZ5</f>
        <v>0</v>
      </c>
      <c r="K20" s="46">
        <f>J20+'2'!K20</f>
        <v>0</v>
      </c>
      <c r="L20" s="46">
        <f>J20+'2'!L20</f>
        <v>4052.88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Clinker!CR5</f>
        <v>0</v>
      </c>
      <c r="G21" s="46">
        <f>Clinker!CS5</f>
        <v>0</v>
      </c>
      <c r="H21" s="46">
        <f>G21+'2'!H21</f>
        <v>0</v>
      </c>
      <c r="I21" s="46">
        <f>G21+'2'!I21</f>
        <v>0</v>
      </c>
      <c r="J21" s="46">
        <f>Clinker!CT5</f>
        <v>0</v>
      </c>
      <c r="K21" s="46">
        <f>J21+'2'!K21</f>
        <v>0</v>
      </c>
      <c r="L21" s="46">
        <f>J21+'2'!L21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143</v>
      </c>
      <c r="D22" s="77"/>
      <c r="E22" s="69"/>
      <c r="F22" s="46">
        <f>Clinker!CW5</f>
        <v>0</v>
      </c>
      <c r="G22" s="46">
        <f>Clinker!CX5</f>
        <v>0</v>
      </c>
      <c r="H22" s="46">
        <f>G22+'2'!H22</f>
        <v>0</v>
      </c>
      <c r="I22" s="46">
        <f>G22+'2'!I22</f>
        <v>0</v>
      </c>
      <c r="J22" s="46">
        <f>Clinker!CY5</f>
        <v>0</v>
      </c>
      <c r="K22" s="46">
        <f>J22+'2'!K22</f>
        <v>0</v>
      </c>
      <c r="L22" s="46">
        <f>J22+'2'!L22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Clinker!DB5</f>
        <v>1.0000000000013998E-2</v>
      </c>
      <c r="G23" s="46">
        <f>Clinker!DC5</f>
        <v>0</v>
      </c>
      <c r="H23" s="46">
        <f>G23+'2'!H23</f>
        <v>0</v>
      </c>
      <c r="I23" s="46">
        <f>G23+'2'!I23</f>
        <v>0</v>
      </c>
      <c r="J23" s="46">
        <f>Clinker!DD5</f>
        <v>0</v>
      </c>
      <c r="K23" s="46">
        <f>J23+'2'!K23</f>
        <v>7.1</v>
      </c>
      <c r="L23" s="46">
        <f>J23+'2'!L23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179</v>
      </c>
      <c r="D24" s="77"/>
      <c r="E24" s="69"/>
      <c r="F24" s="46">
        <f>Clinker!DG5</f>
        <v>0</v>
      </c>
      <c r="G24" s="46">
        <f>Clinker!DH5</f>
        <v>0</v>
      </c>
      <c r="H24" s="46">
        <f>G24+'2'!H24</f>
        <v>0</v>
      </c>
      <c r="I24" s="46">
        <f>G24+'2'!I24</f>
        <v>0</v>
      </c>
      <c r="J24" s="46">
        <f>Clinker!DI5</f>
        <v>0</v>
      </c>
      <c r="K24" s="46">
        <f>J24+'2'!K24</f>
        <v>0</v>
      </c>
      <c r="L24" s="46">
        <f>J24+'2'!L24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Clinker!DL5</f>
        <v>272</v>
      </c>
      <c r="G25" s="46">
        <f>Clinker!DM5</f>
        <v>0</v>
      </c>
      <c r="H25" s="46">
        <f>G25+'2'!H25</f>
        <v>60</v>
      </c>
      <c r="I25" s="46">
        <f>G25+'2'!I25</f>
        <v>272</v>
      </c>
      <c r="J25" s="46">
        <f>Clinker!DN5</f>
        <v>0</v>
      </c>
      <c r="K25" s="46">
        <f>J25+'2'!K25</f>
        <v>0</v>
      </c>
      <c r="L25" s="46">
        <f>J25+'2'!L25</f>
        <v>0</v>
      </c>
      <c r="M25" s="45">
        <f>F25+G25-J25-J47</f>
        <v>272</v>
      </c>
      <c r="N25" s="46">
        <v>32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Clinker!DV5</f>
        <v>0</v>
      </c>
      <c r="G26" s="46">
        <f>Clinker!DW5</f>
        <v>0</v>
      </c>
      <c r="H26" s="46">
        <f>G26+'2'!H26</f>
        <v>0</v>
      </c>
      <c r="I26" s="46">
        <f>G26+'2'!I26</f>
        <v>0</v>
      </c>
      <c r="J26" s="46">
        <f>Clinker!DX5</f>
        <v>0</v>
      </c>
      <c r="K26" s="46">
        <f>J26+'2'!K26</f>
        <v>0</v>
      </c>
      <c r="L26" s="46">
        <f>J26+'2'!L26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4375.7069999999912</v>
      </c>
      <c r="G27" s="46">
        <f t="shared" ref="G27:Q27" si="0">SUM(G10:G26)</f>
        <v>221.94</v>
      </c>
      <c r="H27" s="46">
        <f t="shared" si="0"/>
        <v>560.68000000000006</v>
      </c>
      <c r="I27" s="46">
        <f t="shared" si="0"/>
        <v>1365.92</v>
      </c>
      <c r="J27" s="46">
        <f t="shared" si="0"/>
        <v>239</v>
      </c>
      <c r="K27" s="46">
        <f t="shared" si="0"/>
        <v>830.11</v>
      </c>
      <c r="L27" s="46">
        <f t="shared" si="0"/>
        <v>15547.42</v>
      </c>
      <c r="M27" s="46">
        <f t="shared" si="0"/>
        <v>4358.6469999999908</v>
      </c>
      <c r="N27" s="46">
        <f t="shared" si="0"/>
        <v>124.16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Clinker!Q5</f>
        <v>0</v>
      </c>
      <c r="G29" s="46">
        <f>Clinker!R5</f>
        <v>0</v>
      </c>
      <c r="H29" s="46">
        <f>G29+'2'!H29</f>
        <v>0</v>
      </c>
      <c r="I29" s="46">
        <f>G29+'2'!I29</f>
        <v>0</v>
      </c>
      <c r="J29" s="46">
        <f>Clinker!S5</f>
        <v>0</v>
      </c>
      <c r="K29" s="46">
        <f>J29+'2'!K29</f>
        <v>0</v>
      </c>
      <c r="L29" s="46">
        <f>J29+'2'!L29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G30+'2'!H30</f>
        <v>0</v>
      </c>
      <c r="I30" s="46">
        <f>G30+'2'!I30</f>
        <v>0</v>
      </c>
      <c r="J30" s="46">
        <v>0</v>
      </c>
      <c r="K30" s="46">
        <f>J30+'2'!K30</f>
        <v>0</v>
      </c>
      <c r="L30" s="46">
        <f>J30+'2'!L30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G31+'2'!H31</f>
        <v>0</v>
      </c>
      <c r="I31" s="46">
        <f>G31+'2'!I31</f>
        <v>0</v>
      </c>
      <c r="J31" s="46">
        <v>0</v>
      </c>
      <c r="K31" s="46">
        <f>J31+'2'!K31</f>
        <v>0</v>
      </c>
      <c r="L31" s="46">
        <f>J31+'2'!L31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f>Clinker!DQ5</f>
        <v>0</v>
      </c>
      <c r="G32" s="46">
        <f>Clinker!DR5</f>
        <v>0</v>
      </c>
      <c r="H32" s="46">
        <f>G32+'2'!H32</f>
        <v>0</v>
      </c>
      <c r="I32" s="46">
        <f>G32+'2'!I32</f>
        <v>0</v>
      </c>
      <c r="J32" s="46">
        <f>Clinker!DT5</f>
        <v>0</v>
      </c>
      <c r="K32" s="46">
        <f>J32+'2'!K32</f>
        <v>0</v>
      </c>
      <c r="L32" s="46">
        <f>J32+'2'!L32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G33+'2'!H33</f>
        <v>0</v>
      </c>
      <c r="I33" s="46">
        <f>G33+'2'!I33</f>
        <v>0</v>
      </c>
      <c r="J33" s="46">
        <v>0</v>
      </c>
      <c r="K33" s="46">
        <f>J33+'2'!K33</f>
        <v>0</v>
      </c>
      <c r="L33" s="46">
        <f>J33+'2'!L33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>
        <f>G34+'2'!I34</f>
        <v>0</v>
      </c>
      <c r="J34" s="46">
        <f>Clinker!Y5</f>
        <v>0</v>
      </c>
      <c r="K34" s="46">
        <f>J34+'2'!K34</f>
        <v>0</v>
      </c>
      <c r="L34" s="46">
        <f>J34+'2'!L34</f>
        <v>1327</v>
      </c>
      <c r="M34" s="45"/>
      <c r="N34" s="46">
        <v>0</v>
      </c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Clinker!M5</f>
        <v>0</v>
      </c>
      <c r="K35" s="46">
        <f>J35+'2'!K35</f>
        <v>0</v>
      </c>
      <c r="L35" s="46">
        <f>J35+'2'!L35</f>
        <v>0</v>
      </c>
      <c r="M35" s="45"/>
      <c r="N35" s="46">
        <v>0</v>
      </c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Clinker!AR5</f>
        <v>0</v>
      </c>
      <c r="K36" s="46">
        <f>J36+'2'!K36</f>
        <v>0</v>
      </c>
      <c r="L36" s="46">
        <f>J36+'2'!L36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Clinker!AW5</f>
        <v>0</v>
      </c>
      <c r="K37" s="46">
        <f>J37+'2'!K37</f>
        <v>0</v>
      </c>
      <c r="L37" s="46">
        <f>J37+'2'!L37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Clinker!BB5</f>
        <v>0</v>
      </c>
      <c r="K38" s="46">
        <f>J38+'2'!K38</f>
        <v>0</v>
      </c>
      <c r="L38" s="46">
        <f>J38+'2'!L38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Clinker!BG5</f>
        <v>0</v>
      </c>
      <c r="K39" s="46">
        <f>J39+'2'!K39</f>
        <v>0</v>
      </c>
      <c r="L39" s="46">
        <f>J39+'2'!L39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180</v>
      </c>
      <c r="D40" s="282"/>
      <c r="E40" s="283"/>
      <c r="F40" s="46"/>
      <c r="G40" s="46"/>
      <c r="H40" s="46"/>
      <c r="I40" s="46"/>
      <c r="J40" s="46">
        <f>Clinker!BL5</f>
        <v>0</v>
      </c>
      <c r="K40" s="46">
        <f>J40+'2'!K40</f>
        <v>0</v>
      </c>
      <c r="L40" s="46">
        <f>J40+'2'!L40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Clinker!BQ5</f>
        <v>0</v>
      </c>
      <c r="K41" s="46">
        <f>J41+'2'!K41</f>
        <v>0</v>
      </c>
      <c r="L41" s="46">
        <f>J41+'2'!L41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Clinker!BV5</f>
        <v>0</v>
      </c>
      <c r="K42" s="46">
        <f>J42+'2'!K42</f>
        <v>0</v>
      </c>
      <c r="L42" s="46">
        <f>J42+'2'!L42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Clinker!CU5</f>
        <v>0</v>
      </c>
      <c r="K43" s="46">
        <f>J43+'2'!K43</f>
        <v>0</v>
      </c>
      <c r="L43" s="46">
        <f>J43+'2'!L43</f>
        <v>0</v>
      </c>
      <c r="M43" s="45"/>
      <c r="N43" s="46"/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Clinker!CZ5</f>
        <v>0</v>
      </c>
      <c r="K44" s="46">
        <f>J44+'2'!K44</f>
        <v>0</v>
      </c>
      <c r="L44" s="46">
        <f>J44+'2'!L44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Clinker!DE5</f>
        <v>0</v>
      </c>
      <c r="K45" s="46">
        <f>J45+'2'!K45</f>
        <v>0</v>
      </c>
      <c r="L45" s="46">
        <f>J45+'2'!L45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Clinker!DJ5</f>
        <v>0</v>
      </c>
      <c r="K46" s="46">
        <f>J46+'2'!K46</f>
        <v>0</v>
      </c>
      <c r="L46" s="46">
        <f>J46+'2'!L46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Clinker!DO5</f>
        <v>0</v>
      </c>
      <c r="K47" s="46">
        <f>J47+'2'!K47</f>
        <v>0</v>
      </c>
      <c r="L47" s="46">
        <f>J47+'2'!L47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181</v>
      </c>
      <c r="D48" s="77"/>
      <c r="E48" s="69"/>
      <c r="F48" s="46">
        <f>Clinker!CM5</f>
        <v>5.0000000000181899E-2</v>
      </c>
      <c r="G48" s="46">
        <f>Clinker!CN5</f>
        <v>0</v>
      </c>
      <c r="H48" s="46">
        <f>G48+'2'!H48</f>
        <v>0</v>
      </c>
      <c r="I48" s="46">
        <f>G48+'2'!I48</f>
        <v>0</v>
      </c>
      <c r="J48" s="46">
        <f>Clinker!CP5</f>
        <v>0</v>
      </c>
      <c r="K48" s="46">
        <f>J48+'2'!K48</f>
        <v>0</v>
      </c>
      <c r="L48" s="46">
        <f>J48+'2'!L48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8" x14ac:dyDescent="0.25">
      <c r="B49" s="288"/>
      <c r="C49" s="76" t="s">
        <v>102</v>
      </c>
      <c r="D49" s="77"/>
      <c r="E49" s="69"/>
      <c r="F49" s="46">
        <f>Clinker!CC5</f>
        <v>0</v>
      </c>
      <c r="G49" s="46">
        <f>Clinker!CD5</f>
        <v>0</v>
      </c>
      <c r="H49" s="46">
        <f>G49+'2'!H49</f>
        <v>0</v>
      </c>
      <c r="I49" s="46">
        <f>G49+'2'!I49</f>
        <v>0</v>
      </c>
      <c r="J49" s="46">
        <f>Clinker!CF5</f>
        <v>0</v>
      </c>
      <c r="K49" s="46">
        <f>J49+'2'!K49</f>
        <v>0</v>
      </c>
      <c r="L49" s="46">
        <f>J49+'2'!L49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8" x14ac:dyDescent="0.25">
      <c r="B50" s="288"/>
      <c r="C50" s="281" t="s">
        <v>154</v>
      </c>
      <c r="D50" s="282"/>
      <c r="E50" s="69"/>
      <c r="F50" s="46">
        <f>Clinker!CH3</f>
        <v>0</v>
      </c>
      <c r="G50" s="46">
        <f>Clinker!CI3</f>
        <v>0</v>
      </c>
      <c r="H50" s="46">
        <f>G50+'2'!H50</f>
        <v>0</v>
      </c>
      <c r="I50" s="46">
        <f>G50+'2'!I50</f>
        <v>0</v>
      </c>
      <c r="J50" s="46">
        <f>Clinker!CK3</f>
        <v>0</v>
      </c>
      <c r="K50" s="46">
        <f>J50+'2'!K50</f>
        <v>0</v>
      </c>
      <c r="L50" s="46">
        <f>J50+'2'!L50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8" ht="15" customHeight="1" x14ac:dyDescent="0.25">
      <c r="B51" s="288"/>
      <c r="C51" s="281" t="s">
        <v>155</v>
      </c>
      <c r="D51" s="282"/>
      <c r="E51" s="283"/>
      <c r="F51" s="46">
        <f>Clinker!AF5</f>
        <v>4184.8199999999943</v>
      </c>
      <c r="G51" s="46">
        <f>Clinker!AG5</f>
        <v>397.15</v>
      </c>
      <c r="H51" s="46">
        <f>G51+'2'!H51</f>
        <v>819.3</v>
      </c>
      <c r="I51" s="46">
        <f>G51+'2'!I51</f>
        <v>2960.25</v>
      </c>
      <c r="J51" s="46">
        <f>Clinker!AI5</f>
        <v>138</v>
      </c>
      <c r="K51" s="46">
        <f>J51+'2'!K51</f>
        <v>424</v>
      </c>
      <c r="L51" s="46">
        <f>J51+'2'!L51</f>
        <v>7249</v>
      </c>
      <c r="M51" s="45">
        <f>F51+G51-J51</f>
        <v>4443.9699999999939</v>
      </c>
      <c r="N51" s="46">
        <v>120.2</v>
      </c>
      <c r="O51" s="46">
        <v>1500</v>
      </c>
      <c r="P51" s="46">
        <v>3000</v>
      </c>
      <c r="Q51" s="56">
        <f>SUM(M51+N51)-O51</f>
        <v>3064.1699999999937</v>
      </c>
    </row>
    <row r="52" spans="2:18" x14ac:dyDescent="0.25">
      <c r="B52" s="288"/>
      <c r="C52" s="281" t="s">
        <v>156</v>
      </c>
      <c r="D52" s="282"/>
      <c r="E52" s="283"/>
      <c r="F52" s="46">
        <f>Clinker!AB5</f>
        <v>0</v>
      </c>
      <c r="G52" s="46">
        <f>Clinker!AC5</f>
        <v>0</v>
      </c>
      <c r="H52" s="46">
        <f>G52+'2'!H52</f>
        <v>0</v>
      </c>
      <c r="I52" s="46">
        <f>G52+'2'!I52</f>
        <v>0</v>
      </c>
      <c r="J52" s="46">
        <f>Clinker!AD5</f>
        <v>0</v>
      </c>
      <c r="K52" s="46">
        <f>J52+'2'!K52</f>
        <v>0</v>
      </c>
      <c r="L52" s="46">
        <f>J52+'2'!L52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8" x14ac:dyDescent="0.25">
      <c r="B53" s="288"/>
      <c r="C53" s="281" t="s">
        <v>146</v>
      </c>
      <c r="D53" s="282"/>
      <c r="E53" s="283"/>
      <c r="F53" s="46">
        <f>SUM(F29:F52)</f>
        <v>4184.8699999999944</v>
      </c>
      <c r="G53" s="46">
        <f>SUM(G29:G52)</f>
        <v>397.15</v>
      </c>
      <c r="H53" s="46">
        <f>SUM(H29:H52)</f>
        <v>819.3</v>
      </c>
      <c r="I53" s="46">
        <f>SUM(I29:I52)</f>
        <v>2960.25</v>
      </c>
      <c r="J53" s="46">
        <f t="shared" ref="J53:Q53" si="1">SUM(J29:J52)</f>
        <v>138</v>
      </c>
      <c r="K53" s="46">
        <f t="shared" si="1"/>
        <v>424</v>
      </c>
      <c r="L53" s="46">
        <f t="shared" si="1"/>
        <v>8596</v>
      </c>
      <c r="M53" s="46">
        <f t="shared" si="1"/>
        <v>4444.0199999999941</v>
      </c>
      <c r="N53" s="46">
        <f t="shared" si="1"/>
        <v>120.2</v>
      </c>
      <c r="O53" s="46">
        <f>SUM(O29:O52)</f>
        <v>3000</v>
      </c>
      <c r="P53" s="46">
        <f>SUM(P29:P52)</f>
        <v>6000</v>
      </c>
      <c r="Q53" s="46">
        <f t="shared" si="1"/>
        <v>3064.1699999999937</v>
      </c>
    </row>
    <row r="54" spans="2:18" x14ac:dyDescent="0.25">
      <c r="B54" s="289"/>
      <c r="C54" s="284" t="s">
        <v>157</v>
      </c>
      <c r="D54" s="285"/>
      <c r="E54" s="286"/>
      <c r="F54" s="59">
        <f t="shared" ref="F54:Q54" si="2">SUM(F27+F53)</f>
        <v>8560.5769999999866</v>
      </c>
      <c r="G54" s="59">
        <f t="shared" si="2"/>
        <v>619.08999999999992</v>
      </c>
      <c r="H54" s="59">
        <f t="shared" si="2"/>
        <v>1379.98</v>
      </c>
      <c r="I54" s="59">
        <f t="shared" si="2"/>
        <v>4326.17</v>
      </c>
      <c r="J54" s="59">
        <f>SUM(J27+J53)</f>
        <v>377</v>
      </c>
      <c r="K54" s="59">
        <f t="shared" si="2"/>
        <v>1254.1100000000001</v>
      </c>
      <c r="L54" s="59">
        <f t="shared" si="2"/>
        <v>24143.42</v>
      </c>
      <c r="M54" s="59">
        <f t="shared" si="2"/>
        <v>8802.6669999999849</v>
      </c>
      <c r="N54" s="59">
        <f>SUM(N27+N53)</f>
        <v>244.36</v>
      </c>
      <c r="O54" s="59">
        <f>SUM(O27+O53)</f>
        <v>13000</v>
      </c>
      <c r="P54" s="59">
        <f>SUM(P27+P53)</f>
        <v>24000</v>
      </c>
      <c r="Q54" s="59">
        <f t="shared" si="2"/>
        <v>4127.2099999999919</v>
      </c>
      <c r="R54" s="90"/>
    </row>
    <row r="55" spans="2:18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8" x14ac:dyDescent="0.25">
      <c r="B56" s="288"/>
      <c r="C56" s="281" t="s">
        <v>159</v>
      </c>
      <c r="D56" s="282"/>
      <c r="E56" s="283"/>
      <c r="F56" s="46">
        <f>'Packing bag '!C5</f>
        <v>2545669</v>
      </c>
      <c r="G56" s="46">
        <f>'Packing bag '!D5</f>
        <v>0</v>
      </c>
      <c r="H56" s="46">
        <f>G56+'2'!H56</f>
        <v>0</v>
      </c>
      <c r="I56" s="46">
        <f>G56+'2'!I56</f>
        <v>3152500</v>
      </c>
      <c r="J56" s="46">
        <f>'Packing bag '!E5</f>
        <v>31507</v>
      </c>
      <c r="K56" s="46">
        <f>J56+'2'!K56</f>
        <v>113073</v>
      </c>
      <c r="L56" s="46">
        <f>J56+'2'!L56</f>
        <v>1689907</v>
      </c>
      <c r="M56" s="46">
        <f>F56+G56-J56</f>
        <v>2514162</v>
      </c>
      <c r="N56" s="46"/>
      <c r="O56" s="46">
        <v>400000</v>
      </c>
      <c r="P56" s="46">
        <v>800000</v>
      </c>
      <c r="Q56" s="56">
        <f>SUM(M56+N56)-O56</f>
        <v>2114162</v>
      </c>
    </row>
    <row r="57" spans="2:18" x14ac:dyDescent="0.25">
      <c r="B57" s="288"/>
      <c r="C57" s="281" t="s">
        <v>160</v>
      </c>
      <c r="D57" s="282"/>
      <c r="E57" s="283"/>
      <c r="F57" s="46">
        <f>'Packing bag '!G5</f>
        <v>599629</v>
      </c>
      <c r="G57" s="46">
        <f>'Packing bag '!H5</f>
        <v>0</v>
      </c>
      <c r="H57" s="46">
        <f>G57+'2'!H57</f>
        <v>0</v>
      </c>
      <c r="I57" s="46">
        <f>G57+'2'!I57</f>
        <v>291500</v>
      </c>
      <c r="J57" s="46">
        <f>'Packing bag '!I5</f>
        <v>1584</v>
      </c>
      <c r="K57" s="46">
        <f>J57+'2'!K57</f>
        <v>4116</v>
      </c>
      <c r="L57" s="46">
        <f>J57+'2'!L57</f>
        <v>93737</v>
      </c>
      <c r="M57" s="46">
        <f>F57+G57-J57</f>
        <v>598045</v>
      </c>
      <c r="N57" s="46"/>
      <c r="O57" s="46">
        <v>100000</v>
      </c>
      <c r="P57" s="46">
        <v>250000</v>
      </c>
      <c r="Q57" s="56">
        <f>SUM(M57+N57)-O57</f>
        <v>498045</v>
      </c>
    </row>
    <row r="58" spans="2:18" x14ac:dyDescent="0.25">
      <c r="B58" s="288"/>
      <c r="C58" s="281" t="s">
        <v>161</v>
      </c>
      <c r="D58" s="282"/>
      <c r="E58" s="283"/>
      <c r="F58" s="46">
        <f>'Packing bag '!K5</f>
        <v>522028</v>
      </c>
      <c r="G58" s="46">
        <f>'Packing bag '!L5</f>
        <v>0</v>
      </c>
      <c r="H58" s="46">
        <f>G58+'2'!H58</f>
        <v>0</v>
      </c>
      <c r="I58" s="46">
        <f>G58+'2'!I58</f>
        <v>295000</v>
      </c>
      <c r="J58" s="46">
        <f>'Packing bag '!M5</f>
        <v>5479</v>
      </c>
      <c r="K58" s="46">
        <f>J58+'2'!K58</f>
        <v>12214</v>
      </c>
      <c r="L58" s="46">
        <f>J58+'2'!L58</f>
        <v>184506</v>
      </c>
      <c r="M58" s="46">
        <f>F58+G58-J58</f>
        <v>516549</v>
      </c>
      <c r="N58" s="46"/>
      <c r="O58" s="46">
        <v>50000</v>
      </c>
      <c r="P58" s="46">
        <v>150000</v>
      </c>
      <c r="Q58" s="56">
        <f>SUM(M58+N58)-O58</f>
        <v>466549</v>
      </c>
    </row>
    <row r="59" spans="2:18" x14ac:dyDescent="0.25">
      <c r="B59" s="288"/>
      <c r="C59" s="281" t="s">
        <v>162</v>
      </c>
      <c r="D59" s="282"/>
      <c r="E59" s="283"/>
      <c r="F59" s="46">
        <f>'Packing bag '!O5</f>
        <v>67720</v>
      </c>
      <c r="G59" s="46">
        <f>'Packing bag '!P5</f>
        <v>0</v>
      </c>
      <c r="H59" s="46">
        <f>G59+'2'!H59</f>
        <v>612</v>
      </c>
      <c r="I59" s="46">
        <f>G59+'2'!I59</f>
        <v>0</v>
      </c>
      <c r="J59" s="46">
        <f>'Packing bag '!Q5</f>
        <v>0</v>
      </c>
      <c r="K59" s="46">
        <f>J59+'2'!K59</f>
        <v>1212</v>
      </c>
      <c r="L59" s="46">
        <f>J59+'2'!L59</f>
        <v>15981</v>
      </c>
      <c r="M59" s="46">
        <f>F59+G59-J59</f>
        <v>67720</v>
      </c>
      <c r="N59" s="46"/>
      <c r="O59" s="46"/>
      <c r="P59" s="46"/>
      <c r="Q59" s="56"/>
    </row>
    <row r="60" spans="2:18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G60+'2'!H60</f>
        <v>0</v>
      </c>
      <c r="I60" s="46">
        <f>G60+'2'!I60</f>
        <v>0</v>
      </c>
      <c r="J60" s="46">
        <v>0</v>
      </c>
      <c r="K60" s="46">
        <f>J60+'2'!K60</f>
        <v>0</v>
      </c>
      <c r="L60" s="46">
        <f>J60+'2'!L60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8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G61+'2'!H61</f>
        <v>0</v>
      </c>
      <c r="I61" s="46">
        <f>G61+'2'!I61</f>
        <v>0</v>
      </c>
      <c r="J61" s="46">
        <v>0</v>
      </c>
      <c r="K61" s="46">
        <f>J61+'2'!K61</f>
        <v>0</v>
      </c>
      <c r="L61" s="46">
        <f>J61+'2'!L61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8" x14ac:dyDescent="0.25">
      <c r="B62" s="289"/>
      <c r="C62" s="284" t="s">
        <v>165</v>
      </c>
      <c r="D62" s="285"/>
      <c r="E62" s="286"/>
      <c r="F62" s="59">
        <f>SUM(F56:F61)</f>
        <v>3735046</v>
      </c>
      <c r="G62" s="59">
        <f>SUM(G56:G61)</f>
        <v>0</v>
      </c>
      <c r="H62" s="59">
        <f t="shared" ref="H62:Q62" si="3">SUM(H56:H61)</f>
        <v>612</v>
      </c>
      <c r="I62" s="59">
        <f t="shared" si="3"/>
        <v>3739000</v>
      </c>
      <c r="J62" s="59">
        <f t="shared" si="3"/>
        <v>38570</v>
      </c>
      <c r="K62" s="59">
        <f t="shared" si="3"/>
        <v>130615</v>
      </c>
      <c r="L62" s="59">
        <f t="shared" si="3"/>
        <v>1984131</v>
      </c>
      <c r="M62" s="59">
        <f t="shared" si="3"/>
        <v>3696476</v>
      </c>
      <c r="N62" s="46"/>
      <c r="O62" s="59">
        <f t="shared" si="3"/>
        <v>551500</v>
      </c>
      <c r="P62" s="59">
        <f t="shared" si="3"/>
        <v>1207000</v>
      </c>
      <c r="Q62" s="59">
        <f t="shared" si="3"/>
        <v>3077256</v>
      </c>
    </row>
    <row r="63" spans="2:18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8" x14ac:dyDescent="0.25">
      <c r="B64" s="288"/>
      <c r="C64" s="281" t="s">
        <v>48</v>
      </c>
      <c r="D64" s="282"/>
      <c r="E64" s="283"/>
      <c r="F64" s="46">
        <f>Cement!G5</f>
        <v>0</v>
      </c>
      <c r="G64" s="46">
        <f>Cement!H5</f>
        <v>0</v>
      </c>
      <c r="H64" s="46">
        <f>G64+'2'!H64</f>
        <v>0</v>
      </c>
      <c r="I64" s="46">
        <f>G64+'2'!I64</f>
        <v>0</v>
      </c>
      <c r="J64" s="46">
        <v>0</v>
      </c>
      <c r="K64" s="46">
        <f>J64+'2'!K64</f>
        <v>0</v>
      </c>
      <c r="L64" s="46"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Cement!K5</f>
        <v>0</v>
      </c>
      <c r="G65" s="46">
        <f>Cement!L5</f>
        <v>0</v>
      </c>
      <c r="H65" s="46">
        <f>G65+'2'!H65</f>
        <v>0</v>
      </c>
      <c r="I65" s="46">
        <f>G65+'2'!I65</f>
        <v>0</v>
      </c>
      <c r="J65" s="46">
        <f>Cement!M5</f>
        <v>0</v>
      </c>
      <c r="K65" s="46">
        <f>J65+'2'!K65</f>
        <v>0</v>
      </c>
      <c r="L65" s="46">
        <f>J65+'2'!L65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46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Diesel!B5</f>
        <v>56679</v>
      </c>
      <c r="G68" s="46">
        <f>Diesel!C5</f>
        <v>0</v>
      </c>
      <c r="H68" s="46">
        <f>G68+'2'!H68</f>
        <v>32000</v>
      </c>
      <c r="I68" s="46">
        <f>G68+'2'!I68</f>
        <v>122000</v>
      </c>
      <c r="J68" s="46">
        <v>0</v>
      </c>
      <c r="K68" s="46">
        <f>J68+'2'!K68</f>
        <v>0</v>
      </c>
      <c r="L68" s="46">
        <f>J68+'2'!L68</f>
        <v>0</v>
      </c>
      <c r="M68" s="46">
        <f>F68+G68-J68-J76</f>
        <v>53427</v>
      </c>
      <c r="N68" s="46"/>
      <c r="O68" s="46">
        <v>30000</v>
      </c>
      <c r="P68" s="46">
        <v>60000</v>
      </c>
      <c r="Q68" s="56">
        <f>SUM(M68+N68)-O68</f>
        <v>23427</v>
      </c>
    </row>
    <row r="69" spans="2:17" x14ac:dyDescent="0.25">
      <c r="B69" s="297"/>
      <c r="C69" s="281" t="s">
        <v>171</v>
      </c>
      <c r="D69" s="282"/>
      <c r="E69" s="283"/>
      <c r="F69" s="46">
        <f>Diesel!Y5</f>
        <v>0</v>
      </c>
      <c r="G69" s="46">
        <f>Diesel!Z5</f>
        <v>0</v>
      </c>
      <c r="H69" s="46">
        <f>G69+'2'!H69</f>
        <v>0</v>
      </c>
      <c r="I69" s="46">
        <f>G69+'2'!I69</f>
        <v>0</v>
      </c>
      <c r="J69" s="46">
        <f>Diesel!O5</f>
        <v>0</v>
      </c>
      <c r="K69" s="46">
        <f>J69+'2'!K69</f>
        <v>0</v>
      </c>
      <c r="L69" s="46">
        <f>J69+'2'!L69</f>
        <v>15000</v>
      </c>
      <c r="M69" s="46"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G70+'2'!H70</f>
        <v>0</v>
      </c>
      <c r="I70" s="46">
        <f>G70+'2'!I70</f>
        <v>0</v>
      </c>
      <c r="J70" s="46">
        <f>Diesel!P5</f>
        <v>0</v>
      </c>
      <c r="K70" s="46">
        <f>J70+'2'!K70</f>
        <v>0</v>
      </c>
      <c r="L70" s="46">
        <f>J70+'2'!L70</f>
        <v>603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G71+'2'!H71</f>
        <v>0</v>
      </c>
      <c r="I71" s="46">
        <f>G71+'2'!I71</f>
        <v>0</v>
      </c>
      <c r="J71" s="46">
        <f>Diesel!Q5</f>
        <v>2500</v>
      </c>
      <c r="K71" s="46">
        <f>J71+'2'!K71</f>
        <v>2570</v>
      </c>
      <c r="L71" s="46">
        <f>J71+'2'!L71</f>
        <v>57205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G72+'2'!H72</f>
        <v>0</v>
      </c>
      <c r="I72" s="46">
        <f>G72+'2'!I72</f>
        <v>0</v>
      </c>
      <c r="J72" s="46">
        <f>Diesel!R5</f>
        <v>752</v>
      </c>
      <c r="K72" s="46">
        <f>J72+'2'!K72</f>
        <v>2148</v>
      </c>
      <c r="L72" s="46">
        <f>J72+'2'!L72</f>
        <v>44856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G73+'2'!H73</f>
        <v>0</v>
      </c>
      <c r="I73" s="46">
        <f>G73+'2'!I73</f>
        <v>0</v>
      </c>
      <c r="J73" s="46">
        <f>Diesel!S5</f>
        <v>0</v>
      </c>
      <c r="K73" s="46">
        <f>J73+'2'!K73</f>
        <v>0</v>
      </c>
      <c r="L73" s="46">
        <f>J73+'2'!L73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G74+'2'!H74</f>
        <v>0</v>
      </c>
      <c r="I74" s="46">
        <f>G74+'2'!I74</f>
        <v>0</v>
      </c>
      <c r="J74" s="46">
        <f>Diesel!T5</f>
        <v>0</v>
      </c>
      <c r="K74" s="46">
        <f>J74+'2'!K74</f>
        <v>0</v>
      </c>
      <c r="L74" s="46">
        <f>J74+'2'!L74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G75+'2'!H75</f>
        <v>0</v>
      </c>
      <c r="I75" s="46">
        <f>G75+'2'!I75</f>
        <v>0</v>
      </c>
      <c r="J75" s="61">
        <f>Diesel!U5</f>
        <v>0</v>
      </c>
      <c r="K75" s="46">
        <f>J75+'2'!K75</f>
        <v>0</v>
      </c>
      <c r="L75" s="46">
        <f>J75+'2'!L75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56679</v>
      </c>
      <c r="G76" s="62">
        <f t="shared" ref="G76:M76" si="5">SUM(G68:G75)</f>
        <v>0</v>
      </c>
      <c r="H76" s="62">
        <f t="shared" si="5"/>
        <v>32000</v>
      </c>
      <c r="I76" s="62">
        <f t="shared" si="5"/>
        <v>122000</v>
      </c>
      <c r="J76" s="62">
        <f t="shared" si="5"/>
        <v>3252</v>
      </c>
      <c r="K76" s="62">
        <f t="shared" si="5"/>
        <v>4718</v>
      </c>
      <c r="L76" s="62">
        <f t="shared" si="5"/>
        <v>117664</v>
      </c>
      <c r="M76" s="62">
        <f t="shared" si="5"/>
        <v>53427</v>
      </c>
      <c r="N76" s="63"/>
      <c r="O76" s="64"/>
      <c r="P76" s="62"/>
      <c r="Q76" s="65"/>
    </row>
  </sheetData>
  <mergeCells count="70">
    <mergeCell ref="C59:E59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64:E64"/>
    <mergeCell ref="C65:E65"/>
    <mergeCell ref="C66:E66"/>
    <mergeCell ref="C6:E6"/>
    <mergeCell ref="C56:E56"/>
    <mergeCell ref="C57:E57"/>
    <mergeCell ref="C58:E58"/>
    <mergeCell ref="C60:E60"/>
    <mergeCell ref="C29:E29"/>
    <mergeCell ref="C35:E35"/>
    <mergeCell ref="C36:D36"/>
    <mergeCell ref="C37:D37"/>
    <mergeCell ref="C40:E40"/>
    <mergeCell ref="C38:D38"/>
    <mergeCell ref="C34:E34"/>
    <mergeCell ref="C50:D50"/>
    <mergeCell ref="C28:E28"/>
    <mergeCell ref="C17:E1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B55:B62"/>
    <mergeCell ref="C14:D14"/>
    <mergeCell ref="C12:E12"/>
    <mergeCell ref="C13:D13"/>
    <mergeCell ref="C61:E61"/>
    <mergeCell ref="C62:E62"/>
    <mergeCell ref="C33:E33"/>
    <mergeCell ref="C20:D20"/>
    <mergeCell ref="C27:E27"/>
    <mergeCell ref="B9:B54"/>
    <mergeCell ref="C51:E51"/>
    <mergeCell ref="C52:E52"/>
    <mergeCell ref="C53:E53"/>
    <mergeCell ref="C54:E54"/>
    <mergeCell ref="C55:Q55"/>
    <mergeCell ref="C47:D47"/>
    <mergeCell ref="C31:E31"/>
    <mergeCell ref="C32:E32"/>
    <mergeCell ref="C11:E11"/>
    <mergeCell ref="C7:E7"/>
    <mergeCell ref="C15:D15"/>
    <mergeCell ref="C9:E9"/>
    <mergeCell ref="C10:E10"/>
    <mergeCell ref="C30:E30"/>
    <mergeCell ref="C18:E18"/>
  </mergeCells>
  <pageMargins left="0.7" right="0.7" top="0.75" bottom="0.75" header="0.3" footer="0.3"/>
  <pageSetup paperSize="9" scale="4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B1:T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N18" sqref="N18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9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>
        <v>46177</v>
      </c>
      <c r="Q3" s="316"/>
    </row>
    <row r="4" spans="2:19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9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9" x14ac:dyDescent="0.25">
      <c r="B6" s="54">
        <v>1</v>
      </c>
      <c r="C6" s="308" t="s">
        <v>135</v>
      </c>
      <c r="D6" s="309"/>
      <c r="E6" s="310"/>
      <c r="F6" s="45">
        <f>Clinker!C6</f>
        <v>2479.92</v>
      </c>
      <c r="G6" s="45">
        <f>Clinker!D6</f>
        <v>0</v>
      </c>
      <c r="H6" s="45">
        <f>G6+'3'!H6</f>
        <v>0</v>
      </c>
      <c r="I6" s="45">
        <f>G6+'3'!I6</f>
        <v>417.28000000000003</v>
      </c>
      <c r="J6" s="45">
        <f>Clinker!E6</f>
        <v>82</v>
      </c>
      <c r="K6" s="45">
        <f>J6+'3'!K6</f>
        <v>250</v>
      </c>
      <c r="L6" s="45">
        <f>J6+'3'!L6</f>
        <v>3385</v>
      </c>
      <c r="M6" s="45">
        <f>F6+G6-J6</f>
        <v>2397.92</v>
      </c>
      <c r="N6" s="45">
        <v>65.16</v>
      </c>
      <c r="O6" s="45">
        <v>3000</v>
      </c>
      <c r="P6" s="45">
        <v>6000</v>
      </c>
      <c r="Q6" s="55">
        <f>SUM(M6+N6)-O6</f>
        <v>-536.92000000000007</v>
      </c>
    </row>
    <row r="7" spans="2:19" x14ac:dyDescent="0.25">
      <c r="B7" s="50">
        <v>2</v>
      </c>
      <c r="C7" s="305" t="s">
        <v>136</v>
      </c>
      <c r="D7" s="306"/>
      <c r="E7" s="307"/>
      <c r="F7" s="46">
        <f>Cement!C6</f>
        <v>3822.0721739456508</v>
      </c>
      <c r="G7" s="46">
        <f>Cement!D6</f>
        <v>0</v>
      </c>
      <c r="H7" s="45">
        <f>G7+'3'!H7</f>
        <v>0</v>
      </c>
      <c r="I7" s="45">
        <f>G7+'3'!I7</f>
        <v>2126.62</v>
      </c>
      <c r="J7" s="46">
        <f>Cement!I6</f>
        <v>136.10526315789477</v>
      </c>
      <c r="K7" s="45">
        <f>J7+'3'!K7</f>
        <v>522.33894736842115</v>
      </c>
      <c r="L7" s="45">
        <f>J7+'3'!L7</f>
        <v>5748.5689376959217</v>
      </c>
      <c r="M7" s="45">
        <f>F7+G7-J7</f>
        <v>3685.9669107877562</v>
      </c>
      <c r="N7" s="46">
        <v>0</v>
      </c>
      <c r="O7" s="46">
        <v>3000</v>
      </c>
      <c r="P7" s="46">
        <v>6000</v>
      </c>
      <c r="Q7" s="56">
        <f>SUM(M7+N7)-O7</f>
        <v>685.96691078775621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Clinker!EI6</f>
        <v>30576.314087806961</v>
      </c>
      <c r="G8" s="46">
        <f>Clinker!EJ6</f>
        <v>1790</v>
      </c>
      <c r="H8" s="45">
        <f>G8+'3'!H8</f>
        <v>6783</v>
      </c>
      <c r="I8" s="45">
        <f>G8+'3'!I8</f>
        <v>105699.66</v>
      </c>
      <c r="J8" s="46">
        <f>Clinker!EK6</f>
        <v>2000.1199999957621</v>
      </c>
      <c r="K8" s="45">
        <f>J8+'3'!K8</f>
        <v>7668.7079999957641</v>
      </c>
      <c r="L8" s="45">
        <f>J8+'3'!L8</f>
        <v>87464.5550198157</v>
      </c>
      <c r="M8" s="45">
        <f>F8+G8-J8</f>
        <v>30366.1940878112</v>
      </c>
      <c r="N8" s="46">
        <v>0</v>
      </c>
      <c r="O8" s="46"/>
      <c r="P8" s="46"/>
      <c r="Q8" s="56"/>
      <c r="S8" s="90"/>
    </row>
    <row r="9" spans="2:19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88"/>
      <c r="C10" s="281" t="s">
        <v>138</v>
      </c>
      <c r="D10" s="282"/>
      <c r="E10" s="283"/>
      <c r="F10" s="46">
        <f>Clinker!K6</f>
        <v>0</v>
      </c>
      <c r="G10" s="46">
        <f>Clinker!L6</f>
        <v>0</v>
      </c>
      <c r="H10" s="46">
        <f>G10+'3'!H10</f>
        <v>0</v>
      </c>
      <c r="I10" s="46">
        <f>G10+'3'!I10</f>
        <v>0</v>
      </c>
      <c r="J10" s="46">
        <f>Clinker!N6</f>
        <v>0</v>
      </c>
      <c r="K10" s="46">
        <f>J10+'3'!K10</f>
        <v>0</v>
      </c>
      <c r="L10" s="46">
        <f>J10+'3'!L10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88"/>
      <c r="C11" s="281" t="s">
        <v>139</v>
      </c>
      <c r="D11" s="282"/>
      <c r="E11" s="283"/>
      <c r="F11" s="46">
        <f>Clinker!W6</f>
        <v>1063.0399999999981</v>
      </c>
      <c r="G11" s="46">
        <f>Clinker!X6</f>
        <v>0</v>
      </c>
      <c r="H11" s="46">
        <f>G11+'3'!H11</f>
        <v>0</v>
      </c>
      <c r="I11" s="46">
        <f>G11+'3'!I11</f>
        <v>0</v>
      </c>
      <c r="J11" s="46">
        <f>Clinker!Z6</f>
        <v>0</v>
      </c>
      <c r="K11" s="46">
        <f>J11+'3'!K11</f>
        <v>0</v>
      </c>
      <c r="L11" s="46">
        <f>J11+'3'!L11</f>
        <v>7623.8399999999992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9" ht="15" customHeight="1" x14ac:dyDescent="0.25">
      <c r="B12" s="288"/>
      <c r="C12" s="281" t="s">
        <v>140</v>
      </c>
      <c r="D12" s="282"/>
      <c r="E12" s="283"/>
      <c r="F12" s="46">
        <f>Clinker!AT6</f>
        <v>2110.8900000000021</v>
      </c>
      <c r="G12" s="46">
        <f>Clinker!AU6</f>
        <v>0</v>
      </c>
      <c r="H12" s="46">
        <f>G12+'3'!H12</f>
        <v>0</v>
      </c>
      <c r="I12" s="46">
        <f>G12+'3'!I12</f>
        <v>181.5</v>
      </c>
      <c r="J12" s="46">
        <f>Clinker!AV6</f>
        <v>316.67</v>
      </c>
      <c r="K12" s="46">
        <f>J12+'3'!K12</f>
        <v>1139.68</v>
      </c>
      <c r="L12" s="46">
        <f>J12+'3'!L12</f>
        <v>3881.38</v>
      </c>
      <c r="M12" s="45">
        <f>F12+G12-J12-J37</f>
        <v>1794.2200000000021</v>
      </c>
      <c r="N12" s="46">
        <v>0</v>
      </c>
      <c r="O12" s="46"/>
      <c r="P12" s="46"/>
      <c r="Q12" s="70"/>
    </row>
    <row r="13" spans="2:19" x14ac:dyDescent="0.25">
      <c r="B13" s="288"/>
      <c r="C13" s="281" t="s">
        <v>9</v>
      </c>
      <c r="D13" s="282"/>
      <c r="E13" s="69"/>
      <c r="F13" s="46">
        <f>Clinker!AO6</f>
        <v>0</v>
      </c>
      <c r="G13" s="46">
        <f>Clinker!AP6</f>
        <v>0</v>
      </c>
      <c r="H13" s="46">
        <f>G13+'3'!H13</f>
        <v>0</v>
      </c>
      <c r="I13" s="46">
        <f>G13+'3'!I13</f>
        <v>0</v>
      </c>
      <c r="J13" s="46">
        <f>Clinker!AQ6</f>
        <v>0</v>
      </c>
      <c r="K13" s="46">
        <f>J13+'3'!K13</f>
        <v>0</v>
      </c>
      <c r="L13" s="46">
        <f>J13+'3'!L13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88"/>
      <c r="C14" s="281" t="s">
        <v>8</v>
      </c>
      <c r="D14" s="282"/>
      <c r="E14" s="69"/>
      <c r="F14" s="46">
        <f>Clinker!AK6</f>
        <v>0</v>
      </c>
      <c r="G14" s="46">
        <f>Clinker!AL6</f>
        <v>0</v>
      </c>
      <c r="H14" s="46">
        <f>G14+'3'!H14</f>
        <v>0</v>
      </c>
      <c r="I14" s="46">
        <f>G14+'3'!I14</f>
        <v>0</v>
      </c>
      <c r="J14" s="46">
        <f>Clinker!AM6</f>
        <v>0</v>
      </c>
      <c r="K14" s="46">
        <f>J14+'3'!K14</f>
        <v>0</v>
      </c>
      <c r="L14" s="46">
        <f>J14+'3'!L14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88"/>
      <c r="C15" s="281" t="s">
        <v>11</v>
      </c>
      <c r="D15" s="282"/>
      <c r="E15" s="69"/>
      <c r="F15" s="46">
        <f>Clinker!AY6</f>
        <v>912.70699999999033</v>
      </c>
      <c r="G15" s="46">
        <f>Clinker!AZ6</f>
        <v>92.16</v>
      </c>
      <c r="H15" s="46">
        <f>G15+'3'!H15</f>
        <v>592.84</v>
      </c>
      <c r="I15" s="46">
        <f>G15+'3'!I15</f>
        <v>1004.58</v>
      </c>
      <c r="J15" s="46">
        <f>Clinker!BA6</f>
        <v>0</v>
      </c>
      <c r="K15" s="46">
        <f>J15+'3'!K15</f>
        <v>0</v>
      </c>
      <c r="L15" s="46">
        <f>J15+'3'!L15</f>
        <v>0</v>
      </c>
      <c r="M15" s="45">
        <f>F15+G15-J15-J38</f>
        <v>1004.8669999999903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88"/>
      <c r="C16" s="76" t="s">
        <v>141</v>
      </c>
      <c r="D16" s="77"/>
      <c r="E16" s="69"/>
      <c r="F16" s="46">
        <f>Clinker!BD6</f>
        <v>0</v>
      </c>
      <c r="G16" s="46">
        <f>Clinker!BE6</f>
        <v>0</v>
      </c>
      <c r="H16" s="46">
        <f>G16+'3'!H16</f>
        <v>0</v>
      </c>
      <c r="I16" s="46">
        <f>G16+'3'!I16</f>
        <v>0</v>
      </c>
      <c r="J16" s="46">
        <f>Clinker!BF6</f>
        <v>0</v>
      </c>
      <c r="K16" s="46">
        <f>J16+'3'!K16</f>
        <v>0</v>
      </c>
      <c r="L16" s="46">
        <f>J16+'3'!L16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182</v>
      </c>
      <c r="D17" s="282"/>
      <c r="E17" s="283"/>
      <c r="F17" s="46">
        <f>Clinker!BI6</f>
        <v>0</v>
      </c>
      <c r="G17" s="46">
        <f>Clinker!BJ6</f>
        <v>0</v>
      </c>
      <c r="H17" s="46">
        <f>G17+'3'!H17</f>
        <v>0</v>
      </c>
      <c r="I17" s="46">
        <f>G17+'3'!I17</f>
        <v>0</v>
      </c>
      <c r="J17" s="46">
        <f>Clinker!BK6</f>
        <v>0</v>
      </c>
      <c r="K17" s="46">
        <f>J17+'3'!K17</f>
        <v>0</v>
      </c>
      <c r="L17" s="46">
        <f>J17+'3'!L17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Clinker!BN6</f>
        <v>0</v>
      </c>
      <c r="G18" s="46">
        <f>Clinker!BO6</f>
        <v>0</v>
      </c>
      <c r="H18" s="46">
        <f>G18+'3'!H18</f>
        <v>0</v>
      </c>
      <c r="I18" s="46">
        <f>G18+'3'!I18</f>
        <v>0</v>
      </c>
      <c r="J18" s="46">
        <f>Clinker!BP6</f>
        <v>0</v>
      </c>
      <c r="K18" s="46">
        <f>J18+'3'!K18</f>
        <v>0</v>
      </c>
      <c r="L18" s="46">
        <f>J18+'3'!L18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Clinker!BS6</f>
        <v>0</v>
      </c>
      <c r="G19" s="46">
        <f>Clinker!BT6</f>
        <v>0</v>
      </c>
      <c r="H19" s="46">
        <f>G19+'3'!H19</f>
        <v>0</v>
      </c>
      <c r="I19" s="46">
        <f>G19+'3'!I19</f>
        <v>0</v>
      </c>
      <c r="J19" s="46">
        <f>Clinker!BU6</f>
        <v>0</v>
      </c>
      <c r="K19" s="46">
        <f>J19+'3'!K19</f>
        <v>0</v>
      </c>
      <c r="L19" s="46">
        <f>J19+'3'!L19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16</v>
      </c>
      <c r="D20" s="282"/>
      <c r="E20" s="69"/>
      <c r="F20" s="46">
        <f>Clinker!BX6</f>
        <v>0</v>
      </c>
      <c r="G20" s="46">
        <f>Clinker!BY6</f>
        <v>0</v>
      </c>
      <c r="H20" s="46">
        <f>G20+'3'!H20</f>
        <v>0</v>
      </c>
      <c r="I20" s="46">
        <f>G20+'3'!I20</f>
        <v>0</v>
      </c>
      <c r="J20" s="46">
        <f>Clinker!BZ6</f>
        <v>0</v>
      </c>
      <c r="K20" s="46">
        <f>J20+'3'!K20</f>
        <v>0</v>
      </c>
      <c r="L20" s="46">
        <f>J20+'3'!L20</f>
        <v>4052.88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Clinker!CR6</f>
        <v>0</v>
      </c>
      <c r="G21" s="46">
        <f>Clinker!CS6</f>
        <v>0</v>
      </c>
      <c r="H21" s="46">
        <f>G21+'3'!H21</f>
        <v>0</v>
      </c>
      <c r="I21" s="46">
        <f>G21+'3'!I21</f>
        <v>0</v>
      </c>
      <c r="J21" s="46">
        <f>Clinker!CT6</f>
        <v>0</v>
      </c>
      <c r="K21" s="46">
        <f>J21+'3'!K21</f>
        <v>0</v>
      </c>
      <c r="L21" s="46">
        <f>J21+'3'!L21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143</v>
      </c>
      <c r="D22" s="77"/>
      <c r="E22" s="69"/>
      <c r="F22" s="46">
        <f>Clinker!CW6</f>
        <v>0</v>
      </c>
      <c r="G22" s="46">
        <f>Clinker!CS6</f>
        <v>0</v>
      </c>
      <c r="H22" s="46">
        <f>G22+'3'!H22</f>
        <v>0</v>
      </c>
      <c r="I22" s="46">
        <f>G22+'3'!I22</f>
        <v>0</v>
      </c>
      <c r="J22" s="46">
        <f>Clinker!CY6</f>
        <v>0</v>
      </c>
      <c r="K22" s="46">
        <f>J22+'3'!K22</f>
        <v>0</v>
      </c>
      <c r="L22" s="46">
        <f>J22+'3'!L22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Clinker!DB6</f>
        <v>1.0000000000013998E-2</v>
      </c>
      <c r="G23" s="46">
        <f>Clinker!CS6</f>
        <v>0</v>
      </c>
      <c r="H23" s="46">
        <f>G23+'3'!H23</f>
        <v>0</v>
      </c>
      <c r="I23" s="46">
        <f>G23+'3'!I23</f>
        <v>0</v>
      </c>
      <c r="J23" s="46">
        <f>Clinker!DD6</f>
        <v>0</v>
      </c>
      <c r="K23" s="46">
        <f>J23+'3'!K23</f>
        <v>7.1</v>
      </c>
      <c r="L23" s="46">
        <f>J23+'3'!L23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179</v>
      </c>
      <c r="D24" s="77"/>
      <c r="E24" s="69"/>
      <c r="F24" s="46">
        <f>Clinker!DG6</f>
        <v>0</v>
      </c>
      <c r="G24" s="46">
        <f>Clinker!CS6</f>
        <v>0</v>
      </c>
      <c r="H24" s="46">
        <f>G24+'3'!H24</f>
        <v>0</v>
      </c>
      <c r="I24" s="46">
        <f>G24+'3'!I24</f>
        <v>0</v>
      </c>
      <c r="J24" s="46">
        <f>Clinker!DI6</f>
        <v>0</v>
      </c>
      <c r="K24" s="46">
        <f>J24+'3'!K24</f>
        <v>0</v>
      </c>
      <c r="L24" s="46">
        <f>J24+'3'!L24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Clinker!DL6</f>
        <v>272</v>
      </c>
      <c r="G25" s="46">
        <f>Clinker!DM6</f>
        <v>32</v>
      </c>
      <c r="H25" s="46">
        <f>G25+'3'!H25</f>
        <v>92</v>
      </c>
      <c r="I25" s="46">
        <f>G25+'3'!I25</f>
        <v>304</v>
      </c>
      <c r="J25" s="46">
        <f>Clinker!DN6</f>
        <v>0</v>
      </c>
      <c r="K25" s="46">
        <f>J25+'3'!K25</f>
        <v>0</v>
      </c>
      <c r="L25" s="46">
        <f>J25+'3'!L25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Clinker!DV6</f>
        <v>0</v>
      </c>
      <c r="G26" s="46">
        <f>Clinker!DW6</f>
        <v>0</v>
      </c>
      <c r="H26" s="46">
        <f>G26+'3'!H26</f>
        <v>0</v>
      </c>
      <c r="I26" s="46">
        <f>G26+'3'!I26</f>
        <v>0</v>
      </c>
      <c r="J26" s="46">
        <f>Clinker!DX6</f>
        <v>0</v>
      </c>
      <c r="K26" s="46">
        <f>J26+'3'!K26</f>
        <v>0</v>
      </c>
      <c r="L26" s="46">
        <f>J26+'3'!L26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4358.6469999999908</v>
      </c>
      <c r="G27" s="46">
        <f t="shared" ref="G27:Q27" si="0">SUM(G10:G26)</f>
        <v>124.16</v>
      </c>
      <c r="H27" s="46">
        <f t="shared" si="0"/>
        <v>684.84</v>
      </c>
      <c r="I27" s="46">
        <f t="shared" si="0"/>
        <v>1490.08</v>
      </c>
      <c r="J27" s="46">
        <f t="shared" si="0"/>
        <v>316.67</v>
      </c>
      <c r="K27" s="46">
        <f t="shared" si="0"/>
        <v>1146.78</v>
      </c>
      <c r="L27" s="46">
        <f t="shared" si="0"/>
        <v>15864.089999999998</v>
      </c>
      <c r="M27" s="46">
        <f t="shared" si="0"/>
        <v>4166.1369999999906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Clinker!Q6</f>
        <v>0</v>
      </c>
      <c r="G29" s="46">
        <f>Clinker!R6</f>
        <v>0</v>
      </c>
      <c r="H29" s="46">
        <f>G29+'3'!H29</f>
        <v>0</v>
      </c>
      <c r="I29" s="46">
        <f>G29+'3'!I29</f>
        <v>0</v>
      </c>
      <c r="J29" s="46">
        <f>Clinker!S6</f>
        <v>0</v>
      </c>
      <c r="K29" s="46">
        <f>J29+'3'!K29</f>
        <v>0</v>
      </c>
      <c r="L29" s="46">
        <f>J29+'3'!L29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G30+'3'!H30</f>
        <v>0</v>
      </c>
      <c r="I30" s="46">
        <f>G30+'3'!I30</f>
        <v>0</v>
      </c>
      <c r="J30" s="46">
        <v>0</v>
      </c>
      <c r="K30" s="46">
        <f>J30+'3'!K30</f>
        <v>0</v>
      </c>
      <c r="L30" s="46">
        <f>J30+'3'!L30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G31+'3'!H31</f>
        <v>0</v>
      </c>
      <c r="I31" s="46">
        <f>G31+'3'!I31</f>
        <v>0</v>
      </c>
      <c r="J31" s="46">
        <v>0</v>
      </c>
      <c r="K31" s="46">
        <f>J31+'3'!K31</f>
        <v>0</v>
      </c>
      <c r="L31" s="46">
        <f>J31+'3'!L31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f>Clinker!DQ6</f>
        <v>0</v>
      </c>
      <c r="G32" s="46">
        <f>Clinker!DR6</f>
        <v>0</v>
      </c>
      <c r="H32" s="46">
        <f>G32+'3'!H32</f>
        <v>0</v>
      </c>
      <c r="I32" s="46">
        <f>G32+'3'!I32</f>
        <v>0</v>
      </c>
      <c r="J32" s="46">
        <f>Clinker!DT6</f>
        <v>0</v>
      </c>
      <c r="K32" s="46">
        <f>J32+'3'!K32</f>
        <v>0</v>
      </c>
      <c r="L32" s="46">
        <f>J32+'3'!L32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G33+'3'!H33</f>
        <v>0</v>
      </c>
      <c r="I33" s="46">
        <f>G33+'3'!I33</f>
        <v>0</v>
      </c>
      <c r="J33" s="46">
        <v>0</v>
      </c>
      <c r="K33" s="46">
        <f>J33+'3'!K33</f>
        <v>0</v>
      </c>
      <c r="L33" s="46">
        <f>J33+'3'!L33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Clinker!Y6</f>
        <v>0</v>
      </c>
      <c r="K34" s="46">
        <f>J34+'3'!K34</f>
        <v>0</v>
      </c>
      <c r="L34" s="46">
        <f>J34+'3'!L34</f>
        <v>1327</v>
      </c>
      <c r="M34" s="45"/>
      <c r="N34" s="46">
        <v>0</v>
      </c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Clinker!M6</f>
        <v>0</v>
      </c>
      <c r="K35" s="46">
        <f>J35+'3'!K35</f>
        <v>0</v>
      </c>
      <c r="L35" s="46">
        <f>J35+'3'!L35</f>
        <v>0</v>
      </c>
      <c r="M35" s="45"/>
      <c r="N35" s="46">
        <v>0</v>
      </c>
      <c r="O35" s="46"/>
      <c r="P35" s="46"/>
      <c r="Q35" s="56"/>
    </row>
    <row r="36" spans="2:17" ht="15" customHeight="1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Clinker!AR6</f>
        <v>0</v>
      </c>
      <c r="K36" s="46">
        <f>J36+'3'!K36</f>
        <v>0</v>
      </c>
      <c r="L36" s="46">
        <f>J36+'3'!L36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Clinker!AW6</f>
        <v>0</v>
      </c>
      <c r="K37" s="46">
        <f>J37+'3'!K37</f>
        <v>0</v>
      </c>
      <c r="L37" s="46">
        <f>J37+'3'!L37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Clinker!BB6</f>
        <v>0</v>
      </c>
      <c r="K38" s="46">
        <f>J38+'3'!K38</f>
        <v>0</v>
      </c>
      <c r="L38" s="46">
        <f>J38+'3'!L38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Clinker!BG6</f>
        <v>0</v>
      </c>
      <c r="K39" s="46">
        <f>J39+'3'!K39</f>
        <v>0</v>
      </c>
      <c r="L39" s="46">
        <f>J39+'3'!L39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180</v>
      </c>
      <c r="D40" s="282"/>
      <c r="E40" s="283"/>
      <c r="F40" s="46"/>
      <c r="G40" s="46"/>
      <c r="H40" s="46"/>
      <c r="I40" s="46"/>
      <c r="J40" s="46">
        <f>Clinker!BL6</f>
        <v>0</v>
      </c>
      <c r="K40" s="46">
        <f>J40+'3'!K40</f>
        <v>0</v>
      </c>
      <c r="L40" s="46">
        <f>J40+'3'!L40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Clinker!BQ6</f>
        <v>0</v>
      </c>
      <c r="K41" s="46">
        <f>J41+'3'!K41</f>
        <v>0</v>
      </c>
      <c r="L41" s="46">
        <f>J41+'3'!L41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Clinker!BV6</f>
        <v>0</v>
      </c>
      <c r="K42" s="46">
        <f>J42+'3'!K42</f>
        <v>0</v>
      </c>
      <c r="L42" s="46">
        <f>J42+'3'!L42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Clinker!CU6</f>
        <v>0</v>
      </c>
      <c r="K43" s="46">
        <f>J43+'3'!K43</f>
        <v>0</v>
      </c>
      <c r="L43" s="46">
        <f>J43+'3'!L43</f>
        <v>0</v>
      </c>
      <c r="M43" s="45"/>
      <c r="N43" s="46"/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Clinker!CZ6</f>
        <v>0</v>
      </c>
      <c r="K44" s="46">
        <f>J44+'3'!K44</f>
        <v>0</v>
      </c>
      <c r="L44" s="46">
        <f>J44+'3'!L44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Clinker!DE6</f>
        <v>0</v>
      </c>
      <c r="K45" s="46">
        <f>J45+'3'!K45</f>
        <v>0</v>
      </c>
      <c r="L45" s="46">
        <f>J45+'3'!L45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Clinker!DJ6</f>
        <v>0</v>
      </c>
      <c r="K46" s="46">
        <f>J46+'3'!K46</f>
        <v>0</v>
      </c>
      <c r="L46" s="46">
        <f>J46+'3'!L46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Clinker!DO6</f>
        <v>0</v>
      </c>
      <c r="K47" s="46">
        <f>J47+'3'!K47</f>
        <v>0</v>
      </c>
      <c r="L47" s="46">
        <f>J47+'3'!L47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181</v>
      </c>
      <c r="D48" s="77"/>
      <c r="E48" s="69"/>
      <c r="F48" s="46">
        <f>Clinker!CM6</f>
        <v>5.0000000000181899E-2</v>
      </c>
      <c r="G48" s="46">
        <f>Clinker!CN6</f>
        <v>0</v>
      </c>
      <c r="H48" s="46">
        <f>G48+'3'!H48</f>
        <v>0</v>
      </c>
      <c r="I48" s="46">
        <f>G48+'3'!I48</f>
        <v>0</v>
      </c>
      <c r="J48" s="46">
        <f>Clinker!CP6</f>
        <v>0</v>
      </c>
      <c r="K48" s="46">
        <f>J48+'3'!K48</f>
        <v>0</v>
      </c>
      <c r="L48" s="46">
        <f>J48+'3'!L48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20" x14ac:dyDescent="0.25">
      <c r="B49" s="288"/>
      <c r="C49" s="76" t="s">
        <v>102</v>
      </c>
      <c r="D49" s="77"/>
      <c r="E49" s="69"/>
      <c r="F49" s="46">
        <f>Clinker!CC6</f>
        <v>0</v>
      </c>
      <c r="G49" s="46">
        <f>Clinker!CD6</f>
        <v>0</v>
      </c>
      <c r="H49" s="46">
        <f>G49+'3'!H49</f>
        <v>0</v>
      </c>
      <c r="I49" s="46">
        <f>G49+'3'!I49</f>
        <v>0</v>
      </c>
      <c r="J49" s="46">
        <f>Clinker!CF6</f>
        <v>0</v>
      </c>
      <c r="K49" s="46">
        <f>J49+'3'!K49</f>
        <v>0</v>
      </c>
      <c r="L49" s="46">
        <f>J49+'3'!L49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20" x14ac:dyDescent="0.25">
      <c r="B50" s="288"/>
      <c r="C50" s="281" t="s">
        <v>154</v>
      </c>
      <c r="D50" s="282"/>
      <c r="E50" s="69"/>
      <c r="F50" s="46">
        <f>Clinker!CH6</f>
        <v>0</v>
      </c>
      <c r="G50" s="46">
        <f>Clinker!CI6</f>
        <v>0</v>
      </c>
      <c r="H50" s="46">
        <f>G50+'3'!H50</f>
        <v>0</v>
      </c>
      <c r="I50" s="46">
        <f>G50+'3'!I50</f>
        <v>0</v>
      </c>
      <c r="J50" s="46">
        <f>Clinker!CK3</f>
        <v>0</v>
      </c>
      <c r="K50" s="46">
        <f>J50+'3'!K50</f>
        <v>0</v>
      </c>
      <c r="L50" s="46">
        <f>J50+'3'!L50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20" ht="15" customHeight="1" x14ac:dyDescent="0.25">
      <c r="B51" s="288"/>
      <c r="C51" s="281" t="s">
        <v>155</v>
      </c>
      <c r="D51" s="282"/>
      <c r="E51" s="283"/>
      <c r="F51" s="46">
        <f>Clinker!AF6</f>
        <v>4443.9699999999939</v>
      </c>
      <c r="G51" s="46">
        <f>Clinker!AG6</f>
        <v>120.2</v>
      </c>
      <c r="H51" s="46">
        <f>G51+'3'!H51</f>
        <v>939.5</v>
      </c>
      <c r="I51" s="46">
        <f>G51+'3'!I51</f>
        <v>3080.45</v>
      </c>
      <c r="J51" s="46">
        <f>Clinker!AI6</f>
        <v>158</v>
      </c>
      <c r="K51" s="46">
        <f>J51+'3'!K51</f>
        <v>582</v>
      </c>
      <c r="L51" s="46">
        <f>J51+'3'!L51</f>
        <v>7407</v>
      </c>
      <c r="M51" s="45">
        <f>F51+G51-J51</f>
        <v>4406.1699999999937</v>
      </c>
      <c r="N51" s="46">
        <v>0</v>
      </c>
      <c r="O51" s="46">
        <v>1500</v>
      </c>
      <c r="P51" s="46">
        <v>3000</v>
      </c>
      <c r="Q51" s="56">
        <f>SUM(M51+N51)-O51</f>
        <v>2906.1699999999937</v>
      </c>
    </row>
    <row r="52" spans="2:20" x14ac:dyDescent="0.25">
      <c r="B52" s="288"/>
      <c r="C52" s="281" t="s">
        <v>156</v>
      </c>
      <c r="D52" s="282"/>
      <c r="E52" s="283"/>
      <c r="F52" s="46">
        <f>Clinker!AB6</f>
        <v>0</v>
      </c>
      <c r="G52" s="46">
        <f>Clinker!AC6</f>
        <v>0</v>
      </c>
      <c r="H52" s="46">
        <f>G52+'3'!H52</f>
        <v>0</v>
      </c>
      <c r="I52" s="46">
        <f>G52+'3'!I52</f>
        <v>0</v>
      </c>
      <c r="J52" s="46">
        <f>Clinker!AD6</f>
        <v>0</v>
      </c>
      <c r="K52" s="46">
        <f>J52+'3'!K52</f>
        <v>0</v>
      </c>
      <c r="L52" s="46">
        <f>J52+'3'!L52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20" x14ac:dyDescent="0.25">
      <c r="B53" s="288"/>
      <c r="C53" s="281" t="s">
        <v>146</v>
      </c>
      <c r="D53" s="282"/>
      <c r="E53" s="283"/>
      <c r="F53" s="46">
        <f t="shared" ref="F53:Q53" si="1">SUM(F29:F52)</f>
        <v>4444.0199999999941</v>
      </c>
      <c r="G53" s="46">
        <f t="shared" si="1"/>
        <v>120.2</v>
      </c>
      <c r="H53" s="46">
        <f>SUM(H29:H52)</f>
        <v>939.5</v>
      </c>
      <c r="I53" s="46">
        <f t="shared" si="1"/>
        <v>3080.45</v>
      </c>
      <c r="J53" s="46">
        <f t="shared" si="1"/>
        <v>158</v>
      </c>
      <c r="K53" s="46">
        <f t="shared" si="1"/>
        <v>582</v>
      </c>
      <c r="L53" s="46">
        <f t="shared" si="1"/>
        <v>8754</v>
      </c>
      <c r="M53" s="46">
        <f t="shared" si="1"/>
        <v>4406.2199999999939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1"/>
        <v>2906.1699999999937</v>
      </c>
    </row>
    <row r="54" spans="2:20" x14ac:dyDescent="0.25">
      <c r="B54" s="289"/>
      <c r="C54" s="284" t="s">
        <v>157</v>
      </c>
      <c r="D54" s="285"/>
      <c r="E54" s="286"/>
      <c r="F54" s="59">
        <f t="shared" ref="F54:Q54" si="2">SUM(F27+F53)</f>
        <v>8802.6669999999849</v>
      </c>
      <c r="G54" s="59">
        <f t="shared" si="2"/>
        <v>244.36</v>
      </c>
      <c r="H54" s="59">
        <f t="shared" si="2"/>
        <v>1624.3400000000001</v>
      </c>
      <c r="I54" s="59">
        <f t="shared" si="2"/>
        <v>4570.53</v>
      </c>
      <c r="J54" s="59">
        <f t="shared" si="2"/>
        <v>474.67</v>
      </c>
      <c r="K54" s="59">
        <f t="shared" si="2"/>
        <v>1728.78</v>
      </c>
      <c r="L54" s="59">
        <f t="shared" si="2"/>
        <v>24618.089999999997</v>
      </c>
      <c r="M54" s="59">
        <f t="shared" si="2"/>
        <v>8572.3569999999854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2"/>
        <v>3969.2099999999919</v>
      </c>
      <c r="S54" s="90"/>
      <c r="T54" s="90"/>
    </row>
    <row r="55" spans="2:20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20" x14ac:dyDescent="0.25">
      <c r="B56" s="288"/>
      <c r="C56" s="281" t="s">
        <v>159</v>
      </c>
      <c r="D56" s="282"/>
      <c r="E56" s="283"/>
      <c r="F56" s="46">
        <f>'Packing bag '!C6</f>
        <v>2514162</v>
      </c>
      <c r="G56" s="46">
        <f>'Packing bag '!D6</f>
        <v>0</v>
      </c>
      <c r="H56" s="46">
        <f>G56+'3'!H56</f>
        <v>0</v>
      </c>
      <c r="I56" s="46">
        <f>G56+'3'!I56</f>
        <v>3152500</v>
      </c>
      <c r="J56" s="46">
        <f>'Packing bag '!E6</f>
        <v>51462</v>
      </c>
      <c r="K56" s="46">
        <f>J56+'3'!K56</f>
        <v>164535</v>
      </c>
      <c r="L56" s="46">
        <f>J56+'3'!L56</f>
        <v>1741369</v>
      </c>
      <c r="M56" s="46">
        <f>F56+G56-J56</f>
        <v>2462700</v>
      </c>
      <c r="N56" s="46"/>
      <c r="O56" s="46">
        <v>400000</v>
      </c>
      <c r="P56" s="46">
        <v>800000</v>
      </c>
      <c r="Q56" s="56">
        <f>SUM(M56+N56)-O56</f>
        <v>2062700</v>
      </c>
    </row>
    <row r="57" spans="2:20" x14ac:dyDescent="0.25">
      <c r="B57" s="288"/>
      <c r="C57" s="281" t="s">
        <v>160</v>
      </c>
      <c r="D57" s="282"/>
      <c r="E57" s="283"/>
      <c r="F57" s="46">
        <f>'Packing bag '!G6</f>
        <v>598045</v>
      </c>
      <c r="G57" s="46">
        <f>'Packing bag '!H6</f>
        <v>0</v>
      </c>
      <c r="H57" s="46">
        <f>G57+'3'!H57</f>
        <v>0</v>
      </c>
      <c r="I57" s="46">
        <f>G57+'3'!I57</f>
        <v>291500</v>
      </c>
      <c r="J57" s="46">
        <f>'Packing bag '!I6</f>
        <v>2486</v>
      </c>
      <c r="K57" s="46">
        <f>J57+'3'!K57</f>
        <v>6602</v>
      </c>
      <c r="L57" s="46">
        <f>J57+'3'!L57</f>
        <v>96223</v>
      </c>
      <c r="M57" s="46">
        <f>F57+G57-J57</f>
        <v>595559</v>
      </c>
      <c r="N57" s="46"/>
      <c r="O57" s="46">
        <v>100000</v>
      </c>
      <c r="P57" s="46">
        <v>250000</v>
      </c>
      <c r="Q57" s="56">
        <f>SUM(M57+N57)-O57</f>
        <v>495559</v>
      </c>
    </row>
    <row r="58" spans="2:20" x14ac:dyDescent="0.25">
      <c r="B58" s="288"/>
      <c r="C58" s="281" t="s">
        <v>161</v>
      </c>
      <c r="D58" s="282"/>
      <c r="E58" s="283"/>
      <c r="F58" s="46">
        <f>'Packing bag '!K6</f>
        <v>516549</v>
      </c>
      <c r="G58" s="46">
        <f>'Packing bag '!L6</f>
        <v>0</v>
      </c>
      <c r="H58" s="46">
        <f>G58+'3'!H58</f>
        <v>0</v>
      </c>
      <c r="I58" s="46">
        <f>G58+'3'!I58</f>
        <v>295000</v>
      </c>
      <c r="J58" s="46">
        <f>'Packing bag '!M6</f>
        <v>0</v>
      </c>
      <c r="K58" s="46">
        <f>J58+'3'!K58</f>
        <v>12214</v>
      </c>
      <c r="L58" s="46">
        <f>J58+'3'!L58</f>
        <v>184506</v>
      </c>
      <c r="M58" s="46">
        <f>F58+G58-J58</f>
        <v>516549</v>
      </c>
      <c r="N58" s="46"/>
      <c r="O58" s="46">
        <v>50000</v>
      </c>
      <c r="P58" s="46">
        <v>150000</v>
      </c>
      <c r="Q58" s="56">
        <f>SUM(M58+N58)-O58</f>
        <v>466549</v>
      </c>
    </row>
    <row r="59" spans="2:20" x14ac:dyDescent="0.25">
      <c r="B59" s="288"/>
      <c r="C59" s="281" t="s">
        <v>162</v>
      </c>
      <c r="D59" s="282"/>
      <c r="E59" s="283"/>
      <c r="F59" s="46">
        <f>'Packing bag '!O6</f>
        <v>67720</v>
      </c>
      <c r="G59" s="46">
        <f>'Packing bag '!P6</f>
        <v>0</v>
      </c>
      <c r="H59" s="46">
        <f>G59+'3'!H59</f>
        <v>612</v>
      </c>
      <c r="I59" s="46">
        <f>G59+'3'!I59</f>
        <v>0</v>
      </c>
      <c r="J59" s="46">
        <f>'Packing bag '!Q6</f>
        <v>600</v>
      </c>
      <c r="K59" s="46">
        <f>J59+'3'!K59</f>
        <v>1812</v>
      </c>
      <c r="L59" s="46">
        <f>J59+'3'!L59</f>
        <v>16581</v>
      </c>
      <c r="M59" s="46">
        <f>F59+G59-J59</f>
        <v>67120</v>
      </c>
      <c r="N59" s="46"/>
      <c r="O59" s="46"/>
      <c r="P59" s="46"/>
      <c r="Q59" s="56"/>
    </row>
    <row r="60" spans="2:20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G60+'3'!H60</f>
        <v>0</v>
      </c>
      <c r="I60" s="46">
        <f>G60+'3'!I60</f>
        <v>0</v>
      </c>
      <c r="J60" s="46">
        <v>0</v>
      </c>
      <c r="K60" s="46">
        <f>J60+'3'!K60</f>
        <v>0</v>
      </c>
      <c r="L60" s="46">
        <f>J60+'3'!L60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20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G61+'3'!H61</f>
        <v>0</v>
      </c>
      <c r="I61" s="46">
        <f>G61+'3'!I61</f>
        <v>0</v>
      </c>
      <c r="J61" s="46">
        <v>0</v>
      </c>
      <c r="K61" s="46">
        <f>J61+'3'!K61</f>
        <v>0</v>
      </c>
      <c r="L61" s="46">
        <f>J61+'3'!L61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20" x14ac:dyDescent="0.25">
      <c r="B62" s="289"/>
      <c r="C62" s="284" t="s">
        <v>165</v>
      </c>
      <c r="D62" s="285"/>
      <c r="E62" s="286"/>
      <c r="F62" s="59">
        <f>SUM(F56:F61)</f>
        <v>3696476</v>
      </c>
      <c r="G62" s="59">
        <f>SUM(G56:G61)</f>
        <v>0</v>
      </c>
      <c r="H62" s="59">
        <f t="shared" ref="H62:Q62" si="3">SUM(H56:H61)</f>
        <v>612</v>
      </c>
      <c r="I62" s="59">
        <f t="shared" si="3"/>
        <v>3739000</v>
      </c>
      <c r="J62" s="59">
        <f t="shared" si="3"/>
        <v>54548</v>
      </c>
      <c r="K62" s="59">
        <f t="shared" si="3"/>
        <v>185163</v>
      </c>
      <c r="L62" s="59">
        <f t="shared" si="3"/>
        <v>2038679</v>
      </c>
      <c r="M62" s="59">
        <f t="shared" si="3"/>
        <v>3641928</v>
      </c>
      <c r="N62" s="46"/>
      <c r="O62" s="59">
        <f t="shared" si="3"/>
        <v>551500</v>
      </c>
      <c r="P62" s="59">
        <f t="shared" si="3"/>
        <v>1207000</v>
      </c>
      <c r="Q62" s="59">
        <f t="shared" si="3"/>
        <v>3023308</v>
      </c>
    </row>
    <row r="63" spans="2:20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20" x14ac:dyDescent="0.25">
      <c r="B64" s="288"/>
      <c r="C64" s="281" t="s">
        <v>48</v>
      </c>
      <c r="D64" s="282"/>
      <c r="E64" s="283"/>
      <c r="F64" s="46">
        <f>Cement!G6</f>
        <v>0</v>
      </c>
      <c r="G64" s="46">
        <f>Cement!H6</f>
        <v>0</v>
      </c>
      <c r="H64" s="46">
        <f>G64+'3'!H64</f>
        <v>0</v>
      </c>
      <c r="I64" s="46">
        <f>G64+'3'!I64</f>
        <v>0</v>
      </c>
      <c r="J64" s="46">
        <v>0</v>
      </c>
      <c r="K64" s="46">
        <f>J64+'3'!K64</f>
        <v>0</v>
      </c>
      <c r="L64" s="46">
        <f>J64+'3'!L64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Cement!K6</f>
        <v>0</v>
      </c>
      <c r="G65" s="46">
        <f>Cement!L6</f>
        <v>0</v>
      </c>
      <c r="H65" s="46">
        <f>G65+'3'!H65</f>
        <v>0</v>
      </c>
      <c r="I65" s="46">
        <f>G65+'3'!I65</f>
        <v>0</v>
      </c>
      <c r="J65" s="46">
        <f>Cement!M6</f>
        <v>0</v>
      </c>
      <c r="K65" s="46">
        <f>J65+'3'!K65</f>
        <v>0</v>
      </c>
      <c r="L65" s="46">
        <f>J65+'3'!L65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46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Diesel!B6</f>
        <v>53427</v>
      </c>
      <c r="G68" s="46">
        <f>Diesel!C6</f>
        <v>0</v>
      </c>
      <c r="H68" s="46">
        <f>G68+'3'!H68</f>
        <v>32000</v>
      </c>
      <c r="I68" s="46">
        <f>G68+'3'!I68</f>
        <v>122000</v>
      </c>
      <c r="J68" s="46">
        <v>0</v>
      </c>
      <c r="K68" s="46">
        <f>J68+'3'!K68</f>
        <v>0</v>
      </c>
      <c r="L68" s="46">
        <f>J68+'3'!L68</f>
        <v>0</v>
      </c>
      <c r="M68" s="46">
        <f>F68+G68-J68-G69-J76</f>
        <v>52892</v>
      </c>
      <c r="N68" s="46"/>
      <c r="O68" s="46">
        <v>30000</v>
      </c>
      <c r="P68" s="46">
        <v>60000</v>
      </c>
      <c r="Q68" s="56">
        <f>SUM(M68+N68)-O68</f>
        <v>22892</v>
      </c>
    </row>
    <row r="69" spans="2:17" x14ac:dyDescent="0.25">
      <c r="B69" s="297"/>
      <c r="C69" s="281" t="s">
        <v>171</v>
      </c>
      <c r="D69" s="282"/>
      <c r="E69" s="283"/>
      <c r="F69" s="46">
        <f>Diesel!Y6</f>
        <v>0</v>
      </c>
      <c r="G69" s="46">
        <f>Diesel!Z6</f>
        <v>0</v>
      </c>
      <c r="H69" s="46">
        <f>G69+'3'!H69</f>
        <v>0</v>
      </c>
      <c r="I69" s="46">
        <f>G69+'3'!I69</f>
        <v>0</v>
      </c>
      <c r="J69" s="46">
        <f>Diesel!O6</f>
        <v>0</v>
      </c>
      <c r="K69" s="46">
        <f>J69+'3'!K69</f>
        <v>0</v>
      </c>
      <c r="L69" s="46">
        <f>J69+'3'!L69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G70+'3'!H70</f>
        <v>0</v>
      </c>
      <c r="I70" s="46">
        <f>G70+'3'!I70</f>
        <v>0</v>
      </c>
      <c r="J70" s="46">
        <f>Diesel!P6</f>
        <v>0</v>
      </c>
      <c r="K70" s="46">
        <f>J70+'3'!K70</f>
        <v>0</v>
      </c>
      <c r="L70" s="46">
        <f>J70+'3'!L70</f>
        <v>603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G71+'3'!H71</f>
        <v>0</v>
      </c>
      <c r="I71" s="46">
        <f>G71+'3'!I71</f>
        <v>0</v>
      </c>
      <c r="J71" s="46">
        <f>Diesel!Q6</f>
        <v>30</v>
      </c>
      <c r="K71" s="46">
        <f>J71+'3'!K71</f>
        <v>2600</v>
      </c>
      <c r="L71" s="46">
        <f>J71+'3'!L71</f>
        <v>57235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G72+'3'!H72</f>
        <v>0</v>
      </c>
      <c r="I72" s="46">
        <f>G72+'3'!I72</f>
        <v>0</v>
      </c>
      <c r="J72" s="46">
        <f>Diesel!R6</f>
        <v>505</v>
      </c>
      <c r="K72" s="46">
        <f>J72+'3'!K72</f>
        <v>2653</v>
      </c>
      <c r="L72" s="46">
        <f>J72+'3'!L72</f>
        <v>45361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G73+'3'!H73</f>
        <v>0</v>
      </c>
      <c r="I73" s="46">
        <f>G73+'3'!I73</f>
        <v>0</v>
      </c>
      <c r="J73" s="46">
        <f>Diesel!S6</f>
        <v>0</v>
      </c>
      <c r="K73" s="46">
        <f>J73+'3'!K73</f>
        <v>0</v>
      </c>
      <c r="L73" s="46">
        <f>J73+'3'!L73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G74+'3'!H74</f>
        <v>0</v>
      </c>
      <c r="I74" s="46">
        <f>G74+'3'!I74</f>
        <v>0</v>
      </c>
      <c r="J74" s="46">
        <f>Diesel!T6</f>
        <v>0</v>
      </c>
      <c r="K74" s="46">
        <f>J74+'3'!K74</f>
        <v>0</v>
      </c>
      <c r="L74" s="46">
        <f>J74+'3'!L74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G75+'3'!H75</f>
        <v>0</v>
      </c>
      <c r="I75" s="46">
        <f>G75+'3'!I75</f>
        <v>0</v>
      </c>
      <c r="J75" s="61">
        <f>Diesel!U6</f>
        <v>0</v>
      </c>
      <c r="K75" s="46">
        <f>J75+'3'!K75</f>
        <v>0</v>
      </c>
      <c r="L75" s="46">
        <f>J75+'3'!L75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53427</v>
      </c>
      <c r="G76" s="62">
        <f t="shared" ref="G76:M76" si="5">SUM(G68:G75)</f>
        <v>0</v>
      </c>
      <c r="H76" s="62">
        <f t="shared" si="5"/>
        <v>32000</v>
      </c>
      <c r="I76" s="62">
        <f t="shared" si="5"/>
        <v>122000</v>
      </c>
      <c r="J76" s="62">
        <f t="shared" si="5"/>
        <v>535</v>
      </c>
      <c r="K76" s="62">
        <f t="shared" si="5"/>
        <v>5253</v>
      </c>
      <c r="L76" s="62">
        <f t="shared" si="5"/>
        <v>118199</v>
      </c>
      <c r="M76" s="62">
        <f t="shared" si="5"/>
        <v>52892</v>
      </c>
      <c r="N76" s="63"/>
      <c r="O76" s="64"/>
      <c r="P76" s="62"/>
      <c r="Q76" s="65"/>
    </row>
  </sheetData>
  <mergeCells count="70"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9:B54"/>
    <mergeCell ref="C61:E61"/>
    <mergeCell ref="B55:B62"/>
    <mergeCell ref="C37:D37"/>
    <mergeCell ref="C34:E34"/>
    <mergeCell ref="C35:E35"/>
    <mergeCell ref="C36:D36"/>
    <mergeCell ref="C62:E62"/>
    <mergeCell ref="C33:E33"/>
    <mergeCell ref="C9:E9"/>
    <mergeCell ref="C10:E10"/>
    <mergeCell ref="C30:E30"/>
    <mergeCell ref="C31:E31"/>
    <mergeCell ref="C32:E32"/>
    <mergeCell ref="C11:E11"/>
    <mergeCell ref="C27:E27"/>
    <mergeCell ref="B63:B66"/>
    <mergeCell ref="C63:Q63"/>
    <mergeCell ref="C64:E64"/>
    <mergeCell ref="C65:E65"/>
    <mergeCell ref="C66:E66"/>
    <mergeCell ref="C7:E7"/>
    <mergeCell ref="C56:E56"/>
    <mergeCell ref="C57:E57"/>
    <mergeCell ref="C58:E58"/>
    <mergeCell ref="C28:E28"/>
    <mergeCell ref="C29:E29"/>
    <mergeCell ref="C14:D14"/>
    <mergeCell ref="C15:D15"/>
    <mergeCell ref="C12:E12"/>
    <mergeCell ref="C13:D13"/>
    <mergeCell ref="C17:E17"/>
    <mergeCell ref="C18:E18"/>
    <mergeCell ref="C20:D20"/>
    <mergeCell ref="C50:D50"/>
    <mergeCell ref="C60:E60"/>
    <mergeCell ref="C53:E53"/>
    <mergeCell ref="C54:E54"/>
    <mergeCell ref="C55:Q55"/>
    <mergeCell ref="C38:D38"/>
    <mergeCell ref="C51:E51"/>
    <mergeCell ref="C52:E52"/>
    <mergeCell ref="C40:E40"/>
    <mergeCell ref="C47:D47"/>
    <mergeCell ref="C59:E59"/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</mergeCells>
  <pageMargins left="0.7" right="0.7" top="0.75" bottom="0.75" header="0.3" footer="0.3"/>
  <pageSetup paperSize="9" scale="3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B1:U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M14" sqref="M14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21" ht="15.75" thickBot="1" x14ac:dyDescent="0.3"/>
    <row r="2" spans="2:21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21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 t="s">
        <v>216</v>
      </c>
      <c r="Q3" s="316"/>
    </row>
    <row r="4" spans="2:21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21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  <c r="U5" s="66" t="s">
        <v>183</v>
      </c>
    </row>
    <row r="6" spans="2:21" x14ac:dyDescent="0.25">
      <c r="B6" s="54">
        <v>1</v>
      </c>
      <c r="C6" s="308" t="s">
        <v>135</v>
      </c>
      <c r="D6" s="309"/>
      <c r="E6" s="310"/>
      <c r="F6" s="45">
        <f>Clinker!C7</f>
        <v>2397.92</v>
      </c>
      <c r="G6" s="45">
        <f>Clinker!D7</f>
        <v>0</v>
      </c>
      <c r="H6" s="45">
        <f>G6+'4'!H6</f>
        <v>0</v>
      </c>
      <c r="I6" s="45">
        <f>G6+'4'!I6</f>
        <v>417.28000000000003</v>
      </c>
      <c r="J6" s="45">
        <f>Clinker!E7</f>
        <v>73</v>
      </c>
      <c r="K6" s="45">
        <f>J6+'4'!K6</f>
        <v>323</v>
      </c>
      <c r="L6" s="45">
        <f>J6+'4'!L6</f>
        <v>3458</v>
      </c>
      <c r="M6" s="45">
        <f>F6+G6-J6</f>
        <v>2324.92</v>
      </c>
      <c r="N6" s="45">
        <v>0</v>
      </c>
      <c r="O6" s="45">
        <v>3000</v>
      </c>
      <c r="P6" s="45">
        <v>6000</v>
      </c>
      <c r="Q6" s="55">
        <f>SUM(M6+N6)-O6</f>
        <v>-675.07999999999993</v>
      </c>
    </row>
    <row r="7" spans="2:21" x14ac:dyDescent="0.25">
      <c r="B7" s="50">
        <v>2</v>
      </c>
      <c r="C7" s="305" t="s">
        <v>136</v>
      </c>
      <c r="D7" s="306"/>
      <c r="E7" s="307"/>
      <c r="F7" s="46">
        <f>Cement!C7</f>
        <v>3685.9669107877562</v>
      </c>
      <c r="G7" s="46">
        <f>Cement!D7</f>
        <v>31.2</v>
      </c>
      <c r="H7" s="45">
        <f>G7+'4'!H7</f>
        <v>31.2</v>
      </c>
      <c r="I7" s="45">
        <f>G7+'4'!I7</f>
        <v>2157.8199999999997</v>
      </c>
      <c r="J7" s="46">
        <f>Cement!I7</f>
        <v>124.21473515789474</v>
      </c>
      <c r="K7" s="45">
        <f>J7+'4'!K7</f>
        <v>646.55368252631592</v>
      </c>
      <c r="L7" s="45">
        <f>J7+'4'!L7</f>
        <v>5872.7836728538168</v>
      </c>
      <c r="M7" s="45">
        <f>F7+G7-J7</f>
        <v>3592.9521756298614</v>
      </c>
      <c r="N7" s="46">
        <v>0</v>
      </c>
      <c r="O7" s="46">
        <v>3000</v>
      </c>
      <c r="P7" s="46">
        <v>6000</v>
      </c>
      <c r="Q7" s="56">
        <f>SUM(M7+N7)-O7</f>
        <v>592.95217562986136</v>
      </c>
      <c r="R7" s="90"/>
      <c r="S7" s="90"/>
    </row>
    <row r="8" spans="2:21" x14ac:dyDescent="0.25">
      <c r="B8" s="124">
        <v>3</v>
      </c>
      <c r="C8" s="121" t="s">
        <v>29</v>
      </c>
      <c r="D8" s="122"/>
      <c r="E8" s="123"/>
      <c r="F8" s="46">
        <f>Clinker!EI7</f>
        <v>30366.1940878112</v>
      </c>
      <c r="G8" s="46">
        <f>Clinker!EJ7</f>
        <v>1690</v>
      </c>
      <c r="H8" s="45">
        <f>G8+'4'!H8</f>
        <v>8473</v>
      </c>
      <c r="I8" s="45">
        <f>G8+'4'!I8</f>
        <v>107389.66</v>
      </c>
      <c r="J8" s="46">
        <f>Clinker!EK7</f>
        <v>1825.61500178914</v>
      </c>
      <c r="K8" s="45">
        <f>J8+'4'!K8</f>
        <v>9494.3230017849037</v>
      </c>
      <c r="L8" s="45">
        <f>J8+'4'!L8</f>
        <v>89290.170021604834</v>
      </c>
      <c r="M8" s="45">
        <f>F8+G8-J8</f>
        <v>30230.579086022059</v>
      </c>
      <c r="N8" s="46">
        <v>0</v>
      </c>
      <c r="O8" s="46"/>
      <c r="P8" s="46"/>
      <c r="Q8" s="56"/>
    </row>
    <row r="9" spans="2:21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21" x14ac:dyDescent="0.25">
      <c r="B10" s="288"/>
      <c r="C10" s="281" t="s">
        <v>138</v>
      </c>
      <c r="D10" s="282"/>
      <c r="E10" s="283"/>
      <c r="F10" s="46">
        <f>Clinker!K7</f>
        <v>0</v>
      </c>
      <c r="G10" s="46">
        <f>Clinker!L7</f>
        <v>0</v>
      </c>
      <c r="H10" s="46">
        <f>G10+'4'!H10</f>
        <v>0</v>
      </c>
      <c r="I10" s="46">
        <f>G10+'4'!I10</f>
        <v>0</v>
      </c>
      <c r="J10" s="46">
        <f>Clinker!N7</f>
        <v>0</v>
      </c>
      <c r="K10" s="46">
        <f>J10+'4'!K10</f>
        <v>0</v>
      </c>
      <c r="L10" s="46">
        <f>J10+'4'!L10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21" x14ac:dyDescent="0.25">
      <c r="B11" s="288"/>
      <c r="C11" s="281" t="s">
        <v>139</v>
      </c>
      <c r="D11" s="282"/>
      <c r="E11" s="283"/>
      <c r="F11" s="46">
        <f>Clinker!W7</f>
        <v>1063.0399999999981</v>
      </c>
      <c r="G11" s="46">
        <f>Clinker!X7</f>
        <v>0</v>
      </c>
      <c r="H11" s="46">
        <f>G11+'4'!H11</f>
        <v>0</v>
      </c>
      <c r="I11" s="46">
        <f>G11+'4'!I11</f>
        <v>0</v>
      </c>
      <c r="J11" s="46">
        <f>Clinker!Z7</f>
        <v>0</v>
      </c>
      <c r="K11" s="46">
        <f>J11+'4'!K11</f>
        <v>0</v>
      </c>
      <c r="L11" s="46">
        <f>J11+'4'!L11</f>
        <v>7623.8399999999992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21" ht="15" customHeight="1" x14ac:dyDescent="0.25">
      <c r="B12" s="288"/>
      <c r="C12" s="281" t="s">
        <v>140</v>
      </c>
      <c r="D12" s="282"/>
      <c r="E12" s="283"/>
      <c r="F12" s="46">
        <f>Clinker!AT7</f>
        <v>1794.2200000000021</v>
      </c>
      <c r="G12" s="46">
        <f>Clinker!AU7</f>
        <v>0</v>
      </c>
      <c r="H12" s="46">
        <f>G12+'4'!H12</f>
        <v>0</v>
      </c>
      <c r="I12" s="46">
        <f>G12+'4'!I12</f>
        <v>181.5</v>
      </c>
      <c r="J12" s="46">
        <f>Clinker!AV7</f>
        <v>292.22000000000003</v>
      </c>
      <c r="K12" s="46">
        <f>J12+'4'!K12</f>
        <v>1431.9</v>
      </c>
      <c r="L12" s="46">
        <f>J12+'4'!L12</f>
        <v>4173.6000000000004</v>
      </c>
      <c r="M12" s="45">
        <f>F12+G12-J12-J37</f>
        <v>1502.000000000002</v>
      </c>
      <c r="N12" s="46">
        <v>0</v>
      </c>
      <c r="O12" s="46"/>
      <c r="P12" s="46"/>
      <c r="Q12" s="70"/>
    </row>
    <row r="13" spans="2:21" x14ac:dyDescent="0.25">
      <c r="B13" s="288"/>
      <c r="C13" s="281" t="s">
        <v>9</v>
      </c>
      <c r="D13" s="282"/>
      <c r="E13" s="69"/>
      <c r="F13" s="46">
        <f>Clinker!AO7</f>
        <v>0</v>
      </c>
      <c r="G13" s="46">
        <f>Clinker!AP7</f>
        <v>0</v>
      </c>
      <c r="H13" s="46">
        <f>G13+'4'!H13</f>
        <v>0</v>
      </c>
      <c r="I13" s="46">
        <f>G13+'4'!I13</f>
        <v>0</v>
      </c>
      <c r="J13" s="46">
        <f>Clinker!AQ7</f>
        <v>0</v>
      </c>
      <c r="K13" s="46">
        <f>J13+'4'!K13</f>
        <v>0</v>
      </c>
      <c r="L13" s="46">
        <f>J13+'4'!L13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21" x14ac:dyDescent="0.25">
      <c r="B14" s="288"/>
      <c r="C14" s="281" t="s">
        <v>8</v>
      </c>
      <c r="D14" s="282"/>
      <c r="E14" s="69"/>
      <c r="F14" s="46">
        <f>Clinker!AK7</f>
        <v>0</v>
      </c>
      <c r="G14" s="46">
        <f>Clinker!AL7</f>
        <v>0</v>
      </c>
      <c r="H14" s="46">
        <f>G14+'4'!H14</f>
        <v>0</v>
      </c>
      <c r="I14" s="46">
        <f>G14+'4'!I14</f>
        <v>0</v>
      </c>
      <c r="J14" s="46">
        <f>Clinker!AM7</f>
        <v>0</v>
      </c>
      <c r="K14" s="46">
        <f>J14+'4'!K14</f>
        <v>0</v>
      </c>
      <c r="L14" s="46">
        <f>J14+'4'!L14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21" x14ac:dyDescent="0.25">
      <c r="B15" s="288"/>
      <c r="C15" s="281" t="s">
        <v>11</v>
      </c>
      <c r="D15" s="282"/>
      <c r="E15" s="69"/>
      <c r="F15" s="46">
        <f>Clinker!AY7</f>
        <v>1004.8669999999903</v>
      </c>
      <c r="G15" s="46">
        <f>Clinker!AZ7</f>
        <v>0</v>
      </c>
      <c r="H15" s="46">
        <f>G15+'4'!H15</f>
        <v>592.84</v>
      </c>
      <c r="I15" s="46">
        <f>G15+'4'!I15</f>
        <v>1004.58</v>
      </c>
      <c r="J15" s="46">
        <f>Clinker!BA7</f>
        <v>0</v>
      </c>
      <c r="K15" s="46">
        <f>J15+'4'!K15</f>
        <v>0</v>
      </c>
      <c r="L15" s="46">
        <f>J15+'4'!L15</f>
        <v>0</v>
      </c>
      <c r="M15" s="45">
        <f>F15+G15-J15-J38</f>
        <v>1004.8669999999903</v>
      </c>
      <c r="N15" s="75">
        <v>0</v>
      </c>
      <c r="O15" s="46">
        <v>5000</v>
      </c>
      <c r="P15" s="46">
        <v>9000</v>
      </c>
      <c r="Q15" s="70"/>
    </row>
    <row r="16" spans="2:21" x14ac:dyDescent="0.25">
      <c r="B16" s="288"/>
      <c r="C16" s="76" t="s">
        <v>141</v>
      </c>
      <c r="D16" s="77"/>
      <c r="E16" s="69"/>
      <c r="F16" s="46">
        <f>Clinker!BD7</f>
        <v>0</v>
      </c>
      <c r="G16" s="46">
        <f>Clinker!BE7</f>
        <v>0</v>
      </c>
      <c r="H16" s="46">
        <f>G16+'4'!H16</f>
        <v>0</v>
      </c>
      <c r="I16" s="46">
        <f>G16+'4'!I16</f>
        <v>0</v>
      </c>
      <c r="J16" s="46">
        <f>Clinker!BF7</f>
        <v>0</v>
      </c>
      <c r="K16" s="46">
        <f>J16+'4'!K16</f>
        <v>0</v>
      </c>
      <c r="L16" s="46">
        <f>J16+'4'!L16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182</v>
      </c>
      <c r="D17" s="282"/>
      <c r="E17" s="283"/>
      <c r="F17" s="46">
        <f>Clinker!BI7</f>
        <v>0</v>
      </c>
      <c r="G17" s="46">
        <f>Clinker!BJ7</f>
        <v>0</v>
      </c>
      <c r="H17" s="46">
        <f>G17+'4'!H17</f>
        <v>0</v>
      </c>
      <c r="I17" s="46">
        <f>G17+'4'!I17</f>
        <v>0</v>
      </c>
      <c r="J17" s="46">
        <f>Clinker!BK7</f>
        <v>0</v>
      </c>
      <c r="K17" s="46">
        <f>J17+'4'!K17</f>
        <v>0</v>
      </c>
      <c r="L17" s="46">
        <f>J17+'4'!L17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Clinker!BN7</f>
        <v>0</v>
      </c>
      <c r="G18" s="46">
        <f>Clinker!BO7</f>
        <v>0</v>
      </c>
      <c r="H18" s="46">
        <f>G18+'4'!H18</f>
        <v>0</v>
      </c>
      <c r="I18" s="46">
        <f>G18+'4'!I18</f>
        <v>0</v>
      </c>
      <c r="J18" s="46">
        <f>Clinker!BP7</f>
        <v>0</v>
      </c>
      <c r="K18" s="46">
        <f>J18+'4'!K18</f>
        <v>0</v>
      </c>
      <c r="L18" s="46">
        <f>J18+'4'!L18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Clinker!BS7</f>
        <v>0</v>
      </c>
      <c r="G19" s="46">
        <f>Clinker!BT7</f>
        <v>0</v>
      </c>
      <c r="H19" s="46">
        <f>G19+'4'!H19</f>
        <v>0</v>
      </c>
      <c r="I19" s="46">
        <f>G19+'4'!I19</f>
        <v>0</v>
      </c>
      <c r="J19" s="46">
        <f>Clinker!BU7</f>
        <v>0</v>
      </c>
      <c r="K19" s="46">
        <f>J19+'4'!K19</f>
        <v>0</v>
      </c>
      <c r="L19" s="46">
        <f>J19+'4'!L19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16</v>
      </c>
      <c r="D20" s="282"/>
      <c r="E20" s="69"/>
      <c r="F20" s="46">
        <f>Clinker!BX7</f>
        <v>0</v>
      </c>
      <c r="G20" s="46">
        <f>Clinker!BY7</f>
        <v>0</v>
      </c>
      <c r="H20" s="46">
        <f>G20+'4'!H20</f>
        <v>0</v>
      </c>
      <c r="I20" s="46">
        <f>G20+'4'!I20</f>
        <v>0</v>
      </c>
      <c r="J20" s="46">
        <f>Clinker!BZ7</f>
        <v>0</v>
      </c>
      <c r="K20" s="46">
        <f>J20+'4'!K20</f>
        <v>0</v>
      </c>
      <c r="L20" s="46">
        <f>J20+'4'!L20</f>
        <v>4052.88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Clinker!CR7</f>
        <v>0</v>
      </c>
      <c r="G21" s="46">
        <f>Clinker!CS7</f>
        <v>0</v>
      </c>
      <c r="H21" s="46">
        <f>G21+'4'!H21</f>
        <v>0</v>
      </c>
      <c r="I21" s="46">
        <f>G21+'4'!I21</f>
        <v>0</v>
      </c>
      <c r="J21" s="46">
        <f>Clinker!CT7</f>
        <v>0</v>
      </c>
      <c r="K21" s="46">
        <f>J21+'4'!K21</f>
        <v>0</v>
      </c>
      <c r="L21" s="46">
        <f>J21+'4'!L21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143</v>
      </c>
      <c r="D22" s="77"/>
      <c r="E22" s="69"/>
      <c r="F22" s="46">
        <f>Clinker!CW7</f>
        <v>0</v>
      </c>
      <c r="G22" s="46">
        <f>Clinker!CX7</f>
        <v>0</v>
      </c>
      <c r="H22" s="46">
        <f>G22+'4'!H22</f>
        <v>0</v>
      </c>
      <c r="I22" s="46">
        <f>G22+'4'!I22</f>
        <v>0</v>
      </c>
      <c r="J22" s="46">
        <f>Clinker!CY7</f>
        <v>0</v>
      </c>
      <c r="K22" s="46">
        <f>J22+'4'!K22</f>
        <v>0</v>
      </c>
      <c r="L22" s="46">
        <f>J22+'4'!L22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Clinker!DB7</f>
        <v>1.0000000000013998E-2</v>
      </c>
      <c r="G23" s="46">
        <f>Clinker!DC7</f>
        <v>0</v>
      </c>
      <c r="H23" s="46">
        <f>G23+'4'!H23</f>
        <v>0</v>
      </c>
      <c r="I23" s="46">
        <f>G23+'4'!I23</f>
        <v>0</v>
      </c>
      <c r="J23" s="46">
        <f>Clinker!DD7</f>
        <v>0</v>
      </c>
      <c r="K23" s="46">
        <f>J23+'4'!K23</f>
        <v>7.1</v>
      </c>
      <c r="L23" s="46">
        <f>J23+'4'!L23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179</v>
      </c>
      <c r="D24" s="77"/>
      <c r="E24" s="69"/>
      <c r="F24" s="46">
        <f>Clinker!DG7</f>
        <v>0</v>
      </c>
      <c r="G24" s="46">
        <f>Clinker!DH7</f>
        <v>0</v>
      </c>
      <c r="H24" s="46">
        <f>G24+'4'!H24</f>
        <v>0</v>
      </c>
      <c r="I24" s="46">
        <f>G24+'4'!I24</f>
        <v>0</v>
      </c>
      <c r="J24" s="46">
        <f>Clinker!DI7</f>
        <v>0</v>
      </c>
      <c r="K24" s="46">
        <f>J24+'4'!K24</f>
        <v>0</v>
      </c>
      <c r="L24" s="46">
        <f>J24+'4'!L24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Clinker!DL7</f>
        <v>304</v>
      </c>
      <c r="G25" s="46">
        <f>Clinker!DM7</f>
        <v>0</v>
      </c>
      <c r="H25" s="46">
        <f>G25+'4'!H25</f>
        <v>92</v>
      </c>
      <c r="I25" s="46">
        <f>G25+'4'!I25</f>
        <v>304</v>
      </c>
      <c r="J25" s="46">
        <f>Clinker!DN7</f>
        <v>0</v>
      </c>
      <c r="K25" s="46">
        <f>J25+'4'!K25</f>
        <v>0</v>
      </c>
      <c r="L25" s="46">
        <f>J25+'4'!L25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Clinker!DV7</f>
        <v>0</v>
      </c>
      <c r="G26" s="46">
        <f>Clinker!DW7</f>
        <v>0</v>
      </c>
      <c r="H26" s="46">
        <f>G26+'4'!H26</f>
        <v>0</v>
      </c>
      <c r="I26" s="46">
        <f>G26+'4'!I26</f>
        <v>0</v>
      </c>
      <c r="J26" s="46">
        <f>Clinker!DX7</f>
        <v>0</v>
      </c>
      <c r="K26" s="46">
        <f>J26+'4'!K26</f>
        <v>0</v>
      </c>
      <c r="L26" s="46">
        <f>J26+'4'!L26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4166.1369999999906</v>
      </c>
      <c r="G27" s="46">
        <f t="shared" ref="G27:Q27" si="0">SUM(G10:G26)</f>
        <v>0</v>
      </c>
      <c r="H27" s="46">
        <f t="shared" si="0"/>
        <v>684.84</v>
      </c>
      <c r="I27" s="46">
        <f t="shared" si="0"/>
        <v>1490.08</v>
      </c>
      <c r="J27" s="46">
        <f t="shared" si="0"/>
        <v>292.22000000000003</v>
      </c>
      <c r="K27" s="46">
        <f t="shared" si="0"/>
        <v>1439</v>
      </c>
      <c r="L27" s="46">
        <f t="shared" si="0"/>
        <v>16156.31</v>
      </c>
      <c r="M27" s="46">
        <f t="shared" si="0"/>
        <v>3873.9169999999904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Clinker!Q7</f>
        <v>0</v>
      </c>
      <c r="G29" s="46">
        <f>Clinker!R7</f>
        <v>0</v>
      </c>
      <c r="H29" s="46">
        <f>G29+'4'!H29</f>
        <v>0</v>
      </c>
      <c r="I29" s="46">
        <f>G29+'4'!I29</f>
        <v>0</v>
      </c>
      <c r="J29" s="46">
        <f>Clinker!S7</f>
        <v>0</v>
      </c>
      <c r="K29" s="46">
        <f>J29+'4'!K29</f>
        <v>0</v>
      </c>
      <c r="L29" s="46">
        <f>J29+'4'!L29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G30+'4'!H30</f>
        <v>0</v>
      </c>
      <c r="I30" s="46">
        <f>G30+'4'!I30</f>
        <v>0</v>
      </c>
      <c r="J30" s="46">
        <v>0</v>
      </c>
      <c r="K30" s="46">
        <f>J30+'4'!K30</f>
        <v>0</v>
      </c>
      <c r="L30" s="46">
        <f>J30+'4'!L30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G31+'4'!H31</f>
        <v>0</v>
      </c>
      <c r="I31" s="46">
        <f>G31+'4'!I31</f>
        <v>0</v>
      </c>
      <c r="J31" s="46">
        <v>0</v>
      </c>
      <c r="K31" s="46">
        <f>J31+'4'!K31</f>
        <v>0</v>
      </c>
      <c r="L31" s="46">
        <f>J31+'4'!L31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f>Clinker!DQ7</f>
        <v>0</v>
      </c>
      <c r="G32" s="46">
        <f>Clinker!DR7</f>
        <v>0</v>
      </c>
      <c r="H32" s="46">
        <f>G32+'4'!H32</f>
        <v>0</v>
      </c>
      <c r="I32" s="46">
        <f>G32+'4'!I32</f>
        <v>0</v>
      </c>
      <c r="J32" s="46">
        <f>Clinker!DT7</f>
        <v>0</v>
      </c>
      <c r="K32" s="46">
        <f>J32+'4'!K32</f>
        <v>0</v>
      </c>
      <c r="L32" s="46">
        <f>J32+'4'!L32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9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G33+'4'!H33</f>
        <v>0</v>
      </c>
      <c r="I33" s="46">
        <f>G33+'4'!I33</f>
        <v>0</v>
      </c>
      <c r="J33" s="46">
        <v>0</v>
      </c>
      <c r="K33" s="46">
        <f>J33+'4'!K33</f>
        <v>0</v>
      </c>
      <c r="L33" s="46">
        <f>J33+'4'!L33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9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Clinker!Y7</f>
        <v>0</v>
      </c>
      <c r="K34" s="46">
        <f>J34+'4'!K34</f>
        <v>0</v>
      </c>
      <c r="L34" s="46">
        <f>J34+'4'!L34</f>
        <v>1327</v>
      </c>
      <c r="M34" s="45"/>
      <c r="N34" s="46">
        <v>0</v>
      </c>
      <c r="O34" s="46"/>
      <c r="P34" s="46"/>
      <c r="Q34" s="56"/>
    </row>
    <row r="35" spans="2:19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Clinker!M7</f>
        <v>0</v>
      </c>
      <c r="K35" s="46">
        <f>J35+'4'!K35</f>
        <v>0</v>
      </c>
      <c r="L35" s="46">
        <f>J35+'4'!L35</f>
        <v>0</v>
      </c>
      <c r="M35" s="45"/>
      <c r="N35" s="46">
        <v>0</v>
      </c>
      <c r="O35" s="46"/>
      <c r="P35" s="46"/>
      <c r="Q35" s="56"/>
    </row>
    <row r="36" spans="2:19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Clinker!AR7</f>
        <v>0</v>
      </c>
      <c r="K36" s="46">
        <f>J36+'4'!K36</f>
        <v>0</v>
      </c>
      <c r="L36" s="46">
        <f>J36+'4'!L36</f>
        <v>0</v>
      </c>
      <c r="M36" s="45"/>
      <c r="N36" s="46"/>
      <c r="O36" s="46"/>
      <c r="P36" s="46"/>
      <c r="Q36" s="56"/>
    </row>
    <row r="37" spans="2:19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Clinker!AW7</f>
        <v>0</v>
      </c>
      <c r="K37" s="46">
        <f>J37+'4'!K37</f>
        <v>0</v>
      </c>
      <c r="L37" s="46">
        <f>J37+'4'!L37</f>
        <v>20</v>
      </c>
      <c r="M37" s="45"/>
      <c r="N37" s="46"/>
      <c r="O37" s="46"/>
      <c r="P37" s="46"/>
      <c r="Q37" s="56"/>
    </row>
    <row r="38" spans="2:19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Clinker!BB7</f>
        <v>0</v>
      </c>
      <c r="K38" s="46">
        <f>J38+'4'!K38</f>
        <v>0</v>
      </c>
      <c r="L38" s="46">
        <f>J38+'4'!L38</f>
        <v>0</v>
      </c>
      <c r="M38" s="45"/>
      <c r="N38" s="46"/>
      <c r="O38" s="46"/>
      <c r="P38" s="46"/>
      <c r="Q38" s="56"/>
    </row>
    <row r="39" spans="2:19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Clinker!BG7</f>
        <v>0</v>
      </c>
      <c r="K39" s="46">
        <f>J39+'4'!K39</f>
        <v>0</v>
      </c>
      <c r="L39" s="46">
        <f>J39+'4'!L39</f>
        <v>0</v>
      </c>
      <c r="M39" s="45"/>
      <c r="N39" s="46"/>
      <c r="O39" s="46"/>
      <c r="P39" s="46"/>
      <c r="Q39" s="56"/>
    </row>
    <row r="40" spans="2:19" ht="15" customHeight="1" x14ac:dyDescent="0.25">
      <c r="B40" s="288"/>
      <c r="C40" s="281" t="s">
        <v>180</v>
      </c>
      <c r="D40" s="282"/>
      <c r="E40" s="283"/>
      <c r="F40" s="46"/>
      <c r="G40" s="46"/>
      <c r="H40" s="46"/>
      <c r="I40" s="46"/>
      <c r="J40" s="46">
        <f>Clinker!BL7</f>
        <v>0</v>
      </c>
      <c r="K40" s="46">
        <f>J40+'4'!K40</f>
        <v>0</v>
      </c>
      <c r="L40" s="46">
        <f>J40+'4'!L40</f>
        <v>0</v>
      </c>
      <c r="M40" s="45"/>
      <c r="N40" s="46"/>
      <c r="O40" s="46"/>
      <c r="P40" s="46"/>
      <c r="Q40" s="56"/>
      <c r="S40">
        <f>R31</f>
        <v>0</v>
      </c>
    </row>
    <row r="41" spans="2:19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Clinker!BQ7</f>
        <v>0</v>
      </c>
      <c r="K41" s="46">
        <f>J41+'4'!K41</f>
        <v>0</v>
      </c>
      <c r="L41" s="46">
        <f>J41+'4'!L41</f>
        <v>0</v>
      </c>
      <c r="M41" s="45"/>
      <c r="N41" s="46"/>
      <c r="O41" s="46"/>
      <c r="P41" s="46"/>
      <c r="Q41" s="56"/>
    </row>
    <row r="42" spans="2:19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Clinker!BV7</f>
        <v>0</v>
      </c>
      <c r="K42" s="46">
        <f>J42+'4'!K42</f>
        <v>0</v>
      </c>
      <c r="L42" s="46">
        <f>J42+'4'!L42</f>
        <v>0</v>
      </c>
      <c r="M42" s="45"/>
      <c r="N42" s="46"/>
      <c r="O42" s="46"/>
      <c r="P42" s="46"/>
      <c r="Q42" s="56"/>
    </row>
    <row r="43" spans="2:19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Clinker!CU7</f>
        <v>0</v>
      </c>
      <c r="K43" s="46">
        <f>J43+'4'!K43</f>
        <v>0</v>
      </c>
      <c r="L43" s="46">
        <f>J43+'4'!L43</f>
        <v>0</v>
      </c>
      <c r="M43" s="45"/>
      <c r="N43" s="46"/>
      <c r="O43" s="46"/>
      <c r="P43" s="46"/>
      <c r="Q43" s="56"/>
    </row>
    <row r="44" spans="2:19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Clinker!CZ7</f>
        <v>0</v>
      </c>
      <c r="K44" s="46">
        <f>J44+'4'!K44</f>
        <v>0</v>
      </c>
      <c r="L44" s="46">
        <f>J44+'4'!L44</f>
        <v>0</v>
      </c>
      <c r="M44" s="45"/>
      <c r="N44" s="46"/>
      <c r="O44" s="46"/>
      <c r="P44" s="46"/>
      <c r="Q44" s="56"/>
    </row>
    <row r="45" spans="2:19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Clinker!DE7</f>
        <v>0</v>
      </c>
      <c r="K45" s="46">
        <f>J45+'4'!K45</f>
        <v>0</v>
      </c>
      <c r="L45" s="46">
        <f>J45+'4'!L45</f>
        <v>0</v>
      </c>
      <c r="M45" s="45"/>
      <c r="N45" s="46"/>
      <c r="O45" s="46"/>
      <c r="P45" s="46"/>
      <c r="Q45" s="56"/>
    </row>
    <row r="46" spans="2:19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Clinker!DJ7</f>
        <v>0</v>
      </c>
      <c r="K46" s="46">
        <f>J46+'4'!K46</f>
        <v>0</v>
      </c>
      <c r="L46" s="46">
        <f>J46+'4'!L46</f>
        <v>0</v>
      </c>
      <c r="M46" s="45"/>
      <c r="N46" s="46"/>
      <c r="O46" s="46"/>
      <c r="P46" s="46"/>
      <c r="Q46" s="56"/>
    </row>
    <row r="47" spans="2:19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Clinker!DO7</f>
        <v>0</v>
      </c>
      <c r="K47" s="46">
        <f>J47+'4'!K47</f>
        <v>0</v>
      </c>
      <c r="L47" s="46">
        <f>J47+'4'!L47</f>
        <v>0</v>
      </c>
      <c r="M47" s="45"/>
      <c r="N47" s="46"/>
      <c r="O47" s="46"/>
      <c r="P47" s="46"/>
      <c r="Q47" s="56"/>
    </row>
    <row r="48" spans="2:19" x14ac:dyDescent="0.25">
      <c r="B48" s="288"/>
      <c r="C48" s="76" t="s">
        <v>181</v>
      </c>
      <c r="D48" s="77"/>
      <c r="E48" s="69"/>
      <c r="F48" s="46">
        <f>Clinker!CM7</f>
        <v>5.0000000000181899E-2</v>
      </c>
      <c r="G48" s="46">
        <f>Clinker!CN7</f>
        <v>0</v>
      </c>
      <c r="H48" s="46">
        <f>G48+'4'!H48</f>
        <v>0</v>
      </c>
      <c r="I48" s="46">
        <f>G48+'4'!I48</f>
        <v>0</v>
      </c>
      <c r="J48" s="46">
        <f>Clinker!CP7</f>
        <v>0</v>
      </c>
      <c r="K48" s="46">
        <f>J48+'4'!K48</f>
        <v>0</v>
      </c>
      <c r="L48" s="46">
        <f>J48+'4'!L48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Clinker!CC7</f>
        <v>0</v>
      </c>
      <c r="G49" s="46">
        <f>Clinker!CD7</f>
        <v>0</v>
      </c>
      <c r="H49" s="46">
        <f>G49+'4'!H49</f>
        <v>0</v>
      </c>
      <c r="I49" s="46">
        <f>G49+'4'!I49</f>
        <v>0</v>
      </c>
      <c r="J49" s="46">
        <f>Clinker!CF7</f>
        <v>0</v>
      </c>
      <c r="K49" s="46">
        <f>J49+'4'!K49</f>
        <v>0</v>
      </c>
      <c r="L49" s="46">
        <f>J49+'4'!L49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Clinker!CH3</f>
        <v>0</v>
      </c>
      <c r="G50" s="46">
        <f>Clinker!CI3</f>
        <v>0</v>
      </c>
      <c r="H50" s="46">
        <f>G50+'4'!H50</f>
        <v>0</v>
      </c>
      <c r="I50" s="46">
        <f>G50+'4'!I50</f>
        <v>0</v>
      </c>
      <c r="J50" s="46">
        <f>Clinker!CK7</f>
        <v>0</v>
      </c>
      <c r="K50" s="46">
        <f>J50+'4'!K50</f>
        <v>0</v>
      </c>
      <c r="L50" s="46">
        <f>J50+'4'!L50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Clinker!AF7</f>
        <v>4406.1699999999937</v>
      </c>
      <c r="G51" s="46">
        <f>Clinker!AG7</f>
        <v>30</v>
      </c>
      <c r="H51" s="46">
        <f>G51+'4'!H51</f>
        <v>969.5</v>
      </c>
      <c r="I51" s="46">
        <f>G51+'4'!I51</f>
        <v>3110.45</v>
      </c>
      <c r="J51" s="46">
        <f>Clinker!AI7</f>
        <v>140</v>
      </c>
      <c r="K51" s="46">
        <f>J51+'4'!K51</f>
        <v>722</v>
      </c>
      <c r="L51" s="46">
        <f>J51+'4'!L51</f>
        <v>7547</v>
      </c>
      <c r="M51" s="45">
        <f>F51+G51-J51</f>
        <v>4296.1699999999937</v>
      </c>
      <c r="N51" s="46">
        <v>0</v>
      </c>
      <c r="O51" s="46">
        <v>1500</v>
      </c>
      <c r="P51" s="46">
        <v>3000</v>
      </c>
      <c r="Q51" s="56">
        <f>SUM(M51+N51)-O51</f>
        <v>2796.1699999999937</v>
      </c>
    </row>
    <row r="52" spans="2:19" x14ac:dyDescent="0.25">
      <c r="B52" s="288"/>
      <c r="C52" s="281" t="s">
        <v>156</v>
      </c>
      <c r="D52" s="282"/>
      <c r="E52" s="283"/>
      <c r="F52" s="46">
        <f>Clinker!AB7</f>
        <v>0</v>
      </c>
      <c r="G52" s="46">
        <f>Clinker!AC7</f>
        <v>0</v>
      </c>
      <c r="H52" s="46">
        <f>G52+'4'!H52</f>
        <v>0</v>
      </c>
      <c r="I52" s="46">
        <f>G52+'4'!I52</f>
        <v>0</v>
      </c>
      <c r="J52" s="46">
        <f>Clinker!AD7</f>
        <v>0</v>
      </c>
      <c r="K52" s="46">
        <f>J52+'4'!K52</f>
        <v>0</v>
      </c>
      <c r="L52" s="46">
        <f>J52+'4'!L52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>SUM(F29:F52)</f>
        <v>4406.2199999999939</v>
      </c>
      <c r="G53" s="46">
        <f t="shared" ref="G53:M53" si="1">SUM(G29:G52)</f>
        <v>30</v>
      </c>
      <c r="H53" s="46">
        <f>SUM(H29:H52)</f>
        <v>969.5</v>
      </c>
      <c r="I53" s="46">
        <f>SUM(I29:I52)</f>
        <v>3110.45</v>
      </c>
      <c r="J53" s="46">
        <f>SUM(J29:J52)</f>
        <v>140</v>
      </c>
      <c r="K53" s="46">
        <f t="shared" si="1"/>
        <v>722</v>
      </c>
      <c r="L53" s="46">
        <f>SUM(L29:L52)</f>
        <v>8894</v>
      </c>
      <c r="M53" s="46">
        <f t="shared" si="1"/>
        <v>4296.2199999999939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2796.1699999999937</v>
      </c>
    </row>
    <row r="54" spans="2:19" x14ac:dyDescent="0.25">
      <c r="B54" s="289"/>
      <c r="C54" s="284" t="s">
        <v>157</v>
      </c>
      <c r="D54" s="285"/>
      <c r="E54" s="286"/>
      <c r="F54" s="59">
        <f t="shared" ref="F54:Q54" si="2">SUM(F27+F53)</f>
        <v>8572.3569999999854</v>
      </c>
      <c r="G54" s="59">
        <f>SUM(G27+G53)</f>
        <v>30</v>
      </c>
      <c r="H54" s="59">
        <f t="shared" si="2"/>
        <v>1654.3400000000001</v>
      </c>
      <c r="I54" s="59">
        <f t="shared" si="2"/>
        <v>4600.53</v>
      </c>
      <c r="J54" s="59">
        <f>SUM(J27+J53)</f>
        <v>432.22</v>
      </c>
      <c r="K54" s="59">
        <f t="shared" si="2"/>
        <v>2161</v>
      </c>
      <c r="L54" s="59">
        <f t="shared" si="2"/>
        <v>25050.309999999998</v>
      </c>
      <c r="M54" s="59">
        <f t="shared" si="2"/>
        <v>8170.1369999999843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2"/>
        <v>3859.2099999999919</v>
      </c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'!C7</f>
        <v>2462700</v>
      </c>
      <c r="G56" s="46">
        <f>'Packing bag '!D7</f>
        <v>0</v>
      </c>
      <c r="H56" s="46">
        <f>G56+'4'!H56</f>
        <v>0</v>
      </c>
      <c r="I56" s="46">
        <f>G56+'4'!I56</f>
        <v>3152500</v>
      </c>
      <c r="J56" s="46">
        <f>'Packing bag '!E7</f>
        <v>51430</v>
      </c>
      <c r="K56" s="46">
        <f>J56+'4'!K56</f>
        <v>215965</v>
      </c>
      <c r="L56" s="46">
        <f>J56+'4'!L56</f>
        <v>1792799</v>
      </c>
      <c r="M56" s="46">
        <f>F56+G56-J56</f>
        <v>2411270</v>
      </c>
      <c r="N56" s="46"/>
      <c r="O56" s="46">
        <v>400000</v>
      </c>
      <c r="P56" s="46">
        <v>800000</v>
      </c>
      <c r="Q56" s="56">
        <f>SUM(M56+N56)-O56</f>
        <v>2011270</v>
      </c>
    </row>
    <row r="57" spans="2:19" x14ac:dyDescent="0.25">
      <c r="B57" s="288"/>
      <c r="C57" s="281" t="s">
        <v>160</v>
      </c>
      <c r="D57" s="282"/>
      <c r="E57" s="283"/>
      <c r="F57" s="46">
        <f>'Packing bag '!G7</f>
        <v>595559</v>
      </c>
      <c r="G57" s="46">
        <f>'Packing bag '!H7</f>
        <v>0</v>
      </c>
      <c r="H57" s="46">
        <f>G57+'4'!H57</f>
        <v>0</v>
      </c>
      <c r="I57" s="46">
        <f>G57+'4'!I57</f>
        <v>291500</v>
      </c>
      <c r="J57" s="46">
        <f>'Packing bag '!I7</f>
        <v>610</v>
      </c>
      <c r="K57" s="46">
        <f>J57+'4'!K57</f>
        <v>7212</v>
      </c>
      <c r="L57" s="46">
        <f>J57+'4'!L57</f>
        <v>96833</v>
      </c>
      <c r="M57" s="46">
        <f>F57+G57-J57</f>
        <v>594949</v>
      </c>
      <c r="N57" s="46"/>
      <c r="O57" s="46">
        <v>100000</v>
      </c>
      <c r="P57" s="46">
        <v>250000</v>
      </c>
      <c r="Q57" s="56">
        <f>SUM(M57+N57)-O57</f>
        <v>494949</v>
      </c>
    </row>
    <row r="58" spans="2:19" x14ac:dyDescent="0.25">
      <c r="B58" s="288"/>
      <c r="C58" s="281" t="s">
        <v>161</v>
      </c>
      <c r="D58" s="282"/>
      <c r="E58" s="283"/>
      <c r="F58" s="46">
        <f>'Packing bag '!K7</f>
        <v>516549</v>
      </c>
      <c r="G58" s="46">
        <f>'Packing bag '!L7</f>
        <v>0</v>
      </c>
      <c r="H58" s="46">
        <f>G58+'4'!H58</f>
        <v>0</v>
      </c>
      <c r="I58" s="46">
        <f>G58+'4'!I58</f>
        <v>295000</v>
      </c>
      <c r="J58" s="46">
        <f>'Packing bag '!M7</f>
        <v>601</v>
      </c>
      <c r="K58" s="46">
        <f>J58+'4'!K58</f>
        <v>12815</v>
      </c>
      <c r="L58" s="46">
        <f>J58+'4'!L58</f>
        <v>185107</v>
      </c>
      <c r="M58" s="46">
        <f>F58+G58-J58</f>
        <v>515948</v>
      </c>
      <c r="N58" s="46"/>
      <c r="O58" s="46">
        <v>50000</v>
      </c>
      <c r="P58" s="46">
        <v>150000</v>
      </c>
      <c r="Q58" s="56">
        <f>SUM(M58+N58)-O58</f>
        <v>465948</v>
      </c>
    </row>
    <row r="59" spans="2:19" x14ac:dyDescent="0.25">
      <c r="B59" s="288"/>
      <c r="C59" s="281" t="s">
        <v>162</v>
      </c>
      <c r="D59" s="282"/>
      <c r="E59" s="283"/>
      <c r="F59" s="46">
        <f>'Packing bag '!O7</f>
        <v>67120</v>
      </c>
      <c r="G59" s="46">
        <f>'Packing bag '!P7</f>
        <v>0</v>
      </c>
      <c r="H59" s="46">
        <f>G59+'4'!H59</f>
        <v>612</v>
      </c>
      <c r="I59" s="46">
        <f>G59+'4'!I59</f>
        <v>0</v>
      </c>
      <c r="J59" s="46">
        <f>'Packing bag '!Q7</f>
        <v>0</v>
      </c>
      <c r="K59" s="46">
        <f>J59+'4'!K59</f>
        <v>1812</v>
      </c>
      <c r="L59" s="46">
        <f>J59+'4'!L59</f>
        <v>16581</v>
      </c>
      <c r="M59" s="46">
        <f>F59+G59-J59</f>
        <v>67120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G60+'4'!H60</f>
        <v>0</v>
      </c>
      <c r="I60" s="46">
        <f>G60+'4'!I60</f>
        <v>0</v>
      </c>
      <c r="J60" s="46">
        <v>0</v>
      </c>
      <c r="K60" s="46">
        <f>J60+'4'!K60</f>
        <v>0</v>
      </c>
      <c r="L60" s="46">
        <f>J60+'4'!L60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G61+'4'!H61</f>
        <v>0</v>
      </c>
      <c r="I61" s="46">
        <f>G61+'4'!I61</f>
        <v>0</v>
      </c>
      <c r="J61" s="46">
        <v>0</v>
      </c>
      <c r="K61" s="46">
        <f>J61+'4'!K61</f>
        <v>0</v>
      </c>
      <c r="L61" s="46">
        <f>J61+'4'!L61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3641928</v>
      </c>
      <c r="G62" s="59">
        <f>SUM(G56:G61)</f>
        <v>0</v>
      </c>
      <c r="H62" s="59">
        <f t="shared" ref="H62:Q62" si="3">SUM(H56:H61)</f>
        <v>612</v>
      </c>
      <c r="I62" s="59">
        <f t="shared" si="3"/>
        <v>3739000</v>
      </c>
      <c r="J62" s="59">
        <f t="shared" si="3"/>
        <v>52641</v>
      </c>
      <c r="K62" s="59">
        <f t="shared" si="3"/>
        <v>237804</v>
      </c>
      <c r="L62" s="59">
        <f t="shared" si="3"/>
        <v>2091320</v>
      </c>
      <c r="M62" s="59">
        <f t="shared" si="3"/>
        <v>3589287</v>
      </c>
      <c r="N62" s="46"/>
      <c r="O62" s="59">
        <f t="shared" si="3"/>
        <v>551500</v>
      </c>
      <c r="P62" s="59">
        <f t="shared" si="3"/>
        <v>1207000</v>
      </c>
      <c r="Q62" s="59">
        <f t="shared" si="3"/>
        <v>2970667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Cement!G7</f>
        <v>0</v>
      </c>
      <c r="G64" s="46">
        <f>Cement!H7</f>
        <v>0</v>
      </c>
      <c r="H64" s="46">
        <f>G64+'4'!H64</f>
        <v>0</v>
      </c>
      <c r="I64" s="46">
        <f>G64+'4'!I64</f>
        <v>0</v>
      </c>
      <c r="J64" s="46">
        <v>0</v>
      </c>
      <c r="K64" s="46">
        <v>0</v>
      </c>
      <c r="L64" s="46"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Cement!K7</f>
        <v>0</v>
      </c>
      <c r="G65" s="46">
        <f>Cement!L7</f>
        <v>0</v>
      </c>
      <c r="H65" s="46">
        <f>G65+'4'!H65</f>
        <v>0</v>
      </c>
      <c r="I65" s="46">
        <f>G65+'4'!I65</f>
        <v>0</v>
      </c>
      <c r="J65" s="46">
        <f>Cement!M7</f>
        <v>0</v>
      </c>
      <c r="K65" s="46">
        <f>J65+'4'!K65</f>
        <v>0</v>
      </c>
      <c r="L65" s="46">
        <f>J65+'4'!L65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46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Diesel!B7</f>
        <v>52892</v>
      </c>
      <c r="G68" s="46">
        <f>Diesel!C7</f>
        <v>0</v>
      </c>
      <c r="H68" s="46">
        <f>G68+'4'!H68</f>
        <v>32000</v>
      </c>
      <c r="I68" s="46">
        <f>G68+'4'!I68</f>
        <v>122000</v>
      </c>
      <c r="J68" s="46">
        <v>0</v>
      </c>
      <c r="K68" s="46">
        <f>J68+'4'!K68</f>
        <v>0</v>
      </c>
      <c r="L68" s="46">
        <f>J68+'4'!L68</f>
        <v>0</v>
      </c>
      <c r="M68" s="46">
        <f>F68+G68-J68-J76</f>
        <v>49347</v>
      </c>
      <c r="N68" s="46"/>
      <c r="O68" s="46">
        <v>30000</v>
      </c>
      <c r="P68" s="46">
        <v>60000</v>
      </c>
      <c r="Q68" s="56">
        <f>SUM(M68+N68)-O68</f>
        <v>19347</v>
      </c>
    </row>
    <row r="69" spans="2:17" x14ac:dyDescent="0.25">
      <c r="B69" s="297"/>
      <c r="C69" s="281" t="s">
        <v>171</v>
      </c>
      <c r="D69" s="282"/>
      <c r="E69" s="283"/>
      <c r="F69" s="46">
        <f>Diesel!Y7</f>
        <v>0</v>
      </c>
      <c r="G69" s="46">
        <f>Diesel!Z7</f>
        <v>0</v>
      </c>
      <c r="H69" s="46">
        <f>G69+'4'!H69</f>
        <v>0</v>
      </c>
      <c r="I69" s="46">
        <f>G69+'4'!I69</f>
        <v>0</v>
      </c>
      <c r="J69" s="46">
        <f>Diesel!O7</f>
        <v>0</v>
      </c>
      <c r="K69" s="46">
        <f>J69+'4'!K69</f>
        <v>0</v>
      </c>
      <c r="L69" s="46">
        <f>J69+'4'!L69</f>
        <v>15000</v>
      </c>
      <c r="M69" s="46"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G70+'4'!H70</f>
        <v>0</v>
      </c>
      <c r="I70" s="46">
        <f>G70+'4'!I70</f>
        <v>0</v>
      </c>
      <c r="J70" s="46">
        <f>Diesel!P7</f>
        <v>40</v>
      </c>
      <c r="K70" s="46">
        <f>J70+'4'!K70</f>
        <v>40</v>
      </c>
      <c r="L70" s="46">
        <f>J70+'4'!L70</f>
        <v>643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G71+'4'!H71</f>
        <v>0</v>
      </c>
      <c r="I71" s="46">
        <f>G71+'4'!I71</f>
        <v>0</v>
      </c>
      <c r="J71" s="46">
        <f>Diesel!Q7</f>
        <v>2740</v>
      </c>
      <c r="K71" s="46">
        <f>J71+'4'!K71</f>
        <v>5340</v>
      </c>
      <c r="L71" s="46">
        <f>J71+'4'!L71</f>
        <v>59975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G72+'4'!H72</f>
        <v>0</v>
      </c>
      <c r="I72" s="46">
        <f>G72+'4'!I72</f>
        <v>0</v>
      </c>
      <c r="J72" s="46">
        <f>Diesel!R7</f>
        <v>765</v>
      </c>
      <c r="K72" s="46">
        <f>J72+'4'!K72</f>
        <v>3418</v>
      </c>
      <c r="L72" s="46">
        <f>J72+'4'!L72</f>
        <v>46126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G73+'4'!H73</f>
        <v>0</v>
      </c>
      <c r="I73" s="46">
        <f>G73+'4'!I73</f>
        <v>0</v>
      </c>
      <c r="J73" s="46">
        <f>Diesel!S7</f>
        <v>0</v>
      </c>
      <c r="K73" s="46">
        <f>J73+'4'!K73</f>
        <v>0</v>
      </c>
      <c r="L73" s="46">
        <f>J73+'4'!L73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G74+'4'!H74</f>
        <v>0</v>
      </c>
      <c r="I74" s="46">
        <f>G74+'4'!I74</f>
        <v>0</v>
      </c>
      <c r="J74" s="46">
        <f>Diesel!T7</f>
        <v>0</v>
      </c>
      <c r="K74" s="46">
        <f>J74+'4'!K74</f>
        <v>0</v>
      </c>
      <c r="L74" s="46">
        <f>J74+'4'!L74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G75+'4'!H75</f>
        <v>0</v>
      </c>
      <c r="I75" s="46">
        <f>G75+'4'!I75</f>
        <v>0</v>
      </c>
      <c r="J75" s="61">
        <f>Diesel!U7</f>
        <v>0</v>
      </c>
      <c r="K75" s="46">
        <f>J75+'4'!K75</f>
        <v>0</v>
      </c>
      <c r="L75" s="46">
        <f>J75+'4'!L75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52892</v>
      </c>
      <c r="G76" s="62">
        <f t="shared" ref="G76:M76" si="5">SUM(G68:G75)</f>
        <v>0</v>
      </c>
      <c r="H76" s="62">
        <f t="shared" si="5"/>
        <v>32000</v>
      </c>
      <c r="I76" s="62">
        <f t="shared" si="5"/>
        <v>122000</v>
      </c>
      <c r="J76" s="62">
        <f t="shared" si="5"/>
        <v>3545</v>
      </c>
      <c r="K76" s="62">
        <f t="shared" si="5"/>
        <v>8798</v>
      </c>
      <c r="L76" s="62">
        <f t="shared" si="5"/>
        <v>121744</v>
      </c>
      <c r="M76" s="62">
        <f t="shared" si="5"/>
        <v>49347</v>
      </c>
      <c r="N76" s="63"/>
      <c r="O76" s="64"/>
      <c r="P76" s="62"/>
      <c r="Q76" s="65"/>
    </row>
  </sheetData>
  <mergeCells count="70">
    <mergeCell ref="B63:B66"/>
    <mergeCell ref="C63:Q63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64:E64"/>
    <mergeCell ref="C65:E65"/>
    <mergeCell ref="C66:E66"/>
    <mergeCell ref="C51:E51"/>
    <mergeCell ref="C53:E53"/>
    <mergeCell ref="C54:E54"/>
    <mergeCell ref="C38:D38"/>
    <mergeCell ref="C52:E52"/>
    <mergeCell ref="C40:E40"/>
    <mergeCell ref="C50:D50"/>
    <mergeCell ref="C47:D47"/>
    <mergeCell ref="C59:E59"/>
    <mergeCell ref="B9:B54"/>
    <mergeCell ref="C61:E61"/>
    <mergeCell ref="B55:B62"/>
    <mergeCell ref="C37:D37"/>
    <mergeCell ref="C34:E34"/>
    <mergeCell ref="C35:E35"/>
    <mergeCell ref="C36:D36"/>
    <mergeCell ref="C56:E56"/>
    <mergeCell ref="C57:E57"/>
    <mergeCell ref="C58:E58"/>
    <mergeCell ref="C60:E60"/>
    <mergeCell ref="C62:E62"/>
    <mergeCell ref="C12:E12"/>
    <mergeCell ref="C13:D13"/>
    <mergeCell ref="C17:E17"/>
    <mergeCell ref="C55:Q55"/>
    <mergeCell ref="C7:E7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C14:D14"/>
    <mergeCell ref="C15:D15"/>
    <mergeCell ref="C18:E18"/>
    <mergeCell ref="C20:D20"/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</mergeCells>
  <pageMargins left="0.7" right="0.7" top="0.75" bottom="0.75" header="0.3" footer="0.3"/>
  <pageSetup paperSize="9" scale="4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7" sqref="J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8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>
        <v>46148</v>
      </c>
      <c r="Q3" s="316"/>
    </row>
    <row r="4" spans="2:18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8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8" x14ac:dyDescent="0.25">
      <c r="B6" s="54">
        <v>1</v>
      </c>
      <c r="C6" s="308" t="s">
        <v>135</v>
      </c>
      <c r="D6" s="309"/>
      <c r="E6" s="310"/>
      <c r="F6" s="45">
        <f>Clinker!C8</f>
        <v>2324.92</v>
      </c>
      <c r="G6" s="45">
        <f>Clinker!D8</f>
        <v>0</v>
      </c>
      <c r="H6" s="45">
        <f>G6+'5'!H6</f>
        <v>0</v>
      </c>
      <c r="I6" s="45">
        <f>G6+'5'!I6</f>
        <v>417.28000000000003</v>
      </c>
      <c r="J6" s="45">
        <f>Clinker!E8</f>
        <v>62</v>
      </c>
      <c r="K6" s="45">
        <f>J6+'5'!K6</f>
        <v>385</v>
      </c>
      <c r="L6" s="45">
        <f>J6+'5'!L6</f>
        <v>3520</v>
      </c>
      <c r="M6" s="45">
        <f>F6+G6-J6</f>
        <v>2262.92</v>
      </c>
      <c r="N6" s="45">
        <v>0</v>
      </c>
      <c r="O6" s="45">
        <v>3000</v>
      </c>
      <c r="P6" s="45">
        <v>6000</v>
      </c>
      <c r="Q6" s="55">
        <f>SUM(M6+N6)-O6</f>
        <v>-737.07999999999993</v>
      </c>
    </row>
    <row r="7" spans="2:18" x14ac:dyDescent="0.25">
      <c r="B7" s="50">
        <v>2</v>
      </c>
      <c r="C7" s="305" t="s">
        <v>136</v>
      </c>
      <c r="D7" s="306"/>
      <c r="E7" s="307"/>
      <c r="F7" s="46">
        <f>Cement!C8</f>
        <v>3592.9521756298614</v>
      </c>
      <c r="G7" s="46">
        <f>Cement!D8</f>
        <v>0</v>
      </c>
      <c r="H7" s="45">
        <f>G7+'5'!H7</f>
        <v>31.2</v>
      </c>
      <c r="I7" s="45">
        <f>G7+'5'!I7</f>
        <v>2157.8199999999997</v>
      </c>
      <c r="J7" s="46">
        <f>Cement!I8</f>
        <v>120.56947303157894</v>
      </c>
      <c r="K7" s="45">
        <f>J7+'5'!K7</f>
        <v>767.12315555789485</v>
      </c>
      <c r="L7" s="45">
        <f>J7+'5'!L7</f>
        <v>5993.3531458853959</v>
      </c>
      <c r="M7" s="45">
        <f>F7+G7-J7</f>
        <v>3472.3827025982823</v>
      </c>
      <c r="N7" s="46">
        <v>0</v>
      </c>
      <c r="O7" s="46">
        <v>3000</v>
      </c>
      <c r="P7" s="46">
        <v>6000</v>
      </c>
      <c r="Q7" s="56">
        <f>SUM(M7+N7)-O7</f>
        <v>472.38270259828232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Clinker!EI8</f>
        <v>30230.579086022059</v>
      </c>
      <c r="G8" s="46">
        <f>Clinker!EJ8</f>
        <v>1505</v>
      </c>
      <c r="H8" s="45">
        <f>G8+'5'!H8</f>
        <v>9978</v>
      </c>
      <c r="I8" s="45">
        <f>G8+'5'!I8</f>
        <v>108894.66</v>
      </c>
      <c r="J8" s="46">
        <f>Clinker!EK8</f>
        <v>1714.5940009825999</v>
      </c>
      <c r="K8" s="45">
        <f>J8+'5'!K8</f>
        <v>11208.917002767503</v>
      </c>
      <c r="L8" s="45">
        <f>J8+'5'!L8</f>
        <v>91004.764022587435</v>
      </c>
      <c r="M8" s="45">
        <f>F8+G8-J8</f>
        <v>30020.985085039458</v>
      </c>
      <c r="N8" s="46">
        <v>0</v>
      </c>
      <c r="O8" s="46"/>
      <c r="P8" s="46"/>
      <c r="Q8" s="56"/>
    </row>
    <row r="9" spans="2:18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88"/>
      <c r="C10" s="281" t="s">
        <v>138</v>
      </c>
      <c r="D10" s="282"/>
      <c r="E10" s="283"/>
      <c r="F10" s="46">
        <f>Clinker!K8</f>
        <v>0</v>
      </c>
      <c r="G10" s="46">
        <f>Clinker!L8</f>
        <v>0</v>
      </c>
      <c r="H10" s="46">
        <f>G10+'5'!H10</f>
        <v>0</v>
      </c>
      <c r="I10" s="46">
        <f>G10+'5'!I10</f>
        <v>0</v>
      </c>
      <c r="J10" s="46">
        <f>Clinker!N8</f>
        <v>0</v>
      </c>
      <c r="K10" s="46">
        <f>J10+'5'!K10</f>
        <v>0</v>
      </c>
      <c r="L10" s="46">
        <f>J10+'5'!L10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88"/>
      <c r="C11" s="281" t="s">
        <v>139</v>
      </c>
      <c r="D11" s="282"/>
      <c r="E11" s="283"/>
      <c r="F11" s="46">
        <f>Clinker!W8</f>
        <v>1063.0399999999981</v>
      </c>
      <c r="G11" s="46">
        <f>Clinker!X8</f>
        <v>0</v>
      </c>
      <c r="H11" s="46">
        <f>G11+'5'!H11</f>
        <v>0</v>
      </c>
      <c r="I11" s="46">
        <f>G11+'5'!I11</f>
        <v>0</v>
      </c>
      <c r="J11" s="46">
        <f>Clinker!Z8</f>
        <v>0</v>
      </c>
      <c r="K11" s="46">
        <f>J11+'5'!K11</f>
        <v>0</v>
      </c>
      <c r="L11" s="46">
        <f>J11+'5'!L11</f>
        <v>7623.8399999999992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8" ht="15" customHeight="1" x14ac:dyDescent="0.25">
      <c r="B12" s="288"/>
      <c r="C12" s="281" t="s">
        <v>140</v>
      </c>
      <c r="D12" s="282"/>
      <c r="E12" s="283"/>
      <c r="F12" s="46">
        <f>Clinker!AT8</f>
        <v>1502.000000000002</v>
      </c>
      <c r="G12" s="46">
        <f>Clinker!AU8</f>
        <v>0</v>
      </c>
      <c r="H12" s="46">
        <f>G12+'5'!H12</f>
        <v>0</v>
      </c>
      <c r="I12" s="46">
        <f>G12+'5'!I12</f>
        <v>181.5</v>
      </c>
      <c r="J12" s="46">
        <f>Clinker!AV8</f>
        <v>265.56</v>
      </c>
      <c r="K12" s="46">
        <f>J12+'5'!K12</f>
        <v>1697.46</v>
      </c>
      <c r="L12" s="46">
        <f>J12+'5'!L12</f>
        <v>4439.1600000000008</v>
      </c>
      <c r="M12" s="45">
        <f>F12+G12-J12-J37</f>
        <v>1236.4400000000021</v>
      </c>
      <c r="N12" s="46">
        <v>0</v>
      </c>
      <c r="O12" s="46"/>
      <c r="P12" s="46"/>
      <c r="Q12" s="70"/>
    </row>
    <row r="13" spans="2:18" x14ac:dyDescent="0.25">
      <c r="B13" s="288"/>
      <c r="C13" s="281" t="s">
        <v>9</v>
      </c>
      <c r="D13" s="282"/>
      <c r="E13" s="69"/>
      <c r="F13" s="46">
        <f>Clinker!AO8</f>
        <v>0</v>
      </c>
      <c r="G13" s="46">
        <f>Clinker!AP8</f>
        <v>0</v>
      </c>
      <c r="H13" s="46">
        <f>G13+'5'!H13</f>
        <v>0</v>
      </c>
      <c r="I13" s="46">
        <f>G13+'5'!I13</f>
        <v>0</v>
      </c>
      <c r="J13" s="46">
        <f>Clinker!AQ8</f>
        <v>0</v>
      </c>
      <c r="K13" s="46">
        <f>J13+'5'!K13</f>
        <v>0</v>
      </c>
      <c r="L13" s="46">
        <f>J13+'5'!L13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8" x14ac:dyDescent="0.25">
      <c r="B14" s="288"/>
      <c r="C14" s="281" t="s">
        <v>8</v>
      </c>
      <c r="D14" s="282"/>
      <c r="E14" s="69"/>
      <c r="F14" s="46">
        <f>Clinker!AK8</f>
        <v>0</v>
      </c>
      <c r="G14" s="46">
        <f>Clinker!AL8</f>
        <v>0</v>
      </c>
      <c r="H14" s="46">
        <f>G14+'5'!H14</f>
        <v>0</v>
      </c>
      <c r="I14" s="46">
        <f>G14+'5'!I14</f>
        <v>0</v>
      </c>
      <c r="J14" s="46">
        <f>Clinker!AM8</f>
        <v>0</v>
      </c>
      <c r="K14" s="46">
        <f>J14+'5'!K14</f>
        <v>0</v>
      </c>
      <c r="L14" s="46">
        <f>J14+'5'!L14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8" x14ac:dyDescent="0.25">
      <c r="B15" s="288"/>
      <c r="C15" s="281" t="s">
        <v>11</v>
      </c>
      <c r="D15" s="282"/>
      <c r="E15" s="69"/>
      <c r="F15" s="46">
        <f>Clinker!AY8</f>
        <v>1004.8669999999903</v>
      </c>
      <c r="G15" s="46">
        <f>Clinker!AZ8</f>
        <v>0</v>
      </c>
      <c r="H15" s="46">
        <f>G15+'5'!H15</f>
        <v>592.84</v>
      </c>
      <c r="I15" s="46">
        <f>G15+'5'!I15</f>
        <v>1004.58</v>
      </c>
      <c r="J15" s="46">
        <f>Clinker!BA8</f>
        <v>0</v>
      </c>
      <c r="K15" s="46">
        <f>J15+'5'!K15</f>
        <v>0</v>
      </c>
      <c r="L15" s="46">
        <f>J15+'5'!L15</f>
        <v>0</v>
      </c>
      <c r="M15" s="45">
        <f>F15+G15-J15-J38</f>
        <v>1004.8669999999903</v>
      </c>
      <c r="N15" s="75">
        <v>0</v>
      </c>
      <c r="O15" s="46">
        <v>5000</v>
      </c>
      <c r="P15" s="46">
        <v>9000</v>
      </c>
      <c r="Q15" s="70"/>
    </row>
    <row r="16" spans="2:18" x14ac:dyDescent="0.25">
      <c r="B16" s="288"/>
      <c r="C16" s="76" t="s">
        <v>141</v>
      </c>
      <c r="D16" s="77"/>
      <c r="E16" s="69"/>
      <c r="F16" s="46">
        <f>Clinker!BD8</f>
        <v>0</v>
      </c>
      <c r="G16" s="46">
        <f>Clinker!BE8</f>
        <v>0</v>
      </c>
      <c r="H16" s="46">
        <f>G16+'5'!H16</f>
        <v>0</v>
      </c>
      <c r="I16" s="46">
        <f>G16+'5'!I16</f>
        <v>0</v>
      </c>
      <c r="J16" s="46">
        <f>Clinker!BF8</f>
        <v>0</v>
      </c>
      <c r="K16" s="46">
        <f>J16+'5'!K16</f>
        <v>0</v>
      </c>
      <c r="L16" s="46">
        <f>J16+'5'!L16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182</v>
      </c>
      <c r="D17" s="282"/>
      <c r="E17" s="283"/>
      <c r="F17" s="46">
        <f>Clinker!BI8</f>
        <v>0</v>
      </c>
      <c r="G17" s="46">
        <f>Clinker!BJ8</f>
        <v>0</v>
      </c>
      <c r="H17" s="46">
        <f>G17+'5'!H17</f>
        <v>0</v>
      </c>
      <c r="I17" s="46">
        <f>G17+'5'!I17</f>
        <v>0</v>
      </c>
      <c r="J17" s="46">
        <f>Clinker!BK8</f>
        <v>0</v>
      </c>
      <c r="K17" s="46">
        <f>J17+'5'!K17</f>
        <v>0</v>
      </c>
      <c r="L17" s="46">
        <f>J17+'5'!L17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Clinker!BN8</f>
        <v>0</v>
      </c>
      <c r="G18" s="46">
        <f>Clinker!BO8</f>
        <v>0</v>
      </c>
      <c r="H18" s="46">
        <f>G18+'5'!H18</f>
        <v>0</v>
      </c>
      <c r="I18" s="46">
        <f>G18+'5'!I18</f>
        <v>0</v>
      </c>
      <c r="J18" s="46">
        <f>Clinker!BP8</f>
        <v>0</v>
      </c>
      <c r="K18" s="46">
        <f>J18+'5'!K18</f>
        <v>0</v>
      </c>
      <c r="L18" s="46">
        <f>J18+'5'!L18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Clinker!BS8</f>
        <v>0</v>
      </c>
      <c r="G19" s="46">
        <f>Clinker!BT8</f>
        <v>0</v>
      </c>
      <c r="H19" s="46">
        <f>G19+'5'!H19</f>
        <v>0</v>
      </c>
      <c r="I19" s="46">
        <f>G19+'5'!I19</f>
        <v>0</v>
      </c>
      <c r="J19" s="46">
        <f>Clinker!BU8</f>
        <v>0</v>
      </c>
      <c r="K19" s="46">
        <f>J19+'5'!K19</f>
        <v>0</v>
      </c>
      <c r="L19" s="46">
        <f>J19+'5'!L19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16</v>
      </c>
      <c r="D20" s="282"/>
      <c r="E20" s="69"/>
      <c r="F20" s="46">
        <f>Clinker!BX8</f>
        <v>0</v>
      </c>
      <c r="G20" s="46">
        <f>Clinker!BY8</f>
        <v>0</v>
      </c>
      <c r="H20" s="46">
        <f>G20+'5'!H20</f>
        <v>0</v>
      </c>
      <c r="I20" s="46">
        <f>G20+'5'!I20</f>
        <v>0</v>
      </c>
      <c r="J20" s="46">
        <f>Clinker!BZ8</f>
        <v>0</v>
      </c>
      <c r="K20" s="46">
        <f>J20+'5'!K20</f>
        <v>0</v>
      </c>
      <c r="L20" s="46">
        <f>J20+'5'!L20</f>
        <v>4052.88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Clinker!CR8</f>
        <v>0</v>
      </c>
      <c r="G21" s="46">
        <f>Clinker!CS8</f>
        <v>0</v>
      </c>
      <c r="H21" s="46">
        <f>G21+'5'!H21</f>
        <v>0</v>
      </c>
      <c r="I21" s="46">
        <f>G21+'5'!I21</f>
        <v>0</v>
      </c>
      <c r="J21" s="46">
        <f>Clinker!CT8</f>
        <v>0</v>
      </c>
      <c r="K21" s="46">
        <f>J21+'5'!K21</f>
        <v>0</v>
      </c>
      <c r="L21" s="46">
        <f>J21+'5'!L21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143</v>
      </c>
      <c r="D22" s="77"/>
      <c r="E22" s="69"/>
      <c r="F22" s="46">
        <f>Clinker!CW8</f>
        <v>0</v>
      </c>
      <c r="G22" s="46">
        <f>Clinker!CX8</f>
        <v>0</v>
      </c>
      <c r="H22" s="46">
        <f>G22+'5'!H22</f>
        <v>0</v>
      </c>
      <c r="I22" s="46">
        <f>G22+'5'!I22</f>
        <v>0</v>
      </c>
      <c r="J22" s="46">
        <f>Clinker!CY8</f>
        <v>0</v>
      </c>
      <c r="K22" s="46">
        <f>J22+'5'!K22</f>
        <v>0</v>
      </c>
      <c r="L22" s="46">
        <f>J22+'5'!L22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Clinker!DB8</f>
        <v>1.0000000000013998E-2</v>
      </c>
      <c r="G23" s="46">
        <f>Clinker!DC8</f>
        <v>0</v>
      </c>
      <c r="H23" s="46">
        <f>G23+'5'!H23</f>
        <v>0</v>
      </c>
      <c r="I23" s="46">
        <f>G23+'5'!I23</f>
        <v>0</v>
      </c>
      <c r="J23" s="46">
        <f>Clinker!DD8</f>
        <v>0</v>
      </c>
      <c r="K23" s="46">
        <f>J23+'5'!K23</f>
        <v>7.1</v>
      </c>
      <c r="L23" s="46">
        <f>J23+'5'!L23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179</v>
      </c>
      <c r="D24" s="77"/>
      <c r="E24" s="69"/>
      <c r="F24" s="46">
        <f>Clinker!DG8</f>
        <v>0</v>
      </c>
      <c r="G24" s="46">
        <f>Clinker!DH8</f>
        <v>0</v>
      </c>
      <c r="H24" s="46">
        <f>G24+'5'!H24</f>
        <v>0</v>
      </c>
      <c r="I24" s="46">
        <f>G24+'5'!I24</f>
        <v>0</v>
      </c>
      <c r="J24" s="46">
        <f>Clinker!DI8</f>
        <v>0</v>
      </c>
      <c r="K24" s="46">
        <f>J24+'5'!K24</f>
        <v>0</v>
      </c>
      <c r="L24" s="46">
        <f>J24+'5'!L24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Clinker!DL8</f>
        <v>304</v>
      </c>
      <c r="G25" s="46">
        <f>Clinker!DM8</f>
        <v>0</v>
      </c>
      <c r="H25" s="46">
        <f>G25+'5'!H25</f>
        <v>92</v>
      </c>
      <c r="I25" s="46">
        <f>G25+'5'!I25</f>
        <v>304</v>
      </c>
      <c r="J25" s="46">
        <f>Clinker!DN8</f>
        <v>0</v>
      </c>
      <c r="K25" s="46">
        <f>J25+'5'!K25</f>
        <v>0</v>
      </c>
      <c r="L25" s="46">
        <f>J25+'5'!L25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Clinker!DV8</f>
        <v>0</v>
      </c>
      <c r="G26" s="46">
        <f>Clinker!DW8</f>
        <v>0</v>
      </c>
      <c r="H26" s="46">
        <f>G26+'5'!H26</f>
        <v>0</v>
      </c>
      <c r="I26" s="46">
        <f>G26+'5'!I26</f>
        <v>0</v>
      </c>
      <c r="J26" s="46">
        <f>Clinker!DX8</f>
        <v>0</v>
      </c>
      <c r="K26" s="46">
        <f>J26+'5'!K26</f>
        <v>0</v>
      </c>
      <c r="L26" s="46">
        <f>J26+'5'!L26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3873.9169999999904</v>
      </c>
      <c r="G27" s="46">
        <f t="shared" ref="G27:Q27" si="0">SUM(G10:G26)</f>
        <v>0</v>
      </c>
      <c r="H27" s="46">
        <f t="shared" si="0"/>
        <v>684.84</v>
      </c>
      <c r="I27" s="46">
        <f t="shared" si="0"/>
        <v>1490.08</v>
      </c>
      <c r="J27" s="46">
        <f t="shared" si="0"/>
        <v>265.56</v>
      </c>
      <c r="K27" s="46">
        <f t="shared" si="0"/>
        <v>1704.56</v>
      </c>
      <c r="L27" s="46">
        <f t="shared" si="0"/>
        <v>16421.870000000003</v>
      </c>
      <c r="M27" s="46">
        <f>SUM(M10:M26)</f>
        <v>3608.3569999999909</v>
      </c>
      <c r="N27" s="46">
        <f>SUM(N10:N26)</f>
        <v>0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Clinker!Q8</f>
        <v>0</v>
      </c>
      <c r="G29" s="46">
        <f>Clinker!R8</f>
        <v>0</v>
      </c>
      <c r="H29" s="46">
        <f>G29+'5'!H29</f>
        <v>0</v>
      </c>
      <c r="I29" s="46">
        <f>G29+'5'!I29</f>
        <v>0</v>
      </c>
      <c r="J29" s="46">
        <f>Clinker!S8</f>
        <v>0</v>
      </c>
      <c r="K29" s="46">
        <f>J29+'5'!K29</f>
        <v>0</v>
      </c>
      <c r="L29" s="46">
        <f>J29+'5'!L29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G30+'5'!H30</f>
        <v>0</v>
      </c>
      <c r="I30" s="46">
        <f>G30+'5'!I30</f>
        <v>0</v>
      </c>
      <c r="J30" s="46">
        <v>0</v>
      </c>
      <c r="K30" s="46">
        <f>J30+'5'!K30</f>
        <v>0</v>
      </c>
      <c r="L30" s="46">
        <f>J30+'5'!L30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G31+'5'!H31</f>
        <v>0</v>
      </c>
      <c r="I31" s="46">
        <f>G31+'5'!I31</f>
        <v>0</v>
      </c>
      <c r="J31" s="46">
        <v>0</v>
      </c>
      <c r="K31" s="46">
        <f>J31+'5'!K31</f>
        <v>0</v>
      </c>
      <c r="L31" s="46">
        <f>J31+'5'!L31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f>Clinker!DQ8</f>
        <v>0</v>
      </c>
      <c r="G32" s="46">
        <f>Clinker!DR8</f>
        <v>0</v>
      </c>
      <c r="H32" s="46">
        <f>G32+'5'!H32</f>
        <v>0</v>
      </c>
      <c r="I32" s="46">
        <f>G32+'5'!I32</f>
        <v>0</v>
      </c>
      <c r="J32" s="46">
        <f>Clinker!DT8</f>
        <v>0</v>
      </c>
      <c r="K32" s="46">
        <f>J32+'5'!K32</f>
        <v>0</v>
      </c>
      <c r="L32" s="46">
        <f>J32+'5'!L32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G33+'5'!H33</f>
        <v>0</v>
      </c>
      <c r="I33" s="46">
        <f>G33+'5'!I33</f>
        <v>0</v>
      </c>
      <c r="J33" s="46">
        <v>0</v>
      </c>
      <c r="K33" s="46">
        <f>J33+'5'!K33</f>
        <v>0</v>
      </c>
      <c r="L33" s="46">
        <f>J33+'5'!L33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Clinker!Y8</f>
        <v>0</v>
      </c>
      <c r="K34" s="46">
        <f>J34+'5'!K34</f>
        <v>0</v>
      </c>
      <c r="L34" s="46">
        <f>J34+'5'!L34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Clinker!M8</f>
        <v>0</v>
      </c>
      <c r="K35" s="46">
        <f>J35+'5'!K35</f>
        <v>0</v>
      </c>
      <c r="L35" s="46">
        <f>J35+'5'!L35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Clinker!AR8</f>
        <v>0</v>
      </c>
      <c r="K36" s="46">
        <f>J36+'5'!K36</f>
        <v>0</v>
      </c>
      <c r="L36" s="46">
        <f>J36+'5'!L36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Clinker!AW8</f>
        <v>0</v>
      </c>
      <c r="K37" s="46">
        <f>J37+'5'!K37</f>
        <v>0</v>
      </c>
      <c r="L37" s="46">
        <f>J37+'5'!L37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Clinker!BB8</f>
        <v>0</v>
      </c>
      <c r="K38" s="46">
        <f>J38+'5'!K38</f>
        <v>0</v>
      </c>
      <c r="L38" s="46">
        <f>J38+'5'!L38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Clinker!BG8</f>
        <v>0</v>
      </c>
      <c r="K39" s="46">
        <f>J39+'5'!K39</f>
        <v>0</v>
      </c>
      <c r="L39" s="46">
        <f>J39+'5'!L39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180</v>
      </c>
      <c r="D40" s="282"/>
      <c r="E40" s="283"/>
      <c r="F40" s="46"/>
      <c r="G40" s="46"/>
      <c r="H40" s="46"/>
      <c r="I40" s="46"/>
      <c r="J40" s="46">
        <f>Clinker!BL8</f>
        <v>0</v>
      </c>
      <c r="K40" s="46">
        <f>J40+'5'!K40</f>
        <v>0</v>
      </c>
      <c r="L40" s="46">
        <f>J40+'5'!L40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Clinker!BQ8</f>
        <v>0</v>
      </c>
      <c r="K41" s="46">
        <f>J41+'5'!K41</f>
        <v>0</v>
      </c>
      <c r="L41" s="46">
        <f>J41+'5'!L41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Clinker!BV8</f>
        <v>0</v>
      </c>
      <c r="K42" s="46">
        <f>J42+'5'!K42</f>
        <v>0</v>
      </c>
      <c r="L42" s="46">
        <f>J42+'5'!L42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Clinker!CU8</f>
        <v>0</v>
      </c>
      <c r="K43" s="46">
        <f>J43+'5'!K43</f>
        <v>0</v>
      </c>
      <c r="L43" s="46">
        <f>J43+'5'!L43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Clinker!CZ8</f>
        <v>0</v>
      </c>
      <c r="K44" s="46">
        <f>J44+'5'!K44</f>
        <v>0</v>
      </c>
      <c r="L44" s="46">
        <f>J44+'5'!L44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Clinker!DE8</f>
        <v>0</v>
      </c>
      <c r="K45" s="46">
        <f>J45+'5'!K45</f>
        <v>0</v>
      </c>
      <c r="L45" s="46">
        <f>J45+'5'!L45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Clinker!DJ8</f>
        <v>0</v>
      </c>
      <c r="K46" s="46">
        <f>J46+'5'!K46</f>
        <v>0</v>
      </c>
      <c r="L46" s="46">
        <f>J46+'5'!L46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Clinker!DO8</f>
        <v>0</v>
      </c>
      <c r="K47" s="46">
        <f>J47+'5'!K47</f>
        <v>0</v>
      </c>
      <c r="L47" s="46">
        <f>J47+'5'!L47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Clinker!CM8</f>
        <v>5.0000000000181899E-2</v>
      </c>
      <c r="G48" s="46">
        <f>Clinker!CN8</f>
        <v>0</v>
      </c>
      <c r="H48" s="46">
        <f>G48+'5'!H48</f>
        <v>0</v>
      </c>
      <c r="I48" s="46">
        <f>G48+'5'!I48</f>
        <v>0</v>
      </c>
      <c r="J48" s="46">
        <f>Clinker!CP8</f>
        <v>0</v>
      </c>
      <c r="K48" s="46">
        <f>J48+'5'!K48</f>
        <v>0</v>
      </c>
      <c r="L48" s="46">
        <f>J48+'5'!L48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88"/>
      <c r="C49" s="76" t="s">
        <v>102</v>
      </c>
      <c r="D49" s="77"/>
      <c r="E49" s="69"/>
      <c r="F49" s="46">
        <f>Clinker!CC8</f>
        <v>0</v>
      </c>
      <c r="G49" s="46">
        <f>Clinker!CD8</f>
        <v>0</v>
      </c>
      <c r="H49" s="46">
        <f>G49+'5'!H49</f>
        <v>0</v>
      </c>
      <c r="I49" s="46">
        <f>G49+'5'!I49</f>
        <v>0</v>
      </c>
      <c r="J49" s="46">
        <f>Clinker!CF8</f>
        <v>0</v>
      </c>
      <c r="K49" s="46">
        <f>J49+'5'!K49</f>
        <v>0</v>
      </c>
      <c r="L49" s="46">
        <f>J49+'5'!L49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88"/>
      <c r="C50" s="281" t="s">
        <v>154</v>
      </c>
      <c r="D50" s="282"/>
      <c r="E50" s="69"/>
      <c r="F50" s="46">
        <f>Clinker!CH8</f>
        <v>0</v>
      </c>
      <c r="G50" s="46">
        <f>Clinker!CI8</f>
        <v>0</v>
      </c>
      <c r="H50" s="46">
        <f>G50+'5'!H50</f>
        <v>0</v>
      </c>
      <c r="I50" s="46">
        <f>G50+'5'!I50</f>
        <v>0</v>
      </c>
      <c r="J50" s="46">
        <f>Clinker!CK8</f>
        <v>0</v>
      </c>
      <c r="K50" s="46">
        <f>J50+'5'!K50</f>
        <v>0</v>
      </c>
      <c r="L50" s="46">
        <f>J50+'5'!L50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88"/>
      <c r="C51" s="281" t="s">
        <v>155</v>
      </c>
      <c r="D51" s="282"/>
      <c r="E51" s="283"/>
      <c r="F51" s="46">
        <f>Clinker!AF8</f>
        <v>4296.1699999999937</v>
      </c>
      <c r="G51" s="46">
        <f>Clinker!AG8</f>
        <v>0</v>
      </c>
      <c r="H51" s="46">
        <f>G51+'5'!H51</f>
        <v>969.5</v>
      </c>
      <c r="I51" s="46">
        <f>G51+'5'!I51</f>
        <v>3110.45</v>
      </c>
      <c r="J51" s="46">
        <f>Clinker!AI8</f>
        <v>140</v>
      </c>
      <c r="K51" s="46">
        <f>J51+'5'!K51</f>
        <v>862</v>
      </c>
      <c r="L51" s="46">
        <f>J51+'5'!L51</f>
        <v>7687</v>
      </c>
      <c r="M51" s="45">
        <f>F51+G51-J51</f>
        <v>4156.1699999999937</v>
      </c>
      <c r="N51" s="46">
        <v>0</v>
      </c>
      <c r="O51" s="46">
        <v>1500</v>
      </c>
      <c r="P51" s="46">
        <v>3000</v>
      </c>
      <c r="Q51" s="56">
        <f>SUM(M51+N51)-O51</f>
        <v>2656.1699999999937</v>
      </c>
    </row>
    <row r="52" spans="2:17" x14ac:dyDescent="0.25">
      <c r="B52" s="288"/>
      <c r="C52" s="281" t="s">
        <v>156</v>
      </c>
      <c r="D52" s="282"/>
      <c r="E52" s="283"/>
      <c r="F52" s="46">
        <f>Clinker!AB8</f>
        <v>0</v>
      </c>
      <c r="G52" s="46">
        <f>Clinker!AC8</f>
        <v>0</v>
      </c>
      <c r="H52" s="46">
        <f>G52+'5'!H52</f>
        <v>0</v>
      </c>
      <c r="I52" s="46">
        <f>G52+'5'!I52</f>
        <v>0</v>
      </c>
      <c r="J52" s="46">
        <f>Clinker!AD8</f>
        <v>0</v>
      </c>
      <c r="K52" s="46">
        <f>J52+'5'!K52</f>
        <v>0</v>
      </c>
      <c r="L52" s="46">
        <f>J52+'5'!L52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88"/>
      <c r="C53" s="281" t="s">
        <v>146</v>
      </c>
      <c r="D53" s="282"/>
      <c r="E53" s="283"/>
      <c r="F53" s="46">
        <f t="shared" ref="F53:K53" si="1">SUM(F29:F52)</f>
        <v>4296.2199999999939</v>
      </c>
      <c r="G53" s="46">
        <f t="shared" si="1"/>
        <v>0</v>
      </c>
      <c r="H53" s="46">
        <f t="shared" si="1"/>
        <v>969.5</v>
      </c>
      <c r="I53" s="46">
        <f t="shared" si="1"/>
        <v>3110.45</v>
      </c>
      <c r="J53" s="46">
        <f t="shared" si="1"/>
        <v>140</v>
      </c>
      <c r="K53" s="46">
        <f t="shared" si="1"/>
        <v>862</v>
      </c>
      <c r="L53" s="46">
        <f t="shared" ref="L53:Q53" si="2">SUM(L29:L52)</f>
        <v>9034</v>
      </c>
      <c r="M53" s="46">
        <f t="shared" si="2"/>
        <v>4156.2199999999939</v>
      </c>
      <c r="N53" s="49">
        <f t="shared" si="2"/>
        <v>0</v>
      </c>
      <c r="O53" s="46">
        <f t="shared" si="2"/>
        <v>3000</v>
      </c>
      <c r="P53" s="46">
        <f t="shared" si="2"/>
        <v>6000</v>
      </c>
      <c r="Q53" s="46">
        <f t="shared" si="2"/>
        <v>2656.1699999999937</v>
      </c>
    </row>
    <row r="54" spans="2:17" x14ac:dyDescent="0.25">
      <c r="B54" s="289"/>
      <c r="C54" s="284" t="s">
        <v>157</v>
      </c>
      <c r="D54" s="285"/>
      <c r="E54" s="286"/>
      <c r="F54" s="59">
        <f t="shared" ref="F54:M54" si="3">SUM(F27+F53)</f>
        <v>8170.1369999999843</v>
      </c>
      <c r="G54" s="59">
        <f t="shared" si="3"/>
        <v>0</v>
      </c>
      <c r="H54" s="59">
        <f>SUM(H27+H53)</f>
        <v>1654.3400000000001</v>
      </c>
      <c r="I54" s="59">
        <f t="shared" si="3"/>
        <v>4600.53</v>
      </c>
      <c r="J54" s="59">
        <f t="shared" si="3"/>
        <v>405.56</v>
      </c>
      <c r="K54" s="59">
        <f t="shared" si="3"/>
        <v>2566.56</v>
      </c>
      <c r="L54" s="59">
        <f t="shared" si="3"/>
        <v>25455.870000000003</v>
      </c>
      <c r="M54" s="59">
        <f t="shared" si="3"/>
        <v>7764.5769999999848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>SUM(Q27+Q53)</f>
        <v>3719.2099999999919</v>
      </c>
    </row>
    <row r="55" spans="2:17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7" x14ac:dyDescent="0.25">
      <c r="B56" s="288"/>
      <c r="C56" s="281" t="s">
        <v>159</v>
      </c>
      <c r="D56" s="282"/>
      <c r="E56" s="283"/>
      <c r="F56" s="46">
        <f>'Packing bag '!C8</f>
        <v>2411270</v>
      </c>
      <c r="G56" s="46">
        <f>'Packing bag '!D8</f>
        <v>0</v>
      </c>
      <c r="H56" s="46">
        <f>G56+'5'!H56</f>
        <v>0</v>
      </c>
      <c r="I56" s="46">
        <f>G56+'5'!I56</f>
        <v>3152500</v>
      </c>
      <c r="J56" s="46">
        <f>'Packing bag '!E8</f>
        <v>43365</v>
      </c>
      <c r="K56" s="46">
        <f>J56+'5'!K56</f>
        <v>259330</v>
      </c>
      <c r="L56" s="46">
        <f>J56+'5'!L56</f>
        <v>1836164</v>
      </c>
      <c r="M56" s="46">
        <f>F56+G56-J56</f>
        <v>2367905</v>
      </c>
      <c r="N56" s="46"/>
      <c r="O56" s="46">
        <v>400000</v>
      </c>
      <c r="P56" s="46">
        <v>800000</v>
      </c>
      <c r="Q56" s="56">
        <f>SUM(M56+N56)-O56</f>
        <v>1967905</v>
      </c>
    </row>
    <row r="57" spans="2:17" x14ac:dyDescent="0.25">
      <c r="B57" s="288"/>
      <c r="C57" s="281" t="s">
        <v>160</v>
      </c>
      <c r="D57" s="282"/>
      <c r="E57" s="283"/>
      <c r="F57" s="46">
        <f>'Packing bag '!G8</f>
        <v>594949</v>
      </c>
      <c r="G57" s="46">
        <f>'Packing bag '!H8</f>
        <v>0</v>
      </c>
      <c r="H57" s="46">
        <f>G57+'5'!H57</f>
        <v>0</v>
      </c>
      <c r="I57" s="46">
        <f>G57+'5'!I57</f>
        <v>291500</v>
      </c>
      <c r="J57" s="46">
        <f>'Packing bag '!I8</f>
        <v>4335</v>
      </c>
      <c r="K57" s="46">
        <f>J57+'5'!K57</f>
        <v>11547</v>
      </c>
      <c r="L57" s="46">
        <f>J57+'5'!L57</f>
        <v>101168</v>
      </c>
      <c r="M57" s="46">
        <f>F57+G57-J57</f>
        <v>590614</v>
      </c>
      <c r="N57" s="46"/>
      <c r="O57" s="46">
        <v>100000</v>
      </c>
      <c r="P57" s="46">
        <v>250000</v>
      </c>
      <c r="Q57" s="56">
        <f>SUM(M57+N57)-O57</f>
        <v>490614</v>
      </c>
    </row>
    <row r="58" spans="2:17" x14ac:dyDescent="0.25">
      <c r="B58" s="288"/>
      <c r="C58" s="281" t="s">
        <v>161</v>
      </c>
      <c r="D58" s="282"/>
      <c r="E58" s="283"/>
      <c r="F58" s="46">
        <f>'Packing bag '!K8</f>
        <v>515948</v>
      </c>
      <c r="G58" s="46">
        <f>'Packing bag '!L8</f>
        <v>0</v>
      </c>
      <c r="H58" s="46">
        <f>G58+'5'!H58</f>
        <v>0</v>
      </c>
      <c r="I58" s="46">
        <f>G58+'5'!I58</f>
        <v>295000</v>
      </c>
      <c r="J58" s="46">
        <f>'Packing bag '!M8</f>
        <v>1718</v>
      </c>
      <c r="K58" s="46">
        <f>J58+'5'!K58</f>
        <v>14533</v>
      </c>
      <c r="L58" s="46">
        <f>J58+'5'!L58</f>
        <v>186825</v>
      </c>
      <c r="M58" s="46">
        <f>F58+G58-J58</f>
        <v>514230</v>
      </c>
      <c r="N58" s="46"/>
      <c r="O58" s="46">
        <v>50000</v>
      </c>
      <c r="P58" s="46">
        <v>150000</v>
      </c>
      <c r="Q58" s="56">
        <f>SUM(M58+N58)-O58</f>
        <v>464230</v>
      </c>
    </row>
    <row r="59" spans="2:17" x14ac:dyDescent="0.25">
      <c r="B59" s="288"/>
      <c r="C59" s="281" t="s">
        <v>162</v>
      </c>
      <c r="D59" s="282"/>
      <c r="E59" s="283"/>
      <c r="F59" s="46">
        <f>'Packing bag '!O8</f>
        <v>67120</v>
      </c>
      <c r="G59" s="46">
        <f>'Packing bag '!P8</f>
        <v>0</v>
      </c>
      <c r="H59" s="46">
        <f>G59+'5'!H59</f>
        <v>612</v>
      </c>
      <c r="I59" s="46">
        <f>G59+'5'!I59</f>
        <v>0</v>
      </c>
      <c r="J59" s="46">
        <f>'Packing bag '!Q8</f>
        <v>0</v>
      </c>
      <c r="K59" s="46">
        <f>J59+'5'!K59</f>
        <v>1812</v>
      </c>
      <c r="L59" s="46">
        <f>J59+'5'!L59</f>
        <v>16581</v>
      </c>
      <c r="M59" s="46">
        <f>F59+G59-J59</f>
        <v>67120</v>
      </c>
      <c r="N59" s="46"/>
      <c r="O59" s="46"/>
      <c r="P59" s="46"/>
      <c r="Q59" s="56"/>
    </row>
    <row r="60" spans="2:17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G60+'5'!H60</f>
        <v>0</v>
      </c>
      <c r="I60" s="46">
        <f>G60+'5'!I60</f>
        <v>0</v>
      </c>
      <c r="J60" s="46">
        <v>0</v>
      </c>
      <c r="K60" s="46">
        <f>J60+'5'!K60</f>
        <v>0</v>
      </c>
      <c r="L60" s="46">
        <f>J60+'5'!L60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G61+'5'!H61</f>
        <v>0</v>
      </c>
      <c r="I61" s="46">
        <f>G61+'5'!I61</f>
        <v>0</v>
      </c>
      <c r="J61" s="46">
        <v>0</v>
      </c>
      <c r="K61" s="46">
        <f>J61+'5'!K61</f>
        <v>0</v>
      </c>
      <c r="L61" s="46">
        <f>J61+'5'!L61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89"/>
      <c r="C62" s="284" t="s">
        <v>165</v>
      </c>
      <c r="D62" s="285"/>
      <c r="E62" s="286"/>
      <c r="F62" s="59">
        <f>SUM(F56:F61)</f>
        <v>3589287</v>
      </c>
      <c r="G62" s="59">
        <f>SUM(G56:G61)</f>
        <v>0</v>
      </c>
      <c r="H62" s="59">
        <f t="shared" ref="H62:Q62" si="4">SUM(H56:H61)</f>
        <v>612</v>
      </c>
      <c r="I62" s="59">
        <f t="shared" si="4"/>
        <v>3739000</v>
      </c>
      <c r="J62" s="59">
        <f t="shared" si="4"/>
        <v>49418</v>
      </c>
      <c r="K62" s="59">
        <f t="shared" si="4"/>
        <v>287222</v>
      </c>
      <c r="L62" s="59">
        <f t="shared" si="4"/>
        <v>2140738</v>
      </c>
      <c r="M62" s="59">
        <f t="shared" si="4"/>
        <v>3539869</v>
      </c>
      <c r="N62" s="59">
        <f t="shared" si="4"/>
        <v>0</v>
      </c>
      <c r="O62" s="59">
        <f t="shared" si="4"/>
        <v>551500</v>
      </c>
      <c r="P62" s="59">
        <f t="shared" si="4"/>
        <v>1207000</v>
      </c>
      <c r="Q62" s="59">
        <f t="shared" si="4"/>
        <v>2921249</v>
      </c>
    </row>
    <row r="63" spans="2:17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7" x14ac:dyDescent="0.25">
      <c r="B64" s="288"/>
      <c r="C64" s="281" t="s">
        <v>48</v>
      </c>
      <c r="D64" s="282"/>
      <c r="E64" s="283"/>
      <c r="F64" s="46">
        <f>Cement!G8</f>
        <v>0</v>
      </c>
      <c r="G64" s="46">
        <f>Cement!H8</f>
        <v>0</v>
      </c>
      <c r="H64" s="46">
        <f>G64+'5'!H64</f>
        <v>0</v>
      </c>
      <c r="I64" s="46">
        <f>G64+'5'!I64</f>
        <v>0</v>
      </c>
      <c r="J64" s="46">
        <v>0</v>
      </c>
      <c r="K64" s="46">
        <f>J64+'5'!K64</f>
        <v>0</v>
      </c>
      <c r="L64" s="46"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Cement!K8</f>
        <v>0</v>
      </c>
      <c r="G65" s="46">
        <f>Cement!L8</f>
        <v>0</v>
      </c>
      <c r="H65" s="46">
        <f>G65+'5'!H65</f>
        <v>0</v>
      </c>
      <c r="I65" s="46">
        <f>G65+'5'!I65</f>
        <v>0</v>
      </c>
      <c r="J65" s="46">
        <f>Cement!M8</f>
        <v>0</v>
      </c>
      <c r="K65" s="46">
        <f>J65+'5'!K65</f>
        <v>0</v>
      </c>
      <c r="L65" s="46">
        <f>J65+'5'!L65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Diesel!B8</f>
        <v>49347</v>
      </c>
      <c r="G68" s="46">
        <f>Diesel!C8</f>
        <v>0</v>
      </c>
      <c r="H68" s="46">
        <f>G68+'5'!H68</f>
        <v>32000</v>
      </c>
      <c r="I68" s="46">
        <f>G68+'5'!I68</f>
        <v>122000</v>
      </c>
      <c r="J68" s="46">
        <v>0</v>
      </c>
      <c r="K68" s="46">
        <f>J68+'5'!K68</f>
        <v>0</v>
      </c>
      <c r="L68" s="46">
        <f>J68+'5'!L68</f>
        <v>0</v>
      </c>
      <c r="M68" s="46">
        <f>F68+G68-J68-J76</f>
        <v>45742</v>
      </c>
      <c r="N68" s="46"/>
      <c r="O68" s="46">
        <v>30000</v>
      </c>
      <c r="P68" s="46">
        <v>60000</v>
      </c>
      <c r="Q68" s="56">
        <f>SUM(M68+N68)-O68</f>
        <v>15742</v>
      </c>
    </row>
    <row r="69" spans="2:17" x14ac:dyDescent="0.25">
      <c r="B69" s="297"/>
      <c r="C69" s="281" t="s">
        <v>171</v>
      </c>
      <c r="D69" s="282"/>
      <c r="E69" s="283"/>
      <c r="F69" s="46">
        <f>Diesel!Y8</f>
        <v>0</v>
      </c>
      <c r="G69" s="46">
        <f>Diesel!Z8</f>
        <v>0</v>
      </c>
      <c r="H69" s="46">
        <f>G69+'5'!H69</f>
        <v>0</v>
      </c>
      <c r="I69" s="46">
        <f>G69+'5'!I69</f>
        <v>0</v>
      </c>
      <c r="J69" s="46">
        <f>Diesel!O8</f>
        <v>0</v>
      </c>
      <c r="K69" s="46">
        <f>J69+'5'!K69</f>
        <v>0</v>
      </c>
      <c r="L69" s="46">
        <f>J69+'5'!L69</f>
        <v>15000</v>
      </c>
      <c r="M69" s="46"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G70+'5'!H70</f>
        <v>0</v>
      </c>
      <c r="I70" s="46">
        <f>G70+'5'!I70</f>
        <v>0</v>
      </c>
      <c r="J70" s="46">
        <f>Diesel!P8</f>
        <v>0</v>
      </c>
      <c r="K70" s="46">
        <f>J70+'5'!K70</f>
        <v>40</v>
      </c>
      <c r="L70" s="46">
        <f>J70+'5'!L70</f>
        <v>643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G71+'5'!H71</f>
        <v>0</v>
      </c>
      <c r="I71" s="46">
        <f>G71+'5'!I71</f>
        <v>0</v>
      </c>
      <c r="J71" s="46">
        <f>Diesel!Q8</f>
        <v>2000</v>
      </c>
      <c r="K71" s="46">
        <f>J71+'5'!K71</f>
        <v>7340</v>
      </c>
      <c r="L71" s="46">
        <f>J71+'5'!L71</f>
        <v>61975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G72+'5'!H72</f>
        <v>0</v>
      </c>
      <c r="I72" s="46">
        <f>G72+'5'!I72</f>
        <v>0</v>
      </c>
      <c r="J72" s="46">
        <f>Diesel!R8</f>
        <v>1605</v>
      </c>
      <c r="K72" s="46">
        <f>J72+'5'!K72</f>
        <v>5023</v>
      </c>
      <c r="L72" s="46">
        <f>J72+'5'!L72</f>
        <v>47731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G73+'5'!H73</f>
        <v>0</v>
      </c>
      <c r="I73" s="46">
        <f>G73+'5'!I73</f>
        <v>0</v>
      </c>
      <c r="J73" s="46">
        <f>Diesel!S8</f>
        <v>0</v>
      </c>
      <c r="K73" s="46">
        <f>J73+'5'!K73</f>
        <v>0</v>
      </c>
      <c r="L73" s="46">
        <f>J73+'5'!L73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G74+'5'!H74</f>
        <v>0</v>
      </c>
      <c r="I74" s="46">
        <f>G74+'5'!I74</f>
        <v>0</v>
      </c>
      <c r="J74" s="46">
        <f>Diesel!T8</f>
        <v>0</v>
      </c>
      <c r="K74" s="46">
        <f>J74+'5'!K74</f>
        <v>0</v>
      </c>
      <c r="L74" s="46">
        <f>J74+'5'!L74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G75+'5'!H75</f>
        <v>0</v>
      </c>
      <c r="I75" s="46">
        <f>G75+'5'!I75</f>
        <v>0</v>
      </c>
      <c r="J75" s="61">
        <f>Diesel!U8</f>
        <v>0</v>
      </c>
      <c r="K75" s="46">
        <f>J75+'5'!K75</f>
        <v>0</v>
      </c>
      <c r="L75" s="46">
        <f>J75+'5'!L75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49347</v>
      </c>
      <c r="G76" s="62">
        <f t="shared" ref="G76:M76" si="6">SUM(G68:G75)</f>
        <v>0</v>
      </c>
      <c r="H76" s="62">
        <f t="shared" si="6"/>
        <v>32000</v>
      </c>
      <c r="I76" s="62">
        <f t="shared" si="6"/>
        <v>122000</v>
      </c>
      <c r="J76" s="62">
        <f t="shared" si="6"/>
        <v>3605</v>
      </c>
      <c r="K76" s="62">
        <f t="shared" si="6"/>
        <v>12403</v>
      </c>
      <c r="L76" s="62">
        <f t="shared" si="6"/>
        <v>125349</v>
      </c>
      <c r="M76" s="62">
        <f t="shared" si="6"/>
        <v>45742</v>
      </c>
      <c r="N76" s="63"/>
      <c r="O76" s="64"/>
      <c r="P76" s="62"/>
      <c r="Q76" s="65"/>
    </row>
  </sheetData>
  <mergeCells count="70">
    <mergeCell ref="C59:E59"/>
    <mergeCell ref="C6:E6"/>
    <mergeCell ref="C7:E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1:E51"/>
    <mergeCell ref="C52:E52"/>
    <mergeCell ref="C28:E28"/>
    <mergeCell ref="C29:E29"/>
    <mergeCell ref="C30:E30"/>
    <mergeCell ref="C34:E34"/>
    <mergeCell ref="C35:E35"/>
    <mergeCell ref="C31:E31"/>
    <mergeCell ref="C32:E32"/>
    <mergeCell ref="C37:D37"/>
    <mergeCell ref="C38:D38"/>
    <mergeCell ref="C40:E40"/>
    <mergeCell ref="C50:D50"/>
    <mergeCell ref="C47:D47"/>
    <mergeCell ref="C11:E11"/>
    <mergeCell ref="C27:E27"/>
    <mergeCell ref="C14:D14"/>
    <mergeCell ref="C13:D13"/>
    <mergeCell ref="C12:E12"/>
    <mergeCell ref="C17:E17"/>
    <mergeCell ref="C18:E18"/>
    <mergeCell ref="C20:D20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36:D36"/>
    <mergeCell ref="C15:D15"/>
    <mergeCell ref="B63:B66"/>
    <mergeCell ref="C63:Q63"/>
    <mergeCell ref="C64:E64"/>
    <mergeCell ref="C65:E65"/>
    <mergeCell ref="C66:E66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</mergeCells>
  <pageMargins left="0.7" right="0.7" top="0.75" bottom="0.75" header="0.3" footer="0.3"/>
  <pageSetup paperSize="9" scale="4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pageSetUpPr fitToPage="1"/>
  </sheetPr>
  <dimension ref="B1:T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7" sqref="J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20" ht="15.75" thickBot="1" x14ac:dyDescent="0.3"/>
    <row r="2" spans="2:20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20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>
        <v>46180</v>
      </c>
      <c r="Q3" s="316"/>
    </row>
    <row r="4" spans="2:20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20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20" x14ac:dyDescent="0.25">
      <c r="B6" s="54">
        <v>1</v>
      </c>
      <c r="C6" s="308" t="s">
        <v>135</v>
      </c>
      <c r="D6" s="309"/>
      <c r="E6" s="310"/>
      <c r="F6" s="45">
        <f>Clinker!C9</f>
        <v>2262.92</v>
      </c>
      <c r="G6" s="45">
        <f>Clinker!D9</f>
        <v>0</v>
      </c>
      <c r="H6" s="45">
        <f>G6+'6'!H6</f>
        <v>0</v>
      </c>
      <c r="I6" s="45">
        <f>G6+'6'!I6</f>
        <v>417.28000000000003</v>
      </c>
      <c r="J6" s="45">
        <f>Clinker!E9</f>
        <v>77</v>
      </c>
      <c r="K6" s="45">
        <f>J6+'6'!K6</f>
        <v>462</v>
      </c>
      <c r="L6" s="45">
        <f>J6+'6'!L6</f>
        <v>3597</v>
      </c>
      <c r="M6" s="45">
        <f>F6+G6-J6</f>
        <v>2185.92</v>
      </c>
      <c r="N6" s="45">
        <v>0</v>
      </c>
      <c r="O6" s="45">
        <v>3000</v>
      </c>
      <c r="P6" s="45">
        <v>6000</v>
      </c>
      <c r="Q6" s="55">
        <f>SUM(M6+N6)-O6</f>
        <v>-814.07999999999993</v>
      </c>
    </row>
    <row r="7" spans="2:20" x14ac:dyDescent="0.25">
      <c r="B7" s="50">
        <v>2</v>
      </c>
      <c r="C7" s="305" t="s">
        <v>136</v>
      </c>
      <c r="D7" s="306"/>
      <c r="E7" s="307"/>
      <c r="F7" s="46">
        <f>Cement!C9</f>
        <v>3472.3827025982823</v>
      </c>
      <c r="G7" s="46">
        <f>Cement!D9</f>
        <v>0</v>
      </c>
      <c r="H7" s="45">
        <f>G7+'6'!H7</f>
        <v>31.2</v>
      </c>
      <c r="I7" s="45">
        <f>G7+'6'!I7</f>
        <v>2157.8199999999997</v>
      </c>
      <c r="J7" s="46">
        <f>Cement!I9</f>
        <v>75.785264244210396</v>
      </c>
      <c r="K7" s="45">
        <f>J7+'6'!K7</f>
        <v>842.9084198021053</v>
      </c>
      <c r="L7" s="45">
        <f>J7+'6'!L7</f>
        <v>6069.1384101296062</v>
      </c>
      <c r="M7" s="45">
        <f>F7+G7-J7</f>
        <v>3396.597438354072</v>
      </c>
      <c r="N7" s="46">
        <v>62.16</v>
      </c>
      <c r="O7" s="46">
        <v>3000</v>
      </c>
      <c r="P7" s="46">
        <v>6000</v>
      </c>
      <c r="Q7" s="56">
        <f>SUM(M7+N7)-O7</f>
        <v>458.75743835407184</v>
      </c>
      <c r="S7" s="90"/>
    </row>
    <row r="8" spans="2:20" x14ac:dyDescent="0.25">
      <c r="B8" s="124">
        <v>3</v>
      </c>
      <c r="C8" s="121" t="s">
        <v>29</v>
      </c>
      <c r="D8" s="122"/>
      <c r="E8" s="123"/>
      <c r="F8" s="46">
        <f>Clinker!EI9</f>
        <v>30020.985085039458</v>
      </c>
      <c r="G8" s="46">
        <f>Clinker!EJ9</f>
        <v>1480</v>
      </c>
      <c r="H8" s="45">
        <f>G8+'6'!H8</f>
        <v>11458</v>
      </c>
      <c r="I8" s="45">
        <f>G8+'6'!I8</f>
        <v>110374.66</v>
      </c>
      <c r="J8" s="46">
        <f>Clinker!EK9</f>
        <v>1090.8039989680001</v>
      </c>
      <c r="K8" s="45">
        <f>J8+'6'!K8</f>
        <v>12299.721001735503</v>
      </c>
      <c r="L8" s="45">
        <f>J8+'6'!L8</f>
        <v>92095.568021555431</v>
      </c>
      <c r="M8" s="45">
        <f>F8+G8-J8</f>
        <v>30410.181086071458</v>
      </c>
      <c r="N8" s="46">
        <v>0</v>
      </c>
      <c r="O8" s="46"/>
      <c r="P8" s="46"/>
      <c r="Q8" s="56"/>
    </row>
    <row r="9" spans="2:20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20" x14ac:dyDescent="0.25">
      <c r="B10" s="288"/>
      <c r="C10" s="281" t="s">
        <v>138</v>
      </c>
      <c r="D10" s="282"/>
      <c r="E10" s="283"/>
      <c r="F10" s="46">
        <f>Clinker!K9</f>
        <v>0</v>
      </c>
      <c r="G10" s="46">
        <f>Clinker!L9</f>
        <v>0</v>
      </c>
      <c r="H10" s="46">
        <f>G10+'6'!H10</f>
        <v>0</v>
      </c>
      <c r="I10" s="46">
        <f>G10+'6'!I10</f>
        <v>0</v>
      </c>
      <c r="J10" s="46">
        <f>Clinker!N9</f>
        <v>0</v>
      </c>
      <c r="K10" s="46">
        <f>J10+'6'!K10</f>
        <v>0</v>
      </c>
      <c r="L10" s="46">
        <f>J10+'6'!L10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  <c r="T10" t="s">
        <v>183</v>
      </c>
    </row>
    <row r="11" spans="2:20" x14ac:dyDescent="0.25">
      <c r="B11" s="288"/>
      <c r="C11" s="281" t="s">
        <v>139</v>
      </c>
      <c r="D11" s="282"/>
      <c r="E11" s="283"/>
      <c r="F11" s="46">
        <f>Clinker!W9</f>
        <v>1063.0399999999981</v>
      </c>
      <c r="G11" s="46">
        <f>Clinker!X9</f>
        <v>0</v>
      </c>
      <c r="H11" s="46">
        <f>G11+'6'!H11</f>
        <v>0</v>
      </c>
      <c r="I11" s="46">
        <f>G11+'6'!I11</f>
        <v>0</v>
      </c>
      <c r="J11" s="46">
        <f>Clinker!Z9</f>
        <v>0</v>
      </c>
      <c r="K11" s="46">
        <f>J11+'6'!K11</f>
        <v>0</v>
      </c>
      <c r="L11" s="46">
        <f>J11+'6'!L11</f>
        <v>7623.8399999999992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20" ht="15" customHeight="1" x14ac:dyDescent="0.25">
      <c r="B12" s="288"/>
      <c r="C12" s="281" t="s">
        <v>140</v>
      </c>
      <c r="D12" s="282"/>
      <c r="E12" s="283"/>
      <c r="F12" s="46">
        <f>Clinker!AT9</f>
        <v>1236.4400000000021</v>
      </c>
      <c r="G12" s="46">
        <f>Clinker!AU9</f>
        <v>0</v>
      </c>
      <c r="H12" s="46">
        <f>G12+'6'!H12</f>
        <v>0</v>
      </c>
      <c r="I12" s="46">
        <f>G12+'6'!I12</f>
        <v>181.5</v>
      </c>
      <c r="J12" s="46">
        <f>Clinker!AV9</f>
        <v>250</v>
      </c>
      <c r="K12" s="46">
        <f>J12+'6'!K12</f>
        <v>1947.46</v>
      </c>
      <c r="L12" s="46">
        <f>J12+'6'!L12</f>
        <v>4689.1600000000008</v>
      </c>
      <c r="M12" s="45">
        <f>F12+G12-J12-J37</f>
        <v>986.4400000000021</v>
      </c>
      <c r="N12" s="46">
        <v>0</v>
      </c>
      <c r="O12" s="46"/>
      <c r="P12" s="46"/>
      <c r="Q12" s="70"/>
    </row>
    <row r="13" spans="2:20" x14ac:dyDescent="0.25">
      <c r="B13" s="288"/>
      <c r="C13" s="281" t="s">
        <v>9</v>
      </c>
      <c r="D13" s="282"/>
      <c r="E13" s="69"/>
      <c r="F13" s="46">
        <f>Clinker!AO9</f>
        <v>0</v>
      </c>
      <c r="G13" s="46">
        <f>Clinker!AP9</f>
        <v>0</v>
      </c>
      <c r="H13" s="46">
        <f>G13+'6'!H13</f>
        <v>0</v>
      </c>
      <c r="I13" s="46">
        <f>G13+'6'!I13</f>
        <v>0</v>
      </c>
      <c r="J13" s="46">
        <f>Clinker!AQ9</f>
        <v>0</v>
      </c>
      <c r="K13" s="46">
        <f>J13+'6'!K13</f>
        <v>0</v>
      </c>
      <c r="L13" s="46">
        <f>J13+'6'!L13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20" x14ac:dyDescent="0.25">
      <c r="B14" s="288"/>
      <c r="C14" s="281" t="s">
        <v>8</v>
      </c>
      <c r="D14" s="282"/>
      <c r="E14" s="69"/>
      <c r="F14" s="46">
        <f>Clinker!AK9</f>
        <v>0</v>
      </c>
      <c r="G14" s="46">
        <f>Clinker!AL9</f>
        <v>0</v>
      </c>
      <c r="H14" s="46">
        <f>G14+'6'!H14</f>
        <v>0</v>
      </c>
      <c r="I14" s="46">
        <f>G14+'6'!I14</f>
        <v>0</v>
      </c>
      <c r="J14" s="46">
        <f>Clinker!AM9</f>
        <v>0</v>
      </c>
      <c r="K14" s="46">
        <f>J14+'6'!K14</f>
        <v>0</v>
      </c>
      <c r="L14" s="46">
        <f>J14+'6'!L14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20" x14ac:dyDescent="0.25">
      <c r="B15" s="288"/>
      <c r="C15" s="281" t="s">
        <v>11</v>
      </c>
      <c r="D15" s="282"/>
      <c r="E15" s="69"/>
      <c r="F15" s="46">
        <f>Clinker!AY9</f>
        <v>1004.8669999999903</v>
      </c>
      <c r="G15" s="46">
        <f>Clinker!AZ9</f>
        <v>0</v>
      </c>
      <c r="H15" s="46">
        <f>G15+'6'!H15</f>
        <v>592.84</v>
      </c>
      <c r="I15" s="46">
        <f>G15+'6'!I15</f>
        <v>1004.58</v>
      </c>
      <c r="J15" s="46">
        <f>Clinker!BA9</f>
        <v>0</v>
      </c>
      <c r="K15" s="46">
        <f>J15+'6'!K15</f>
        <v>0</v>
      </c>
      <c r="L15" s="46">
        <f>J15+'6'!L15</f>
        <v>0</v>
      </c>
      <c r="M15" s="45">
        <f>F15+G15-J15-J38</f>
        <v>1004.8669999999903</v>
      </c>
      <c r="N15" s="75">
        <v>690.24</v>
      </c>
      <c r="O15" s="46">
        <v>5000</v>
      </c>
      <c r="P15" s="46">
        <v>9000</v>
      </c>
      <c r="Q15" s="70"/>
    </row>
    <row r="16" spans="2:20" x14ac:dyDescent="0.25">
      <c r="B16" s="288"/>
      <c r="C16" s="76" t="s">
        <v>141</v>
      </c>
      <c r="D16" s="77"/>
      <c r="E16" s="69"/>
      <c r="F16" s="46">
        <f>Clinker!BD9</f>
        <v>0</v>
      </c>
      <c r="G16" s="46">
        <f>Clinker!BE9</f>
        <v>0</v>
      </c>
      <c r="H16" s="46">
        <f>G16+'6'!H16</f>
        <v>0</v>
      </c>
      <c r="I16" s="46">
        <f>G16+'6'!I16</f>
        <v>0</v>
      </c>
      <c r="J16" s="46">
        <f>Clinker!BF9</f>
        <v>0</v>
      </c>
      <c r="K16" s="46">
        <f>J16+'6'!K16</f>
        <v>0</v>
      </c>
      <c r="L16" s="46">
        <f>J16+'6'!L16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182</v>
      </c>
      <c r="D17" s="282"/>
      <c r="E17" s="283"/>
      <c r="F17" s="46">
        <f>Clinker!BI9</f>
        <v>0</v>
      </c>
      <c r="G17" s="46">
        <f>Clinker!BJ9</f>
        <v>0</v>
      </c>
      <c r="H17" s="46">
        <f>G17+'6'!H17</f>
        <v>0</v>
      </c>
      <c r="I17" s="46">
        <f>G17+'6'!I17</f>
        <v>0</v>
      </c>
      <c r="J17" s="46">
        <f>Clinker!BK9</f>
        <v>0</v>
      </c>
      <c r="K17" s="46">
        <f>J17+'6'!K17</f>
        <v>0</v>
      </c>
      <c r="L17" s="46">
        <f>J17+'6'!L17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Clinker!BN9</f>
        <v>0</v>
      </c>
      <c r="G18" s="46">
        <f>Clinker!BO9</f>
        <v>0</v>
      </c>
      <c r="H18" s="46">
        <f>G18+'6'!H18</f>
        <v>0</v>
      </c>
      <c r="I18" s="46">
        <f>G18+'6'!I18</f>
        <v>0</v>
      </c>
      <c r="J18" s="46">
        <f>Clinker!BP9</f>
        <v>0</v>
      </c>
      <c r="K18" s="46">
        <f>J18+'6'!K18</f>
        <v>0</v>
      </c>
      <c r="L18" s="46">
        <f>J18+'6'!L18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Clinker!BS9</f>
        <v>0</v>
      </c>
      <c r="G19" s="46">
        <f>Clinker!BT9</f>
        <v>0</v>
      </c>
      <c r="H19" s="46">
        <f>G19+'6'!H19</f>
        <v>0</v>
      </c>
      <c r="I19" s="46">
        <f>G19+'6'!I19</f>
        <v>0</v>
      </c>
      <c r="J19" s="46">
        <f>Clinker!BU9</f>
        <v>0</v>
      </c>
      <c r="K19" s="46">
        <f>J19+'6'!K19</f>
        <v>0</v>
      </c>
      <c r="L19" s="46">
        <f>J19+'6'!L19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16</v>
      </c>
      <c r="D20" s="282"/>
      <c r="E20" s="69"/>
      <c r="F20" s="46">
        <f>Clinker!BX9</f>
        <v>0</v>
      </c>
      <c r="G20" s="46">
        <f>Clinker!BY9</f>
        <v>0</v>
      </c>
      <c r="H20" s="46">
        <f>G20+'6'!H20</f>
        <v>0</v>
      </c>
      <c r="I20" s="46">
        <f>G20+'6'!I20</f>
        <v>0</v>
      </c>
      <c r="J20" s="46">
        <f>Clinker!BZ9</f>
        <v>0</v>
      </c>
      <c r="K20" s="46">
        <f>J20+'6'!K20</f>
        <v>0</v>
      </c>
      <c r="L20" s="46">
        <f>J20+'6'!L20</f>
        <v>4052.88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Clinker!CR9</f>
        <v>0</v>
      </c>
      <c r="G21" s="46">
        <f>Clinker!CS9</f>
        <v>0</v>
      </c>
      <c r="H21" s="46">
        <f>G21+'6'!H21</f>
        <v>0</v>
      </c>
      <c r="I21" s="46">
        <f>G21+'6'!I21</f>
        <v>0</v>
      </c>
      <c r="J21" s="46">
        <f>Clinker!CT9</f>
        <v>0</v>
      </c>
      <c r="K21" s="46">
        <f>J21+'6'!K21</f>
        <v>0</v>
      </c>
      <c r="L21" s="46">
        <f>J21+'6'!L21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143</v>
      </c>
      <c r="D22" s="77"/>
      <c r="E22" s="69"/>
      <c r="F22" s="46">
        <f>Clinker!CW9</f>
        <v>0</v>
      </c>
      <c r="G22" s="46">
        <f>Clinker!CX9</f>
        <v>0</v>
      </c>
      <c r="H22" s="46">
        <f>G22+'6'!H22</f>
        <v>0</v>
      </c>
      <c r="I22" s="46">
        <f>G22+'6'!I22</f>
        <v>0</v>
      </c>
      <c r="J22" s="46">
        <f>Clinker!CY9</f>
        <v>0</v>
      </c>
      <c r="K22" s="46">
        <f>J22+'6'!K22</f>
        <v>0</v>
      </c>
      <c r="L22" s="46">
        <f>J22+'6'!L22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Clinker!DB9</f>
        <v>1.0000000000013998E-2</v>
      </c>
      <c r="G23" s="46">
        <f>Clinker!DC9</f>
        <v>0</v>
      </c>
      <c r="H23" s="46">
        <f>G23+'6'!H23</f>
        <v>0</v>
      </c>
      <c r="I23" s="46">
        <f>G23+'6'!I23</f>
        <v>0</v>
      </c>
      <c r="J23" s="46">
        <f>Clinker!DD9</f>
        <v>0</v>
      </c>
      <c r="K23" s="46">
        <f>J23+'6'!K23</f>
        <v>7.1</v>
      </c>
      <c r="L23" s="46">
        <f>J23+'6'!L23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Clinker!DG9</f>
        <v>0</v>
      </c>
      <c r="G24" s="46">
        <f>Clinker!DH9</f>
        <v>0</v>
      </c>
      <c r="H24" s="46">
        <f>G24+'6'!H24</f>
        <v>0</v>
      </c>
      <c r="I24" s="46">
        <f>G24+'6'!I24</f>
        <v>0</v>
      </c>
      <c r="J24" s="46">
        <f>Clinker!DI9</f>
        <v>0</v>
      </c>
      <c r="K24" s="46">
        <f>J24+'6'!K24</f>
        <v>0</v>
      </c>
      <c r="L24" s="46">
        <f>J24+'6'!L24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Clinker!DL9</f>
        <v>304</v>
      </c>
      <c r="G25" s="46">
        <f>Clinker!DM9</f>
        <v>0</v>
      </c>
      <c r="H25" s="46">
        <f>G25+'6'!H25</f>
        <v>92</v>
      </c>
      <c r="I25" s="46">
        <f>G25+'6'!I25</f>
        <v>304</v>
      </c>
      <c r="J25" s="46">
        <f>Clinker!DN9</f>
        <v>0</v>
      </c>
      <c r="K25" s="46">
        <f>J25+'6'!K25</f>
        <v>0</v>
      </c>
      <c r="L25" s="46">
        <f>J25+'6'!L25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Clinker!DV9</f>
        <v>0</v>
      </c>
      <c r="G26" s="46">
        <f>Clinker!DW9</f>
        <v>0</v>
      </c>
      <c r="H26" s="46">
        <f>G26+'6'!H26</f>
        <v>0</v>
      </c>
      <c r="I26" s="46">
        <f>G26+'6'!I26</f>
        <v>0</v>
      </c>
      <c r="J26" s="46">
        <f>Clinker!DX9</f>
        <v>0</v>
      </c>
      <c r="K26" s="46">
        <f>J26+'6'!K26</f>
        <v>0</v>
      </c>
      <c r="L26" s="46">
        <f>J26+'6'!L26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3608.3569999999909</v>
      </c>
      <c r="G27" s="46">
        <f t="shared" ref="G27:Q27" si="0">SUM(G10:G26)</f>
        <v>0</v>
      </c>
      <c r="H27" s="46">
        <f t="shared" si="0"/>
        <v>684.84</v>
      </c>
      <c r="I27" s="46">
        <f t="shared" si="0"/>
        <v>1490.08</v>
      </c>
      <c r="J27" s="46">
        <f t="shared" si="0"/>
        <v>250</v>
      </c>
      <c r="K27" s="46">
        <f t="shared" si="0"/>
        <v>1954.56</v>
      </c>
      <c r="L27" s="46">
        <f t="shared" si="0"/>
        <v>16671.870000000003</v>
      </c>
      <c r="M27" s="46">
        <f t="shared" si="0"/>
        <v>3358.3569999999909</v>
      </c>
      <c r="N27" s="46">
        <f>SUM(N10:N26)</f>
        <v>690.24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Clinker!Q9</f>
        <v>0</v>
      </c>
      <c r="G29" s="46">
        <f>Clinker!R9</f>
        <v>0</v>
      </c>
      <c r="H29" s="46">
        <f>G29+'6'!H29</f>
        <v>0</v>
      </c>
      <c r="I29" s="46">
        <f>G29+'6'!I29</f>
        <v>0</v>
      </c>
      <c r="J29" s="46">
        <f>Clinker!S9</f>
        <v>0</v>
      </c>
      <c r="K29" s="46">
        <f>J29+'6'!K29</f>
        <v>0</v>
      </c>
      <c r="L29" s="46">
        <f>J29+'6'!L29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G30+'6'!H30</f>
        <v>0</v>
      </c>
      <c r="I30" s="46">
        <f>G30+'6'!I30</f>
        <v>0</v>
      </c>
      <c r="J30" s="46">
        <v>0</v>
      </c>
      <c r="K30" s="46">
        <f>J30+'6'!K30</f>
        <v>0</v>
      </c>
      <c r="L30" s="46">
        <f>J30+'6'!L30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G31+'6'!H31</f>
        <v>0</v>
      </c>
      <c r="I31" s="46">
        <f>G31+'6'!I31</f>
        <v>0</v>
      </c>
      <c r="J31" s="46">
        <v>0</v>
      </c>
      <c r="K31" s="46">
        <f>J31+'6'!K31</f>
        <v>0</v>
      </c>
      <c r="L31" s="46">
        <f>J31+'6'!L31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f>Clinker!DQ9</f>
        <v>0</v>
      </c>
      <c r="G32" s="46">
        <f>Clinker!DR9</f>
        <v>0</v>
      </c>
      <c r="H32" s="46">
        <f>G32+'6'!H32</f>
        <v>0</v>
      </c>
      <c r="I32" s="46">
        <f>G32+'6'!I32</f>
        <v>0</v>
      </c>
      <c r="J32" s="46">
        <f>Clinker!DT9</f>
        <v>0</v>
      </c>
      <c r="K32" s="46">
        <f>J32+'6'!K32</f>
        <v>0</v>
      </c>
      <c r="L32" s="46">
        <f>J32+'6'!L32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G33+'6'!H33</f>
        <v>0</v>
      </c>
      <c r="I33" s="46">
        <f>G33+'6'!I33</f>
        <v>0</v>
      </c>
      <c r="J33" s="46">
        <v>0</v>
      </c>
      <c r="K33" s="46">
        <f>J33+'6'!K33</f>
        <v>0</v>
      </c>
      <c r="L33" s="46">
        <f>J33+'6'!L33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Clinker!Y9</f>
        <v>0</v>
      </c>
      <c r="K34" s="46">
        <f>J34+'6'!K34</f>
        <v>0</v>
      </c>
      <c r="L34" s="46">
        <f>J34+'6'!L34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Clinker!M9</f>
        <v>0</v>
      </c>
      <c r="K35" s="46">
        <f>J35+'6'!K35</f>
        <v>0</v>
      </c>
      <c r="L35" s="46">
        <f>J35+'6'!L35</f>
        <v>0</v>
      </c>
      <c r="M35" s="45"/>
      <c r="N35" s="46"/>
      <c r="O35" s="46"/>
      <c r="P35" s="46"/>
      <c r="Q35" s="56"/>
    </row>
    <row r="36" spans="2:17" ht="15" customHeight="1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Clinker!AR9</f>
        <v>0</v>
      </c>
      <c r="K36" s="46">
        <f>J36+'6'!K36</f>
        <v>0</v>
      </c>
      <c r="L36" s="46">
        <f>J36+'6'!L36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Clinker!AW9</f>
        <v>0</v>
      </c>
      <c r="K37" s="46">
        <f>J37+'6'!K37</f>
        <v>0</v>
      </c>
      <c r="L37" s="46">
        <f>J37+'6'!L37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Clinker!BB9</f>
        <v>0</v>
      </c>
      <c r="K38" s="46">
        <f>J38+'6'!K38</f>
        <v>0</v>
      </c>
      <c r="L38" s="46">
        <f>J38+'6'!L38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Clinker!BG9</f>
        <v>0</v>
      </c>
      <c r="K39" s="46">
        <f>J39+'6'!K39</f>
        <v>0</v>
      </c>
      <c r="L39" s="46">
        <f>J39+'6'!L39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180</v>
      </c>
      <c r="D40" s="282"/>
      <c r="E40" s="283"/>
      <c r="F40" s="46"/>
      <c r="G40" s="46"/>
      <c r="H40" s="46"/>
      <c r="I40" s="46"/>
      <c r="J40" s="46">
        <f>Clinker!BL9</f>
        <v>0</v>
      </c>
      <c r="K40" s="46">
        <f>J40+'6'!K40</f>
        <v>0</v>
      </c>
      <c r="L40" s="46">
        <f>J40+'6'!L40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Clinker!BQ9</f>
        <v>0</v>
      </c>
      <c r="K41" s="46">
        <f>J41+'6'!K41</f>
        <v>0</v>
      </c>
      <c r="L41" s="46">
        <f>J41+'6'!L41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Clinker!BV9</f>
        <v>0</v>
      </c>
      <c r="K42" s="46">
        <f>J42+'6'!K42</f>
        <v>0</v>
      </c>
      <c r="L42" s="46">
        <f>J42+'6'!L42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Clinker!CU9</f>
        <v>0</v>
      </c>
      <c r="K43" s="46">
        <f>J43+'6'!K43</f>
        <v>0</v>
      </c>
      <c r="L43" s="46">
        <f>J43+'6'!L43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Clinker!CZ9</f>
        <v>0</v>
      </c>
      <c r="K44" s="46">
        <f>J44+'6'!K44</f>
        <v>0</v>
      </c>
      <c r="L44" s="46">
        <f>J44+'6'!L44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Clinker!DE9</f>
        <v>0</v>
      </c>
      <c r="K45" s="46">
        <f>J45+'6'!K45</f>
        <v>0</v>
      </c>
      <c r="L45" s="46">
        <f>J45+'6'!L45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Clinker!DJ9</f>
        <v>0</v>
      </c>
      <c r="K46" s="46">
        <f>J46+'6'!K46</f>
        <v>0</v>
      </c>
      <c r="L46" s="46">
        <f>J46+'6'!L46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Clinker!DO9</f>
        <v>0</v>
      </c>
      <c r="K47" s="46">
        <f>J47+'6'!K47</f>
        <v>0</v>
      </c>
      <c r="L47" s="46">
        <f>J47+'6'!L47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181</v>
      </c>
      <c r="D48" s="77"/>
      <c r="E48" s="69"/>
      <c r="F48" s="46">
        <f>Clinker!CM9</f>
        <v>5.0000000000181899E-2</v>
      </c>
      <c r="G48" s="46">
        <f>Clinker!CN9</f>
        <v>0</v>
      </c>
      <c r="H48" s="46">
        <f>G48+'6'!H48</f>
        <v>0</v>
      </c>
      <c r="I48" s="46">
        <f>G48+'6'!I48</f>
        <v>0</v>
      </c>
      <c r="J48" s="46">
        <f>Clinker!CP9</f>
        <v>0</v>
      </c>
      <c r="K48" s="46">
        <f>J48+'6'!K48</f>
        <v>0</v>
      </c>
      <c r="L48" s="46">
        <f>J48+'6'!L48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Clinker!CC9</f>
        <v>0</v>
      </c>
      <c r="G49" s="46">
        <f>Clinker!CD9</f>
        <v>0</v>
      </c>
      <c r="H49" s="46">
        <f>G49+'6'!H49</f>
        <v>0</v>
      </c>
      <c r="I49" s="46">
        <f>G49+'6'!I49</f>
        <v>0</v>
      </c>
      <c r="J49" s="46">
        <f>Clinker!CF9</f>
        <v>0</v>
      </c>
      <c r="K49" s="46">
        <f>J49+'6'!K49</f>
        <v>0</v>
      </c>
      <c r="L49" s="46">
        <f>J49+'6'!L49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Clinker!CH9</f>
        <v>0</v>
      </c>
      <c r="G50" s="46">
        <f>Clinker!CI9</f>
        <v>0</v>
      </c>
      <c r="H50" s="46">
        <f>G50+'6'!H50</f>
        <v>0</v>
      </c>
      <c r="I50" s="46">
        <f>G50+'6'!I50</f>
        <v>0</v>
      </c>
      <c r="J50" s="46">
        <f>Clinker!CK9</f>
        <v>0</v>
      </c>
      <c r="K50" s="46">
        <f>J50+'6'!K50</f>
        <v>0</v>
      </c>
      <c r="L50" s="46">
        <f>J50+'6'!L50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Clinker!AF9</f>
        <v>4156.1699999999937</v>
      </c>
      <c r="G51" s="46">
        <f>Clinker!AG9</f>
        <v>0</v>
      </c>
      <c r="H51" s="46">
        <f>G51+'6'!H51</f>
        <v>969.5</v>
      </c>
      <c r="I51" s="46">
        <f>G51+'6'!I51</f>
        <v>3110.45</v>
      </c>
      <c r="J51" s="46">
        <f>Clinker!AI9</f>
        <v>138</v>
      </c>
      <c r="K51" s="46">
        <f>J51+'6'!K51</f>
        <v>1000</v>
      </c>
      <c r="L51" s="46">
        <f>J51+'6'!L51</f>
        <v>7825</v>
      </c>
      <c r="M51" s="45">
        <f>F51+G51-J51</f>
        <v>4018.1699999999937</v>
      </c>
      <c r="N51" s="46">
        <v>311.64999999999998</v>
      </c>
      <c r="O51" s="46">
        <v>1500</v>
      </c>
      <c r="P51" s="46">
        <v>3000</v>
      </c>
      <c r="Q51" s="56">
        <f>SUM(M51+N51)-O51</f>
        <v>2829.8199999999933</v>
      </c>
    </row>
    <row r="52" spans="2:19" x14ac:dyDescent="0.25">
      <c r="B52" s="288"/>
      <c r="C52" s="281" t="s">
        <v>156</v>
      </c>
      <c r="D52" s="282"/>
      <c r="E52" s="283"/>
      <c r="F52" s="46">
        <f>Clinker!AB9</f>
        <v>0</v>
      </c>
      <c r="G52" s="46">
        <f>Clinker!AC9</f>
        <v>0</v>
      </c>
      <c r="H52" s="46">
        <f>G52+'6'!H52</f>
        <v>0</v>
      </c>
      <c r="I52" s="46">
        <f>G52+'6'!I52</f>
        <v>0</v>
      </c>
      <c r="J52" s="46">
        <f>Clinker!AD9</f>
        <v>0</v>
      </c>
      <c r="K52" s="46">
        <f>J52+'6'!K52</f>
        <v>0</v>
      </c>
      <c r="L52" s="46">
        <f>J52+'6'!L52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>SUM(F29:F52)</f>
        <v>4156.2199999999939</v>
      </c>
      <c r="G53" s="46">
        <f>SUM(G29:G52)</f>
        <v>0</v>
      </c>
      <c r="H53" s="46">
        <f>SUM(H29:H52)</f>
        <v>969.5</v>
      </c>
      <c r="I53" s="46">
        <f>SUM(I29:I52)</f>
        <v>3110.45</v>
      </c>
      <c r="J53" s="46">
        <f>SUM(J29:J52)</f>
        <v>138</v>
      </c>
      <c r="K53" s="46">
        <f t="shared" ref="K53:P53" si="1">SUM(K29:K52)</f>
        <v>1000</v>
      </c>
      <c r="L53" s="46">
        <f t="shared" si="1"/>
        <v>9172</v>
      </c>
      <c r="M53" s="46">
        <f t="shared" si="1"/>
        <v>4018.2199999999939</v>
      </c>
      <c r="N53" s="49">
        <f t="shared" si="1"/>
        <v>311.64999999999998</v>
      </c>
      <c r="O53" s="46">
        <f t="shared" si="1"/>
        <v>3000</v>
      </c>
      <c r="P53" s="46">
        <f t="shared" si="1"/>
        <v>6000</v>
      </c>
      <c r="Q53" s="46">
        <f>SUM(Q29:Q52)</f>
        <v>2829.8199999999933</v>
      </c>
    </row>
    <row r="54" spans="2:19" x14ac:dyDescent="0.25">
      <c r="B54" s="289"/>
      <c r="C54" s="284" t="s">
        <v>157</v>
      </c>
      <c r="D54" s="285"/>
      <c r="E54" s="286"/>
      <c r="F54" s="59">
        <f>SUM(F27+F53)</f>
        <v>7764.5769999999848</v>
      </c>
      <c r="G54" s="59">
        <f>SUM(G27+G53)</f>
        <v>0</v>
      </c>
      <c r="H54" s="59">
        <f t="shared" ref="H54:Q54" si="2">SUM(H27+H53)</f>
        <v>1654.3400000000001</v>
      </c>
      <c r="I54" s="59">
        <f t="shared" si="2"/>
        <v>4600.53</v>
      </c>
      <c r="J54" s="59">
        <f>SUM(J27+J53)</f>
        <v>388</v>
      </c>
      <c r="K54" s="59">
        <f t="shared" si="2"/>
        <v>2954.56</v>
      </c>
      <c r="L54" s="59">
        <f t="shared" si="2"/>
        <v>25843.870000000003</v>
      </c>
      <c r="M54" s="59">
        <f t="shared" si="2"/>
        <v>7376.5769999999848</v>
      </c>
      <c r="N54" s="59">
        <f>N27+N53</f>
        <v>1001.89</v>
      </c>
      <c r="O54" s="59">
        <f>SUM(O27+O53)</f>
        <v>13000</v>
      </c>
      <c r="P54" s="59">
        <f>SUM(P27+P53)</f>
        <v>24000</v>
      </c>
      <c r="Q54" s="59">
        <f t="shared" si="2"/>
        <v>3892.8599999999915</v>
      </c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'!C9</f>
        <v>2367905</v>
      </c>
      <c r="G56" s="46">
        <f>'Packing bag '!D9</f>
        <v>0</v>
      </c>
      <c r="H56" s="46">
        <f>G56+'6'!H56</f>
        <v>0</v>
      </c>
      <c r="I56" s="46">
        <f>G56+'6'!I56</f>
        <v>3152500</v>
      </c>
      <c r="J56" s="46">
        <f>'Packing bag '!E9</f>
        <v>46006</v>
      </c>
      <c r="K56" s="46">
        <f>J56+'6'!K56</f>
        <v>305336</v>
      </c>
      <c r="L56" s="46">
        <f>J56+'6'!L56</f>
        <v>1882170</v>
      </c>
      <c r="M56" s="46">
        <f>F56+G56-J56</f>
        <v>2321899</v>
      </c>
      <c r="N56" s="46"/>
      <c r="O56" s="46">
        <v>400000</v>
      </c>
      <c r="P56" s="46">
        <v>800000</v>
      </c>
      <c r="Q56" s="56">
        <f>SUM(M56+N56)-O56</f>
        <v>1921899</v>
      </c>
    </row>
    <row r="57" spans="2:19" x14ac:dyDescent="0.25">
      <c r="B57" s="288"/>
      <c r="C57" s="281" t="s">
        <v>160</v>
      </c>
      <c r="D57" s="282"/>
      <c r="E57" s="283"/>
      <c r="F57" s="46">
        <f>'Packing bag '!G9</f>
        <v>590614</v>
      </c>
      <c r="G57" s="46">
        <f>'Packing bag '!H9</f>
        <v>0</v>
      </c>
      <c r="H57" s="46">
        <f>G57+'6'!H57</f>
        <v>0</v>
      </c>
      <c r="I57" s="46">
        <f>G57+'6'!I57</f>
        <v>291500</v>
      </c>
      <c r="J57" s="46">
        <f>'Packing bag '!I9</f>
        <v>0</v>
      </c>
      <c r="K57" s="46">
        <f>J57+'6'!K57</f>
        <v>11547</v>
      </c>
      <c r="L57" s="46">
        <f>J57+'6'!L57</f>
        <v>101168</v>
      </c>
      <c r="M57" s="46">
        <f>F57+G57-J57</f>
        <v>590614</v>
      </c>
      <c r="N57" s="46"/>
      <c r="O57" s="46">
        <v>100000</v>
      </c>
      <c r="P57" s="46">
        <v>250000</v>
      </c>
      <c r="Q57" s="56">
        <f>SUM(M57+N57)-O57</f>
        <v>490614</v>
      </c>
    </row>
    <row r="58" spans="2:19" x14ac:dyDescent="0.25">
      <c r="B58" s="288"/>
      <c r="C58" s="281" t="s">
        <v>161</v>
      </c>
      <c r="D58" s="282"/>
      <c r="E58" s="283"/>
      <c r="F58" s="46">
        <f>'Packing bag '!K9</f>
        <v>514230</v>
      </c>
      <c r="G58" s="46">
        <f>'Packing bag '!L9</f>
        <v>0</v>
      </c>
      <c r="H58" s="46">
        <f>G58+'6'!H58</f>
        <v>0</v>
      </c>
      <c r="I58" s="46">
        <f>G58+'6'!I58</f>
        <v>295000</v>
      </c>
      <c r="J58" s="46">
        <f>'Packing bag '!M9</f>
        <v>5727</v>
      </c>
      <c r="K58" s="46">
        <f>J58+'6'!K58</f>
        <v>20260</v>
      </c>
      <c r="L58" s="46">
        <f>J58+'6'!L58</f>
        <v>192552</v>
      </c>
      <c r="M58" s="46">
        <f>F58+G58-J58</f>
        <v>508503</v>
      </c>
      <c r="N58" s="46"/>
      <c r="O58" s="46">
        <v>50000</v>
      </c>
      <c r="P58" s="46">
        <v>150000</v>
      </c>
      <c r="Q58" s="56">
        <f>SUM(M58+N58)-O58</f>
        <v>458503</v>
      </c>
    </row>
    <row r="59" spans="2:19" x14ac:dyDescent="0.25">
      <c r="B59" s="288"/>
      <c r="C59" s="281" t="s">
        <v>162</v>
      </c>
      <c r="D59" s="282"/>
      <c r="E59" s="283"/>
      <c r="F59" s="46">
        <f>'Packing bag '!O9</f>
        <v>67120</v>
      </c>
      <c r="G59" s="46">
        <f>'Packing bag '!P9</f>
        <v>0</v>
      </c>
      <c r="H59" s="46">
        <f>G59+'6'!H59</f>
        <v>612</v>
      </c>
      <c r="I59" s="46">
        <f>G59+'6'!I59</f>
        <v>0</v>
      </c>
      <c r="J59" s="46">
        <f>'Packing bag '!Q9</f>
        <v>0</v>
      </c>
      <c r="K59" s="46">
        <f>J59+'6'!K59</f>
        <v>1812</v>
      </c>
      <c r="L59" s="46">
        <f>J59+'6'!L59</f>
        <v>16581</v>
      </c>
      <c r="M59" s="46">
        <f>F59+G59-J59</f>
        <v>67120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G60+'6'!H60</f>
        <v>0</v>
      </c>
      <c r="I60" s="46">
        <f>G60+'6'!I60</f>
        <v>0</v>
      </c>
      <c r="J60" s="46">
        <v>0</v>
      </c>
      <c r="K60" s="46">
        <f>J60+'6'!K60</f>
        <v>0</v>
      </c>
      <c r="L60" s="46">
        <f>J60+'6'!L60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G61+'6'!H61</f>
        <v>0</v>
      </c>
      <c r="I61" s="46">
        <f>G61+'6'!I61</f>
        <v>0</v>
      </c>
      <c r="J61" s="46">
        <v>0</v>
      </c>
      <c r="K61" s="46">
        <f>J61+'6'!K61</f>
        <v>0</v>
      </c>
      <c r="L61" s="46">
        <f>J61+'6'!L61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3539869</v>
      </c>
      <c r="G62" s="59">
        <f>SUM(G56:G61)</f>
        <v>0</v>
      </c>
      <c r="H62" s="59">
        <f t="shared" ref="H62:Q62" si="3">SUM(H56:H61)</f>
        <v>612</v>
      </c>
      <c r="I62" s="59">
        <f t="shared" si="3"/>
        <v>3739000</v>
      </c>
      <c r="J62" s="59">
        <f t="shared" si="3"/>
        <v>51733</v>
      </c>
      <c r="K62" s="59">
        <f t="shared" si="3"/>
        <v>338955</v>
      </c>
      <c r="L62" s="59">
        <f t="shared" si="3"/>
        <v>2192471</v>
      </c>
      <c r="M62" s="59">
        <f t="shared" si="3"/>
        <v>3488136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59">
        <f t="shared" si="3"/>
        <v>2869516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Cement!G9</f>
        <v>0</v>
      </c>
      <c r="G64" s="46">
        <f>Cement!H9</f>
        <v>0</v>
      </c>
      <c r="H64" s="46">
        <f>G64+'6'!H64</f>
        <v>0</v>
      </c>
      <c r="I64" s="46">
        <f>G64+'6'!I64</f>
        <v>0</v>
      </c>
      <c r="J64" s="46">
        <v>0</v>
      </c>
      <c r="K64" s="46">
        <f>J64+'6'!K64</f>
        <v>0</v>
      </c>
      <c r="L64" s="46">
        <f>J64+'6'!L64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Cement!K9</f>
        <v>0</v>
      </c>
      <c r="G65" s="46">
        <f>Cement!L9</f>
        <v>0</v>
      </c>
      <c r="H65" s="46">
        <f>G65+'6'!H65</f>
        <v>0</v>
      </c>
      <c r="I65" s="46">
        <f>G65+'6'!I65</f>
        <v>0</v>
      </c>
      <c r="J65" s="46">
        <v>0</v>
      </c>
      <c r="K65" s="46">
        <f>J65+'6'!K65</f>
        <v>0</v>
      </c>
      <c r="L65" s="46">
        <f>J65+'6'!L65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Diesel!B9</f>
        <v>45742</v>
      </c>
      <c r="G68" s="46">
        <f>Diesel!C9</f>
        <v>0</v>
      </c>
      <c r="H68" s="46">
        <f>G68+'6'!H68</f>
        <v>32000</v>
      </c>
      <c r="I68" s="46">
        <f>G68+'6'!I68</f>
        <v>122000</v>
      </c>
      <c r="J68" s="46">
        <v>0</v>
      </c>
      <c r="K68" s="46">
        <f>J68+'6'!K68</f>
        <v>0</v>
      </c>
      <c r="L68" s="46">
        <f>J68+'6'!L68</f>
        <v>0</v>
      </c>
      <c r="M68" s="46">
        <f>F68+G68-J68-J76</f>
        <v>45742</v>
      </c>
      <c r="N68" s="46"/>
      <c r="O68" s="46">
        <v>30000</v>
      </c>
      <c r="P68" s="46">
        <v>60000</v>
      </c>
      <c r="Q68" s="56">
        <f>SUM(M68+N68)-O68</f>
        <v>15742</v>
      </c>
    </row>
    <row r="69" spans="2:17" x14ac:dyDescent="0.25">
      <c r="B69" s="297"/>
      <c r="C69" s="281" t="s">
        <v>171</v>
      </c>
      <c r="D69" s="282"/>
      <c r="E69" s="283"/>
      <c r="F69" s="46">
        <f>Diesel!Y9</f>
        <v>0</v>
      </c>
      <c r="G69" s="46">
        <f>Diesel!Z9</f>
        <v>0</v>
      </c>
      <c r="H69" s="46">
        <f>G69+'6'!H69</f>
        <v>0</v>
      </c>
      <c r="I69" s="46">
        <f>G69+'6'!I69</f>
        <v>0</v>
      </c>
      <c r="J69" s="46">
        <f>Diesel!O9</f>
        <v>0</v>
      </c>
      <c r="K69" s="46">
        <f>J69+'6'!K69</f>
        <v>0</v>
      </c>
      <c r="L69" s="46">
        <f>J69+'6'!L69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G70+'6'!H70</f>
        <v>0</v>
      </c>
      <c r="I70" s="46">
        <f>G70+'6'!I70</f>
        <v>0</v>
      </c>
      <c r="J70" s="46">
        <f>Diesel!P9</f>
        <v>0</v>
      </c>
      <c r="K70" s="46">
        <f>J70+'6'!K70</f>
        <v>40</v>
      </c>
      <c r="L70" s="46">
        <f>J70+'6'!L70</f>
        <v>643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G71+'6'!H71</f>
        <v>0</v>
      </c>
      <c r="I71" s="46">
        <f>G71+'6'!I71</f>
        <v>0</v>
      </c>
      <c r="J71" s="46">
        <f>Diesel!Q9</f>
        <v>0</v>
      </c>
      <c r="K71" s="46">
        <f>J71+'6'!K71</f>
        <v>7340</v>
      </c>
      <c r="L71" s="46">
        <f>J71+'6'!L71</f>
        <v>61975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G72+'6'!H72</f>
        <v>0</v>
      </c>
      <c r="I72" s="46">
        <f>G72+'6'!I72</f>
        <v>0</v>
      </c>
      <c r="J72" s="46">
        <f>Diesel!R9</f>
        <v>0</v>
      </c>
      <c r="K72" s="46">
        <f>J72+'6'!K72</f>
        <v>5023</v>
      </c>
      <c r="L72" s="46">
        <f>J72+'6'!L72</f>
        <v>47731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G73+'6'!H73</f>
        <v>0</v>
      </c>
      <c r="I73" s="46">
        <f>G73+'6'!I73</f>
        <v>0</v>
      </c>
      <c r="J73" s="46">
        <f>Diesel!S9</f>
        <v>0</v>
      </c>
      <c r="K73" s="46">
        <f>J73+'6'!K73</f>
        <v>0</v>
      </c>
      <c r="L73" s="46">
        <f>J73+'6'!L73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G74+'6'!H74</f>
        <v>0</v>
      </c>
      <c r="I74" s="46">
        <f>G74+'6'!I74</f>
        <v>0</v>
      </c>
      <c r="J74" s="46">
        <f>Diesel!T9</f>
        <v>0</v>
      </c>
      <c r="K74" s="46">
        <f>J74+'6'!K74</f>
        <v>0</v>
      </c>
      <c r="L74" s="46">
        <f>J74+'6'!L74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G75+'6'!H75</f>
        <v>0</v>
      </c>
      <c r="I75" s="46">
        <f>G75+'6'!I75</f>
        <v>0</v>
      </c>
      <c r="J75" s="61">
        <f>Diesel!U9</f>
        <v>0</v>
      </c>
      <c r="K75" s="46">
        <f>J75+'6'!K75</f>
        <v>0</v>
      </c>
      <c r="L75" s="46">
        <f>J75+'6'!L75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45742</v>
      </c>
      <c r="G76" s="62">
        <f t="shared" ref="G76:M76" si="5">SUM(G68:G75)</f>
        <v>0</v>
      </c>
      <c r="H76" s="62">
        <f t="shared" si="5"/>
        <v>32000</v>
      </c>
      <c r="I76" s="62">
        <f t="shared" si="5"/>
        <v>122000</v>
      </c>
      <c r="J76" s="62">
        <f t="shared" si="5"/>
        <v>0</v>
      </c>
      <c r="K76" s="62">
        <f t="shared" si="5"/>
        <v>12403</v>
      </c>
      <c r="L76" s="62">
        <f t="shared" si="5"/>
        <v>125349</v>
      </c>
      <c r="M76" s="62">
        <f t="shared" si="5"/>
        <v>45742</v>
      </c>
      <c r="N76" s="63"/>
      <c r="O76" s="64"/>
      <c r="P76" s="62"/>
      <c r="Q76" s="65"/>
    </row>
  </sheetData>
  <mergeCells count="70"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  <mergeCell ref="C6:E6"/>
    <mergeCell ref="C7:E7"/>
    <mergeCell ref="C29:E29"/>
    <mergeCell ref="C30:E30"/>
    <mergeCell ref="C34:E34"/>
    <mergeCell ref="C31:E31"/>
    <mergeCell ref="C32:E32"/>
    <mergeCell ref="C51:E51"/>
    <mergeCell ref="C11:E11"/>
    <mergeCell ref="C27:E27"/>
    <mergeCell ref="C14:D14"/>
    <mergeCell ref="C15:D15"/>
    <mergeCell ref="C37:D37"/>
    <mergeCell ref="C38:D38"/>
    <mergeCell ref="C17:E17"/>
    <mergeCell ref="C18:E18"/>
    <mergeCell ref="C20:D20"/>
    <mergeCell ref="C47:D47"/>
    <mergeCell ref="C36:D36"/>
    <mergeCell ref="C40:E40"/>
    <mergeCell ref="C50:D50"/>
    <mergeCell ref="C35:E35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2:E12"/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</mergeCells>
  <pageMargins left="0.7" right="0.7" top="0.75" bottom="0.75" header="0.3" footer="0.3"/>
  <pageSetup paperSize="9" scale="4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7" sqref="J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9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>
        <v>46181</v>
      </c>
      <c r="Q3" s="316"/>
    </row>
    <row r="4" spans="2:19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9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9" x14ac:dyDescent="0.25">
      <c r="B6" s="54">
        <v>1</v>
      </c>
      <c r="C6" s="308" t="s">
        <v>135</v>
      </c>
      <c r="D6" s="309"/>
      <c r="E6" s="310"/>
      <c r="F6" s="45">
        <f>Clinker!C10</f>
        <v>2185.92</v>
      </c>
      <c r="G6" s="45">
        <f>Clinker!D10</f>
        <v>0</v>
      </c>
      <c r="H6" s="45">
        <f>G6+'7'!H6</f>
        <v>0</v>
      </c>
      <c r="I6" s="45">
        <f>G6+'7'!I6</f>
        <v>417.28000000000003</v>
      </c>
      <c r="J6" s="45">
        <f>Clinker!E10</f>
        <v>64</v>
      </c>
      <c r="K6" s="45">
        <f>J6+'7'!K6</f>
        <v>526</v>
      </c>
      <c r="L6" s="45">
        <f>J6+'7'!L6</f>
        <v>3661</v>
      </c>
      <c r="M6" s="45">
        <f>F6+G6-J6</f>
        <v>2121.92</v>
      </c>
      <c r="N6" s="45">
        <v>0</v>
      </c>
      <c r="O6" s="45">
        <v>3000</v>
      </c>
      <c r="P6" s="45">
        <v>6000</v>
      </c>
      <c r="Q6" s="55">
        <f>SUM(M6+N6)-O6</f>
        <v>-878.07999999999993</v>
      </c>
    </row>
    <row r="7" spans="2:19" x14ac:dyDescent="0.25">
      <c r="B7" s="50">
        <v>2</v>
      </c>
      <c r="C7" s="305" t="s">
        <v>136</v>
      </c>
      <c r="D7" s="306"/>
      <c r="E7" s="307"/>
      <c r="F7" s="46">
        <f>Cement!C10</f>
        <v>3396.597438354072</v>
      </c>
      <c r="G7" s="46">
        <f>Cement!D10</f>
        <v>0</v>
      </c>
      <c r="H7" s="45">
        <f>G7+'7'!H7</f>
        <v>31.2</v>
      </c>
      <c r="I7" s="45">
        <f>G7+'7'!I7</f>
        <v>2157.8199999999997</v>
      </c>
      <c r="J7" s="46">
        <f>Cement!I10</f>
        <v>82.631578952600009</v>
      </c>
      <c r="K7" s="45">
        <f>J7+'7'!K7</f>
        <v>925.53999875470527</v>
      </c>
      <c r="L7" s="45">
        <f>J7+'7'!L7</f>
        <v>6151.7699890822059</v>
      </c>
      <c r="M7" s="45">
        <f>F7+G7-J7</f>
        <v>3313.9658594014718</v>
      </c>
      <c r="N7" s="46">
        <v>0</v>
      </c>
      <c r="O7" s="46">
        <v>3000</v>
      </c>
      <c r="P7" s="46">
        <v>6000</v>
      </c>
      <c r="Q7" s="56">
        <f>SUM(M7+N7)-O7</f>
        <v>313.96585940147179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Clinker!EI10</f>
        <v>30410.181086071458</v>
      </c>
      <c r="G8" s="46">
        <f>Clinker!EJ10</f>
        <v>1390</v>
      </c>
      <c r="H8" s="45">
        <f>G8+'7'!H8</f>
        <v>12848</v>
      </c>
      <c r="I8" s="45">
        <f>G8+'7'!I8</f>
        <v>111764.66</v>
      </c>
      <c r="J8" s="46">
        <f>Clinker!EK10</f>
        <v>1204.14149999503</v>
      </c>
      <c r="K8" s="45">
        <f>J8+'7'!K8</f>
        <v>13503.862501730533</v>
      </c>
      <c r="L8" s="45">
        <f>J8+'7'!L8</f>
        <v>93299.709521550467</v>
      </c>
      <c r="M8" s="45">
        <f>F8+G8-J8</f>
        <v>30596.039586076429</v>
      </c>
      <c r="N8" s="46">
        <v>0</v>
      </c>
      <c r="O8" s="46"/>
      <c r="P8" s="46"/>
      <c r="Q8" s="56"/>
      <c r="S8" s="90"/>
    </row>
    <row r="9" spans="2:19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88"/>
      <c r="C10" s="281" t="s">
        <v>138</v>
      </c>
      <c r="D10" s="282"/>
      <c r="E10" s="283"/>
      <c r="F10" s="46">
        <f>Clinker!K10</f>
        <v>0</v>
      </c>
      <c r="G10" s="46">
        <f>Clinker!L10</f>
        <v>0</v>
      </c>
      <c r="H10" s="46">
        <f>G10+'7'!H10</f>
        <v>0</v>
      </c>
      <c r="I10" s="46">
        <f>G10+'7'!I10</f>
        <v>0</v>
      </c>
      <c r="J10" s="46">
        <f>Clinker!N10</f>
        <v>0</v>
      </c>
      <c r="K10" s="46">
        <f>J10+'7'!K10</f>
        <v>0</v>
      </c>
      <c r="L10" s="46">
        <f>J10+'7'!L10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88"/>
      <c r="C11" s="281" t="s">
        <v>139</v>
      </c>
      <c r="D11" s="282"/>
      <c r="E11" s="283"/>
      <c r="F11" s="46">
        <f>Clinker!W10</f>
        <v>1063.0399999999981</v>
      </c>
      <c r="G11" s="46">
        <f>Clinker!X10</f>
        <v>0</v>
      </c>
      <c r="H11" s="46">
        <f>G11+'7'!H11</f>
        <v>0</v>
      </c>
      <c r="I11" s="46">
        <f>G11+'7'!I11</f>
        <v>0</v>
      </c>
      <c r="J11" s="46">
        <f>Clinker!Z10</f>
        <v>0</v>
      </c>
      <c r="K11" s="46">
        <f>J11+'7'!K11</f>
        <v>0</v>
      </c>
      <c r="L11" s="46">
        <f>J11+'7'!L11</f>
        <v>7623.8399999999992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9" ht="15" customHeight="1" x14ac:dyDescent="0.25">
      <c r="B12" s="288"/>
      <c r="C12" s="281" t="s">
        <v>140</v>
      </c>
      <c r="D12" s="282"/>
      <c r="E12" s="283"/>
      <c r="F12" s="46">
        <f>Clinker!AT10</f>
        <v>986.4400000000021</v>
      </c>
      <c r="G12" s="46">
        <f>Clinker!AU10</f>
        <v>0</v>
      </c>
      <c r="H12" s="46">
        <f>G12+'7'!H12</f>
        <v>0</v>
      </c>
      <c r="I12" s="46">
        <f>G12+'7'!I12</f>
        <v>181.5</v>
      </c>
      <c r="J12" s="46">
        <f>Clinker!AV10</f>
        <v>233.33</v>
      </c>
      <c r="K12" s="46">
        <f>J12+'7'!K12</f>
        <v>2180.79</v>
      </c>
      <c r="L12" s="46">
        <f>J12+'7'!L12</f>
        <v>4922.4900000000007</v>
      </c>
      <c r="M12" s="45">
        <f>F12+G12-J12-J37</f>
        <v>753.11000000000206</v>
      </c>
      <c r="N12" s="46">
        <v>0</v>
      </c>
      <c r="O12" s="46"/>
      <c r="P12" s="46"/>
      <c r="Q12" s="70"/>
    </row>
    <row r="13" spans="2:19" x14ac:dyDescent="0.25">
      <c r="B13" s="288"/>
      <c r="C13" s="281" t="s">
        <v>9</v>
      </c>
      <c r="D13" s="282"/>
      <c r="E13" s="69"/>
      <c r="F13" s="46">
        <f>Clinker!AO10</f>
        <v>0</v>
      </c>
      <c r="G13" s="46">
        <f>Clinker!AP10</f>
        <v>0</v>
      </c>
      <c r="H13" s="46">
        <f>G13+'7'!H13</f>
        <v>0</v>
      </c>
      <c r="I13" s="46">
        <f>G13+'7'!I13</f>
        <v>0</v>
      </c>
      <c r="J13" s="46">
        <f>Clinker!AQ10</f>
        <v>0</v>
      </c>
      <c r="K13" s="46">
        <f>J13+'7'!K13</f>
        <v>0</v>
      </c>
      <c r="L13" s="46">
        <f>J13+'7'!L13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88"/>
      <c r="C14" s="281" t="s">
        <v>8</v>
      </c>
      <c r="D14" s="282"/>
      <c r="E14" s="69"/>
      <c r="F14" s="46">
        <f>Clinker!AK10</f>
        <v>0</v>
      </c>
      <c r="G14" s="46">
        <f>Clinker!AL10</f>
        <v>0</v>
      </c>
      <c r="H14" s="46">
        <f>G14+'7'!H14</f>
        <v>0</v>
      </c>
      <c r="I14" s="46">
        <f>G14+'7'!I14</f>
        <v>0</v>
      </c>
      <c r="J14" s="46">
        <f>Clinker!AM10</f>
        <v>0</v>
      </c>
      <c r="K14" s="46">
        <f>J14+'7'!K14</f>
        <v>0</v>
      </c>
      <c r="L14" s="46">
        <f>J14+'7'!L14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88"/>
      <c r="C15" s="281" t="s">
        <v>11</v>
      </c>
      <c r="D15" s="282"/>
      <c r="E15" s="69"/>
      <c r="F15" s="46">
        <f>Clinker!AY10</f>
        <v>1004.8669999999903</v>
      </c>
      <c r="G15" s="46">
        <f>Clinker!AZ10</f>
        <v>0</v>
      </c>
      <c r="H15" s="46">
        <f>G15+'7'!H15</f>
        <v>592.84</v>
      </c>
      <c r="I15" s="46">
        <f>G15+'7'!I15</f>
        <v>1004.58</v>
      </c>
      <c r="J15" s="46">
        <f>Clinker!BA10</f>
        <v>0</v>
      </c>
      <c r="K15" s="46">
        <f>J15+'7'!K15</f>
        <v>0</v>
      </c>
      <c r="L15" s="46">
        <f>J15+'7'!L15</f>
        <v>0</v>
      </c>
      <c r="M15" s="45">
        <f>F15+G15-J15-J38</f>
        <v>1004.8669999999903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88"/>
      <c r="C16" s="76" t="s">
        <v>141</v>
      </c>
      <c r="D16" s="77"/>
      <c r="E16" s="69"/>
      <c r="F16" s="46">
        <f>Clinker!BD10</f>
        <v>0</v>
      </c>
      <c r="G16" s="46">
        <f>Clinker!BE10</f>
        <v>0</v>
      </c>
      <c r="H16" s="46">
        <f>G16+'7'!H16</f>
        <v>0</v>
      </c>
      <c r="I16" s="46">
        <f>G16+'7'!I16</f>
        <v>0</v>
      </c>
      <c r="J16" s="46">
        <f>Clinker!BF10</f>
        <v>0</v>
      </c>
      <c r="K16" s="46">
        <f>J16+'7'!K16</f>
        <v>0</v>
      </c>
      <c r="L16" s="46">
        <f>J16+'7'!L16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182</v>
      </c>
      <c r="D17" s="282"/>
      <c r="E17" s="283"/>
      <c r="F17" s="46">
        <f>Clinker!BI10</f>
        <v>0</v>
      </c>
      <c r="G17" s="46">
        <f>Clinker!BJ10</f>
        <v>0</v>
      </c>
      <c r="H17" s="46">
        <f>G17+'7'!H17</f>
        <v>0</v>
      </c>
      <c r="I17" s="46">
        <f>G17+'7'!I17</f>
        <v>0</v>
      </c>
      <c r="J17" s="46">
        <f>Clinker!BK10</f>
        <v>0</v>
      </c>
      <c r="K17" s="46">
        <f>J17+'7'!K17</f>
        <v>0</v>
      </c>
      <c r="L17" s="46">
        <f>J17+'7'!L17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Clinker!BN10</f>
        <v>0</v>
      </c>
      <c r="G18" s="46">
        <f>Clinker!BO10</f>
        <v>0</v>
      </c>
      <c r="H18" s="46">
        <f>G18+'7'!H18</f>
        <v>0</v>
      </c>
      <c r="I18" s="46">
        <f>G18+'7'!I18</f>
        <v>0</v>
      </c>
      <c r="J18" s="46">
        <f>Clinker!BP10</f>
        <v>0</v>
      </c>
      <c r="K18" s="46">
        <f>J18+'7'!K18</f>
        <v>0</v>
      </c>
      <c r="L18" s="46">
        <f>J18+'7'!L18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Clinker!BS10</f>
        <v>0</v>
      </c>
      <c r="G19" s="46">
        <f>Clinker!BT10</f>
        <v>0</v>
      </c>
      <c r="H19" s="46">
        <f>G19+'7'!H19</f>
        <v>0</v>
      </c>
      <c r="I19" s="46">
        <f>G19+'7'!I19</f>
        <v>0</v>
      </c>
      <c r="J19" s="46">
        <f>Clinker!BU10</f>
        <v>0</v>
      </c>
      <c r="K19" s="46">
        <f>J19+'7'!K19</f>
        <v>0</v>
      </c>
      <c r="L19" s="46">
        <f>J19+'7'!L19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16</v>
      </c>
      <c r="D20" s="282"/>
      <c r="E20" s="69"/>
      <c r="F20" s="46">
        <f>Clinker!BX10</f>
        <v>0</v>
      </c>
      <c r="G20" s="46">
        <f>Clinker!BY10</f>
        <v>0</v>
      </c>
      <c r="H20" s="46">
        <f>G20+'7'!H20</f>
        <v>0</v>
      </c>
      <c r="I20" s="46">
        <f>G20+'7'!I20</f>
        <v>0</v>
      </c>
      <c r="J20" s="46">
        <f>Clinker!BZ10</f>
        <v>0</v>
      </c>
      <c r="K20" s="46">
        <f>J20+'7'!K20</f>
        <v>0</v>
      </c>
      <c r="L20" s="46">
        <f>J20+'7'!L20</f>
        <v>4052.88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Clinker!CR10</f>
        <v>0</v>
      </c>
      <c r="G21" s="46">
        <f>Clinker!CS10</f>
        <v>0</v>
      </c>
      <c r="H21" s="46">
        <f>G21+'7'!H21</f>
        <v>0</v>
      </c>
      <c r="I21" s="46">
        <f>G21+'7'!I21</f>
        <v>0</v>
      </c>
      <c r="J21" s="46">
        <f>Clinker!CT10</f>
        <v>0</v>
      </c>
      <c r="K21" s="46">
        <f>J21+'7'!K21</f>
        <v>0</v>
      </c>
      <c r="L21" s="46">
        <f>J21+'7'!L21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143</v>
      </c>
      <c r="D22" s="77"/>
      <c r="E22" s="69"/>
      <c r="F22" s="46">
        <f>Clinker!CW10</f>
        <v>0</v>
      </c>
      <c r="G22" s="46">
        <f>Clinker!CX10</f>
        <v>0</v>
      </c>
      <c r="H22" s="46">
        <f>G22+'7'!H22</f>
        <v>0</v>
      </c>
      <c r="I22" s="46">
        <f>G22+'7'!I22</f>
        <v>0</v>
      </c>
      <c r="J22" s="46">
        <f>Clinker!CY10</f>
        <v>0</v>
      </c>
      <c r="K22" s="46">
        <f>J22+'7'!K22</f>
        <v>0</v>
      </c>
      <c r="L22" s="46">
        <f>J22+'7'!L22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Clinker!DB10</f>
        <v>1.0000000000013998E-2</v>
      </c>
      <c r="G23" s="46">
        <f>Clinker!DC10</f>
        <v>0</v>
      </c>
      <c r="H23" s="46">
        <f>G23+'7'!H23</f>
        <v>0</v>
      </c>
      <c r="I23" s="46">
        <f>G23+'7'!I23</f>
        <v>0</v>
      </c>
      <c r="J23" s="46">
        <f>Clinker!DD10</f>
        <v>0</v>
      </c>
      <c r="K23" s="46">
        <f>J23+'7'!K23</f>
        <v>7.1</v>
      </c>
      <c r="L23" s="46">
        <f>J23+'7'!L23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Clinker!DG10</f>
        <v>0</v>
      </c>
      <c r="G24" s="46">
        <f>Clinker!DH10</f>
        <v>0</v>
      </c>
      <c r="H24" s="46">
        <f>G24+'7'!H24</f>
        <v>0</v>
      </c>
      <c r="I24" s="46">
        <f>G24+'7'!I24</f>
        <v>0</v>
      </c>
      <c r="J24" s="46">
        <f>Clinker!DI10</f>
        <v>0</v>
      </c>
      <c r="K24" s="46">
        <f>J24+'7'!K24</f>
        <v>0</v>
      </c>
      <c r="L24" s="46">
        <f>J24+'7'!L24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Clinker!DL10</f>
        <v>304</v>
      </c>
      <c r="G25" s="46">
        <f>Clinker!DM10</f>
        <v>0</v>
      </c>
      <c r="H25" s="46">
        <f>G25+'7'!H25</f>
        <v>92</v>
      </c>
      <c r="I25" s="46">
        <f>G25+'7'!I25</f>
        <v>304</v>
      </c>
      <c r="J25" s="46">
        <f>Clinker!DN10</f>
        <v>0</v>
      </c>
      <c r="K25" s="46">
        <f>J25+'7'!K25</f>
        <v>0</v>
      </c>
      <c r="L25" s="46">
        <f>J25+'7'!L25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Clinker!DV10</f>
        <v>0</v>
      </c>
      <c r="G26" s="46">
        <f>Clinker!DW10</f>
        <v>0</v>
      </c>
      <c r="H26" s="46">
        <f>G26+'7'!H26</f>
        <v>0</v>
      </c>
      <c r="I26" s="46">
        <f>G26+'7'!I26</f>
        <v>0</v>
      </c>
      <c r="J26" s="46">
        <f>Clinker!DX10</f>
        <v>0</v>
      </c>
      <c r="K26" s="46">
        <f>J26+'7'!K26</f>
        <v>0</v>
      </c>
      <c r="L26" s="46">
        <f>J26+'7'!L26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3358.3569999999909</v>
      </c>
      <c r="G27" s="46">
        <f t="shared" ref="G27:Q27" si="0">SUM(G10:G26)</f>
        <v>0</v>
      </c>
      <c r="H27" s="46">
        <f t="shared" si="0"/>
        <v>684.84</v>
      </c>
      <c r="I27" s="46">
        <f t="shared" si="0"/>
        <v>1490.08</v>
      </c>
      <c r="J27" s="46">
        <f t="shared" si="0"/>
        <v>233.33</v>
      </c>
      <c r="K27" s="46">
        <f t="shared" si="0"/>
        <v>2187.89</v>
      </c>
      <c r="L27" s="46">
        <f t="shared" si="0"/>
        <v>16905.2</v>
      </c>
      <c r="M27" s="46">
        <f t="shared" si="0"/>
        <v>3125.0269999999905</v>
      </c>
      <c r="N27" s="46">
        <f>SUM(N10:N26)</f>
        <v>0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Clinker!Q10</f>
        <v>0</v>
      </c>
      <c r="G29" s="46">
        <f>Clinker!R10</f>
        <v>0</v>
      </c>
      <c r="H29" s="46">
        <f>G29+'7'!H29</f>
        <v>0</v>
      </c>
      <c r="I29" s="46">
        <f>G29+'7'!I29</f>
        <v>0</v>
      </c>
      <c r="J29" s="46">
        <f>Clinker!S10</f>
        <v>0</v>
      </c>
      <c r="K29" s="46">
        <f>J29+'7'!K29</f>
        <v>0</v>
      </c>
      <c r="L29" s="46">
        <f>J29+'7'!L29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G30+'7'!H30</f>
        <v>0</v>
      </c>
      <c r="I30" s="46">
        <f>G30+'7'!I30</f>
        <v>0</v>
      </c>
      <c r="J30" s="46">
        <v>0</v>
      </c>
      <c r="K30" s="46">
        <f>J30+'7'!K30</f>
        <v>0</v>
      </c>
      <c r="L30" s="46">
        <f>J30+'7'!L30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G31+'7'!H31</f>
        <v>0</v>
      </c>
      <c r="I31" s="46">
        <f>G31+'7'!I31</f>
        <v>0</v>
      </c>
      <c r="J31" s="46">
        <v>0</v>
      </c>
      <c r="K31" s="46">
        <f>J31+'7'!K31</f>
        <v>0</v>
      </c>
      <c r="L31" s="46">
        <f>J31+'7'!L31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f>Clinker!DQ10</f>
        <v>0</v>
      </c>
      <c r="G32" s="46">
        <f>Clinker!DR10</f>
        <v>0</v>
      </c>
      <c r="H32" s="46">
        <f>G32+'7'!H32</f>
        <v>0</v>
      </c>
      <c r="I32" s="46">
        <f>G32+'7'!I32</f>
        <v>0</v>
      </c>
      <c r="J32" s="46">
        <f>Clinker!DT10</f>
        <v>0</v>
      </c>
      <c r="K32" s="46">
        <f>J32+'7'!K32</f>
        <v>0</v>
      </c>
      <c r="L32" s="46">
        <f>J32+'7'!L32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G33+'7'!H33</f>
        <v>0</v>
      </c>
      <c r="I33" s="46">
        <f>G33+'7'!I33</f>
        <v>0</v>
      </c>
      <c r="J33" s="46">
        <v>0</v>
      </c>
      <c r="K33" s="46">
        <f>J33+'7'!K33</f>
        <v>0</v>
      </c>
      <c r="L33" s="46">
        <f>J33+'7'!L33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Clinker!Y10</f>
        <v>0</v>
      </c>
      <c r="K34" s="46">
        <f>J34+'7'!K34</f>
        <v>0</v>
      </c>
      <c r="L34" s="46">
        <f>J34+'7'!L34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Clinker!M10</f>
        <v>0</v>
      </c>
      <c r="K35" s="46">
        <f>J35+'7'!K35</f>
        <v>0</v>
      </c>
      <c r="L35" s="46">
        <f>J35+'7'!L35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Clinker!AR10</f>
        <v>0</v>
      </c>
      <c r="K36" s="46">
        <f>J36+'7'!K36</f>
        <v>0</v>
      </c>
      <c r="L36" s="46">
        <f>J36+'7'!L36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Clinker!AW10</f>
        <v>0</v>
      </c>
      <c r="K37" s="46">
        <f>J37+'7'!K37</f>
        <v>0</v>
      </c>
      <c r="L37" s="46">
        <f>J37+'7'!L37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Clinker!BB10</f>
        <v>0</v>
      </c>
      <c r="K38" s="46">
        <f>J38+'7'!K38</f>
        <v>0</v>
      </c>
      <c r="L38" s="46">
        <f>J38+'7'!L38</f>
        <v>0</v>
      </c>
      <c r="M38" s="45"/>
      <c r="N38" s="46"/>
      <c r="O38" s="46"/>
      <c r="P38" s="46"/>
      <c r="Q38" s="56"/>
    </row>
    <row r="39" spans="2:17" ht="15.7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Clinker!BG10</f>
        <v>0</v>
      </c>
      <c r="K39" s="46">
        <f>J39+'7'!K39</f>
        <v>0</v>
      </c>
      <c r="L39" s="46">
        <f>J39+'7'!L39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180</v>
      </c>
      <c r="D40" s="282"/>
      <c r="E40" s="283"/>
      <c r="F40" s="46"/>
      <c r="G40" s="46"/>
      <c r="H40" s="46"/>
      <c r="I40" s="46"/>
      <c r="J40" s="46">
        <f>Clinker!BL10</f>
        <v>0</v>
      </c>
      <c r="K40" s="46">
        <f>J40+'7'!K40</f>
        <v>0</v>
      </c>
      <c r="L40" s="46">
        <f>J40+'7'!L40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Clinker!BQ10</f>
        <v>0</v>
      </c>
      <c r="K41" s="46">
        <f>J41+'7'!K41</f>
        <v>0</v>
      </c>
      <c r="L41" s="46">
        <f>J41+'7'!L41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Clinker!BV10</f>
        <v>0</v>
      </c>
      <c r="K42" s="46">
        <f>J42+'7'!K42</f>
        <v>0</v>
      </c>
      <c r="L42" s="46">
        <f>J42+'7'!L42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Clinker!CU10</f>
        <v>0</v>
      </c>
      <c r="K43" s="46">
        <f>J43+'7'!K43</f>
        <v>0</v>
      </c>
      <c r="L43" s="46">
        <f>J43+'7'!L43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Clinker!CZ10</f>
        <v>0</v>
      </c>
      <c r="K44" s="46">
        <f>J44+'7'!K44</f>
        <v>0</v>
      </c>
      <c r="L44" s="46">
        <f>J44+'7'!L44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Clinker!DE10</f>
        <v>0</v>
      </c>
      <c r="K45" s="46">
        <f>J45+'7'!K45</f>
        <v>0</v>
      </c>
      <c r="L45" s="46">
        <f>J45+'7'!L45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Clinker!DJ10</f>
        <v>0</v>
      </c>
      <c r="K46" s="46">
        <f>J46+'7'!K46</f>
        <v>0</v>
      </c>
      <c r="L46" s="46">
        <f>J46+'7'!L46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Clinker!DO10</f>
        <v>0</v>
      </c>
      <c r="K47" s="46">
        <f>J47+'7'!K47</f>
        <v>0</v>
      </c>
      <c r="L47" s="46">
        <f>J47+'7'!L47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Clinker!CM10</f>
        <v>5.0000000000181899E-2</v>
      </c>
      <c r="G48" s="46">
        <f>Clinker!CN10</f>
        <v>0</v>
      </c>
      <c r="H48" s="46">
        <f>G48+'7'!H48</f>
        <v>0</v>
      </c>
      <c r="I48" s="46">
        <f>G48+'7'!I48</f>
        <v>0</v>
      </c>
      <c r="J48" s="46">
        <f>Clinker!CP10</f>
        <v>0</v>
      </c>
      <c r="K48" s="46">
        <f>J48+'7'!K48</f>
        <v>0</v>
      </c>
      <c r="L48" s="46">
        <f>J48+'7'!L48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Clinker!CC10</f>
        <v>0</v>
      </c>
      <c r="G49" s="46">
        <f>Clinker!CD10</f>
        <v>0</v>
      </c>
      <c r="H49" s="46">
        <f>G49+'7'!H49</f>
        <v>0</v>
      </c>
      <c r="I49" s="46">
        <f>G49+'7'!I49</f>
        <v>0</v>
      </c>
      <c r="J49" s="46">
        <f>Clinker!CF10</f>
        <v>0</v>
      </c>
      <c r="K49" s="46">
        <f>J49+'7'!K49</f>
        <v>0</v>
      </c>
      <c r="L49" s="46">
        <f>J49+'7'!L49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Clinker!CH10</f>
        <v>0</v>
      </c>
      <c r="G50" s="46">
        <f>Clinker!CI10</f>
        <v>0</v>
      </c>
      <c r="H50" s="46">
        <f>G50+'7'!H50</f>
        <v>0</v>
      </c>
      <c r="I50" s="46">
        <f>G50+'7'!I50</f>
        <v>0</v>
      </c>
      <c r="J50" s="46">
        <f>Clinker!CK10</f>
        <v>0</v>
      </c>
      <c r="K50" s="46">
        <f>J50+'7'!K50</f>
        <v>0</v>
      </c>
      <c r="L50" s="46">
        <f>J50+'7'!L50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Clinker!AF10</f>
        <v>4018.1699999999937</v>
      </c>
      <c r="G51" s="46">
        <f>Clinker!AG10</f>
        <v>0</v>
      </c>
      <c r="H51" s="46">
        <f>G51+'7'!H51</f>
        <v>969.5</v>
      </c>
      <c r="I51" s="46">
        <f>G51+'7'!I51</f>
        <v>3110.45</v>
      </c>
      <c r="J51" s="46">
        <f>Clinker!AI10</f>
        <v>137</v>
      </c>
      <c r="K51" s="46">
        <f>J51+'7'!K51</f>
        <v>1137</v>
      </c>
      <c r="L51" s="46">
        <f>J51+'7'!L51</f>
        <v>7962</v>
      </c>
      <c r="M51" s="45">
        <f>F51+G51-J51</f>
        <v>3881.1699999999937</v>
      </c>
      <c r="N51" s="46">
        <v>0</v>
      </c>
      <c r="O51" s="46">
        <v>1500</v>
      </c>
      <c r="P51" s="46">
        <v>3000</v>
      </c>
      <c r="Q51" s="56">
        <f>SUM(M51+N51)-O51</f>
        <v>2381.1699999999937</v>
      </c>
    </row>
    <row r="52" spans="2:19" x14ac:dyDescent="0.25">
      <c r="B52" s="288"/>
      <c r="C52" s="281" t="s">
        <v>156</v>
      </c>
      <c r="D52" s="282"/>
      <c r="E52" s="283"/>
      <c r="F52" s="46">
        <f>Clinker!AB10</f>
        <v>0</v>
      </c>
      <c r="G52" s="46">
        <f>Clinker!AC10</f>
        <v>0</v>
      </c>
      <c r="H52" s="46">
        <f>G52+'7'!H52</f>
        <v>0</v>
      </c>
      <c r="I52" s="46">
        <f>G52+'7'!I52</f>
        <v>0</v>
      </c>
      <c r="J52" s="46">
        <f>Clinker!AD10</f>
        <v>0</v>
      </c>
      <c r="K52" s="46">
        <f>J52+'7'!K52</f>
        <v>0</v>
      </c>
      <c r="L52" s="46">
        <f>J52+'7'!L52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 t="shared" ref="F53:Q53" si="1">SUM(F29:F52)</f>
        <v>4018.2199999999939</v>
      </c>
      <c r="G53" s="46">
        <f t="shared" si="1"/>
        <v>0</v>
      </c>
      <c r="H53" s="46">
        <f t="shared" si="1"/>
        <v>969.5</v>
      </c>
      <c r="I53" s="46">
        <f t="shared" si="1"/>
        <v>3110.45</v>
      </c>
      <c r="J53" s="46">
        <f t="shared" si="1"/>
        <v>137</v>
      </c>
      <c r="K53" s="46">
        <f t="shared" si="1"/>
        <v>1137</v>
      </c>
      <c r="L53" s="46">
        <f t="shared" si="1"/>
        <v>9309</v>
      </c>
      <c r="M53" s="46">
        <f t="shared" si="1"/>
        <v>3881.2199999999939</v>
      </c>
      <c r="N53" s="49">
        <f t="shared" ref="N53" si="2">SUM(N29:N52)</f>
        <v>0</v>
      </c>
      <c r="O53" s="46">
        <f>SUM(O29:O52)</f>
        <v>3000</v>
      </c>
      <c r="P53" s="46">
        <f>SUM(P29:P52)</f>
        <v>6000</v>
      </c>
      <c r="Q53" s="46">
        <f t="shared" si="1"/>
        <v>2381.1699999999937</v>
      </c>
    </row>
    <row r="54" spans="2:19" x14ac:dyDescent="0.25">
      <c r="B54" s="289"/>
      <c r="C54" s="284" t="s">
        <v>157</v>
      </c>
      <c r="D54" s="285"/>
      <c r="E54" s="286"/>
      <c r="F54" s="59">
        <f t="shared" ref="F54:Q54" si="3">SUM(F27+F53)</f>
        <v>7376.5769999999848</v>
      </c>
      <c r="G54" s="59">
        <f t="shared" si="3"/>
        <v>0</v>
      </c>
      <c r="H54" s="59">
        <f t="shared" si="3"/>
        <v>1654.3400000000001</v>
      </c>
      <c r="I54" s="59">
        <f t="shared" si="3"/>
        <v>4600.53</v>
      </c>
      <c r="J54" s="59">
        <f t="shared" si="3"/>
        <v>370.33000000000004</v>
      </c>
      <c r="K54" s="59">
        <f t="shared" si="3"/>
        <v>3324.89</v>
      </c>
      <c r="L54" s="59">
        <f t="shared" si="3"/>
        <v>26214.2</v>
      </c>
      <c r="M54" s="59">
        <f t="shared" si="3"/>
        <v>7006.2469999999848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3"/>
        <v>3444.2099999999919</v>
      </c>
      <c r="R54" s="90"/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'!C10</f>
        <v>2321899</v>
      </c>
      <c r="G56" s="46">
        <f>'Packing bag '!D10</f>
        <v>174500</v>
      </c>
      <c r="H56" s="46">
        <f>G56+'7'!H56</f>
        <v>174500</v>
      </c>
      <c r="I56" s="46">
        <f>G56+'7'!I56</f>
        <v>3327000</v>
      </c>
      <c r="J56" s="46">
        <f>'Packing bag '!E10</f>
        <v>29616</v>
      </c>
      <c r="K56" s="46">
        <f>J56+'7'!K56</f>
        <v>334952</v>
      </c>
      <c r="L56" s="46">
        <f>J56+'7'!L56</f>
        <v>1911786</v>
      </c>
      <c r="M56" s="46">
        <f>F56+G56-J56</f>
        <v>2466783</v>
      </c>
      <c r="N56" s="46"/>
      <c r="O56" s="46">
        <v>400000</v>
      </c>
      <c r="P56" s="46">
        <v>800000</v>
      </c>
      <c r="Q56" s="56">
        <f>SUM(M56+N56)-O56</f>
        <v>2066783</v>
      </c>
    </row>
    <row r="57" spans="2:19" x14ac:dyDescent="0.25">
      <c r="B57" s="288"/>
      <c r="C57" s="281" t="s">
        <v>160</v>
      </c>
      <c r="D57" s="282"/>
      <c r="E57" s="283"/>
      <c r="F57" s="46">
        <f>'Packing bag '!G10</f>
        <v>590614</v>
      </c>
      <c r="G57" s="46">
        <f>'Packing bag '!H10</f>
        <v>40500</v>
      </c>
      <c r="H57" s="46">
        <f>G57+'7'!H57</f>
        <v>40500</v>
      </c>
      <c r="I57" s="46">
        <f>G57+'7'!I57</f>
        <v>332000</v>
      </c>
      <c r="J57" s="46">
        <f>'Packing bag '!I10</f>
        <v>2412</v>
      </c>
      <c r="K57" s="46">
        <f>J57+'7'!K57</f>
        <v>13959</v>
      </c>
      <c r="L57" s="46">
        <f>J57+'7'!L57</f>
        <v>103580</v>
      </c>
      <c r="M57" s="46">
        <f>F57+G57-J57</f>
        <v>628702</v>
      </c>
      <c r="N57" s="46"/>
      <c r="O57" s="46">
        <v>100000</v>
      </c>
      <c r="P57" s="46">
        <v>250000</v>
      </c>
      <c r="Q57" s="56">
        <f>SUM(M57+N57)-O57</f>
        <v>528702</v>
      </c>
    </row>
    <row r="58" spans="2:19" x14ac:dyDescent="0.25">
      <c r="B58" s="288"/>
      <c r="C58" s="281" t="s">
        <v>161</v>
      </c>
      <c r="D58" s="282"/>
      <c r="E58" s="283"/>
      <c r="F58" s="46">
        <f>'Packing bag '!K10</f>
        <v>508503</v>
      </c>
      <c r="G58" s="46">
        <f>'Packing bag '!L10</f>
        <v>0</v>
      </c>
      <c r="H58" s="46">
        <f>G58+'7'!H58</f>
        <v>0</v>
      </c>
      <c r="I58" s="46">
        <f>G58+'7'!I58</f>
        <v>295000</v>
      </c>
      <c r="J58" s="46">
        <f>'Packing bag '!M10</f>
        <v>3064</v>
      </c>
      <c r="K58" s="46">
        <f>J58+'7'!K58</f>
        <v>23324</v>
      </c>
      <c r="L58" s="46">
        <f>J58+'7'!L58</f>
        <v>195616</v>
      </c>
      <c r="M58" s="46">
        <f>F58+G58-J58</f>
        <v>505439</v>
      </c>
      <c r="N58" s="46"/>
      <c r="O58" s="46">
        <v>50000</v>
      </c>
      <c r="P58" s="46">
        <v>150000</v>
      </c>
      <c r="Q58" s="56">
        <f>SUM(M58+N58)-O58</f>
        <v>455439</v>
      </c>
    </row>
    <row r="59" spans="2:19" x14ac:dyDescent="0.25">
      <c r="B59" s="288"/>
      <c r="C59" s="281" t="s">
        <v>162</v>
      </c>
      <c r="D59" s="282"/>
      <c r="E59" s="283"/>
      <c r="F59" s="46">
        <f>'Packing bag '!O10</f>
        <v>67120</v>
      </c>
      <c r="G59" s="46">
        <f>'Packing bag '!P10</f>
        <v>85000</v>
      </c>
      <c r="H59" s="46">
        <f>G59+'7'!H59</f>
        <v>85612</v>
      </c>
      <c r="I59" s="46">
        <f>G59+'7'!I59</f>
        <v>85000</v>
      </c>
      <c r="J59" s="46">
        <f>'Packing bag '!Q10</f>
        <v>0</v>
      </c>
      <c r="K59" s="46">
        <f>J59+'7'!K59</f>
        <v>1812</v>
      </c>
      <c r="L59" s="46">
        <f>J59+'7'!L59</f>
        <v>16581</v>
      </c>
      <c r="M59" s="46">
        <f>F59+G59-J59</f>
        <v>152120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G60+'7'!H60</f>
        <v>0</v>
      </c>
      <c r="I60" s="46">
        <f>G60+'7'!I60</f>
        <v>0</v>
      </c>
      <c r="J60" s="46">
        <v>0</v>
      </c>
      <c r="K60" s="46">
        <f>J60+'7'!K60</f>
        <v>0</v>
      </c>
      <c r="L60" s="46">
        <f>J60+'7'!L60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G61+'7'!H61</f>
        <v>0</v>
      </c>
      <c r="I61" s="46">
        <f>G61+'7'!I61</f>
        <v>0</v>
      </c>
      <c r="J61" s="46">
        <v>0</v>
      </c>
      <c r="K61" s="46">
        <f>J61+'7'!K61</f>
        <v>0</v>
      </c>
      <c r="L61" s="46">
        <f>J61+'7'!L61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3488136</v>
      </c>
      <c r="G62" s="59">
        <f>SUM(G56:G61)</f>
        <v>300000</v>
      </c>
      <c r="H62" s="59">
        <f t="shared" ref="H62:Q62" si="4">SUM(H56:H61)</f>
        <v>300612</v>
      </c>
      <c r="I62" s="59">
        <f t="shared" si="4"/>
        <v>4039000</v>
      </c>
      <c r="J62" s="59">
        <f t="shared" si="4"/>
        <v>35092</v>
      </c>
      <c r="K62" s="59">
        <f t="shared" si="4"/>
        <v>374047</v>
      </c>
      <c r="L62" s="59">
        <f t="shared" si="4"/>
        <v>2227563</v>
      </c>
      <c r="M62" s="59">
        <f t="shared" si="4"/>
        <v>3753044</v>
      </c>
      <c r="N62" s="59">
        <f t="shared" si="4"/>
        <v>0</v>
      </c>
      <c r="O62" s="59">
        <f t="shared" si="4"/>
        <v>551500</v>
      </c>
      <c r="P62" s="59">
        <f t="shared" si="4"/>
        <v>1207000</v>
      </c>
      <c r="Q62" s="59">
        <f t="shared" si="4"/>
        <v>3049424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Cement!G10</f>
        <v>0</v>
      </c>
      <c r="G64" s="46">
        <f>Cement!H10</f>
        <v>0</v>
      </c>
      <c r="H64" s="46">
        <f>G64+'7'!H64</f>
        <v>0</v>
      </c>
      <c r="I64" s="46">
        <f>G64+'7'!I64</f>
        <v>0</v>
      </c>
      <c r="J64" s="46">
        <v>0</v>
      </c>
      <c r="K64" s="46">
        <f>J64+'7'!K64</f>
        <v>0</v>
      </c>
      <c r="L64" s="46">
        <f>J64+'7'!L64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Cement!K10</f>
        <v>0</v>
      </c>
      <c r="G65" s="46">
        <f>Cement!L10</f>
        <v>0</v>
      </c>
      <c r="H65" s="46">
        <f>G65+'7'!H65</f>
        <v>0</v>
      </c>
      <c r="I65" s="46">
        <f>G65+'7'!I65</f>
        <v>0</v>
      </c>
      <c r="J65" s="46">
        <v>0</v>
      </c>
      <c r="K65" s="46">
        <f>J65+'7'!K65</f>
        <v>0</v>
      </c>
      <c r="L65" s="46">
        <f>J65+'7'!L65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Diesel!B10</f>
        <v>45742</v>
      </c>
      <c r="G68" s="46">
        <f>Diesel!C10</f>
        <v>0</v>
      </c>
      <c r="H68" s="46">
        <f>G68+'7'!H68</f>
        <v>32000</v>
      </c>
      <c r="I68" s="46">
        <f>G68+'7'!I68</f>
        <v>122000</v>
      </c>
      <c r="J68" s="46">
        <v>0</v>
      </c>
      <c r="K68" s="46">
        <f>J68+'7'!K68</f>
        <v>0</v>
      </c>
      <c r="L68" s="46">
        <f>J68+'7'!L68</f>
        <v>0</v>
      </c>
      <c r="M68" s="46">
        <f>F68+G68-J68-J76</f>
        <v>45197</v>
      </c>
      <c r="N68" s="46"/>
      <c r="O68" s="46">
        <v>30000</v>
      </c>
      <c r="P68" s="46">
        <v>60000</v>
      </c>
      <c r="Q68" s="56">
        <f>SUM(M68+N68)-O68</f>
        <v>15197</v>
      </c>
    </row>
    <row r="69" spans="2:17" x14ac:dyDescent="0.25">
      <c r="B69" s="297"/>
      <c r="C69" s="281" t="s">
        <v>171</v>
      </c>
      <c r="D69" s="282"/>
      <c r="E69" s="283"/>
      <c r="F69" s="46">
        <f>Diesel!Y10</f>
        <v>0</v>
      </c>
      <c r="G69" s="46">
        <f>Diesel!Z10</f>
        <v>0</v>
      </c>
      <c r="H69" s="46">
        <f>G69+'7'!H69</f>
        <v>0</v>
      </c>
      <c r="I69" s="46">
        <f>G69+'7'!I69</f>
        <v>0</v>
      </c>
      <c r="J69" s="46">
        <f>Diesel!O10</f>
        <v>0</v>
      </c>
      <c r="K69" s="46">
        <f>J69+'7'!K69</f>
        <v>0</v>
      </c>
      <c r="L69" s="46">
        <f>J69+'7'!L69</f>
        <v>15000</v>
      </c>
      <c r="M69" s="46"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G70+'7'!H70</f>
        <v>0</v>
      </c>
      <c r="I70" s="46">
        <f>G70+'7'!I70</f>
        <v>0</v>
      </c>
      <c r="J70" s="46">
        <f>Diesel!P10</f>
        <v>0</v>
      </c>
      <c r="K70" s="46">
        <f>J70+'7'!K70</f>
        <v>40</v>
      </c>
      <c r="L70" s="46">
        <f>J70+'7'!L70</f>
        <v>643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G71+'7'!H71</f>
        <v>0</v>
      </c>
      <c r="I71" s="46">
        <f>G71+'7'!I71</f>
        <v>0</v>
      </c>
      <c r="J71" s="46">
        <f>Diesel!Q10</f>
        <v>0</v>
      </c>
      <c r="K71" s="46">
        <f>J71+'7'!K71</f>
        <v>7340</v>
      </c>
      <c r="L71" s="46">
        <f>J71+'7'!L71</f>
        <v>61975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G72+'7'!H72</f>
        <v>0</v>
      </c>
      <c r="I72" s="46">
        <f>G72+'7'!I72</f>
        <v>0</v>
      </c>
      <c r="J72" s="46">
        <f>Diesel!R10</f>
        <v>545</v>
      </c>
      <c r="K72" s="46">
        <f>J72+'7'!K72</f>
        <v>5568</v>
      </c>
      <c r="L72" s="46">
        <f>J72+'7'!L72</f>
        <v>48276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G73+'7'!H73</f>
        <v>0</v>
      </c>
      <c r="I73" s="46">
        <f>G73+'7'!I73</f>
        <v>0</v>
      </c>
      <c r="J73" s="46">
        <f>Diesel!S10</f>
        <v>0</v>
      </c>
      <c r="K73" s="46">
        <f>J73+'7'!K73</f>
        <v>0</v>
      </c>
      <c r="L73" s="46">
        <f>J73+'7'!L73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G74+'7'!H74</f>
        <v>0</v>
      </c>
      <c r="I74" s="46">
        <f>G74+'7'!I74</f>
        <v>0</v>
      </c>
      <c r="J74" s="46">
        <f>Diesel!T10</f>
        <v>0</v>
      </c>
      <c r="K74" s="46">
        <f>J74+'7'!K74</f>
        <v>0</v>
      </c>
      <c r="L74" s="46">
        <f>J74+'7'!L74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G75+'7'!H75</f>
        <v>0</v>
      </c>
      <c r="I75" s="46">
        <f>G75+'7'!I75</f>
        <v>0</v>
      </c>
      <c r="J75" s="61">
        <f>Diesel!U10</f>
        <v>0</v>
      </c>
      <c r="K75" s="46">
        <f>J75+'7'!K75</f>
        <v>0</v>
      </c>
      <c r="L75" s="46">
        <f>J75+'7'!L75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45742</v>
      </c>
      <c r="G76" s="62">
        <f t="shared" ref="G76:M76" si="6">SUM(G68:G75)</f>
        <v>0</v>
      </c>
      <c r="H76" s="62">
        <f t="shared" si="6"/>
        <v>32000</v>
      </c>
      <c r="I76" s="62">
        <f t="shared" si="6"/>
        <v>122000</v>
      </c>
      <c r="J76" s="62">
        <f t="shared" si="6"/>
        <v>545</v>
      </c>
      <c r="K76" s="62">
        <f t="shared" si="6"/>
        <v>12948</v>
      </c>
      <c r="L76" s="62">
        <f t="shared" si="6"/>
        <v>125894</v>
      </c>
      <c r="M76" s="62">
        <f t="shared" si="6"/>
        <v>45197</v>
      </c>
      <c r="N76" s="63"/>
      <c r="O76" s="64"/>
      <c r="P76" s="62"/>
      <c r="Q76" s="65"/>
    </row>
  </sheetData>
  <mergeCells count="70"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  <mergeCell ref="C29:E29"/>
    <mergeCell ref="C30:E30"/>
    <mergeCell ref="C34:E34"/>
    <mergeCell ref="C35:E35"/>
    <mergeCell ref="C31:E31"/>
    <mergeCell ref="C32:E32"/>
    <mergeCell ref="C36:D36"/>
    <mergeCell ref="C37:D37"/>
    <mergeCell ref="C51:E51"/>
    <mergeCell ref="C40:E40"/>
    <mergeCell ref="C38:D38"/>
    <mergeCell ref="C50:D50"/>
    <mergeCell ref="C47:D47"/>
    <mergeCell ref="C15:D15"/>
    <mergeCell ref="C17:E17"/>
    <mergeCell ref="C18:E18"/>
    <mergeCell ref="C20:D20"/>
    <mergeCell ref="C6:E6"/>
    <mergeCell ref="C7:E7"/>
    <mergeCell ref="C11:E11"/>
    <mergeCell ref="C13:D13"/>
    <mergeCell ref="C12:E12"/>
    <mergeCell ref="C27:E27"/>
    <mergeCell ref="C14:D14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</mergeCells>
  <pageMargins left="0.7" right="0.7" top="0.75" bottom="0.75" header="0.3" footer="0.3"/>
  <pageSetup paperSize="9" scale="41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7" sqref="J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9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34" t="s">
        <v>217</v>
      </c>
      <c r="Q3" s="335"/>
    </row>
    <row r="4" spans="2:19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6" t="s">
        <v>132</v>
      </c>
    </row>
    <row r="5" spans="2:19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9" x14ac:dyDescent="0.25">
      <c r="B6" s="54">
        <v>1</v>
      </c>
      <c r="C6" s="308" t="s">
        <v>135</v>
      </c>
      <c r="D6" s="309"/>
      <c r="E6" s="310"/>
      <c r="F6" s="45">
        <f>Clinker!C11</f>
        <v>2121.92</v>
      </c>
      <c r="G6" s="45">
        <f>Clinker!D11</f>
        <v>0</v>
      </c>
      <c r="H6" s="45">
        <f>G6+'8'!H6</f>
        <v>0</v>
      </c>
      <c r="I6" s="45">
        <f>G6+'8'!I6</f>
        <v>417.28000000000003</v>
      </c>
      <c r="J6" s="45">
        <f>Clinker!E11</f>
        <v>73</v>
      </c>
      <c r="K6" s="45">
        <f>J6+'8'!K6</f>
        <v>599</v>
      </c>
      <c r="L6" s="45">
        <f>J6+'8'!L6</f>
        <v>3734</v>
      </c>
      <c r="M6" s="45">
        <f>F6+G6-J6</f>
        <v>2048.92</v>
      </c>
      <c r="N6" s="46">
        <v>0</v>
      </c>
      <c r="O6" s="45">
        <v>3000</v>
      </c>
      <c r="P6" s="45">
        <v>6000</v>
      </c>
      <c r="Q6" s="55">
        <f>SUM(M6+N6)-O6</f>
        <v>-951.07999999999993</v>
      </c>
      <c r="S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Cement!C11</f>
        <v>3313.9658594014718</v>
      </c>
      <c r="G7" s="46">
        <f>Cement!D11</f>
        <v>62.16</v>
      </c>
      <c r="H7" s="45">
        <f>G7+'8'!H7</f>
        <v>93.36</v>
      </c>
      <c r="I7" s="45">
        <f>G7+'8'!I7</f>
        <v>2219.9799999999996</v>
      </c>
      <c r="J7" s="46">
        <f>Cement!I11</f>
        <v>90.196842057894727</v>
      </c>
      <c r="K7" s="45">
        <f>J7+'8'!K7</f>
        <v>1015.7368408126</v>
      </c>
      <c r="L7" s="45">
        <f>J7+'8'!L7</f>
        <v>6241.966831140101</v>
      </c>
      <c r="M7" s="45">
        <f>F7+G7-J7</f>
        <v>3285.929017343577</v>
      </c>
      <c r="N7" s="46">
        <v>0</v>
      </c>
      <c r="O7" s="46">
        <v>3000</v>
      </c>
      <c r="P7" s="46">
        <v>6000</v>
      </c>
      <c r="Q7" s="56">
        <f>SUM(M7+N7)-O7</f>
        <v>285.92901734357702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Clinker!EI11</f>
        <v>30596.039586076429</v>
      </c>
      <c r="G8" s="46">
        <f>Clinker!EJ11</f>
        <v>1430</v>
      </c>
      <c r="H8" s="45">
        <f>G8+'8'!H8</f>
        <v>14278</v>
      </c>
      <c r="I8" s="45">
        <f>G8+'8'!I8</f>
        <v>113194.66</v>
      </c>
      <c r="J8" s="46">
        <f>Clinker!EK11</f>
        <v>1365.6830000450011</v>
      </c>
      <c r="K8" s="45">
        <f>J8+'8'!K8</f>
        <v>14869.545501775534</v>
      </c>
      <c r="L8" s="45">
        <f>J8+'8'!L8</f>
        <v>94665.392521595466</v>
      </c>
      <c r="M8" s="45">
        <f>F8+G8-J8</f>
        <v>30660.356586031427</v>
      </c>
      <c r="N8" s="46">
        <v>0</v>
      </c>
      <c r="O8" s="46"/>
      <c r="P8" s="46"/>
      <c r="Q8" s="56"/>
    </row>
    <row r="9" spans="2:19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88"/>
      <c r="C10" s="281" t="s">
        <v>138</v>
      </c>
      <c r="D10" s="282"/>
      <c r="E10" s="283"/>
      <c r="F10" s="46">
        <f>Clinker!K11</f>
        <v>0</v>
      </c>
      <c r="G10" s="46">
        <f>Clinker!L11</f>
        <v>0</v>
      </c>
      <c r="H10" s="46">
        <f>G10+'8'!H10</f>
        <v>0</v>
      </c>
      <c r="I10" s="46">
        <f>G10+'8'!I10</f>
        <v>0</v>
      </c>
      <c r="J10" s="46">
        <f>Clinker!N11</f>
        <v>0</v>
      </c>
      <c r="K10" s="46">
        <f>J10+'8'!K10</f>
        <v>0</v>
      </c>
      <c r="L10" s="46">
        <f>J10+'8'!L10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88"/>
      <c r="C11" s="281" t="s">
        <v>139</v>
      </c>
      <c r="D11" s="282"/>
      <c r="E11" s="283"/>
      <c r="F11" s="46">
        <f>Clinker!W11</f>
        <v>1063.0399999999981</v>
      </c>
      <c r="G11" s="46">
        <f>Clinker!X11</f>
        <v>0</v>
      </c>
      <c r="H11" s="46">
        <f>G11+'8'!H11</f>
        <v>0</v>
      </c>
      <c r="I11" s="46">
        <f>G11+'8'!I11</f>
        <v>0</v>
      </c>
      <c r="J11" s="46">
        <f>Clinker!Z11</f>
        <v>0</v>
      </c>
      <c r="K11" s="46">
        <f>J11+'8'!K11</f>
        <v>0</v>
      </c>
      <c r="L11" s="46">
        <f>J11+'8'!L11</f>
        <v>7623.8399999999992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  <c r="S11" s="39"/>
    </row>
    <row r="12" spans="2:19" ht="15" customHeight="1" x14ac:dyDescent="0.25">
      <c r="B12" s="288"/>
      <c r="C12" s="281" t="s">
        <v>140</v>
      </c>
      <c r="D12" s="282"/>
      <c r="E12" s="283"/>
      <c r="F12" s="46">
        <f>Clinker!AT11</f>
        <v>753.11000000000206</v>
      </c>
      <c r="G12" s="46">
        <f>Clinker!AU11</f>
        <v>0</v>
      </c>
      <c r="H12" s="218">
        <f>G12+'8'!H12</f>
        <v>0</v>
      </c>
      <c r="I12" s="46">
        <f>G12+'8'!I12</f>
        <v>181.5</v>
      </c>
      <c r="J12" s="46">
        <f>Clinker!AV11</f>
        <v>250</v>
      </c>
      <c r="K12" s="46">
        <f>J12+'8'!K12</f>
        <v>2430.79</v>
      </c>
      <c r="L12" s="46">
        <f>J12+'8'!L12</f>
        <v>5172.4900000000007</v>
      </c>
      <c r="M12" s="45">
        <f>F12+G12-J12-J37</f>
        <v>503.11000000000206</v>
      </c>
      <c r="N12" s="46">
        <v>0</v>
      </c>
      <c r="O12" s="46"/>
      <c r="P12" s="46"/>
      <c r="Q12" s="70"/>
    </row>
    <row r="13" spans="2:19" x14ac:dyDescent="0.25">
      <c r="B13" s="288"/>
      <c r="C13" s="281" t="s">
        <v>9</v>
      </c>
      <c r="D13" s="282"/>
      <c r="E13" s="69"/>
      <c r="F13" s="46">
        <f>Clinker!AO11</f>
        <v>0</v>
      </c>
      <c r="G13" s="46">
        <f>Clinker!AP11</f>
        <v>0</v>
      </c>
      <c r="H13" s="46">
        <f>G13+'8'!H13</f>
        <v>0</v>
      </c>
      <c r="I13" s="46">
        <f>G13+'8'!I13</f>
        <v>0</v>
      </c>
      <c r="J13" s="46">
        <f>Clinker!AQ11</f>
        <v>0</v>
      </c>
      <c r="K13" s="46">
        <f>J13+'8'!K13</f>
        <v>0</v>
      </c>
      <c r="L13" s="46">
        <f>J13+'8'!L13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88"/>
      <c r="C14" s="281" t="s">
        <v>8</v>
      </c>
      <c r="D14" s="282"/>
      <c r="E14" s="69"/>
      <c r="F14" s="46">
        <f>Clinker!AK11</f>
        <v>0</v>
      </c>
      <c r="G14" s="46">
        <f>Clinker!AL11</f>
        <v>0</v>
      </c>
      <c r="H14" s="46">
        <f>G14+'8'!H14</f>
        <v>0</v>
      </c>
      <c r="I14" s="46">
        <f>G14+'8'!I14</f>
        <v>0</v>
      </c>
      <c r="J14" s="46">
        <f>Clinker!AM11</f>
        <v>0</v>
      </c>
      <c r="K14" s="46">
        <f>J14+'8'!K14</f>
        <v>0</v>
      </c>
      <c r="L14" s="46">
        <f>J14+'8'!L14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88"/>
      <c r="C15" s="281" t="s">
        <v>11</v>
      </c>
      <c r="D15" s="282"/>
      <c r="E15" s="69"/>
      <c r="F15" s="46">
        <f>Clinker!AY11</f>
        <v>1004.8669999999903</v>
      </c>
      <c r="G15" s="46">
        <f>Clinker!AZ11</f>
        <v>942.44</v>
      </c>
      <c r="H15" s="46">
        <f>G15+'8'!H15</f>
        <v>1535.2800000000002</v>
      </c>
      <c r="I15" s="46">
        <f>G15+'8'!I15</f>
        <v>1947.02</v>
      </c>
      <c r="J15" s="46">
        <f>Clinker!BA11</f>
        <v>0</v>
      </c>
      <c r="K15" s="46">
        <f>J15+'8'!K15</f>
        <v>0</v>
      </c>
      <c r="L15" s="46">
        <f>J15+'8'!L15</f>
        <v>0</v>
      </c>
      <c r="M15" s="45">
        <f>F15+G15-J15-J38</f>
        <v>1947.3069999999902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88"/>
      <c r="C16" s="76" t="s">
        <v>141</v>
      </c>
      <c r="D16" s="77"/>
      <c r="E16" s="69"/>
      <c r="F16" s="46">
        <f>Clinker!BD11</f>
        <v>0</v>
      </c>
      <c r="G16" s="46">
        <f>Clinker!BE11</f>
        <v>0</v>
      </c>
      <c r="H16" s="46">
        <f>G16+'8'!H16</f>
        <v>0</v>
      </c>
      <c r="I16" s="46">
        <f>G16+'8'!I16</f>
        <v>0</v>
      </c>
      <c r="J16" s="46">
        <f>Clinker!BF11</f>
        <v>0</v>
      </c>
      <c r="K16" s="46">
        <f>J16+'8'!K16</f>
        <v>0</v>
      </c>
      <c r="L16" s="46">
        <f>J16+'8'!L16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182</v>
      </c>
      <c r="D17" s="282"/>
      <c r="E17" s="283"/>
      <c r="F17" s="46">
        <f>Clinker!BI11</f>
        <v>0</v>
      </c>
      <c r="G17" s="46">
        <f>Clinker!BJ11</f>
        <v>0</v>
      </c>
      <c r="H17" s="46">
        <f>G17+'8'!H17</f>
        <v>0</v>
      </c>
      <c r="I17" s="46">
        <f>G17+'8'!I17</f>
        <v>0</v>
      </c>
      <c r="J17" s="46">
        <f>Clinker!BK11</f>
        <v>0</v>
      </c>
      <c r="K17" s="46">
        <f>J17+'8'!K17</f>
        <v>0</v>
      </c>
      <c r="L17" s="46">
        <f>J17+'8'!L17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Clinker!BN11</f>
        <v>0</v>
      </c>
      <c r="G18" s="46">
        <f>Clinker!BO11</f>
        <v>0</v>
      </c>
      <c r="H18" s="46">
        <f>G18+'8'!H18</f>
        <v>0</v>
      </c>
      <c r="I18" s="46">
        <f>G18+'8'!I18</f>
        <v>0</v>
      </c>
      <c r="J18" s="46">
        <f>Clinker!BP11</f>
        <v>0</v>
      </c>
      <c r="K18" s="46">
        <f>J18+'8'!K18</f>
        <v>0</v>
      </c>
      <c r="L18" s="46">
        <f>J18+'8'!L18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Clinker!BS11</f>
        <v>0</v>
      </c>
      <c r="G19" s="46">
        <f>Clinker!BT11</f>
        <v>0</v>
      </c>
      <c r="H19" s="46">
        <f>G19+'8'!H19</f>
        <v>0</v>
      </c>
      <c r="I19" s="46">
        <f>G19+'8'!I19</f>
        <v>0</v>
      </c>
      <c r="J19" s="46">
        <f>Clinker!BU11</f>
        <v>0</v>
      </c>
      <c r="K19" s="46">
        <f>J19+'8'!K19</f>
        <v>0</v>
      </c>
      <c r="L19" s="46">
        <f>J19+'8'!L19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16</v>
      </c>
      <c r="D20" s="282"/>
      <c r="E20" s="69"/>
      <c r="F20" s="46">
        <f>Clinker!BX11</f>
        <v>0</v>
      </c>
      <c r="G20" s="46">
        <f>Clinker!BY11</f>
        <v>0</v>
      </c>
      <c r="H20" s="46">
        <f>G20+'8'!H20</f>
        <v>0</v>
      </c>
      <c r="I20" s="46">
        <f>G20+'8'!I20</f>
        <v>0</v>
      </c>
      <c r="J20" s="46">
        <f>Clinker!BZ11</f>
        <v>0</v>
      </c>
      <c r="K20" s="46">
        <f>J20+'8'!K20</f>
        <v>0</v>
      </c>
      <c r="L20" s="46">
        <f>J20+'8'!L20</f>
        <v>4052.88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Clinker!CR11</f>
        <v>0</v>
      </c>
      <c r="G21" s="46">
        <f>Clinker!CS11</f>
        <v>0</v>
      </c>
      <c r="H21" s="46">
        <f>G21+'8'!H21</f>
        <v>0</v>
      </c>
      <c r="I21" s="46">
        <f>G21+'8'!I21</f>
        <v>0</v>
      </c>
      <c r="J21" s="46">
        <f>Clinker!CT11</f>
        <v>0</v>
      </c>
      <c r="K21" s="46">
        <f>J21+'8'!K21</f>
        <v>0</v>
      </c>
      <c r="L21" s="46">
        <f>J21+'8'!L21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143</v>
      </c>
      <c r="D22" s="77"/>
      <c r="E22" s="69"/>
      <c r="F22" s="46">
        <f>Clinker!CW11</f>
        <v>0</v>
      </c>
      <c r="G22" s="46">
        <f>Clinker!CX11</f>
        <v>0</v>
      </c>
      <c r="H22" s="46">
        <f>G22+'8'!H22</f>
        <v>0</v>
      </c>
      <c r="I22" s="46">
        <f>G22+'8'!I22</f>
        <v>0</v>
      </c>
      <c r="J22" s="46">
        <f>Clinker!CY11</f>
        <v>0</v>
      </c>
      <c r="K22" s="46">
        <f>J22+'8'!K22</f>
        <v>0</v>
      </c>
      <c r="L22" s="46">
        <f>J22+'8'!L22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Clinker!DB11</f>
        <v>1.0000000000013998E-2</v>
      </c>
      <c r="G23" s="46">
        <f>Clinker!DC11</f>
        <v>0</v>
      </c>
      <c r="H23" s="46">
        <f>G23+'8'!H23</f>
        <v>0</v>
      </c>
      <c r="I23" s="46">
        <f>G23+'8'!I23</f>
        <v>0</v>
      </c>
      <c r="J23" s="46">
        <f>Clinker!DD11</f>
        <v>0</v>
      </c>
      <c r="K23" s="46">
        <f>J23+'8'!K23</f>
        <v>7.1</v>
      </c>
      <c r="L23" s="46">
        <f>J23+'8'!L23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Clinker!DG11</f>
        <v>0</v>
      </c>
      <c r="G24" s="46">
        <f>Clinker!DH11</f>
        <v>0</v>
      </c>
      <c r="H24" s="46">
        <f>G24+'8'!H24</f>
        <v>0</v>
      </c>
      <c r="I24" s="46">
        <f>G24+'8'!I24</f>
        <v>0</v>
      </c>
      <c r="J24" s="46">
        <f>Clinker!DI11</f>
        <v>0</v>
      </c>
      <c r="K24" s="46">
        <f>J24+'8'!K24</f>
        <v>0</v>
      </c>
      <c r="L24" s="46">
        <f>J24+'8'!L24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Clinker!DL11</f>
        <v>304</v>
      </c>
      <c r="G25" s="46">
        <f>Clinker!DM11</f>
        <v>0</v>
      </c>
      <c r="H25" s="46">
        <f>G25+'8'!H25</f>
        <v>92</v>
      </c>
      <c r="I25" s="46">
        <f>G25+'8'!I25</f>
        <v>304</v>
      </c>
      <c r="J25" s="46">
        <f>Clinker!DN11</f>
        <v>0</v>
      </c>
      <c r="K25" s="46">
        <f>J25+'8'!K25</f>
        <v>0</v>
      </c>
      <c r="L25" s="46">
        <f>J25+'8'!L25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Clinker!DV11</f>
        <v>0</v>
      </c>
      <c r="G26" s="46">
        <f>Clinker!DW11</f>
        <v>0</v>
      </c>
      <c r="H26" s="46">
        <f>G26+'8'!H26</f>
        <v>0</v>
      </c>
      <c r="I26" s="46">
        <f>G26+'8'!I26</f>
        <v>0</v>
      </c>
      <c r="J26" s="46">
        <f>Clinker!DX11</f>
        <v>0</v>
      </c>
      <c r="K26" s="46">
        <f>J26+'8'!K26</f>
        <v>0</v>
      </c>
      <c r="L26" s="46">
        <f>J26+'8'!L26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3125.0269999999905</v>
      </c>
      <c r="G27" s="46">
        <f t="shared" ref="G27:Q27" si="0">SUM(G10:G26)</f>
        <v>942.44</v>
      </c>
      <c r="H27" s="46">
        <f t="shared" si="0"/>
        <v>1627.2800000000002</v>
      </c>
      <c r="I27" s="46">
        <f t="shared" si="0"/>
        <v>2432.52</v>
      </c>
      <c r="J27" s="46">
        <f t="shared" si="0"/>
        <v>250</v>
      </c>
      <c r="K27" s="46">
        <f t="shared" si="0"/>
        <v>2437.89</v>
      </c>
      <c r="L27" s="46">
        <f t="shared" si="0"/>
        <v>17155.2</v>
      </c>
      <c r="M27" s="46">
        <f t="shared" si="0"/>
        <v>3817.4669999999905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1063.0399999999981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Clinker!Q11</f>
        <v>0</v>
      </c>
      <c r="G29" s="46">
        <f>Clinker!R11</f>
        <v>0</v>
      </c>
      <c r="H29" s="46">
        <f>G29+'8'!H29</f>
        <v>0</v>
      </c>
      <c r="I29" s="46">
        <f>G29+'8'!I29</f>
        <v>0</v>
      </c>
      <c r="J29" s="46">
        <f>Clinker!S11</f>
        <v>0</v>
      </c>
      <c r="K29" s="46">
        <f>J29+'8'!K29</f>
        <v>0</v>
      </c>
      <c r="L29" s="46">
        <f>J29+'8'!L29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G30+'8'!H30</f>
        <v>0</v>
      </c>
      <c r="I30" s="46">
        <f>G30+'8'!I30</f>
        <v>0</v>
      </c>
      <c r="J30" s="46">
        <v>0</v>
      </c>
      <c r="K30" s="46">
        <f>J30+'8'!K30</f>
        <v>0</v>
      </c>
      <c r="L30" s="46">
        <f>J30+'8'!L30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G31+'8'!H31</f>
        <v>0</v>
      </c>
      <c r="I31" s="46">
        <f>G31+'8'!I31</f>
        <v>0</v>
      </c>
      <c r="J31" s="46">
        <v>0</v>
      </c>
      <c r="K31" s="46">
        <f>J31+'8'!K31</f>
        <v>0</v>
      </c>
      <c r="L31" s="46">
        <f>J31+'8'!L31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140</v>
      </c>
      <c r="D32" s="282"/>
      <c r="E32" s="283"/>
      <c r="F32" s="46">
        <f>Clinker!DQ11</f>
        <v>0</v>
      </c>
      <c r="G32" s="46">
        <f>Clinker!DR11</f>
        <v>0</v>
      </c>
      <c r="H32" s="46">
        <f>G32+'8'!H32</f>
        <v>0</v>
      </c>
      <c r="I32" s="46">
        <f>G32+'8'!I32</f>
        <v>0</v>
      </c>
      <c r="J32" s="46">
        <f>Clinker!AW11</f>
        <v>0</v>
      </c>
      <c r="K32" s="46">
        <f>J32+'8'!K32</f>
        <v>0</v>
      </c>
      <c r="L32" s="46">
        <f>J32+'8'!L32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G33+'8'!H33</f>
        <v>0</v>
      </c>
      <c r="I33" s="46">
        <f>G33+'8'!I33</f>
        <v>0</v>
      </c>
      <c r="J33" s="46">
        <v>0</v>
      </c>
      <c r="K33" s="46">
        <f>J33+'8'!K33</f>
        <v>0</v>
      </c>
      <c r="L33" s="46">
        <f>J33+'8'!L33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Clinker!Y11</f>
        <v>0</v>
      </c>
      <c r="K34" s="46">
        <f>J34+'8'!K34</f>
        <v>0</v>
      </c>
      <c r="L34" s="46">
        <f>J34+'8'!L34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Clinker!M11</f>
        <v>0</v>
      </c>
      <c r="K35" s="46">
        <f>J35+'8'!K35</f>
        <v>0</v>
      </c>
      <c r="L35" s="46">
        <f>J35+'8'!L35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Clinker!AR11</f>
        <v>0</v>
      </c>
      <c r="K36" s="46">
        <f>J36+'8'!K36</f>
        <v>0</v>
      </c>
      <c r="L36" s="46">
        <f>J36+'8'!L36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Clinker!DT11</f>
        <v>0</v>
      </c>
      <c r="K37" s="46">
        <f>J37+'8'!K37</f>
        <v>0</v>
      </c>
      <c r="L37" s="46">
        <f>J37+'8'!L37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Clinker!BB11</f>
        <v>0</v>
      </c>
      <c r="K38" s="46">
        <f>J38+'8'!K38</f>
        <v>0</v>
      </c>
      <c r="L38" s="46">
        <f>J38+'8'!L38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Clinker!BG11</f>
        <v>0</v>
      </c>
      <c r="K39" s="46">
        <f>J39+'8'!K39</f>
        <v>0</v>
      </c>
      <c r="L39" s="46">
        <f>J39+'8'!L39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180</v>
      </c>
      <c r="D40" s="282"/>
      <c r="E40" s="283"/>
      <c r="F40" s="46"/>
      <c r="G40" s="46"/>
      <c r="H40" s="46"/>
      <c r="I40" s="46"/>
      <c r="J40" s="46">
        <f>Clinker!BL11</f>
        <v>0</v>
      </c>
      <c r="K40" s="46">
        <f>J40+'8'!K40</f>
        <v>0</v>
      </c>
      <c r="L40" s="46">
        <f>J40+'8'!L40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Clinker!BQ11</f>
        <v>0</v>
      </c>
      <c r="K41" s="46">
        <f>J41+'8'!K41</f>
        <v>0</v>
      </c>
      <c r="L41" s="46">
        <f>J41+'8'!L41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Clinker!BV11</f>
        <v>0</v>
      </c>
      <c r="K42" s="46">
        <f>J42+'8'!K42</f>
        <v>0</v>
      </c>
      <c r="L42" s="46">
        <f>J42+'8'!L42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Clinker!CU11</f>
        <v>0</v>
      </c>
      <c r="K43" s="46">
        <f>J43+'8'!K43</f>
        <v>0</v>
      </c>
      <c r="L43" s="46">
        <f>J43+'8'!L43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Clinker!CZ11</f>
        <v>0</v>
      </c>
      <c r="K44" s="46">
        <f>J44+'8'!K44</f>
        <v>0</v>
      </c>
      <c r="L44" s="46">
        <f>J44+'8'!L44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Clinker!DE11</f>
        <v>0</v>
      </c>
      <c r="K45" s="46">
        <f>J45+'8'!K45</f>
        <v>0</v>
      </c>
      <c r="L45" s="46">
        <f>J45+'8'!L45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Clinker!DJ11</f>
        <v>0</v>
      </c>
      <c r="K46" s="46">
        <f>J46+'8'!K46</f>
        <v>0</v>
      </c>
      <c r="L46" s="46">
        <f>J46+'8'!L46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Clinker!DO11</f>
        <v>0</v>
      </c>
      <c r="K47" s="46">
        <f>J47+'8'!K47</f>
        <v>0</v>
      </c>
      <c r="L47" s="46">
        <f>J47+'8'!L47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Clinker!CM11</f>
        <v>5.0000000000181899E-2</v>
      </c>
      <c r="G48" s="46">
        <f>Clinker!CN11</f>
        <v>0</v>
      </c>
      <c r="H48" s="46">
        <f>G48+'8'!H48</f>
        <v>0</v>
      </c>
      <c r="I48" s="46">
        <f>G48+'8'!I48</f>
        <v>0</v>
      </c>
      <c r="J48" s="46">
        <f>Clinker!CP11</f>
        <v>0</v>
      </c>
      <c r="K48" s="46">
        <f>J48+'8'!K48</f>
        <v>0</v>
      </c>
      <c r="L48" s="46">
        <f>J48+'8'!L48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Clinker!CC11</f>
        <v>0</v>
      </c>
      <c r="G49" s="46">
        <f>Clinker!CD11</f>
        <v>0</v>
      </c>
      <c r="H49" s="46">
        <f>G49+'8'!H49</f>
        <v>0</v>
      </c>
      <c r="I49" s="46">
        <f>G49+'8'!I49</f>
        <v>0</v>
      </c>
      <c r="J49" s="46">
        <f>Clinker!CF11</f>
        <v>0</v>
      </c>
      <c r="K49" s="46">
        <f>J49+'8'!K49</f>
        <v>0</v>
      </c>
      <c r="L49" s="46">
        <f>J49+'8'!L49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Clinker!CH11</f>
        <v>0</v>
      </c>
      <c r="G50" s="46">
        <f>Clinker!CI11</f>
        <v>0</v>
      </c>
      <c r="H50" s="46">
        <f>G50+'8'!H50</f>
        <v>0</v>
      </c>
      <c r="I50" s="46">
        <f>G50+'8'!I50</f>
        <v>0</v>
      </c>
      <c r="J50" s="46">
        <f>Clinker!CK11</f>
        <v>0</v>
      </c>
      <c r="K50" s="46">
        <f>J50+'8'!K50</f>
        <v>0</v>
      </c>
      <c r="L50" s="46">
        <f>J50+'8'!L50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Clinker!AF11</f>
        <v>3881.1699999999937</v>
      </c>
      <c r="G51" s="46">
        <f>Clinker!AG11</f>
        <v>344.15</v>
      </c>
      <c r="H51" s="46">
        <f>G51+'8'!H51</f>
        <v>1313.65</v>
      </c>
      <c r="I51" s="46">
        <f>G51+'8'!I51</f>
        <v>3454.6</v>
      </c>
      <c r="J51" s="46">
        <f>Clinker!AI11</f>
        <v>130</v>
      </c>
      <c r="K51" s="46">
        <f>J51+'8'!K51</f>
        <v>1267</v>
      </c>
      <c r="L51" s="46">
        <f>J51+'8'!L51</f>
        <v>8092</v>
      </c>
      <c r="M51" s="45">
        <f>F51+G51-J51</f>
        <v>4095.3199999999933</v>
      </c>
      <c r="N51" s="46">
        <v>0</v>
      </c>
      <c r="O51" s="46">
        <v>1500</v>
      </c>
      <c r="P51" s="46">
        <v>3000</v>
      </c>
      <c r="Q51" s="56">
        <f>SUM(M51+N51)-O51</f>
        <v>2595.3199999999933</v>
      </c>
    </row>
    <row r="52" spans="2:19" x14ac:dyDescent="0.25">
      <c r="B52" s="288"/>
      <c r="C52" s="281" t="s">
        <v>156</v>
      </c>
      <c r="D52" s="282"/>
      <c r="E52" s="283"/>
      <c r="F52" s="46">
        <f>Clinker!AB11</f>
        <v>0</v>
      </c>
      <c r="G52" s="46">
        <f>Clinker!AC11</f>
        <v>0</v>
      </c>
      <c r="H52" s="46">
        <f>G52+'8'!H52</f>
        <v>0</v>
      </c>
      <c r="I52" s="46">
        <f>G52+'8'!I52</f>
        <v>0</v>
      </c>
      <c r="J52" s="46">
        <f>Clinker!AD11</f>
        <v>0</v>
      </c>
      <c r="K52" s="46">
        <f>J52+'8'!K52</f>
        <v>0</v>
      </c>
      <c r="L52" s="46">
        <f>J52+'8'!L52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 t="shared" ref="F53:Q53" si="1">SUM(F29:F52)</f>
        <v>3881.2199999999939</v>
      </c>
      <c r="G53" s="46">
        <f t="shared" si="1"/>
        <v>344.15</v>
      </c>
      <c r="H53" s="46">
        <f t="shared" si="1"/>
        <v>1313.65</v>
      </c>
      <c r="I53" s="46">
        <f t="shared" si="1"/>
        <v>3454.6</v>
      </c>
      <c r="J53" s="46">
        <f t="shared" si="1"/>
        <v>130</v>
      </c>
      <c r="K53" s="46">
        <f t="shared" si="1"/>
        <v>1267</v>
      </c>
      <c r="L53" s="46">
        <f>J53+'8'!L53</f>
        <v>9439</v>
      </c>
      <c r="M53" s="46">
        <f t="shared" si="1"/>
        <v>4095.3699999999935</v>
      </c>
      <c r="N53" s="49">
        <f>SUM(N29:N52)</f>
        <v>0</v>
      </c>
      <c r="O53" s="46">
        <f>SUM(O29:O52)</f>
        <v>3000</v>
      </c>
      <c r="P53" s="46">
        <f>SUM(P29:P52)</f>
        <v>6000</v>
      </c>
      <c r="Q53" s="46">
        <f t="shared" si="1"/>
        <v>2595.3199999999933</v>
      </c>
    </row>
    <row r="54" spans="2:19" x14ac:dyDescent="0.25">
      <c r="B54" s="289"/>
      <c r="C54" s="284" t="s">
        <v>157</v>
      </c>
      <c r="D54" s="285"/>
      <c r="E54" s="286"/>
      <c r="F54" s="59">
        <f t="shared" ref="F54:Q54" si="2">SUM(F27+F53)</f>
        <v>7006.2469999999848</v>
      </c>
      <c r="G54" s="59">
        <f t="shared" si="2"/>
        <v>1286.5900000000001</v>
      </c>
      <c r="H54" s="59">
        <f t="shared" si="2"/>
        <v>2940.9300000000003</v>
      </c>
      <c r="I54" s="59">
        <f t="shared" si="2"/>
        <v>5887.12</v>
      </c>
      <c r="J54" s="59">
        <f t="shared" si="2"/>
        <v>380</v>
      </c>
      <c r="K54" s="59">
        <f t="shared" si="2"/>
        <v>3704.89</v>
      </c>
      <c r="L54" s="59">
        <f t="shared" si="2"/>
        <v>26594.2</v>
      </c>
      <c r="M54" s="59">
        <f t="shared" si="2"/>
        <v>7912.8369999999841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2"/>
        <v>3658.3599999999915</v>
      </c>
      <c r="R54" s="90"/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'!C11</f>
        <v>2466783</v>
      </c>
      <c r="G56" s="46">
        <f>'Packing bag '!D11</f>
        <v>0</v>
      </c>
      <c r="H56" s="46">
        <f>G56+'8'!H56</f>
        <v>174500</v>
      </c>
      <c r="I56" s="46">
        <f>G56+'8'!I56</f>
        <v>3327000</v>
      </c>
      <c r="J56" s="46">
        <f>'Packing bag '!E11</f>
        <v>30307</v>
      </c>
      <c r="K56" s="46">
        <f>J56+'8'!K56</f>
        <v>365259</v>
      </c>
      <c r="L56" s="46">
        <f>J56+'8'!L56</f>
        <v>1942093</v>
      </c>
      <c r="M56" s="46">
        <f>F56+G56-J56</f>
        <v>2436476</v>
      </c>
      <c r="N56" s="46"/>
      <c r="O56" s="46">
        <v>400000</v>
      </c>
      <c r="P56" s="46">
        <v>800000</v>
      </c>
      <c r="Q56" s="56">
        <f>SUM(M56+N56)-O56</f>
        <v>2036476</v>
      </c>
    </row>
    <row r="57" spans="2:19" x14ac:dyDescent="0.25">
      <c r="B57" s="288"/>
      <c r="C57" s="281" t="s">
        <v>160</v>
      </c>
      <c r="D57" s="282"/>
      <c r="E57" s="283"/>
      <c r="F57" s="46">
        <f>'Packing bag '!G11</f>
        <v>628702</v>
      </c>
      <c r="G57" s="46">
        <f>'Packing bag '!H11</f>
        <v>0</v>
      </c>
      <c r="H57" s="46">
        <f>G57+'8'!H57</f>
        <v>40500</v>
      </c>
      <c r="I57" s="46">
        <f>G57+'8'!I57</f>
        <v>332000</v>
      </c>
      <c r="J57" s="46">
        <f>'Packing bag '!I11</f>
        <v>4817</v>
      </c>
      <c r="K57" s="46">
        <f>J57+'8'!K57</f>
        <v>18776</v>
      </c>
      <c r="L57" s="46">
        <f>J57+'8'!L57</f>
        <v>108397</v>
      </c>
      <c r="M57" s="46">
        <f>F57+G57-J57</f>
        <v>623885</v>
      </c>
      <c r="N57" s="46"/>
      <c r="O57" s="46">
        <v>100000</v>
      </c>
      <c r="P57" s="46">
        <v>250000</v>
      </c>
      <c r="Q57" s="56">
        <f>SUM(M57+N57)-O57</f>
        <v>523885</v>
      </c>
    </row>
    <row r="58" spans="2:19" x14ac:dyDescent="0.25">
      <c r="B58" s="288"/>
      <c r="C58" s="281" t="s">
        <v>161</v>
      </c>
      <c r="D58" s="282"/>
      <c r="E58" s="283"/>
      <c r="F58" s="46">
        <f>'Packing bag '!K11</f>
        <v>505439</v>
      </c>
      <c r="G58" s="46">
        <f>'Packing bag '!L11</f>
        <v>0</v>
      </c>
      <c r="H58" s="46">
        <f>G58+'8'!H58</f>
        <v>0</v>
      </c>
      <c r="I58" s="46">
        <f>G58+'8'!I58</f>
        <v>295000</v>
      </c>
      <c r="J58" s="46">
        <f>'Packing bag '!M11</f>
        <v>602</v>
      </c>
      <c r="K58" s="46">
        <f>J58+'8'!K58</f>
        <v>23926</v>
      </c>
      <c r="L58" s="46">
        <f>J58+'8'!L58</f>
        <v>196218</v>
      </c>
      <c r="M58" s="46">
        <f>F58+G58-J58</f>
        <v>504837</v>
      </c>
      <c r="N58" s="46"/>
      <c r="O58" s="46">
        <v>50000</v>
      </c>
      <c r="P58" s="46">
        <v>150000</v>
      </c>
      <c r="Q58" s="56">
        <f>SUM(M58+N58)-O58</f>
        <v>454837</v>
      </c>
    </row>
    <row r="59" spans="2:19" x14ac:dyDescent="0.25">
      <c r="B59" s="288"/>
      <c r="C59" s="281" t="s">
        <v>162</v>
      </c>
      <c r="D59" s="282"/>
      <c r="E59" s="283"/>
      <c r="F59" s="46">
        <f>'Packing bag '!O11</f>
        <v>152120</v>
      </c>
      <c r="G59" s="46">
        <f>'Packing bag '!P11</f>
        <v>0</v>
      </c>
      <c r="H59" s="46">
        <f>G59+'8'!H59</f>
        <v>85612</v>
      </c>
      <c r="I59" s="46">
        <f>G59+'8'!I59</f>
        <v>85000</v>
      </c>
      <c r="J59" s="46">
        <f>'Packing bag '!Q11</f>
        <v>0</v>
      </c>
      <c r="K59" s="46">
        <f>J59+'8'!K59</f>
        <v>1812</v>
      </c>
      <c r="L59" s="46">
        <f>J59+'8'!L59</f>
        <v>16581</v>
      </c>
      <c r="M59" s="46">
        <f>F59+G59-J59</f>
        <v>152120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G60+'8'!H60</f>
        <v>0</v>
      </c>
      <c r="I60" s="46">
        <f>G60+'8'!I60</f>
        <v>0</v>
      </c>
      <c r="J60" s="46">
        <v>0</v>
      </c>
      <c r="K60" s="46">
        <f>J60+'8'!K60</f>
        <v>0</v>
      </c>
      <c r="L60" s="46">
        <f>J60+'8'!L60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G61+'8'!H61</f>
        <v>0</v>
      </c>
      <c r="I61" s="46">
        <f>G61+'8'!I61</f>
        <v>0</v>
      </c>
      <c r="J61" s="46">
        <v>0</v>
      </c>
      <c r="K61" s="46">
        <f>J61+'8'!K61</f>
        <v>0</v>
      </c>
      <c r="L61" s="46">
        <f>J61+'8'!L61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3753044</v>
      </c>
      <c r="G62" s="59">
        <f>SUM(G56:G61)</f>
        <v>0</v>
      </c>
      <c r="H62" s="59">
        <f t="shared" ref="H62:Q62" si="3">SUM(H56:H61)</f>
        <v>300612</v>
      </c>
      <c r="I62" s="59">
        <f t="shared" si="3"/>
        <v>4039000</v>
      </c>
      <c r="J62" s="59">
        <f t="shared" si="3"/>
        <v>35726</v>
      </c>
      <c r="K62" s="59">
        <f t="shared" si="3"/>
        <v>409773</v>
      </c>
      <c r="L62" s="59">
        <f t="shared" si="3"/>
        <v>2263289</v>
      </c>
      <c r="M62" s="59">
        <f t="shared" si="3"/>
        <v>3717318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59">
        <f t="shared" si="3"/>
        <v>3013698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Cement!G11</f>
        <v>0</v>
      </c>
      <c r="G64" s="46">
        <f>Cement!H11</f>
        <v>0</v>
      </c>
      <c r="H64" s="46">
        <f>G64+'8'!H64</f>
        <v>0</v>
      </c>
      <c r="I64" s="46">
        <f>G64+'8'!I64</f>
        <v>0</v>
      </c>
      <c r="J64" s="46">
        <v>0</v>
      </c>
      <c r="K64" s="46">
        <f>J64+'8'!K64</f>
        <v>0</v>
      </c>
      <c r="L64" s="46">
        <f>J64+'8'!L64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Cement!K11</f>
        <v>0</v>
      </c>
      <c r="G65" s="46">
        <f>Cement!L11</f>
        <v>0</v>
      </c>
      <c r="H65" s="46">
        <f>G65+'8'!H65</f>
        <v>0</v>
      </c>
      <c r="I65" s="46">
        <f>G65+'8'!I65</f>
        <v>0</v>
      </c>
      <c r="J65" s="46">
        <v>0</v>
      </c>
      <c r="K65" s="46">
        <f>J65+'8'!K65</f>
        <v>0</v>
      </c>
      <c r="L65" s="46">
        <f>J65+'8'!L65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Diesel!B11</f>
        <v>45197</v>
      </c>
      <c r="G68" s="46">
        <f>Diesel!C11</f>
        <v>0</v>
      </c>
      <c r="H68" s="46">
        <f>G68+'8'!H68</f>
        <v>32000</v>
      </c>
      <c r="I68" s="46">
        <f>G68+'8'!I68</f>
        <v>122000</v>
      </c>
      <c r="J68" s="46">
        <v>0</v>
      </c>
      <c r="K68" s="46">
        <f>J68+'8'!K68</f>
        <v>0</v>
      </c>
      <c r="L68" s="46">
        <f>J68+'8'!L68</f>
        <v>0</v>
      </c>
      <c r="M68" s="46">
        <f>F68+G68-J68-J76-G69</f>
        <v>44385</v>
      </c>
      <c r="N68" s="46"/>
      <c r="O68" s="46">
        <v>30000</v>
      </c>
      <c r="P68" s="46">
        <v>60000</v>
      </c>
      <c r="Q68" s="56">
        <f>SUM(M68+N68)-O68</f>
        <v>14385</v>
      </c>
    </row>
    <row r="69" spans="2:17" x14ac:dyDescent="0.25">
      <c r="B69" s="297"/>
      <c r="C69" s="281" t="s">
        <v>171</v>
      </c>
      <c r="D69" s="282"/>
      <c r="E69" s="283"/>
      <c r="F69" s="46">
        <f>Diesel!Y11</f>
        <v>0</v>
      </c>
      <c r="G69" s="46">
        <v>0</v>
      </c>
      <c r="H69" s="46">
        <f>G69+'8'!H69</f>
        <v>0</v>
      </c>
      <c r="I69" s="46">
        <f>G69+'8'!I69</f>
        <v>0</v>
      </c>
      <c r="J69" s="46">
        <f>Diesel!O11</f>
        <v>0</v>
      </c>
      <c r="K69" s="46">
        <f>J69+'8'!K69</f>
        <v>0</v>
      </c>
      <c r="L69" s="46">
        <f>J69+'8'!L69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G70+'8'!H70</f>
        <v>0</v>
      </c>
      <c r="I70" s="46">
        <f>G70+'8'!I70</f>
        <v>0</v>
      </c>
      <c r="J70" s="46">
        <f>Diesel!P11</f>
        <v>0</v>
      </c>
      <c r="K70" s="46">
        <f>J70+'8'!K70</f>
        <v>40</v>
      </c>
      <c r="L70" s="46">
        <f>J70+'8'!L70</f>
        <v>643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G71+'8'!H71</f>
        <v>0</v>
      </c>
      <c r="I71" s="46">
        <f>G71+'8'!I71</f>
        <v>0</v>
      </c>
      <c r="J71" s="46">
        <f>Diesel!Q11</f>
        <v>0</v>
      </c>
      <c r="K71" s="46">
        <f>J71+'8'!K71</f>
        <v>7340</v>
      </c>
      <c r="L71" s="46">
        <f>J71+'8'!L71</f>
        <v>61975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G72+'8'!H72</f>
        <v>0</v>
      </c>
      <c r="I72" s="46">
        <f>G72+'8'!I72</f>
        <v>0</v>
      </c>
      <c r="J72" s="46">
        <f>Diesel!R11</f>
        <v>812</v>
      </c>
      <c r="K72" s="46">
        <f>J72+'8'!K72</f>
        <v>6380</v>
      </c>
      <c r="L72" s="46">
        <f>J72+'8'!L72</f>
        <v>49088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G73+'8'!H73</f>
        <v>0</v>
      </c>
      <c r="I73" s="46">
        <f>G73+'8'!I73</f>
        <v>0</v>
      </c>
      <c r="J73" s="46">
        <f>Diesel!S11</f>
        <v>0</v>
      </c>
      <c r="K73" s="46">
        <f>J73+'8'!K73</f>
        <v>0</v>
      </c>
      <c r="L73" s="46">
        <f>J73+'8'!L73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G74+'8'!H74</f>
        <v>0</v>
      </c>
      <c r="I74" s="46">
        <f>G74+'8'!I74</f>
        <v>0</v>
      </c>
      <c r="J74" s="46">
        <f>Diesel!T11</f>
        <v>0</v>
      </c>
      <c r="K74" s="46">
        <f>J74+'8'!K74</f>
        <v>0</v>
      </c>
      <c r="L74" s="46">
        <f>J74+'8'!L74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G75+'8'!H75</f>
        <v>0</v>
      </c>
      <c r="I75" s="46">
        <f>G75+'8'!I75</f>
        <v>0</v>
      </c>
      <c r="J75" s="61">
        <f>Diesel!U11</f>
        <v>0</v>
      </c>
      <c r="K75" s="46">
        <f>J75+'8'!K75</f>
        <v>0</v>
      </c>
      <c r="L75" s="46">
        <f>J75+'8'!L75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45197</v>
      </c>
      <c r="G76" s="62">
        <f t="shared" ref="G76:M76" si="5">SUM(G68:G75)</f>
        <v>0</v>
      </c>
      <c r="H76" s="62">
        <f t="shared" si="5"/>
        <v>32000</v>
      </c>
      <c r="I76" s="62">
        <f t="shared" si="5"/>
        <v>122000</v>
      </c>
      <c r="J76" s="62">
        <f t="shared" si="5"/>
        <v>812</v>
      </c>
      <c r="K76" s="62">
        <f t="shared" si="5"/>
        <v>13760</v>
      </c>
      <c r="L76" s="62">
        <f t="shared" si="5"/>
        <v>126706</v>
      </c>
      <c r="M76" s="62">
        <f t="shared" si="5"/>
        <v>44385</v>
      </c>
      <c r="N76" s="63"/>
      <c r="O76" s="64"/>
      <c r="P76" s="62"/>
      <c r="Q76" s="65"/>
    </row>
  </sheetData>
  <mergeCells count="70">
    <mergeCell ref="B63:B66"/>
    <mergeCell ref="C63:Q63"/>
    <mergeCell ref="C64:E64"/>
    <mergeCell ref="C65:E65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6:E66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C14:D14"/>
    <mergeCell ref="C18:E18"/>
    <mergeCell ref="C20:D20"/>
    <mergeCell ref="C13:D13"/>
    <mergeCell ref="C12:E12"/>
    <mergeCell ref="C34:E34"/>
    <mergeCell ref="C35:E35"/>
    <mergeCell ref="C36:D36"/>
    <mergeCell ref="C37:D37"/>
    <mergeCell ref="C61:E61"/>
    <mergeCell ref="C50:D50"/>
    <mergeCell ref="C47:D47"/>
    <mergeCell ref="C59:E59"/>
    <mergeCell ref="B55:B62"/>
    <mergeCell ref="C38:D38"/>
    <mergeCell ref="C17:E17"/>
    <mergeCell ref="C15:D15"/>
    <mergeCell ref="C56:E56"/>
    <mergeCell ref="C57:E57"/>
    <mergeCell ref="C58:E58"/>
    <mergeCell ref="C60:E60"/>
    <mergeCell ref="C62:E62"/>
    <mergeCell ref="C51:E51"/>
    <mergeCell ref="C52:E52"/>
    <mergeCell ref="C53:E53"/>
    <mergeCell ref="C54:E54"/>
    <mergeCell ref="C55:Q55"/>
    <mergeCell ref="C40:E40"/>
    <mergeCell ref="B9:B54"/>
    <mergeCell ref="C6:E6"/>
    <mergeCell ref="C7:E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</mergeCells>
  <pageMargins left="0.7" right="0.7" top="0.75" bottom="0.75" header="0.3" footer="0.3"/>
  <pageSetup paperSize="9" scale="41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7" sqref="J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8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 t="s">
        <v>218</v>
      </c>
      <c r="Q3" s="316"/>
    </row>
    <row r="4" spans="2:18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8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8" x14ac:dyDescent="0.25">
      <c r="B6" s="54">
        <v>1</v>
      </c>
      <c r="C6" s="308" t="s">
        <v>135</v>
      </c>
      <c r="D6" s="309"/>
      <c r="E6" s="310"/>
      <c r="F6" s="45">
        <f>Clinker!C12</f>
        <v>2048.92</v>
      </c>
      <c r="G6" s="45">
        <f>Clinker!D12</f>
        <v>0</v>
      </c>
      <c r="H6" s="45">
        <f>G6+'9'!H6</f>
        <v>0</v>
      </c>
      <c r="I6" s="45">
        <f>G6+'9'!I6</f>
        <v>417.28000000000003</v>
      </c>
      <c r="J6" s="45">
        <f>Clinker!E12</f>
        <v>95</v>
      </c>
      <c r="K6" s="45">
        <f>J6+'9'!K6</f>
        <v>694</v>
      </c>
      <c r="L6" s="45">
        <f>J6+'9'!L6</f>
        <v>3829</v>
      </c>
      <c r="M6" s="45">
        <f>F6+G6-J6</f>
        <v>1953.92</v>
      </c>
      <c r="N6" s="46">
        <v>0</v>
      </c>
      <c r="O6" s="45">
        <v>3000</v>
      </c>
      <c r="P6" s="45">
        <v>6000</v>
      </c>
      <c r="Q6" s="55">
        <f>SUM(M6+N6)-O6</f>
        <v>-1046.08</v>
      </c>
    </row>
    <row r="7" spans="2:18" x14ac:dyDescent="0.25">
      <c r="B7" s="50">
        <v>2</v>
      </c>
      <c r="C7" s="305" t="s">
        <v>136</v>
      </c>
      <c r="D7" s="306"/>
      <c r="E7" s="307"/>
      <c r="F7" s="46">
        <f>Cement!C12</f>
        <v>3285.929017343577</v>
      </c>
      <c r="G7" s="46">
        <f>Cement!D12</f>
        <v>214.88</v>
      </c>
      <c r="H7" s="45">
        <f>G7+'9'!H7</f>
        <v>308.24</v>
      </c>
      <c r="I7" s="45">
        <f>G7+'9'!I7</f>
        <v>2434.8599999999997</v>
      </c>
      <c r="J7" s="46">
        <f>Cement!I12</f>
        <v>140.89473678715791</v>
      </c>
      <c r="K7" s="45">
        <f>J7+'9'!K7</f>
        <v>1156.631577599758</v>
      </c>
      <c r="L7" s="45">
        <f>J7+'9'!L7</f>
        <v>6382.8615679272589</v>
      </c>
      <c r="M7" s="45">
        <f>F7+G7-J7</f>
        <v>3359.9142805564193</v>
      </c>
      <c r="N7" s="46">
        <v>61.94</v>
      </c>
      <c r="O7" s="46">
        <v>3000</v>
      </c>
      <c r="P7" s="46">
        <v>6000</v>
      </c>
      <c r="Q7" s="56">
        <f>SUM(M7+N7)-O7</f>
        <v>421.85428055641933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Clinker!EI12</f>
        <v>30660.356586031427</v>
      </c>
      <c r="G8" s="46">
        <f>Clinker!EJ12</f>
        <v>1510</v>
      </c>
      <c r="H8" s="45">
        <f>G8+'9'!H8</f>
        <v>15788</v>
      </c>
      <c r="I8" s="45">
        <f>G8+'9'!I8</f>
        <v>114704.66</v>
      </c>
      <c r="J8" s="46">
        <f>Clinker!EK12</f>
        <v>2075.320000048001</v>
      </c>
      <c r="K8" s="45">
        <f>J8+'9'!K8</f>
        <v>16944.865501823537</v>
      </c>
      <c r="L8" s="45">
        <f>J8+'9'!L8</f>
        <v>96740.712521643465</v>
      </c>
      <c r="M8" s="45">
        <f>F8+G8-J8</f>
        <v>30095.036585983427</v>
      </c>
      <c r="N8" s="46">
        <v>0</v>
      </c>
      <c r="O8" s="46"/>
      <c r="P8" s="46"/>
      <c r="Q8" s="56"/>
    </row>
    <row r="9" spans="2:18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88"/>
      <c r="C10" s="281" t="s">
        <v>138</v>
      </c>
      <c r="D10" s="282"/>
      <c r="E10" s="283"/>
      <c r="F10" s="46">
        <f>Clinker!K12</f>
        <v>0</v>
      </c>
      <c r="G10" s="46">
        <f>Clinker!L12</f>
        <v>0</v>
      </c>
      <c r="H10" s="46">
        <f>G10+'9'!H10</f>
        <v>0</v>
      </c>
      <c r="I10" s="46">
        <f>G10+'9'!I10</f>
        <v>0</v>
      </c>
      <c r="J10" s="46">
        <f>Clinker!N12</f>
        <v>0</v>
      </c>
      <c r="K10" s="46">
        <f>J10+'9'!K10</f>
        <v>0</v>
      </c>
      <c r="L10" s="46">
        <f>J10+'9'!L10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88"/>
      <c r="C11" s="281" t="s">
        <v>139</v>
      </c>
      <c r="D11" s="282"/>
      <c r="E11" s="283"/>
      <c r="F11" s="46">
        <f>Clinker!W12</f>
        <v>1063.0399999999981</v>
      </c>
      <c r="G11" s="46">
        <f>Clinker!X12</f>
        <v>0</v>
      </c>
      <c r="H11" s="46">
        <f>G11+'9'!H11</f>
        <v>0</v>
      </c>
      <c r="I11" s="46">
        <f>G11+'9'!I11</f>
        <v>0</v>
      </c>
      <c r="J11" s="46">
        <f>Clinker!Z12</f>
        <v>0</v>
      </c>
      <c r="K11" s="46">
        <f>J11+'9'!K11</f>
        <v>0</v>
      </c>
      <c r="L11" s="46">
        <f>J11+'9'!L11</f>
        <v>7623.8399999999992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8" ht="15" customHeight="1" x14ac:dyDescent="0.25">
      <c r="B12" s="288"/>
      <c r="C12" s="281" t="s">
        <v>140</v>
      </c>
      <c r="D12" s="282"/>
      <c r="E12" s="283"/>
      <c r="F12" s="46">
        <f>Clinker!AT12</f>
        <v>503.11000000000206</v>
      </c>
      <c r="G12" s="46">
        <f>Clinker!AU12</f>
        <v>0</v>
      </c>
      <c r="H12" s="46">
        <f>G12+'9'!H12</f>
        <v>0</v>
      </c>
      <c r="I12" s="46">
        <f>G12+'9'!I12</f>
        <v>181.5</v>
      </c>
      <c r="J12" s="46">
        <f>Clinker!AV12</f>
        <v>260</v>
      </c>
      <c r="K12" s="46">
        <f>J12+'9'!K12</f>
        <v>2690.79</v>
      </c>
      <c r="L12" s="46">
        <f>J12+'9'!L12</f>
        <v>5432.4900000000007</v>
      </c>
      <c r="M12" s="45">
        <f>F12+G12-J12-J32</f>
        <v>243.11000000000206</v>
      </c>
      <c r="N12" s="46">
        <v>0</v>
      </c>
      <c r="O12" s="46"/>
      <c r="P12" s="46"/>
      <c r="Q12" s="56"/>
    </row>
    <row r="13" spans="2:18" x14ac:dyDescent="0.25">
      <c r="B13" s="288"/>
      <c r="C13" s="281" t="s">
        <v>9</v>
      </c>
      <c r="D13" s="282"/>
      <c r="E13" s="69"/>
      <c r="F13" s="46">
        <f>Clinker!AO12</f>
        <v>0</v>
      </c>
      <c r="G13" s="46">
        <f>Clinker!AP12</f>
        <v>0</v>
      </c>
      <c r="H13" s="46">
        <f>G13+'9'!H13</f>
        <v>0</v>
      </c>
      <c r="I13" s="46">
        <f>G13+'9'!I13</f>
        <v>0</v>
      </c>
      <c r="J13" s="46">
        <f>Clinker!AQ12</f>
        <v>0</v>
      </c>
      <c r="K13" s="46">
        <f>J13+'9'!K13</f>
        <v>0</v>
      </c>
      <c r="L13" s="46">
        <f>J13+'9'!L13</f>
        <v>0</v>
      </c>
      <c r="M13" s="45">
        <f>F13+G13-J13-J36</f>
        <v>0</v>
      </c>
      <c r="N13" s="46">
        <v>0</v>
      </c>
      <c r="O13" s="46"/>
      <c r="P13" s="46"/>
      <c r="Q13" s="56"/>
    </row>
    <row r="14" spans="2:18" x14ac:dyDescent="0.25">
      <c r="B14" s="288"/>
      <c r="C14" s="281" t="s">
        <v>8</v>
      </c>
      <c r="D14" s="282"/>
      <c r="E14" s="69"/>
      <c r="F14" s="46">
        <f>Clinker!AK12</f>
        <v>0</v>
      </c>
      <c r="G14" s="46">
        <f>Clinker!AL12</f>
        <v>0</v>
      </c>
      <c r="H14" s="46">
        <f>G14+'9'!H14</f>
        <v>0</v>
      </c>
      <c r="I14" s="46">
        <f>G14+'9'!I14</f>
        <v>0</v>
      </c>
      <c r="J14" s="46">
        <f>Clinker!AM12</f>
        <v>0</v>
      </c>
      <c r="K14" s="46">
        <f>J14+'9'!K14</f>
        <v>0</v>
      </c>
      <c r="L14" s="46">
        <f>J14+'9'!L14</f>
        <v>0</v>
      </c>
      <c r="M14" s="45">
        <f>F14+G14-J14</f>
        <v>0</v>
      </c>
      <c r="N14" s="46">
        <v>0</v>
      </c>
      <c r="O14" s="46"/>
      <c r="P14" s="46"/>
      <c r="Q14" s="56"/>
    </row>
    <row r="15" spans="2:18" x14ac:dyDescent="0.25">
      <c r="B15" s="288"/>
      <c r="C15" s="281" t="s">
        <v>11</v>
      </c>
      <c r="D15" s="282"/>
      <c r="E15" s="69"/>
      <c r="F15" s="46">
        <f>Clinker!AY12</f>
        <v>1947.3069999999902</v>
      </c>
      <c r="G15" s="46">
        <f>Clinker!AZ12</f>
        <v>191.78</v>
      </c>
      <c r="H15" s="46">
        <f>G15+'9'!H15</f>
        <v>1727.0600000000002</v>
      </c>
      <c r="I15" s="46">
        <f>G15+'9'!I15</f>
        <v>2138.8000000000002</v>
      </c>
      <c r="J15" s="46">
        <f>Clinker!BA12</f>
        <v>0</v>
      </c>
      <c r="K15" s="46">
        <f>J15+'9'!K15</f>
        <v>0</v>
      </c>
      <c r="L15" s="46">
        <f>J15+'9'!L15</f>
        <v>0</v>
      </c>
      <c r="M15" s="45">
        <f>F15+G15-J15-J38</f>
        <v>2139.0869999999904</v>
      </c>
      <c r="N15" s="75">
        <v>157.12</v>
      </c>
      <c r="O15" s="46">
        <v>5000</v>
      </c>
      <c r="P15" s="46">
        <v>9000</v>
      </c>
      <c r="Q15" s="56"/>
    </row>
    <row r="16" spans="2:18" x14ac:dyDescent="0.25">
      <c r="B16" s="288"/>
      <c r="C16" s="76" t="s">
        <v>141</v>
      </c>
      <c r="D16" s="77"/>
      <c r="E16" s="69"/>
      <c r="F16" s="46">
        <f>Clinker!BD12</f>
        <v>0</v>
      </c>
      <c r="G16" s="46">
        <f>Clinker!BE12</f>
        <v>0</v>
      </c>
      <c r="H16" s="46">
        <f>G16+'9'!H16</f>
        <v>0</v>
      </c>
      <c r="I16" s="46">
        <f>G16+'9'!I16</f>
        <v>0</v>
      </c>
      <c r="J16" s="46">
        <f>Clinker!BF12</f>
        <v>0</v>
      </c>
      <c r="K16" s="46">
        <f>J16+'9'!K16</f>
        <v>0</v>
      </c>
      <c r="L16" s="46">
        <f>J16+'9'!L16</f>
        <v>0</v>
      </c>
      <c r="M16" s="45">
        <f>F16+G16-J16-J39</f>
        <v>0</v>
      </c>
      <c r="N16" s="46">
        <v>0</v>
      </c>
      <c r="O16" s="46"/>
      <c r="P16" s="46"/>
      <c r="Q16" s="56"/>
    </row>
    <row r="17" spans="2:17" ht="14.25" customHeight="1" x14ac:dyDescent="0.25">
      <c r="B17" s="288"/>
      <c r="C17" s="281" t="s">
        <v>182</v>
      </c>
      <c r="D17" s="282"/>
      <c r="E17" s="283"/>
      <c r="F17" s="46">
        <f>Clinker!BI12</f>
        <v>0</v>
      </c>
      <c r="G17" s="46">
        <f>Clinker!BJ12</f>
        <v>0</v>
      </c>
      <c r="H17" s="46">
        <f>G17+'9'!H17</f>
        <v>0</v>
      </c>
      <c r="I17" s="46">
        <f>G17+'9'!I17</f>
        <v>0</v>
      </c>
      <c r="J17" s="46">
        <f>Clinker!BK12</f>
        <v>0</v>
      </c>
      <c r="K17" s="46">
        <f>J17+'9'!K17</f>
        <v>0</v>
      </c>
      <c r="L17" s="46">
        <f>J17+'9'!L17</f>
        <v>0</v>
      </c>
      <c r="M17" s="45">
        <f>F17+G17-J17-J40</f>
        <v>0</v>
      </c>
      <c r="N17" s="46">
        <v>0</v>
      </c>
      <c r="O17" s="46"/>
      <c r="P17" s="46"/>
      <c r="Q17" s="56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Clinker!BN12</f>
        <v>0</v>
      </c>
      <c r="G18" s="46">
        <f>Clinker!BO12</f>
        <v>0</v>
      </c>
      <c r="H18" s="46">
        <f>G18+'9'!H18</f>
        <v>0</v>
      </c>
      <c r="I18" s="46">
        <f>G18+'9'!I18</f>
        <v>0</v>
      </c>
      <c r="J18" s="46">
        <f>Clinker!BP12</f>
        <v>0</v>
      </c>
      <c r="K18" s="46">
        <f>J18+'9'!K18</f>
        <v>0</v>
      </c>
      <c r="L18" s="46">
        <f>J18+'9'!L18</f>
        <v>0</v>
      </c>
      <c r="M18" s="45">
        <f>F18+G18-J18-J41</f>
        <v>0</v>
      </c>
      <c r="N18" s="46">
        <v>0</v>
      </c>
      <c r="O18" s="46"/>
      <c r="P18" s="46"/>
      <c r="Q18" s="56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Clinker!BS12</f>
        <v>0</v>
      </c>
      <c r="G19" s="46">
        <f>Clinker!BT12</f>
        <v>0</v>
      </c>
      <c r="H19" s="46">
        <f>G19+'9'!H19</f>
        <v>0</v>
      </c>
      <c r="I19" s="46">
        <f>G19+'9'!I19</f>
        <v>0</v>
      </c>
      <c r="J19" s="46">
        <f>Clinker!BU12</f>
        <v>0</v>
      </c>
      <c r="K19" s="46">
        <f>J19+'9'!K19</f>
        <v>0</v>
      </c>
      <c r="L19" s="46">
        <f>J19+'9'!L19</f>
        <v>0</v>
      </c>
      <c r="M19" s="45">
        <f>F19+G19-J19-J42</f>
        <v>0</v>
      </c>
      <c r="N19" s="46">
        <v>0</v>
      </c>
      <c r="O19" s="46"/>
      <c r="P19" s="46"/>
      <c r="Q19" s="56"/>
    </row>
    <row r="20" spans="2:17" ht="14.25" customHeight="1" x14ac:dyDescent="0.25">
      <c r="B20" s="288"/>
      <c r="C20" s="281" t="s">
        <v>16</v>
      </c>
      <c r="D20" s="282"/>
      <c r="E20" s="69"/>
      <c r="F20" s="46">
        <f>Clinker!BX12</f>
        <v>0</v>
      </c>
      <c r="G20" s="46">
        <f>Clinker!BY12</f>
        <v>0</v>
      </c>
      <c r="H20" s="46">
        <f>G20+'9'!H20</f>
        <v>0</v>
      </c>
      <c r="I20" s="46">
        <f>G20+'9'!I20</f>
        <v>0</v>
      </c>
      <c r="J20" s="46">
        <f>Clinker!BZ12</f>
        <v>0</v>
      </c>
      <c r="K20" s="46">
        <f>J20+'9'!K20</f>
        <v>0</v>
      </c>
      <c r="L20" s="46">
        <f>J20+'9'!L20</f>
        <v>4052.88</v>
      </c>
      <c r="M20" s="45">
        <f>F20+G20-J20</f>
        <v>0</v>
      </c>
      <c r="N20" s="46">
        <v>0</v>
      </c>
      <c r="O20" s="46"/>
      <c r="P20" s="46"/>
      <c r="Q20" s="56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Clinker!CR12</f>
        <v>0</v>
      </c>
      <c r="G21" s="46">
        <f>Clinker!CS12</f>
        <v>0</v>
      </c>
      <c r="H21" s="46">
        <f>G21+'9'!H21</f>
        <v>0</v>
      </c>
      <c r="I21" s="46">
        <f>G21+'9'!I21</f>
        <v>0</v>
      </c>
      <c r="J21" s="46">
        <f>Clinker!CT12</f>
        <v>0</v>
      </c>
      <c r="K21" s="46">
        <f>J21+'9'!K21</f>
        <v>0</v>
      </c>
      <c r="L21" s="46">
        <f>J21+'9'!L21</f>
        <v>0</v>
      </c>
      <c r="M21" s="45">
        <f>F21+G21-J21</f>
        <v>0</v>
      </c>
      <c r="N21" s="46">
        <v>0</v>
      </c>
      <c r="O21" s="46"/>
      <c r="P21" s="46"/>
      <c r="Q21" s="56"/>
    </row>
    <row r="22" spans="2:17" ht="14.25" customHeight="1" x14ac:dyDescent="0.25">
      <c r="B22" s="288"/>
      <c r="C22" s="76" t="s">
        <v>143</v>
      </c>
      <c r="D22" s="77"/>
      <c r="E22" s="69"/>
      <c r="F22" s="46">
        <f>Clinker!CW12</f>
        <v>0</v>
      </c>
      <c r="G22" s="46">
        <f>Clinker!CX12</f>
        <v>0</v>
      </c>
      <c r="H22" s="46">
        <f>G22+'9'!H22</f>
        <v>0</v>
      </c>
      <c r="I22" s="46">
        <f>G22+'9'!I22</f>
        <v>0</v>
      </c>
      <c r="J22" s="46">
        <f>Clinker!CY12</f>
        <v>0</v>
      </c>
      <c r="K22" s="46">
        <f>J22+'9'!K22</f>
        <v>0</v>
      </c>
      <c r="L22" s="46">
        <f>J22+'9'!L22</f>
        <v>0</v>
      </c>
      <c r="M22" s="45">
        <f>F22+G22-J22-J44</f>
        <v>0</v>
      </c>
      <c r="N22" s="46">
        <v>0</v>
      </c>
      <c r="O22" s="46"/>
      <c r="P22" s="46"/>
      <c r="Q22" s="56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Clinker!DB12</f>
        <v>1.0000000000013998E-2</v>
      </c>
      <c r="G23" s="46">
        <f>Clinker!DC12</f>
        <v>0</v>
      </c>
      <c r="H23" s="46">
        <f>G23+'9'!H23</f>
        <v>0</v>
      </c>
      <c r="I23" s="46">
        <f>G23+'9'!I23</f>
        <v>0</v>
      </c>
      <c r="J23" s="46">
        <f>Clinker!DD12</f>
        <v>0</v>
      </c>
      <c r="K23" s="46">
        <f>J23+'9'!K23</f>
        <v>7.1</v>
      </c>
      <c r="L23" s="46">
        <f>J23+'9'!L23</f>
        <v>305.99</v>
      </c>
      <c r="M23" s="45">
        <f>F23+G23-J23-J45</f>
        <v>1.0000000000013998E-2</v>
      </c>
      <c r="N23" s="46">
        <v>0</v>
      </c>
      <c r="O23" s="46"/>
      <c r="P23" s="46"/>
      <c r="Q23" s="56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Clinker!DG12</f>
        <v>0</v>
      </c>
      <c r="G24" s="46">
        <f>Clinker!DH12</f>
        <v>0</v>
      </c>
      <c r="H24" s="46">
        <f>G24+'9'!H24</f>
        <v>0</v>
      </c>
      <c r="I24" s="46">
        <f>G24+'9'!I24</f>
        <v>0</v>
      </c>
      <c r="J24" s="46">
        <f>Clinker!DI12</f>
        <v>0</v>
      </c>
      <c r="K24" s="46">
        <f>J24+'9'!K24</f>
        <v>0</v>
      </c>
      <c r="L24" s="46">
        <f>J24+'9'!L24</f>
        <v>0</v>
      </c>
      <c r="M24" s="45">
        <f>F24+G24-J24-J46</f>
        <v>0</v>
      </c>
      <c r="N24" s="46">
        <v>0</v>
      </c>
      <c r="O24" s="46"/>
      <c r="P24" s="46"/>
      <c r="Q24" s="56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Clinker!DL12</f>
        <v>304</v>
      </c>
      <c r="G25" s="46">
        <f>Clinker!DM12</f>
        <v>0</v>
      </c>
      <c r="H25" s="46">
        <f>G25+'9'!H25</f>
        <v>92</v>
      </c>
      <c r="I25" s="46">
        <f>G25+'9'!I25</f>
        <v>304</v>
      </c>
      <c r="J25" s="46">
        <f>Clinker!DN12</f>
        <v>0</v>
      </c>
      <c r="K25" s="46">
        <f>J25+'9'!K25</f>
        <v>0</v>
      </c>
      <c r="L25" s="46">
        <f>J25+'9'!L25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56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Clinker!DV12</f>
        <v>0</v>
      </c>
      <c r="G26" s="46">
        <f>Clinker!DW12</f>
        <v>0</v>
      </c>
      <c r="H26" s="46">
        <f>G26+'9'!H26</f>
        <v>0</v>
      </c>
      <c r="I26" s="46">
        <f>G26+'9'!I26</f>
        <v>0</v>
      </c>
      <c r="J26" s="46">
        <f>Clinker!DX12</f>
        <v>0</v>
      </c>
      <c r="K26" s="46">
        <f>J26+'9'!K26</f>
        <v>0</v>
      </c>
      <c r="L26" s="46">
        <f>J26+'9'!L26</f>
        <v>0</v>
      </c>
      <c r="M26" s="45">
        <f>F26+G26-J26</f>
        <v>0</v>
      </c>
      <c r="N26" s="46">
        <v>0</v>
      </c>
      <c r="O26" s="46"/>
      <c r="P26" s="46"/>
      <c r="Q26" s="56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3817.4669999999905</v>
      </c>
      <c r="G27" s="46">
        <f t="shared" ref="G27:Q27" si="0">SUM(G10:G26)</f>
        <v>191.78</v>
      </c>
      <c r="H27" s="46">
        <f>SUM(H10:H26)</f>
        <v>1819.0600000000002</v>
      </c>
      <c r="I27" s="46">
        <f>SUM(I10:I26)</f>
        <v>2624.3</v>
      </c>
      <c r="J27" s="46">
        <f t="shared" si="0"/>
        <v>260</v>
      </c>
      <c r="K27" s="46">
        <f t="shared" si="0"/>
        <v>2697.89</v>
      </c>
      <c r="L27" s="46">
        <f t="shared" si="0"/>
        <v>17415.2</v>
      </c>
      <c r="M27" s="46">
        <f t="shared" si="0"/>
        <v>3749.2469999999907</v>
      </c>
      <c r="N27" s="46">
        <f t="shared" si="0"/>
        <v>157.12</v>
      </c>
      <c r="O27" s="46">
        <f t="shared" si="0"/>
        <v>10000</v>
      </c>
      <c r="P27" s="46">
        <f t="shared" si="0"/>
        <v>18000</v>
      </c>
      <c r="Q27" s="47">
        <f t="shared" si="0"/>
        <v>1063.0399999999981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Clinker!Q12</f>
        <v>0</v>
      </c>
      <c r="G29" s="46">
        <f>Clinker!R12</f>
        <v>0</v>
      </c>
      <c r="H29" s="46">
        <f>G29+'9'!H29</f>
        <v>0</v>
      </c>
      <c r="I29" s="46">
        <f>G29+'9'!I29</f>
        <v>0</v>
      </c>
      <c r="J29" s="46">
        <f>Clinker!S12</f>
        <v>0</v>
      </c>
      <c r="K29" s="46">
        <f>J29+'9'!K29</f>
        <v>0</v>
      </c>
      <c r="L29" s="46">
        <f>J29+'9'!L29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G30+'9'!H30</f>
        <v>0</v>
      </c>
      <c r="I30" s="46">
        <f>G30+'9'!I30</f>
        <v>0</v>
      </c>
      <c r="J30" s="46">
        <v>0</v>
      </c>
      <c r="K30" s="46">
        <f>J30+'9'!K30</f>
        <v>0</v>
      </c>
      <c r="L30" s="46">
        <f>J30+'9'!L30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G31+'9'!H31</f>
        <v>0</v>
      </c>
      <c r="I31" s="46">
        <f>G31+'9'!I31</f>
        <v>0</v>
      </c>
      <c r="J31" s="46">
        <v>0</v>
      </c>
      <c r="K31" s="46">
        <f>J31+'9'!K31</f>
        <v>0</v>
      </c>
      <c r="L31" s="46">
        <f>J31+'9'!L31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140</v>
      </c>
      <c r="D32" s="282"/>
      <c r="E32" s="283"/>
      <c r="F32" s="46">
        <f>Clinker!DQ12</f>
        <v>0</v>
      </c>
      <c r="G32" s="46">
        <f>Clinker!DR12</f>
        <v>0</v>
      </c>
      <c r="H32" s="46">
        <f>G32+'9'!H32</f>
        <v>0</v>
      </c>
      <c r="I32" s="46">
        <f>G32+'9'!I32</f>
        <v>0</v>
      </c>
      <c r="J32" s="46">
        <f>Clinker!AW12</f>
        <v>0</v>
      </c>
      <c r="K32" s="46">
        <f>J32+'9'!K32</f>
        <v>0</v>
      </c>
      <c r="L32" s="46">
        <f>J32+'9'!L32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G33+'9'!H33</f>
        <v>0</v>
      </c>
      <c r="I33" s="46">
        <f>G33+'9'!I33</f>
        <v>0</v>
      </c>
      <c r="J33" s="46">
        <v>0</v>
      </c>
      <c r="K33" s="46">
        <f>J33+'9'!K33</f>
        <v>0</v>
      </c>
      <c r="L33" s="46">
        <f>J33+'9'!L33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Clinker!Y12</f>
        <v>0</v>
      </c>
      <c r="K34" s="46">
        <f>J34+'9'!K34</f>
        <v>0</v>
      </c>
      <c r="L34" s="46">
        <f>J34+'9'!L34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Clinker!M12</f>
        <v>0</v>
      </c>
      <c r="K35" s="46">
        <f>J35+'9'!K35</f>
        <v>0</v>
      </c>
      <c r="L35" s="46">
        <f>J35+'9'!L35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Clinker!AR12</f>
        <v>0</v>
      </c>
      <c r="K36" s="46">
        <f>J36+'9'!K36</f>
        <v>0</v>
      </c>
      <c r="L36" s="46">
        <f>J36+'9'!L36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Clinker!DT12</f>
        <v>0</v>
      </c>
      <c r="K37" s="46">
        <f>J37+'9'!K37</f>
        <v>0</v>
      </c>
      <c r="L37" s="46">
        <f>J37+'9'!L37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Clinker!BB12</f>
        <v>0</v>
      </c>
      <c r="K38" s="46">
        <f>J38+'9'!K38</f>
        <v>0</v>
      </c>
      <c r="L38" s="46">
        <f>J38+'9'!L38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Clinker!BG12</f>
        <v>0</v>
      </c>
      <c r="K39" s="46">
        <f>J39+'9'!K39</f>
        <v>0</v>
      </c>
      <c r="L39" s="46">
        <f>J39+'9'!L39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180</v>
      </c>
      <c r="D40" s="282"/>
      <c r="E40" s="283"/>
      <c r="F40" s="46"/>
      <c r="G40" s="46"/>
      <c r="H40" s="46"/>
      <c r="I40" s="46"/>
      <c r="J40" s="46">
        <f>Clinker!BL12</f>
        <v>0</v>
      </c>
      <c r="K40" s="46">
        <f>J40+'9'!K40</f>
        <v>0</v>
      </c>
      <c r="L40" s="46">
        <f>J40+'9'!L40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Clinker!BQ12</f>
        <v>0</v>
      </c>
      <c r="K41" s="46">
        <f>J41+'9'!K41</f>
        <v>0</v>
      </c>
      <c r="L41" s="46">
        <f>J41+'9'!L41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Clinker!BV12</f>
        <v>0</v>
      </c>
      <c r="K42" s="46">
        <f>J42+'9'!K42</f>
        <v>0</v>
      </c>
      <c r="L42" s="46">
        <f>J42+'9'!L42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Clinker!CU12</f>
        <v>0</v>
      </c>
      <c r="K43" s="46">
        <f>J43+'9'!K43</f>
        <v>0</v>
      </c>
      <c r="L43" s="46">
        <f>J43+'9'!L43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Clinker!CZ12</f>
        <v>0</v>
      </c>
      <c r="K44" s="46">
        <f>J44+'9'!K44</f>
        <v>0</v>
      </c>
      <c r="L44" s="46">
        <f>J44+'9'!L44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Clinker!DE12</f>
        <v>0</v>
      </c>
      <c r="K45" s="46">
        <f>J45+'9'!K45</f>
        <v>0</v>
      </c>
      <c r="L45" s="46">
        <f>J45+'9'!L45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Clinker!DJ12</f>
        <v>0</v>
      </c>
      <c r="K46" s="46">
        <f>J46+'9'!K46</f>
        <v>0</v>
      </c>
      <c r="L46" s="46">
        <f>J46+'9'!L46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Clinker!DO12</f>
        <v>0</v>
      </c>
      <c r="K47" s="46">
        <f>J47+'9'!K47</f>
        <v>0</v>
      </c>
      <c r="L47" s="46">
        <f>J47+'9'!L47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Clinker!CM12</f>
        <v>5.0000000000181899E-2</v>
      </c>
      <c r="G48" s="46">
        <f>Clinker!CN12</f>
        <v>0</v>
      </c>
      <c r="H48" s="46">
        <f>G48+'9'!H48</f>
        <v>0</v>
      </c>
      <c r="I48" s="46">
        <f>G48+'9'!I48</f>
        <v>0</v>
      </c>
      <c r="J48" s="46">
        <f>Clinker!CP12</f>
        <v>0</v>
      </c>
      <c r="K48" s="46">
        <f>J48+'9'!K48</f>
        <v>0</v>
      </c>
      <c r="L48" s="46">
        <f>J48+'9'!L48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88"/>
      <c r="C49" s="76" t="s">
        <v>102</v>
      </c>
      <c r="D49" s="77"/>
      <c r="E49" s="69"/>
      <c r="F49" s="46">
        <f>Clinker!CC12</f>
        <v>0</v>
      </c>
      <c r="G49" s="46">
        <f>Clinker!CD12</f>
        <v>0</v>
      </c>
      <c r="H49" s="46">
        <f>G49+'9'!H49</f>
        <v>0</v>
      </c>
      <c r="I49" s="46">
        <f>G49+'9'!I49</f>
        <v>0</v>
      </c>
      <c r="J49" s="46">
        <f>Clinker!CF12</f>
        <v>0</v>
      </c>
      <c r="K49" s="46">
        <f>J49+'9'!K49</f>
        <v>0</v>
      </c>
      <c r="L49" s="46">
        <f>J49+'9'!L49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88"/>
      <c r="C50" s="281" t="s">
        <v>154</v>
      </c>
      <c r="D50" s="282"/>
      <c r="E50" s="69"/>
      <c r="F50" s="46">
        <f>Clinker!CH12</f>
        <v>0</v>
      </c>
      <c r="G50" s="46">
        <f>Clinker!CI12</f>
        <v>0</v>
      </c>
      <c r="H50" s="46">
        <f>G50+'9'!H50</f>
        <v>0</v>
      </c>
      <c r="I50" s="46">
        <f>G50+'9'!I50</f>
        <v>0</v>
      </c>
      <c r="J50" s="46">
        <f>Clinker!CK12</f>
        <v>0</v>
      </c>
      <c r="K50" s="46">
        <f>J50+'9'!K50</f>
        <v>0</v>
      </c>
      <c r="L50" s="46">
        <f>J50+'9'!L50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88"/>
      <c r="C51" s="281" t="s">
        <v>155</v>
      </c>
      <c r="D51" s="282"/>
      <c r="E51" s="283"/>
      <c r="F51" s="46">
        <f>Clinker!AF12</f>
        <v>4095.3199999999933</v>
      </c>
      <c r="G51" s="46">
        <f>Clinker!AG12</f>
        <v>251.7</v>
      </c>
      <c r="H51" s="46">
        <f>G51+'9'!H51</f>
        <v>1565.3500000000001</v>
      </c>
      <c r="I51" s="46">
        <f>G51+'9'!I51</f>
        <v>3706.2999999999997</v>
      </c>
      <c r="J51" s="46">
        <f>Clinker!AI12</f>
        <v>131</v>
      </c>
      <c r="K51" s="46">
        <f>J51+'9'!K51</f>
        <v>1398</v>
      </c>
      <c r="L51" s="46">
        <f>J51+'9'!L51</f>
        <v>8223</v>
      </c>
      <c r="M51" s="45">
        <f>F51+G51-J51</f>
        <v>4216.0199999999932</v>
      </c>
      <c r="N51" s="46">
        <v>0</v>
      </c>
      <c r="O51" s="46">
        <v>1500</v>
      </c>
      <c r="P51" s="46">
        <v>3000</v>
      </c>
      <c r="Q51" s="56">
        <f>SUM(M51+N51)-O51</f>
        <v>2716.0199999999932</v>
      </c>
    </row>
    <row r="52" spans="2:17" x14ac:dyDescent="0.25">
      <c r="B52" s="288"/>
      <c r="C52" s="281" t="s">
        <v>156</v>
      </c>
      <c r="D52" s="282"/>
      <c r="E52" s="283"/>
      <c r="F52" s="46">
        <f>Clinker!AB12</f>
        <v>0</v>
      </c>
      <c r="G52" s="46">
        <f>Clinker!AC12</f>
        <v>0</v>
      </c>
      <c r="H52" s="46">
        <f>G52+'9'!H52</f>
        <v>0</v>
      </c>
      <c r="I52" s="46">
        <f>G52+'9'!I52</f>
        <v>0</v>
      </c>
      <c r="J52" s="46">
        <f>Clinker!AD12</f>
        <v>0</v>
      </c>
      <c r="K52" s="46">
        <f>J52+'9'!K52</f>
        <v>0</v>
      </c>
      <c r="L52" s="46">
        <f>J52+'9'!L52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88"/>
      <c r="C53" s="281" t="s">
        <v>146</v>
      </c>
      <c r="D53" s="282"/>
      <c r="E53" s="283"/>
      <c r="F53" s="46">
        <f t="shared" ref="F53:Q53" si="1">SUM(F29:F52)</f>
        <v>4095.3699999999935</v>
      </c>
      <c r="G53" s="46">
        <f>SUM(G29:G52)</f>
        <v>251.7</v>
      </c>
      <c r="H53" s="46">
        <f>SUM(H29:H52)</f>
        <v>1565.3500000000001</v>
      </c>
      <c r="I53" s="46">
        <f>SUM(I29:I52)</f>
        <v>3706.2999999999997</v>
      </c>
      <c r="J53" s="46">
        <f t="shared" si="1"/>
        <v>131</v>
      </c>
      <c r="K53" s="46">
        <f t="shared" si="1"/>
        <v>1398</v>
      </c>
      <c r="L53" s="46">
        <f t="shared" si="1"/>
        <v>9570</v>
      </c>
      <c r="M53" s="46">
        <f t="shared" si="1"/>
        <v>4216.0699999999933</v>
      </c>
      <c r="N53" s="49">
        <f>SUM(N29:N52)</f>
        <v>0</v>
      </c>
      <c r="O53" s="46">
        <f>SUM(O29:O52)</f>
        <v>3000</v>
      </c>
      <c r="P53" s="46">
        <f>SUM(P29:P52)</f>
        <v>6000</v>
      </c>
      <c r="Q53" s="47">
        <f t="shared" si="1"/>
        <v>2716.0199999999932</v>
      </c>
    </row>
    <row r="54" spans="2:17" x14ac:dyDescent="0.25">
      <c r="B54" s="289"/>
      <c r="C54" s="284" t="s">
        <v>157</v>
      </c>
      <c r="D54" s="285"/>
      <c r="E54" s="286"/>
      <c r="F54" s="59">
        <f t="shared" ref="F54:M54" si="2">SUM(F27+F53)</f>
        <v>7912.8369999999841</v>
      </c>
      <c r="G54" s="59">
        <f t="shared" si="2"/>
        <v>443.48</v>
      </c>
      <c r="H54" s="59">
        <f>SUM(H27+H53)</f>
        <v>3384.4100000000003</v>
      </c>
      <c r="I54" s="59">
        <f>SUM(I27+I53)</f>
        <v>6330.6</v>
      </c>
      <c r="J54" s="59">
        <f t="shared" si="2"/>
        <v>391</v>
      </c>
      <c r="K54" s="59">
        <f t="shared" si="2"/>
        <v>4095.89</v>
      </c>
      <c r="L54" s="59">
        <f t="shared" si="2"/>
        <v>26985.200000000001</v>
      </c>
      <c r="M54" s="59">
        <f t="shared" si="2"/>
        <v>7965.3169999999845</v>
      </c>
      <c r="N54" s="59">
        <f>N27+N53</f>
        <v>157.12</v>
      </c>
      <c r="O54" s="59">
        <f>SUM(O27+O53)</f>
        <v>13000</v>
      </c>
      <c r="P54" s="59">
        <f>SUM(P27+P53)</f>
        <v>24000</v>
      </c>
      <c r="Q54" s="60">
        <f>SUM(Q27+Q53)</f>
        <v>3779.0599999999913</v>
      </c>
    </row>
    <row r="55" spans="2:17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7" x14ac:dyDescent="0.25">
      <c r="B56" s="288"/>
      <c r="C56" s="281" t="s">
        <v>159</v>
      </c>
      <c r="D56" s="282"/>
      <c r="E56" s="283"/>
      <c r="F56" s="46">
        <f>'Packing bag '!C12</f>
        <v>2436476</v>
      </c>
      <c r="G56" s="46">
        <f>'Packing bag '!D12</f>
        <v>0</v>
      </c>
      <c r="H56" s="46">
        <f>G56+'9'!H56</f>
        <v>174500</v>
      </c>
      <c r="I56" s="46">
        <f>G56+'9'!I56</f>
        <v>3327000</v>
      </c>
      <c r="J56" s="46">
        <f>'Packing bag '!E12</f>
        <v>28088</v>
      </c>
      <c r="K56" s="46">
        <f>J56+'9'!K56</f>
        <v>393347</v>
      </c>
      <c r="L56" s="46">
        <f>J56+'9'!L56</f>
        <v>1970181</v>
      </c>
      <c r="M56" s="46">
        <f>F56+G56-J56</f>
        <v>2408388</v>
      </c>
      <c r="N56" s="46"/>
      <c r="O56" s="46">
        <v>400000</v>
      </c>
      <c r="P56" s="46">
        <v>800000</v>
      </c>
      <c r="Q56" s="56">
        <f>SUM(M56+N56)-O56</f>
        <v>2008388</v>
      </c>
    </row>
    <row r="57" spans="2:17" x14ac:dyDescent="0.25">
      <c r="B57" s="288"/>
      <c r="C57" s="281" t="s">
        <v>160</v>
      </c>
      <c r="D57" s="282"/>
      <c r="E57" s="283"/>
      <c r="F57" s="46">
        <f>'Packing bag '!G12</f>
        <v>623885</v>
      </c>
      <c r="G57" s="46">
        <f>'Packing bag '!H12</f>
        <v>0</v>
      </c>
      <c r="H57" s="46">
        <f>G57+'9'!H57</f>
        <v>40500</v>
      </c>
      <c r="I57" s="46">
        <f>G57+'9'!I57</f>
        <v>332000</v>
      </c>
      <c r="J57" s="46">
        <f>'Packing bag '!I12</f>
        <v>1227</v>
      </c>
      <c r="K57" s="46">
        <f>J57+'9'!K57</f>
        <v>20003</v>
      </c>
      <c r="L57" s="46">
        <f>J57+'9'!L57</f>
        <v>109624</v>
      </c>
      <c r="M57" s="46">
        <f>F57+G57-J57</f>
        <v>622658</v>
      </c>
      <c r="N57" s="46"/>
      <c r="O57" s="46">
        <v>100000</v>
      </c>
      <c r="P57" s="46">
        <v>250000</v>
      </c>
      <c r="Q57" s="56">
        <f>SUM(M57+N57)-O57</f>
        <v>522658</v>
      </c>
    </row>
    <row r="58" spans="2:17" x14ac:dyDescent="0.25">
      <c r="B58" s="288"/>
      <c r="C58" s="281" t="s">
        <v>161</v>
      </c>
      <c r="D58" s="282"/>
      <c r="E58" s="283"/>
      <c r="F58" s="46">
        <f>'Packing bag '!K12</f>
        <v>504837</v>
      </c>
      <c r="G58" s="46">
        <f>'Packing bag '!L12</f>
        <v>0</v>
      </c>
      <c r="H58" s="46">
        <f>G58+'9'!H58</f>
        <v>0</v>
      </c>
      <c r="I58" s="46">
        <f>G58+'9'!I58</f>
        <v>295000</v>
      </c>
      <c r="J58" s="46">
        <f>'Packing bag '!M12</f>
        <v>600</v>
      </c>
      <c r="K58" s="46">
        <f>J58+'9'!K58</f>
        <v>24526</v>
      </c>
      <c r="L58" s="46">
        <f>J58+'9'!L58</f>
        <v>196818</v>
      </c>
      <c r="M58" s="46">
        <f>F58+G58-J58</f>
        <v>504237</v>
      </c>
      <c r="N58" s="46"/>
      <c r="O58" s="46">
        <v>50000</v>
      </c>
      <c r="P58" s="46">
        <v>150000</v>
      </c>
      <c r="Q58" s="56">
        <f>SUM(M58+N58)-O58</f>
        <v>454237</v>
      </c>
    </row>
    <row r="59" spans="2:17" x14ac:dyDescent="0.25">
      <c r="B59" s="288"/>
      <c r="C59" s="281" t="s">
        <v>162</v>
      </c>
      <c r="D59" s="282"/>
      <c r="E59" s="283"/>
      <c r="F59" s="46">
        <f>'Packing bag '!O12</f>
        <v>152120</v>
      </c>
      <c r="G59" s="46">
        <f>'Packing bag '!P12</f>
        <v>0</v>
      </c>
      <c r="H59" s="46">
        <f>G59+'9'!H59</f>
        <v>85612</v>
      </c>
      <c r="I59" s="46">
        <f>G59+'9'!I59</f>
        <v>85000</v>
      </c>
      <c r="J59" s="46">
        <f>'Packing bag '!Q12</f>
        <v>0</v>
      </c>
      <c r="K59" s="46">
        <f>J59+'9'!K59</f>
        <v>1812</v>
      </c>
      <c r="L59" s="46">
        <f>J59+'9'!L59</f>
        <v>16581</v>
      </c>
      <c r="M59" s="46">
        <f>F59+G59-J59</f>
        <v>152120</v>
      </c>
      <c r="N59" s="46"/>
      <c r="O59" s="46"/>
      <c r="P59" s="46"/>
      <c r="Q59" s="56"/>
    </row>
    <row r="60" spans="2:17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G60+'9'!H60</f>
        <v>0</v>
      </c>
      <c r="I60" s="46">
        <f>G60+'9'!I60</f>
        <v>0</v>
      </c>
      <c r="J60" s="46">
        <v>0</v>
      </c>
      <c r="K60" s="46">
        <f>J60+'9'!K60</f>
        <v>0</v>
      </c>
      <c r="L60" s="46">
        <f>J60+'9'!L60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G61+'9'!H61</f>
        <v>0</v>
      </c>
      <c r="I61" s="46">
        <f>G61+'9'!I61</f>
        <v>0</v>
      </c>
      <c r="J61" s="46">
        <v>0</v>
      </c>
      <c r="K61" s="46">
        <f>J61+'9'!K61</f>
        <v>0</v>
      </c>
      <c r="L61" s="46">
        <f>J61+'9'!L61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89"/>
      <c r="C62" s="284" t="s">
        <v>165</v>
      </c>
      <c r="D62" s="285"/>
      <c r="E62" s="286"/>
      <c r="F62" s="59">
        <f>SUM(F56:F61)</f>
        <v>3717318</v>
      </c>
      <c r="G62" s="59">
        <f>SUM(G56:G61)</f>
        <v>0</v>
      </c>
      <c r="H62" s="59">
        <f t="shared" ref="H62:Q62" si="3">SUM(H56:H61)</f>
        <v>300612</v>
      </c>
      <c r="I62" s="59">
        <f t="shared" si="3"/>
        <v>4039000</v>
      </c>
      <c r="J62" s="59">
        <f t="shared" si="3"/>
        <v>29915</v>
      </c>
      <c r="K62" s="59">
        <f t="shared" si="3"/>
        <v>439688</v>
      </c>
      <c r="L62" s="59">
        <f t="shared" si="3"/>
        <v>2293204</v>
      </c>
      <c r="M62" s="59">
        <f t="shared" si="3"/>
        <v>3687403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60">
        <f t="shared" si="3"/>
        <v>2983783</v>
      </c>
    </row>
    <row r="63" spans="2:17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7" x14ac:dyDescent="0.25">
      <c r="B64" s="288"/>
      <c r="C64" s="281" t="s">
        <v>48</v>
      </c>
      <c r="D64" s="282"/>
      <c r="E64" s="283"/>
      <c r="F64" s="46">
        <f>Cement!G12</f>
        <v>0</v>
      </c>
      <c r="G64" s="46">
        <f>Cement!H12</f>
        <v>0</v>
      </c>
      <c r="H64" s="46">
        <f>G64+'9'!H64</f>
        <v>0</v>
      </c>
      <c r="I64" s="46">
        <f>G64+'9'!I64</f>
        <v>0</v>
      </c>
      <c r="J64" s="46">
        <v>0</v>
      </c>
      <c r="K64" s="46">
        <f>J64+'9'!K64</f>
        <v>0</v>
      </c>
      <c r="L64" s="46">
        <f>J64+'9'!L64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Cement!K12</f>
        <v>0</v>
      </c>
      <c r="G65" s="46">
        <f>Cement!L12</f>
        <v>0</v>
      </c>
      <c r="H65" s="46">
        <f>G65+'9'!H65</f>
        <v>0</v>
      </c>
      <c r="I65" s="46">
        <f>G65+'9'!I65</f>
        <v>0</v>
      </c>
      <c r="J65" s="46">
        <v>0</v>
      </c>
      <c r="K65" s="46">
        <f>J65+'9'!K65</f>
        <v>0</v>
      </c>
      <c r="L65" s="46">
        <f>J65+'9'!L65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Diesel!B12</f>
        <v>44385</v>
      </c>
      <c r="G68" s="46">
        <f>Diesel!C12</f>
        <v>0</v>
      </c>
      <c r="H68" s="46">
        <f>G68+'9'!H68</f>
        <v>32000</v>
      </c>
      <c r="I68" s="46">
        <f>G68+'9'!I68</f>
        <v>122000</v>
      </c>
      <c r="J68" s="46">
        <v>0</v>
      </c>
      <c r="K68" s="46">
        <f>J68+'9'!K68</f>
        <v>0</v>
      </c>
      <c r="L68" s="46">
        <f>J68+'9'!L68</f>
        <v>0</v>
      </c>
      <c r="M68" s="46">
        <f>F68+G68-J76</f>
        <v>41790</v>
      </c>
      <c r="N68" s="46"/>
      <c r="O68" s="46">
        <v>30000</v>
      </c>
      <c r="P68" s="46">
        <v>60000</v>
      </c>
      <c r="Q68" s="56">
        <f>SUM(M68+N68)-O68</f>
        <v>11790</v>
      </c>
    </row>
    <row r="69" spans="2:17" x14ac:dyDescent="0.25">
      <c r="B69" s="297"/>
      <c r="C69" s="281" t="s">
        <v>171</v>
      </c>
      <c r="D69" s="282"/>
      <c r="E69" s="283"/>
      <c r="F69" s="46">
        <f>Diesel!Y12</f>
        <v>0</v>
      </c>
      <c r="G69" s="46">
        <f>Diesel!Z12</f>
        <v>0</v>
      </c>
      <c r="H69" s="46">
        <f>G69+'9'!H69</f>
        <v>0</v>
      </c>
      <c r="I69" s="46">
        <f>G69+'9'!I69</f>
        <v>0</v>
      </c>
      <c r="J69" s="46">
        <f>Diesel!O12</f>
        <v>0</v>
      </c>
      <c r="K69" s="46">
        <f>J69+'9'!K69</f>
        <v>0</v>
      </c>
      <c r="L69" s="46">
        <f>J69+'9'!L69</f>
        <v>15000</v>
      </c>
      <c r="M69" s="46"/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G70+'9'!H70</f>
        <v>0</v>
      </c>
      <c r="I70" s="46">
        <f>G70+'9'!I70</f>
        <v>0</v>
      </c>
      <c r="J70" s="46">
        <f>Diesel!P12</f>
        <v>0</v>
      </c>
      <c r="K70" s="46">
        <f>J70+'9'!K70</f>
        <v>40</v>
      </c>
      <c r="L70" s="46">
        <f>J70+'9'!L70</f>
        <v>643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G71+'9'!H71</f>
        <v>0</v>
      </c>
      <c r="I71" s="46">
        <f>G71+'9'!I71</f>
        <v>0</v>
      </c>
      <c r="J71" s="46">
        <f>Diesel!Q12</f>
        <v>2080</v>
      </c>
      <c r="K71" s="46">
        <f>J71+'9'!K71</f>
        <v>9420</v>
      </c>
      <c r="L71" s="46">
        <f>J71+'9'!L71</f>
        <v>64055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G72+'9'!H72</f>
        <v>0</v>
      </c>
      <c r="I72" s="46">
        <f>G72+'9'!I72</f>
        <v>0</v>
      </c>
      <c r="J72" s="46">
        <f>Diesel!R12</f>
        <v>515</v>
      </c>
      <c r="K72" s="46">
        <f>J72+'9'!K72</f>
        <v>6895</v>
      </c>
      <c r="L72" s="46">
        <f>J72+'9'!L72</f>
        <v>49603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G73+'9'!H73</f>
        <v>0</v>
      </c>
      <c r="I73" s="46">
        <f>G73+'9'!I73</f>
        <v>0</v>
      </c>
      <c r="J73" s="46">
        <f>Diesel!S12</f>
        <v>0</v>
      </c>
      <c r="K73" s="46">
        <f>J73+'9'!K73</f>
        <v>0</v>
      </c>
      <c r="L73" s="46">
        <f>J73+'9'!L73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G74+'9'!H74</f>
        <v>0</v>
      </c>
      <c r="I74" s="46">
        <f>G74+'9'!I74</f>
        <v>0</v>
      </c>
      <c r="J74" s="46">
        <f>Diesel!T12</f>
        <v>0</v>
      </c>
      <c r="K74" s="46">
        <f>J74+'9'!K74</f>
        <v>0</v>
      </c>
      <c r="L74" s="46">
        <f>J74+'9'!L74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G75+'9'!H75</f>
        <v>0</v>
      </c>
      <c r="I75" s="46">
        <f>G75+'9'!I75</f>
        <v>0</v>
      </c>
      <c r="J75" s="61">
        <f>Diesel!U12</f>
        <v>0</v>
      </c>
      <c r="K75" s="46">
        <f>J75+'9'!K75</f>
        <v>0</v>
      </c>
      <c r="L75" s="46">
        <f>J75+'9'!L75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44385</v>
      </c>
      <c r="G76" s="62">
        <f t="shared" ref="G76:M76" si="5">SUM(G68:G75)</f>
        <v>0</v>
      </c>
      <c r="H76" s="62">
        <f t="shared" si="5"/>
        <v>32000</v>
      </c>
      <c r="I76" s="62">
        <f t="shared" si="5"/>
        <v>122000</v>
      </c>
      <c r="J76" s="62">
        <f t="shared" si="5"/>
        <v>2595</v>
      </c>
      <c r="K76" s="62">
        <f t="shared" si="5"/>
        <v>16355</v>
      </c>
      <c r="L76" s="62">
        <f t="shared" si="5"/>
        <v>129301</v>
      </c>
      <c r="M76" s="62">
        <f t="shared" si="5"/>
        <v>41790</v>
      </c>
      <c r="N76" s="63"/>
      <c r="O76" s="64"/>
      <c r="P76" s="62"/>
      <c r="Q76" s="65"/>
    </row>
  </sheetData>
  <mergeCells count="70">
    <mergeCell ref="C50:D50"/>
    <mergeCell ref="C40:E40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54:E54"/>
    <mergeCell ref="C55:Q55"/>
    <mergeCell ref="B63:B66"/>
    <mergeCell ref="C63:Q63"/>
    <mergeCell ref="C64:E64"/>
    <mergeCell ref="C65:E65"/>
    <mergeCell ref="C66:E66"/>
    <mergeCell ref="C56:E56"/>
    <mergeCell ref="C57:E57"/>
    <mergeCell ref="C58:E58"/>
    <mergeCell ref="C60:E60"/>
    <mergeCell ref="C62:E62"/>
    <mergeCell ref="C59:E59"/>
    <mergeCell ref="C38:D38"/>
    <mergeCell ref="C12:E12"/>
    <mergeCell ref="C13:D13"/>
    <mergeCell ref="C14:D14"/>
    <mergeCell ref="C34:E34"/>
    <mergeCell ref="C35:E35"/>
    <mergeCell ref="C36:D36"/>
    <mergeCell ref="C15:D15"/>
    <mergeCell ref="C37:D37"/>
    <mergeCell ref="C17:E17"/>
    <mergeCell ref="C18:E18"/>
    <mergeCell ref="C20:D20"/>
    <mergeCell ref="C51:E51"/>
    <mergeCell ref="C52:E52"/>
    <mergeCell ref="C53:E53"/>
    <mergeCell ref="B9:B54"/>
    <mergeCell ref="C61:E61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B55:B62"/>
    <mergeCell ref="C47:D4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6:E6"/>
    <mergeCell ref="C7:E7"/>
  </mergeCells>
  <pageMargins left="0.7" right="0.7" top="0.75" bottom="0.75" header="0.3" footer="0.3"/>
  <pageSetup paperSize="9" scale="41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7" sqref="J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9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 t="s">
        <v>219</v>
      </c>
      <c r="Q3" s="316"/>
    </row>
    <row r="4" spans="2:19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9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9" x14ac:dyDescent="0.25">
      <c r="B6" s="54">
        <v>1</v>
      </c>
      <c r="C6" s="308" t="s">
        <v>135</v>
      </c>
      <c r="D6" s="309"/>
      <c r="E6" s="310"/>
      <c r="F6" s="45">
        <f>Clinker!C13</f>
        <v>1953.92</v>
      </c>
      <c r="G6" s="45">
        <f>Clinker!D13</f>
        <v>0</v>
      </c>
      <c r="H6" s="45">
        <f>G6+'10'!H6</f>
        <v>0</v>
      </c>
      <c r="I6" s="45">
        <f>G6+'10'!I6</f>
        <v>417.28000000000003</v>
      </c>
      <c r="J6" s="45">
        <f>Clinker!E13</f>
        <v>47</v>
      </c>
      <c r="K6" s="45">
        <f>J6+'10'!K6</f>
        <v>741</v>
      </c>
      <c r="L6" s="45">
        <f>J6+'10'!L6</f>
        <v>3876</v>
      </c>
      <c r="M6" s="45">
        <f>F6+G6-J6</f>
        <v>1906.92</v>
      </c>
      <c r="N6" s="45">
        <v>0</v>
      </c>
      <c r="O6" s="45">
        <v>3000</v>
      </c>
      <c r="P6" s="45">
        <v>6000</v>
      </c>
      <c r="Q6" s="55">
        <f>SUM(M6+N6)-O6</f>
        <v>-1093.08</v>
      </c>
      <c r="S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Cement!C13</f>
        <v>3359.9142805564193</v>
      </c>
      <c r="G7" s="46">
        <f>Cement!D13</f>
        <v>61.94</v>
      </c>
      <c r="H7" s="45">
        <f>G7+'10'!H7</f>
        <v>370.18</v>
      </c>
      <c r="I7" s="45">
        <f>G7+'10'!I7</f>
        <v>2496.7999999999997</v>
      </c>
      <c r="J7" s="46">
        <f>Cement!I13</f>
        <v>153.68421052631581</v>
      </c>
      <c r="K7" s="45">
        <f>J7+'10'!K7</f>
        <v>1310.3157881260738</v>
      </c>
      <c r="L7" s="45">
        <f>J7+'10'!L7</f>
        <v>6536.5457784535747</v>
      </c>
      <c r="M7" s="45">
        <f>F7+G7-J7</f>
        <v>3268.1700700301035</v>
      </c>
      <c r="N7" s="46">
        <v>62.52</v>
      </c>
      <c r="O7" s="46">
        <v>3000</v>
      </c>
      <c r="P7" s="46">
        <v>6000</v>
      </c>
      <c r="Q7" s="56">
        <f>SUM(M7+N7)-O7</f>
        <v>330.69007003010347</v>
      </c>
      <c r="R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Clinker!EI13</f>
        <v>30095.036585983427</v>
      </c>
      <c r="G8" s="46">
        <f>Clinker!EJ13</f>
        <v>1290</v>
      </c>
      <c r="H8" s="45">
        <f>G8+'10'!H8</f>
        <v>17078</v>
      </c>
      <c r="I8" s="45">
        <f>G8+'10'!I8</f>
        <v>115994.66</v>
      </c>
      <c r="J8" s="46">
        <f>Clinker!EK13</f>
        <v>2303.9999999999854</v>
      </c>
      <c r="K8" s="45">
        <f>J8+'10'!K8</f>
        <v>19248.865501823522</v>
      </c>
      <c r="L8" s="45">
        <f>J8+'10'!L8</f>
        <v>99044.712521643451</v>
      </c>
      <c r="M8" s="45">
        <f>F8+G8-J8</f>
        <v>29081.036585983442</v>
      </c>
      <c r="N8" s="46">
        <v>0</v>
      </c>
      <c r="O8" s="46"/>
      <c r="P8" s="46"/>
      <c r="Q8" s="56"/>
    </row>
    <row r="9" spans="2:19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88"/>
      <c r="C10" s="281" t="s">
        <v>138</v>
      </c>
      <c r="D10" s="282"/>
      <c r="E10" s="283"/>
      <c r="F10" s="46">
        <f>Clinker!K13</f>
        <v>0</v>
      </c>
      <c r="G10" s="46">
        <f>Clinker!L13</f>
        <v>0</v>
      </c>
      <c r="H10" s="46">
        <f>G10+'10'!H10</f>
        <v>0</v>
      </c>
      <c r="I10" s="46">
        <f>G10+'10'!I10</f>
        <v>0</v>
      </c>
      <c r="J10" s="46">
        <f>Clinker!N13</f>
        <v>0</v>
      </c>
      <c r="K10" s="46">
        <f>J10+'10'!K10</f>
        <v>0</v>
      </c>
      <c r="L10" s="46">
        <f>J10+'10'!L10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88"/>
      <c r="C11" s="281" t="s">
        <v>139</v>
      </c>
      <c r="D11" s="282"/>
      <c r="E11" s="283"/>
      <c r="F11" s="46">
        <f>Clinker!W13</f>
        <v>1063.0399999999981</v>
      </c>
      <c r="G11" s="46">
        <f>Clinker!X13</f>
        <v>0</v>
      </c>
      <c r="H11" s="46">
        <f>G11+'10'!H11</f>
        <v>0</v>
      </c>
      <c r="I11" s="46">
        <f>G11+'10'!I11</f>
        <v>0</v>
      </c>
      <c r="J11" s="46">
        <f>Clinker!Z13</f>
        <v>0</v>
      </c>
      <c r="K11" s="46">
        <f>J11+'10'!K11</f>
        <v>0</v>
      </c>
      <c r="L11" s="46">
        <f>J11+'10'!L11</f>
        <v>7623.8399999999992</v>
      </c>
      <c r="M11" s="45">
        <f>F11+G11-J11-J34</f>
        <v>1063.0399999999981</v>
      </c>
      <c r="N11" s="46">
        <v>0</v>
      </c>
      <c r="O11" s="46"/>
      <c r="P11" s="46"/>
      <c r="Q11" s="56">
        <f>SUM(M11+N11)-O11</f>
        <v>1063.0399999999981</v>
      </c>
    </row>
    <row r="12" spans="2:19" ht="15" customHeight="1" x14ac:dyDescent="0.25">
      <c r="B12" s="288"/>
      <c r="C12" s="281" t="s">
        <v>140</v>
      </c>
      <c r="D12" s="282"/>
      <c r="E12" s="283"/>
      <c r="F12" s="46">
        <f>Clinker!AT13</f>
        <v>243.11000000000206</v>
      </c>
      <c r="G12" s="46">
        <f>Clinker!AU13</f>
        <v>0</v>
      </c>
      <c r="H12" s="46">
        <f>G12+'10'!H12</f>
        <v>0</v>
      </c>
      <c r="I12" s="46">
        <f>G12+'10'!I12</f>
        <v>181.5</v>
      </c>
      <c r="J12" s="46">
        <f>Clinker!AV13</f>
        <v>215</v>
      </c>
      <c r="K12" s="46">
        <f>J12+'10'!K12</f>
        <v>2905.79</v>
      </c>
      <c r="L12" s="46">
        <f>J12+'10'!L12</f>
        <v>5647.4900000000007</v>
      </c>
      <c r="M12" s="45">
        <f>F12+G12-J12-J32</f>
        <v>28.11000000000206</v>
      </c>
      <c r="N12" s="46">
        <v>0</v>
      </c>
      <c r="O12" s="46"/>
      <c r="P12" s="46"/>
      <c r="Q12" s="70"/>
    </row>
    <row r="13" spans="2:19" x14ac:dyDescent="0.25">
      <c r="B13" s="288"/>
      <c r="C13" s="281" t="s">
        <v>9</v>
      </c>
      <c r="D13" s="282"/>
      <c r="E13" s="69"/>
      <c r="F13" s="46">
        <f>Clinker!AO13</f>
        <v>0</v>
      </c>
      <c r="G13" s="46">
        <f>Clinker!AP13</f>
        <v>0</v>
      </c>
      <c r="H13" s="46">
        <f>G13+'10'!H13</f>
        <v>0</v>
      </c>
      <c r="I13" s="46">
        <f>G13+'10'!I13</f>
        <v>0</v>
      </c>
      <c r="J13" s="46">
        <f>Clinker!AQ13</f>
        <v>0</v>
      </c>
      <c r="K13" s="46">
        <f>J13+'10'!K13</f>
        <v>0</v>
      </c>
      <c r="L13" s="46">
        <f>J13+'10'!L13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88"/>
      <c r="C14" s="281" t="s">
        <v>8</v>
      </c>
      <c r="D14" s="282"/>
      <c r="E14" s="69"/>
      <c r="F14" s="46">
        <f>Clinker!AK13</f>
        <v>0</v>
      </c>
      <c r="G14" s="46">
        <f>Clinker!AL13</f>
        <v>0</v>
      </c>
      <c r="H14" s="46">
        <f>G14+'10'!H14</f>
        <v>0</v>
      </c>
      <c r="I14" s="46">
        <f>G14+'10'!I14</f>
        <v>0</v>
      </c>
      <c r="J14" s="46">
        <f>Clinker!AM13</f>
        <v>0</v>
      </c>
      <c r="K14" s="46">
        <f>J14+'10'!K14</f>
        <v>0</v>
      </c>
      <c r="L14" s="46">
        <f>J14+'10'!L14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88"/>
      <c r="C15" s="281" t="s">
        <v>11</v>
      </c>
      <c r="D15" s="282"/>
      <c r="E15" s="69"/>
      <c r="F15" s="46">
        <f>Clinker!AY13</f>
        <v>2139.0869999999904</v>
      </c>
      <c r="G15" s="46">
        <f>Clinker!AZ13</f>
        <v>157.12</v>
      </c>
      <c r="H15" s="46">
        <f>G15+'10'!H15</f>
        <v>1884.1800000000003</v>
      </c>
      <c r="I15" s="46">
        <f>G15+'10'!I15</f>
        <v>2295.92</v>
      </c>
      <c r="J15" s="46">
        <f>Clinker!BA13</f>
        <v>0</v>
      </c>
      <c r="K15" s="46">
        <f>J15+'10'!K15</f>
        <v>0</v>
      </c>
      <c r="L15" s="46">
        <f>J15+'10'!L15</f>
        <v>0</v>
      </c>
      <c r="M15" s="45">
        <f>F15+G15-J15-J38</f>
        <v>2296.2069999999903</v>
      </c>
      <c r="N15" s="75">
        <v>218.84</v>
      </c>
      <c r="O15" s="46">
        <v>5000</v>
      </c>
      <c r="P15" s="46">
        <v>9000</v>
      </c>
      <c r="Q15" s="70"/>
    </row>
    <row r="16" spans="2:19" x14ac:dyDescent="0.25">
      <c r="B16" s="288"/>
      <c r="C16" s="76" t="s">
        <v>141</v>
      </c>
      <c r="D16" s="77"/>
      <c r="E16" s="69"/>
      <c r="F16" s="46">
        <f>Clinker!BD13</f>
        <v>0</v>
      </c>
      <c r="G16" s="46">
        <f>Clinker!BE13</f>
        <v>0</v>
      </c>
      <c r="H16" s="46">
        <f>G16+'10'!H16</f>
        <v>0</v>
      </c>
      <c r="I16" s="46">
        <f>G16+'10'!I16</f>
        <v>0</v>
      </c>
      <c r="J16" s="46">
        <f>Clinker!BF13</f>
        <v>0</v>
      </c>
      <c r="K16" s="46">
        <f>J16+'10'!K16</f>
        <v>0</v>
      </c>
      <c r="L16" s="46">
        <f>J16+'10'!L16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182</v>
      </c>
      <c r="D17" s="282"/>
      <c r="E17" s="283"/>
      <c r="F17" s="46">
        <f>Clinker!BI13</f>
        <v>0</v>
      </c>
      <c r="G17" s="46">
        <f>Clinker!BJ13</f>
        <v>0</v>
      </c>
      <c r="H17" s="46">
        <f>G17+'10'!H17</f>
        <v>0</v>
      </c>
      <c r="I17" s="46">
        <f>G17+'10'!I17</f>
        <v>0</v>
      </c>
      <c r="J17" s="46">
        <f>Clinker!BK13</f>
        <v>0</v>
      </c>
      <c r="K17" s="46">
        <f>J17+'10'!K17</f>
        <v>0</v>
      </c>
      <c r="L17" s="46">
        <f>J17+'10'!L17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Clinker!BN13</f>
        <v>0</v>
      </c>
      <c r="G18" s="46">
        <f>Clinker!BO13</f>
        <v>0</v>
      </c>
      <c r="H18" s="46">
        <f>G18+'10'!H18</f>
        <v>0</v>
      </c>
      <c r="I18" s="46">
        <f>G18+'10'!I18</f>
        <v>0</v>
      </c>
      <c r="J18" s="46">
        <f>Clinker!BP13</f>
        <v>0</v>
      </c>
      <c r="K18" s="46">
        <f>J18+'10'!K18</f>
        <v>0</v>
      </c>
      <c r="L18" s="46">
        <f>J18+'10'!L18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Clinker!BS13</f>
        <v>0</v>
      </c>
      <c r="G19" s="46">
        <f>Clinker!BT13</f>
        <v>0</v>
      </c>
      <c r="H19" s="46">
        <f>G19+'10'!H19</f>
        <v>0</v>
      </c>
      <c r="I19" s="46">
        <f>G19+'10'!I19</f>
        <v>0</v>
      </c>
      <c r="J19" s="46">
        <f>Clinker!BU13</f>
        <v>0</v>
      </c>
      <c r="K19" s="46">
        <f>J19+'10'!K19</f>
        <v>0</v>
      </c>
      <c r="L19" s="46">
        <f>J19+'10'!L19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16</v>
      </c>
      <c r="D20" s="282"/>
      <c r="E20" s="69"/>
      <c r="F20" s="46">
        <f>Clinker!BX13</f>
        <v>0</v>
      </c>
      <c r="G20" s="46">
        <f>Clinker!BY13</f>
        <v>0</v>
      </c>
      <c r="H20" s="46">
        <f>G20+'10'!H20</f>
        <v>0</v>
      </c>
      <c r="I20" s="46">
        <f>G20+'10'!I20</f>
        <v>0</v>
      </c>
      <c r="J20" s="46">
        <f>Clinker!BZ13</f>
        <v>0</v>
      </c>
      <c r="K20" s="46">
        <f>J20+'10'!K20</f>
        <v>0</v>
      </c>
      <c r="L20" s="46">
        <f>J20+'10'!L20</f>
        <v>4052.88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Clinker!CR13</f>
        <v>0</v>
      </c>
      <c r="G21" s="46">
        <f>Clinker!CS13</f>
        <v>0</v>
      </c>
      <c r="H21" s="46">
        <f>G21+'10'!H21</f>
        <v>0</v>
      </c>
      <c r="I21" s="46">
        <f>G21+'10'!I21</f>
        <v>0</v>
      </c>
      <c r="J21" s="46">
        <f>Clinker!CT13</f>
        <v>0</v>
      </c>
      <c r="K21" s="46">
        <f>J21+'10'!K21</f>
        <v>0</v>
      </c>
      <c r="L21" s="46">
        <f>J21+'10'!L21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143</v>
      </c>
      <c r="D22" s="77"/>
      <c r="E22" s="69"/>
      <c r="F22" s="46">
        <f>Clinker!CW13</f>
        <v>0</v>
      </c>
      <c r="G22" s="46">
        <f>Clinker!CX13</f>
        <v>0</v>
      </c>
      <c r="H22" s="46">
        <f>G22+'10'!H22</f>
        <v>0</v>
      </c>
      <c r="I22" s="46">
        <f>G22+'10'!I22</f>
        <v>0</v>
      </c>
      <c r="J22" s="46">
        <f>Clinker!CY13</f>
        <v>0</v>
      </c>
      <c r="K22" s="46">
        <f>J22+'10'!K22</f>
        <v>0</v>
      </c>
      <c r="L22" s="46">
        <f>J22+'10'!L22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Clinker!DB13</f>
        <v>1.0000000000013998E-2</v>
      </c>
      <c r="G23" s="46">
        <f>Clinker!DC13</f>
        <v>0</v>
      </c>
      <c r="H23" s="46">
        <f>G23+'10'!H23</f>
        <v>0</v>
      </c>
      <c r="I23" s="46">
        <f>G23+'10'!I23</f>
        <v>0</v>
      </c>
      <c r="J23" s="46">
        <f>Clinker!DD13</f>
        <v>0</v>
      </c>
      <c r="K23" s="46">
        <f>J23+'10'!K23</f>
        <v>7.1</v>
      </c>
      <c r="L23" s="46">
        <f>J23+'10'!L23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Clinker!DG13</f>
        <v>0</v>
      </c>
      <c r="G24" s="46">
        <f>Clinker!DH13</f>
        <v>0</v>
      </c>
      <c r="H24" s="46">
        <f>G24+'10'!H24</f>
        <v>0</v>
      </c>
      <c r="I24" s="46">
        <f>G24+'10'!I24</f>
        <v>0</v>
      </c>
      <c r="J24" s="46">
        <f>Clinker!DI13</f>
        <v>0</v>
      </c>
      <c r="K24" s="46">
        <f>J24+'10'!K24</f>
        <v>0</v>
      </c>
      <c r="L24" s="46">
        <f>J24+'10'!L24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Clinker!DL13</f>
        <v>304</v>
      </c>
      <c r="G25" s="46">
        <f>Clinker!DM13</f>
        <v>0</v>
      </c>
      <c r="H25" s="46">
        <f>G25+'10'!H25</f>
        <v>92</v>
      </c>
      <c r="I25" s="46">
        <f>G25+'10'!I25</f>
        <v>304</v>
      </c>
      <c r="J25" s="46">
        <f>Clinker!DN13</f>
        <v>0</v>
      </c>
      <c r="K25" s="46">
        <f>J25+'10'!K25</f>
        <v>0</v>
      </c>
      <c r="L25" s="46">
        <f>J25+'10'!L25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Clinker!DV13</f>
        <v>0</v>
      </c>
      <c r="G26" s="46">
        <f>Clinker!DW13</f>
        <v>0</v>
      </c>
      <c r="H26" s="46">
        <f>G26+'10'!H26</f>
        <v>0</v>
      </c>
      <c r="I26" s="46">
        <f>G26+'10'!I26</f>
        <v>0</v>
      </c>
      <c r="J26" s="46">
        <f>Clinker!DX13</f>
        <v>0</v>
      </c>
      <c r="K26" s="46">
        <f>J26+'10'!K26</f>
        <v>0</v>
      </c>
      <c r="L26" s="46">
        <f>J26+'10'!L26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SUM(F10:F25)</f>
        <v>3749.2469999999907</v>
      </c>
      <c r="G27" s="46">
        <f>SUM(G10:G25)</f>
        <v>157.12</v>
      </c>
      <c r="H27" s="46">
        <f>SUM(H10:H25)</f>
        <v>1976.1800000000003</v>
      </c>
      <c r="I27" s="46">
        <f>SUM(I10:I26)</f>
        <v>2781.42</v>
      </c>
      <c r="J27" s="46">
        <f>SUM(J10:J25)</f>
        <v>215</v>
      </c>
      <c r="K27" s="46">
        <f>SUM(K10:K25)</f>
        <v>2912.89</v>
      </c>
      <c r="L27" s="46">
        <f>SUM(L10:L25)</f>
        <v>17630.2</v>
      </c>
      <c r="M27" s="46">
        <f>SUM(M10:M25)</f>
        <v>3691.3669999999906</v>
      </c>
      <c r="N27" s="46">
        <f>SUM(N10:N26)</f>
        <v>218.84</v>
      </c>
      <c r="O27" s="46">
        <f>SUM(O10:O26)</f>
        <v>10000</v>
      </c>
      <c r="P27" s="46">
        <f>SUM(P10:P26)</f>
        <v>18000</v>
      </c>
      <c r="Q27" s="46">
        <f>SUM(Q10:Q25)</f>
        <v>1063.0399999999981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Clinker!Q13</f>
        <v>0</v>
      </c>
      <c r="G29" s="46">
        <f>Clinker!R13</f>
        <v>0</v>
      </c>
      <c r="H29" s="46">
        <f>G29+'10'!H29</f>
        <v>0</v>
      </c>
      <c r="I29" s="46">
        <f>G29+'10'!I29</f>
        <v>0</v>
      </c>
      <c r="J29" s="46">
        <f>Clinker!S13</f>
        <v>0</v>
      </c>
      <c r="K29" s="46">
        <f>J29+'10'!K29</f>
        <v>0</v>
      </c>
      <c r="L29" s="46">
        <f>J29+'10'!L29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G30+'10'!H30</f>
        <v>0</v>
      </c>
      <c r="I30" s="46">
        <f>G30+'10'!I30</f>
        <v>0</v>
      </c>
      <c r="J30" s="46">
        <v>0</v>
      </c>
      <c r="K30" s="46">
        <f>J30+'10'!K30</f>
        <v>0</v>
      </c>
      <c r="L30" s="46">
        <f>J30+'10'!L30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G31+'10'!H31</f>
        <v>0</v>
      </c>
      <c r="I31" s="46">
        <f>G31+'10'!I31</f>
        <v>0</v>
      </c>
      <c r="J31" s="46">
        <v>0</v>
      </c>
      <c r="K31" s="46">
        <f>J31+'10'!K31</f>
        <v>0</v>
      </c>
      <c r="L31" s="46">
        <f>J31+'10'!L31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140</v>
      </c>
      <c r="D32" s="282"/>
      <c r="E32" s="283"/>
      <c r="F32" s="46">
        <f>Clinker!DQ13</f>
        <v>0</v>
      </c>
      <c r="G32" s="46">
        <f>Clinker!DR13</f>
        <v>0</v>
      </c>
      <c r="H32" s="46">
        <f>G32+'10'!H32</f>
        <v>0</v>
      </c>
      <c r="I32" s="46">
        <f>G32+'10'!I32</f>
        <v>0</v>
      </c>
      <c r="J32" s="46">
        <f>Clinker!AW13</f>
        <v>0</v>
      </c>
      <c r="K32" s="46">
        <f>J32+'10'!K32</f>
        <v>0</v>
      </c>
      <c r="L32" s="46">
        <f>J32+'10'!L32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G33+'10'!H33</f>
        <v>0</v>
      </c>
      <c r="I33" s="46">
        <f>G33+'10'!I33</f>
        <v>0</v>
      </c>
      <c r="J33" s="46">
        <v>0</v>
      </c>
      <c r="K33" s="46">
        <f>J33+'10'!K33</f>
        <v>0</v>
      </c>
      <c r="L33" s="46">
        <f>J33+'10'!L33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Clinker!Y13</f>
        <v>0</v>
      </c>
      <c r="K34" s="46">
        <f>J34+'10'!K34</f>
        <v>0</v>
      </c>
      <c r="L34" s="46">
        <f>J34+'10'!L34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Clinker!M13</f>
        <v>0</v>
      </c>
      <c r="K35" s="46">
        <f>J35+'10'!K35</f>
        <v>0</v>
      </c>
      <c r="L35" s="46">
        <f>J35+'10'!L35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Clinker!AR13</f>
        <v>0</v>
      </c>
      <c r="K36" s="46">
        <f>J36+'10'!K36</f>
        <v>0</v>
      </c>
      <c r="L36" s="46">
        <f>J36+'10'!L36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Clinker!DT13</f>
        <v>0</v>
      </c>
      <c r="K37" s="46">
        <f>J37+'10'!K37</f>
        <v>0</v>
      </c>
      <c r="L37" s="46">
        <f>J37+'10'!L37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Clinker!BB13</f>
        <v>0</v>
      </c>
      <c r="K38" s="46">
        <f>J38+'10'!K38</f>
        <v>0</v>
      </c>
      <c r="L38" s="46">
        <f>J38+'10'!L38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Clinker!BG13</f>
        <v>0</v>
      </c>
      <c r="K39" s="46">
        <f>J39+'10'!K39</f>
        <v>0</v>
      </c>
      <c r="L39" s="46">
        <f>J39+'10'!L39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180</v>
      </c>
      <c r="D40" s="282"/>
      <c r="E40" s="283"/>
      <c r="F40" s="46"/>
      <c r="G40" s="46"/>
      <c r="H40" s="46"/>
      <c r="I40" s="46"/>
      <c r="J40" s="46">
        <f>Clinker!BL13</f>
        <v>0</v>
      </c>
      <c r="K40" s="46">
        <f>J40+'10'!K40</f>
        <v>0</v>
      </c>
      <c r="L40" s="46">
        <f>J40+'10'!L40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Clinker!BQ13</f>
        <v>0</v>
      </c>
      <c r="K41" s="46">
        <f>J41+'10'!K41</f>
        <v>0</v>
      </c>
      <c r="L41" s="46">
        <f>J41+'10'!L41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Clinker!BV13</f>
        <v>0</v>
      </c>
      <c r="K42" s="46">
        <f>J42+'10'!K42</f>
        <v>0</v>
      </c>
      <c r="L42" s="46">
        <f>J42+'10'!L42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Clinker!CU13</f>
        <v>0</v>
      </c>
      <c r="K43" s="46">
        <f>J43+'10'!K43</f>
        <v>0</v>
      </c>
      <c r="L43" s="46">
        <f>J43+'10'!L43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Clinker!CZ13</f>
        <v>0</v>
      </c>
      <c r="K44" s="46">
        <f>J44+'10'!K44</f>
        <v>0</v>
      </c>
      <c r="L44" s="46">
        <f>J44+'10'!L44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Clinker!DE13</f>
        <v>0</v>
      </c>
      <c r="K45" s="46">
        <f>J45+'10'!K45</f>
        <v>0</v>
      </c>
      <c r="L45" s="46">
        <f>J45+'10'!L45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Clinker!DJ13</f>
        <v>0</v>
      </c>
      <c r="K46" s="46">
        <f>J46+'10'!K46</f>
        <v>0</v>
      </c>
      <c r="L46" s="46">
        <f>J46+'10'!L46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Clinker!DO13</f>
        <v>0</v>
      </c>
      <c r="K47" s="46">
        <f>J47+'10'!K47</f>
        <v>0</v>
      </c>
      <c r="L47" s="46">
        <f>J47+'10'!L47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Clinker!CM13</f>
        <v>5.0000000000181899E-2</v>
      </c>
      <c r="G48" s="46">
        <f>Clinker!CN13</f>
        <v>0</v>
      </c>
      <c r="H48" s="46">
        <f>G48+'10'!H48</f>
        <v>0</v>
      </c>
      <c r="I48" s="46">
        <f>G48+'10'!I48</f>
        <v>0</v>
      </c>
      <c r="J48" s="46">
        <f>Clinker!CP13</f>
        <v>0</v>
      </c>
      <c r="K48" s="46">
        <f>J48+'10'!K48</f>
        <v>0</v>
      </c>
      <c r="L48" s="46">
        <f>J48+'10'!L48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Clinker!CC13</f>
        <v>0</v>
      </c>
      <c r="G49" s="46">
        <f>Clinker!CD13</f>
        <v>0</v>
      </c>
      <c r="H49" s="46">
        <f>G49+'10'!H49</f>
        <v>0</v>
      </c>
      <c r="I49" s="46">
        <f>G49+'10'!I49</f>
        <v>0</v>
      </c>
      <c r="J49" s="46">
        <f>Clinker!CF13</f>
        <v>0</v>
      </c>
      <c r="K49" s="46">
        <f>J49+'10'!K49</f>
        <v>0</v>
      </c>
      <c r="L49" s="46">
        <f>J49+'10'!L49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Clinker!CH13</f>
        <v>0</v>
      </c>
      <c r="G50" s="46">
        <f>Clinker!CI13</f>
        <v>0</v>
      </c>
      <c r="H50" s="46">
        <f>G50+'10'!H50</f>
        <v>0</v>
      </c>
      <c r="I50" s="46">
        <f>G50+'10'!I50</f>
        <v>0</v>
      </c>
      <c r="J50" s="46">
        <f>Clinker!CK13</f>
        <v>0</v>
      </c>
      <c r="K50" s="46">
        <f>J50+'10'!K50</f>
        <v>0</v>
      </c>
      <c r="L50" s="46">
        <f>J50+'10'!L50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Clinker!AF13</f>
        <v>4216.0199999999932</v>
      </c>
      <c r="G51" s="46">
        <f>Clinker!AG13</f>
        <v>0</v>
      </c>
      <c r="H51" s="46">
        <f>G51+'10'!H51</f>
        <v>1565.3500000000001</v>
      </c>
      <c r="I51" s="46">
        <f>G51+'10'!I51</f>
        <v>3706.2999999999997</v>
      </c>
      <c r="J51" s="46">
        <f>Clinker!AI13</f>
        <v>137</v>
      </c>
      <c r="K51" s="46">
        <f>J51+'10'!K51</f>
        <v>1535</v>
      </c>
      <c r="L51" s="46">
        <f>J51+'10'!L51</f>
        <v>8360</v>
      </c>
      <c r="M51" s="45">
        <f>F51+G51-J51</f>
        <v>4079.0199999999932</v>
      </c>
      <c r="N51" s="46">
        <v>95</v>
      </c>
      <c r="O51" s="46">
        <v>1500</v>
      </c>
      <c r="P51" s="46">
        <v>3000</v>
      </c>
      <c r="Q51" s="56">
        <f>SUM(M51+N51)-O51</f>
        <v>2674.0199999999932</v>
      </c>
    </row>
    <row r="52" spans="2:19" x14ac:dyDescent="0.25">
      <c r="B52" s="288"/>
      <c r="C52" s="281" t="s">
        <v>156</v>
      </c>
      <c r="D52" s="282"/>
      <c r="E52" s="283"/>
      <c r="F52" s="46">
        <f>Clinker!AB13</f>
        <v>0</v>
      </c>
      <c r="G52" s="46">
        <f>Clinker!AC13</f>
        <v>0</v>
      </c>
      <c r="H52" s="46">
        <f>G52+'10'!H52</f>
        <v>0</v>
      </c>
      <c r="I52" s="46">
        <f>G52+'10'!I52</f>
        <v>0</v>
      </c>
      <c r="J52" s="46">
        <f>Clinker!AD13</f>
        <v>0</v>
      </c>
      <c r="K52" s="46">
        <f>J52+'10'!K52</f>
        <v>0</v>
      </c>
      <c r="L52" s="46">
        <f>J52+'10'!L52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>SUM(F29:F52)</f>
        <v>4216.0699999999933</v>
      </c>
      <c r="G53" s="46">
        <f>SUM(G29:G52)</f>
        <v>0</v>
      </c>
      <c r="H53" s="46">
        <f>SUM(H29:H52)</f>
        <v>1565.3500000000001</v>
      </c>
      <c r="I53" s="46">
        <f>SUM(I29:I52)</f>
        <v>3706.2999999999997</v>
      </c>
      <c r="J53" s="46">
        <f>SUM(J29:J52)</f>
        <v>137</v>
      </c>
      <c r="K53" s="46">
        <f t="shared" ref="K53:P53" si="0">SUM(K29:K52)</f>
        <v>1535</v>
      </c>
      <c r="L53" s="46">
        <f t="shared" si="0"/>
        <v>9707</v>
      </c>
      <c r="M53" s="46">
        <f t="shared" si="0"/>
        <v>4079.0699999999933</v>
      </c>
      <c r="N53" s="49">
        <f t="shared" si="0"/>
        <v>95</v>
      </c>
      <c r="O53" s="46">
        <f t="shared" si="0"/>
        <v>3000</v>
      </c>
      <c r="P53" s="46">
        <f t="shared" si="0"/>
        <v>6000</v>
      </c>
      <c r="Q53" s="46">
        <f>SUM(Q29:Q52)</f>
        <v>2674.0199999999932</v>
      </c>
    </row>
    <row r="54" spans="2:19" x14ac:dyDescent="0.25">
      <c r="B54" s="289"/>
      <c r="C54" s="284" t="s">
        <v>157</v>
      </c>
      <c r="D54" s="285"/>
      <c r="E54" s="286"/>
      <c r="F54" s="59">
        <f>SUM(F27+F53)</f>
        <v>7965.3169999999845</v>
      </c>
      <c r="G54" s="59">
        <f>SUM(G27+G53)</f>
        <v>157.12</v>
      </c>
      <c r="H54" s="59">
        <f>SUM(H27+H53)</f>
        <v>3541.5300000000007</v>
      </c>
      <c r="I54" s="59">
        <f>SUM(I27+I53)</f>
        <v>6487.7199999999993</v>
      </c>
      <c r="J54" s="59">
        <f>SUM(J27+J53)</f>
        <v>352</v>
      </c>
      <c r="K54" s="59">
        <f t="shared" ref="K54:Q54" si="1">SUM(K27+K53)</f>
        <v>4447.8899999999994</v>
      </c>
      <c r="L54" s="59">
        <f t="shared" si="1"/>
        <v>27337.200000000001</v>
      </c>
      <c r="M54" s="59">
        <f t="shared" si="1"/>
        <v>7770.4369999999835</v>
      </c>
      <c r="N54" s="59">
        <f>N27+N53</f>
        <v>313.84000000000003</v>
      </c>
      <c r="O54" s="59">
        <f>SUM(O27+O53)</f>
        <v>13000</v>
      </c>
      <c r="P54" s="59">
        <f>SUM(P27+P53)</f>
        <v>24000</v>
      </c>
      <c r="Q54" s="59">
        <f t="shared" si="1"/>
        <v>3737.0599999999913</v>
      </c>
      <c r="R54" s="90"/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'!C13</f>
        <v>2408388</v>
      </c>
      <c r="G56" s="46">
        <f>'Packing bag '!D13</f>
        <v>0</v>
      </c>
      <c r="H56" s="46">
        <f>G56+'10'!H56</f>
        <v>174500</v>
      </c>
      <c r="I56" s="46">
        <f>G56+'10'!I56</f>
        <v>3327000</v>
      </c>
      <c r="J56" s="46">
        <f>'Packing bag '!E13</f>
        <v>51949</v>
      </c>
      <c r="K56" s="46">
        <f>J56+'10'!K56</f>
        <v>445296</v>
      </c>
      <c r="L56" s="46">
        <f>J56+'10'!L56</f>
        <v>2022130</v>
      </c>
      <c r="M56" s="46">
        <f>F56+G56-J56</f>
        <v>2356439</v>
      </c>
      <c r="N56" s="46"/>
      <c r="O56" s="46">
        <v>400000</v>
      </c>
      <c r="P56" s="46">
        <v>800000</v>
      </c>
      <c r="Q56" s="56">
        <f>SUM(M56+N56)-O56</f>
        <v>1956439</v>
      </c>
    </row>
    <row r="57" spans="2:19" x14ac:dyDescent="0.25">
      <c r="B57" s="288"/>
      <c r="C57" s="281" t="s">
        <v>160</v>
      </c>
      <c r="D57" s="282"/>
      <c r="E57" s="283"/>
      <c r="F57" s="46">
        <f>'Packing bag '!G13</f>
        <v>622658</v>
      </c>
      <c r="G57" s="46">
        <f>'Packing bag '!H13</f>
        <v>0</v>
      </c>
      <c r="H57" s="46">
        <f>G57+'10'!H57</f>
        <v>40500</v>
      </c>
      <c r="I57" s="46">
        <f>G57+'10'!I57</f>
        <v>332000</v>
      </c>
      <c r="J57" s="46">
        <f>'Packing bag '!I13</f>
        <v>600</v>
      </c>
      <c r="K57" s="46">
        <f>J57+'10'!K57</f>
        <v>20603</v>
      </c>
      <c r="L57" s="46">
        <f>J57+'10'!L57</f>
        <v>110224</v>
      </c>
      <c r="M57" s="46">
        <f>F57+G57-J57</f>
        <v>622058</v>
      </c>
      <c r="N57" s="46"/>
      <c r="O57" s="46">
        <v>100000</v>
      </c>
      <c r="P57" s="46">
        <v>250000</v>
      </c>
      <c r="Q57" s="56">
        <f>SUM(M57+N57)-O57</f>
        <v>522058</v>
      </c>
    </row>
    <row r="58" spans="2:19" x14ac:dyDescent="0.25">
      <c r="B58" s="288"/>
      <c r="C58" s="281" t="s">
        <v>161</v>
      </c>
      <c r="D58" s="282"/>
      <c r="E58" s="283"/>
      <c r="F58" s="46">
        <f>'Packing bag '!K13</f>
        <v>504237</v>
      </c>
      <c r="G58" s="46">
        <f>'Packing bag '!L13</f>
        <v>0</v>
      </c>
      <c r="H58" s="46">
        <f>G58+'10'!H58</f>
        <v>0</v>
      </c>
      <c r="I58" s="46">
        <f>G58+'10'!I58</f>
        <v>295000</v>
      </c>
      <c r="J58" s="46">
        <f>'Packing bag '!M13</f>
        <v>5860</v>
      </c>
      <c r="K58" s="46">
        <f>J58+'10'!K58</f>
        <v>30386</v>
      </c>
      <c r="L58" s="46">
        <f>J58+'10'!L58</f>
        <v>202678</v>
      </c>
      <c r="M58" s="46">
        <f>F58+G58-J58</f>
        <v>498377</v>
      </c>
      <c r="N58" s="46"/>
      <c r="O58" s="46">
        <v>50000</v>
      </c>
      <c r="P58" s="46">
        <v>150000</v>
      </c>
      <c r="Q58" s="56">
        <f>SUM(M58+N58)-O58</f>
        <v>448377</v>
      </c>
    </row>
    <row r="59" spans="2:19" x14ac:dyDescent="0.25">
      <c r="B59" s="288"/>
      <c r="C59" s="281" t="s">
        <v>162</v>
      </c>
      <c r="D59" s="282"/>
      <c r="E59" s="283"/>
      <c r="F59" s="46">
        <f>'Packing bag '!O13</f>
        <v>152120</v>
      </c>
      <c r="G59" s="46">
        <f>'Packing bag '!P13</f>
        <v>0</v>
      </c>
      <c r="H59" s="46">
        <f>G59+'10'!H59</f>
        <v>85612</v>
      </c>
      <c r="I59" s="46">
        <f>G59+'10'!I59</f>
        <v>85000</v>
      </c>
      <c r="J59" s="46">
        <f>'Packing bag '!Q13</f>
        <v>0</v>
      </c>
      <c r="K59" s="46">
        <f>J59+'10'!K59</f>
        <v>1812</v>
      </c>
      <c r="L59" s="46">
        <f>J59+'10'!L59</f>
        <v>16581</v>
      </c>
      <c r="M59" s="46">
        <f>F59+G59-J59</f>
        <v>152120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G60+'10'!H60</f>
        <v>0</v>
      </c>
      <c r="I60" s="46">
        <f>G60+'10'!I60</f>
        <v>0</v>
      </c>
      <c r="J60" s="46">
        <v>0</v>
      </c>
      <c r="K60" s="46">
        <f>J60+'10'!K60</f>
        <v>0</v>
      </c>
      <c r="L60" s="46">
        <f>J60+'10'!L60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G61+'10'!H61</f>
        <v>0</v>
      </c>
      <c r="I61" s="46">
        <f>G61+'10'!I61</f>
        <v>0</v>
      </c>
      <c r="J61" s="46">
        <v>0</v>
      </c>
      <c r="K61" s="46">
        <f>J61+'10'!K61</f>
        <v>0</v>
      </c>
      <c r="L61" s="46">
        <f>J61+'10'!L61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3687403</v>
      </c>
      <c r="G62" s="59">
        <f>SUM(G56:G61)</f>
        <v>0</v>
      </c>
      <c r="H62" s="59">
        <f t="shared" ref="H62:Q62" si="2">SUM(H56:H61)</f>
        <v>300612</v>
      </c>
      <c r="I62" s="59">
        <f t="shared" si="2"/>
        <v>4039000</v>
      </c>
      <c r="J62" s="59">
        <f>SUM(J56:J61)</f>
        <v>58409</v>
      </c>
      <c r="K62" s="59">
        <f t="shared" si="2"/>
        <v>498097</v>
      </c>
      <c r="L62" s="59">
        <f t="shared" si="2"/>
        <v>2351613</v>
      </c>
      <c r="M62" s="59">
        <f t="shared" si="2"/>
        <v>3628994</v>
      </c>
      <c r="N62" s="59">
        <f t="shared" si="2"/>
        <v>0</v>
      </c>
      <c r="O62" s="59">
        <f t="shared" si="2"/>
        <v>551500</v>
      </c>
      <c r="P62" s="59">
        <f t="shared" si="2"/>
        <v>1207000</v>
      </c>
      <c r="Q62" s="59">
        <f t="shared" si="2"/>
        <v>2925374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Cement!G13</f>
        <v>0</v>
      </c>
      <c r="G64" s="46">
        <f>Cement!H13</f>
        <v>0</v>
      </c>
      <c r="H64" s="46">
        <f>G64+'10'!H64</f>
        <v>0</v>
      </c>
      <c r="I64" s="46">
        <f>G64+'10'!I64</f>
        <v>0</v>
      </c>
      <c r="J64" s="46">
        <v>0</v>
      </c>
      <c r="K64" s="46">
        <f>J64+'10'!K64</f>
        <v>0</v>
      </c>
      <c r="L64" s="46">
        <f>J64+'10'!L64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Cement!K13</f>
        <v>0</v>
      </c>
      <c r="G65" s="46">
        <f>Cement!L13</f>
        <v>0</v>
      </c>
      <c r="H65" s="46">
        <f>G65+'10'!H65</f>
        <v>0</v>
      </c>
      <c r="I65" s="46">
        <f>G65+'10'!I65</f>
        <v>0</v>
      </c>
      <c r="J65" s="46">
        <f>Cement!M13</f>
        <v>0</v>
      </c>
      <c r="K65" s="46">
        <f>J65+'10'!K65</f>
        <v>0</v>
      </c>
      <c r="L65" s="46">
        <f>J65+'10'!L65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3">SUM(H64:H65)</f>
        <v>0</v>
      </c>
      <c r="I66" s="59">
        <f t="shared" si="3"/>
        <v>0</v>
      </c>
      <c r="J66" s="59">
        <f>SUM(J64:J65)</f>
        <v>0</v>
      </c>
      <c r="K66" s="59">
        <f t="shared" si="3"/>
        <v>0</v>
      </c>
      <c r="L66" s="59">
        <f t="shared" si="3"/>
        <v>0</v>
      </c>
      <c r="M66" s="59">
        <f t="shared" si="3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Diesel!B13</f>
        <v>41790</v>
      </c>
      <c r="G68" s="46">
        <f>Diesel!C13</f>
        <v>0</v>
      </c>
      <c r="H68" s="46">
        <f>G68+'10'!H68</f>
        <v>32000</v>
      </c>
      <c r="I68" s="46">
        <f>G68+'10'!I68</f>
        <v>122000</v>
      </c>
      <c r="J68" s="46">
        <v>0</v>
      </c>
      <c r="K68" s="46">
        <f>J68+'10'!K68</f>
        <v>0</v>
      </c>
      <c r="L68" s="46">
        <f>J68+'10'!L68</f>
        <v>0</v>
      </c>
      <c r="M68" s="46">
        <f>F68+G68-G69-J76</f>
        <v>38290</v>
      </c>
      <c r="N68" s="46"/>
      <c r="O68" s="46">
        <v>30000</v>
      </c>
      <c r="P68" s="46">
        <v>60000</v>
      </c>
      <c r="Q68" s="56">
        <f>SUM(M68+N68)-O68</f>
        <v>8290</v>
      </c>
    </row>
    <row r="69" spans="2:17" x14ac:dyDescent="0.25">
      <c r="B69" s="297"/>
      <c r="C69" s="281" t="s">
        <v>171</v>
      </c>
      <c r="D69" s="282"/>
      <c r="E69" s="283"/>
      <c r="F69" s="46">
        <f>Diesel!Y13</f>
        <v>0</v>
      </c>
      <c r="G69" s="46">
        <f>Diesel!Z13</f>
        <v>0</v>
      </c>
      <c r="H69" s="46">
        <f>G69+'10'!H69</f>
        <v>0</v>
      </c>
      <c r="I69" s="46">
        <f>G69+'10'!I69</f>
        <v>0</v>
      </c>
      <c r="J69" s="46">
        <f>Diesel!AA13</f>
        <v>0</v>
      </c>
      <c r="K69" s="46">
        <f>J69+'10'!K69</f>
        <v>0</v>
      </c>
      <c r="L69" s="46">
        <f>J69+'10'!L69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G70+'10'!H70</f>
        <v>0</v>
      </c>
      <c r="I70" s="46">
        <f>G70+'10'!I70</f>
        <v>0</v>
      </c>
      <c r="J70" s="46">
        <f>Diesel!P13</f>
        <v>0</v>
      </c>
      <c r="K70" s="46">
        <f>J70+'10'!K70</f>
        <v>40</v>
      </c>
      <c r="L70" s="46">
        <f>J70+'10'!L70</f>
        <v>643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G71+'10'!H71</f>
        <v>0</v>
      </c>
      <c r="I71" s="46">
        <f>G71+'10'!I71</f>
        <v>0</v>
      </c>
      <c r="J71" s="46">
        <f>Diesel!Q13</f>
        <v>2781</v>
      </c>
      <c r="K71" s="46">
        <f>J71+'10'!K71</f>
        <v>12201</v>
      </c>
      <c r="L71" s="46">
        <f>J71+'10'!L71</f>
        <v>66836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G72+'10'!H72</f>
        <v>0</v>
      </c>
      <c r="I72" s="46">
        <f>G72+'10'!I72</f>
        <v>0</v>
      </c>
      <c r="J72" s="46">
        <f>Diesel!R13</f>
        <v>719</v>
      </c>
      <c r="K72" s="46">
        <f>J72+'10'!K72</f>
        <v>7614</v>
      </c>
      <c r="L72" s="46">
        <f>J72+'10'!L72</f>
        <v>50322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G73+'10'!H73</f>
        <v>0</v>
      </c>
      <c r="I73" s="46">
        <f>G73+'10'!I73</f>
        <v>0</v>
      </c>
      <c r="J73" s="46">
        <f>Diesel!S13</f>
        <v>0</v>
      </c>
      <c r="K73" s="46">
        <f>J73+'10'!K73</f>
        <v>0</v>
      </c>
      <c r="L73" s="46">
        <f>J73+'10'!L73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G74+'10'!H74</f>
        <v>0</v>
      </c>
      <c r="I74" s="46">
        <f>G74+'10'!I74</f>
        <v>0</v>
      </c>
      <c r="J74" s="46">
        <f>Diesel!T13</f>
        <v>0</v>
      </c>
      <c r="K74" s="46">
        <f>J74+'10'!K74</f>
        <v>0</v>
      </c>
      <c r="L74" s="46">
        <f>J74+'10'!L74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G75+'10'!H75</f>
        <v>0</v>
      </c>
      <c r="I75" s="46">
        <f>G75+'10'!I75</f>
        <v>0</v>
      </c>
      <c r="J75" s="61">
        <f>Diesel!U13</f>
        <v>0</v>
      </c>
      <c r="K75" s="46">
        <f>J75+'10'!K75</f>
        <v>0</v>
      </c>
      <c r="L75" s="46">
        <f>J75+'10'!L75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41790</v>
      </c>
      <c r="G76" s="62">
        <f t="shared" ref="G76:M76" si="4">SUM(G68:G75)</f>
        <v>0</v>
      </c>
      <c r="H76" s="62">
        <f t="shared" si="4"/>
        <v>32000</v>
      </c>
      <c r="I76" s="62">
        <f t="shared" si="4"/>
        <v>122000</v>
      </c>
      <c r="J76" s="62">
        <f t="shared" si="4"/>
        <v>3500</v>
      </c>
      <c r="K76" s="62">
        <f t="shared" si="4"/>
        <v>19855</v>
      </c>
      <c r="L76" s="62">
        <f t="shared" si="4"/>
        <v>132801</v>
      </c>
      <c r="M76" s="62">
        <f t="shared" si="4"/>
        <v>38290</v>
      </c>
      <c r="N76" s="63"/>
      <c r="O76" s="64"/>
      <c r="P76" s="62"/>
      <c r="Q76" s="65"/>
    </row>
  </sheetData>
  <mergeCells count="70"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  <mergeCell ref="C29:E29"/>
    <mergeCell ref="C30:E30"/>
    <mergeCell ref="C34:E34"/>
    <mergeCell ref="C35:E35"/>
    <mergeCell ref="C31:E31"/>
    <mergeCell ref="C32:E32"/>
    <mergeCell ref="C36:D36"/>
    <mergeCell ref="C50:D50"/>
    <mergeCell ref="C6:E6"/>
    <mergeCell ref="C7:E7"/>
    <mergeCell ref="C51:E51"/>
    <mergeCell ref="C11:E11"/>
    <mergeCell ref="C27:E27"/>
    <mergeCell ref="C14:D14"/>
    <mergeCell ref="C15:D15"/>
    <mergeCell ref="C37:D37"/>
    <mergeCell ref="C38:D38"/>
    <mergeCell ref="C17:E17"/>
    <mergeCell ref="C18:E18"/>
    <mergeCell ref="C20:D20"/>
    <mergeCell ref="C40:E40"/>
    <mergeCell ref="C47:D47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2:E12"/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</mergeCells>
  <pageMargins left="0.7" right="0.7" top="0.75" bottom="0.75" header="0.3" footer="0.3"/>
  <pageSetup paperSize="9" scale="4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pageSetUpPr fitToPage="1"/>
  </sheetPr>
  <dimension ref="B1:U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7" sqref="J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8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 t="s">
        <v>220</v>
      </c>
      <c r="Q3" s="316"/>
    </row>
    <row r="4" spans="2:18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8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8" x14ac:dyDescent="0.25">
      <c r="B6" s="54">
        <v>1</v>
      </c>
      <c r="C6" s="308" t="s">
        <v>135</v>
      </c>
      <c r="D6" s="309"/>
      <c r="E6" s="310"/>
      <c r="F6" s="45">
        <f>Clinker!C14</f>
        <v>1906.92</v>
      </c>
      <c r="G6" s="45">
        <f>Clinker!D14</f>
        <v>0</v>
      </c>
      <c r="H6" s="45">
        <f>G6+'11'!H6</f>
        <v>0</v>
      </c>
      <c r="I6" s="45">
        <f>G6+'11'!I6</f>
        <v>417.28000000000003</v>
      </c>
      <c r="J6" s="45">
        <f>Clinker!E14</f>
        <v>59</v>
      </c>
      <c r="K6" s="45">
        <f>J6+'11'!K6</f>
        <v>800</v>
      </c>
      <c r="L6" s="45">
        <f>J6+'11'!L6</f>
        <v>3935</v>
      </c>
      <c r="M6" s="45">
        <f>F6+G6-J6</f>
        <v>1847.92</v>
      </c>
      <c r="N6" s="45">
        <v>0</v>
      </c>
      <c r="O6" s="45">
        <v>3000</v>
      </c>
      <c r="P6" s="45">
        <v>6000</v>
      </c>
      <c r="Q6" s="55">
        <f>SUM(M6+N6)-O6</f>
        <v>-1152.08</v>
      </c>
    </row>
    <row r="7" spans="2:18" x14ac:dyDescent="0.25">
      <c r="B7" s="50">
        <v>2</v>
      </c>
      <c r="C7" s="305" t="s">
        <v>136</v>
      </c>
      <c r="D7" s="306"/>
      <c r="E7" s="307"/>
      <c r="F7" s="46">
        <f>Cement!C14</f>
        <v>3268.1700700301035</v>
      </c>
      <c r="G7" s="46">
        <f>Cement!D14</f>
        <v>62.52</v>
      </c>
      <c r="H7" s="45">
        <f>G7+'11'!H7</f>
        <v>432.7</v>
      </c>
      <c r="I7" s="45">
        <f>G7+'11'!I7</f>
        <v>2559.3199999999997</v>
      </c>
      <c r="J7" s="46">
        <f>Cement!I14</f>
        <v>139.61052467368418</v>
      </c>
      <c r="K7" s="45">
        <f>J7+'11'!K7</f>
        <v>1449.9263127997581</v>
      </c>
      <c r="L7" s="45">
        <f>J7+'11'!L7</f>
        <v>6676.156303127259</v>
      </c>
      <c r="M7" s="45">
        <f>F7+G7-J7</f>
        <v>3191.0795453564192</v>
      </c>
      <c r="N7" s="46">
        <v>0</v>
      </c>
      <c r="O7" s="46">
        <v>3000</v>
      </c>
      <c r="P7" s="46">
        <v>6000</v>
      </c>
      <c r="Q7" s="56">
        <f>SUM(M7+N7)-O7</f>
        <v>191.0795453564192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Clinker!EI14</f>
        <v>29081.036585983442</v>
      </c>
      <c r="G8" s="46">
        <f>Clinker!EJ14</f>
        <v>1710</v>
      </c>
      <c r="H8" s="45">
        <f>G8+'11'!H8</f>
        <v>18788</v>
      </c>
      <c r="I8" s="45">
        <f>G8+'11'!I8</f>
        <v>117704.66</v>
      </c>
      <c r="J8" s="46">
        <f>Clinker!EK14</f>
        <v>2081.5040027619998</v>
      </c>
      <c r="K8" s="45">
        <f>J8+'11'!K8</f>
        <v>21330.36950458552</v>
      </c>
      <c r="L8" s="45">
        <f>J8+'11'!L8</f>
        <v>101126.21652440545</v>
      </c>
      <c r="M8" s="45">
        <f>F8+G8-J8</f>
        <v>28709.532583221444</v>
      </c>
      <c r="N8" s="46">
        <v>0</v>
      </c>
      <c r="O8" s="46"/>
      <c r="P8" s="46"/>
      <c r="Q8" s="56"/>
    </row>
    <row r="9" spans="2:18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88"/>
      <c r="C10" s="281" t="s">
        <v>138</v>
      </c>
      <c r="D10" s="282"/>
      <c r="E10" s="283"/>
      <c r="F10" s="46">
        <f>Clinker!K14</f>
        <v>0</v>
      </c>
      <c r="G10" s="46">
        <f>Clinker!L14</f>
        <v>0</v>
      </c>
      <c r="H10" s="46">
        <f>G10+'11'!H10</f>
        <v>0</v>
      </c>
      <c r="I10" s="46">
        <f>G10+'11'!I10</f>
        <v>0</v>
      </c>
      <c r="J10" s="46">
        <f>Clinker!N14</f>
        <v>0</v>
      </c>
      <c r="K10" s="46">
        <f>J10+'11'!K10</f>
        <v>0</v>
      </c>
      <c r="L10" s="46">
        <f>J10+'11'!L10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88"/>
      <c r="C11" s="281" t="s">
        <v>139</v>
      </c>
      <c r="D11" s="282"/>
      <c r="E11" s="283"/>
      <c r="F11" s="46">
        <f>Clinker!W14</f>
        <v>1063.0399999999981</v>
      </c>
      <c r="G11" s="46">
        <f>Clinker!X14</f>
        <v>0</v>
      </c>
      <c r="H11" s="46">
        <f>G11+'11'!H11</f>
        <v>0</v>
      </c>
      <c r="I11" s="46">
        <f>G11+'11'!I11</f>
        <v>0</v>
      </c>
      <c r="J11" s="46">
        <f>Clinker!Z14</f>
        <v>286.67</v>
      </c>
      <c r="K11" s="46">
        <f>J11+'11'!K11</f>
        <v>286.67</v>
      </c>
      <c r="L11" s="46">
        <f>J11+'11'!L11</f>
        <v>7910.5099999999993</v>
      </c>
      <c r="M11" s="45">
        <f>F11+G11-J11-J34</f>
        <v>776.36999999999807</v>
      </c>
      <c r="N11" s="46">
        <v>0</v>
      </c>
      <c r="O11" s="46"/>
      <c r="P11" s="46"/>
      <c r="Q11" s="56">
        <f>SUM(M11+N11)-O11</f>
        <v>776.36999999999807</v>
      </c>
    </row>
    <row r="12" spans="2:18" ht="15" customHeight="1" x14ac:dyDescent="0.25">
      <c r="B12" s="288"/>
      <c r="C12" s="281" t="s">
        <v>140</v>
      </c>
      <c r="D12" s="282"/>
      <c r="E12" s="283"/>
      <c r="F12" s="46">
        <f>Clinker!AT14</f>
        <v>28.11000000000206</v>
      </c>
      <c r="G12" s="46">
        <f>Clinker!AU14</f>
        <v>0</v>
      </c>
      <c r="H12" s="46">
        <f>G12+'11'!H12</f>
        <v>0</v>
      </c>
      <c r="I12" s="46">
        <f>G12+'11'!I12</f>
        <v>181.5</v>
      </c>
      <c r="J12" s="46">
        <f>Clinker!AV14</f>
        <v>0</v>
      </c>
      <c r="K12" s="46">
        <f>J12+'11'!K12</f>
        <v>2905.79</v>
      </c>
      <c r="L12" s="46">
        <f>J12+'11'!L12</f>
        <v>5647.4900000000007</v>
      </c>
      <c r="M12" s="45">
        <f>F12+G12-J12-J32</f>
        <v>28.11000000000206</v>
      </c>
      <c r="N12" s="46">
        <v>0</v>
      </c>
      <c r="O12" s="46"/>
      <c r="P12" s="46"/>
      <c r="Q12" s="56"/>
    </row>
    <row r="13" spans="2:18" x14ac:dyDescent="0.25">
      <c r="B13" s="288"/>
      <c r="C13" s="281" t="s">
        <v>9</v>
      </c>
      <c r="D13" s="282"/>
      <c r="E13" s="69"/>
      <c r="F13" s="46">
        <f>Clinker!AO14</f>
        <v>0</v>
      </c>
      <c r="G13" s="46">
        <f>Clinker!AP14</f>
        <v>0</v>
      </c>
      <c r="H13" s="46">
        <f>G13+'11'!H13</f>
        <v>0</v>
      </c>
      <c r="I13" s="46">
        <f>G13+'11'!I13</f>
        <v>0</v>
      </c>
      <c r="J13" s="46">
        <f>Clinker!AQ14</f>
        <v>0</v>
      </c>
      <c r="K13" s="46">
        <f>J13+'11'!K13</f>
        <v>0</v>
      </c>
      <c r="L13" s="46">
        <f>J13+'11'!L13</f>
        <v>0</v>
      </c>
      <c r="M13" s="45">
        <f>F13+G13-J13-J36</f>
        <v>0</v>
      </c>
      <c r="N13" s="46">
        <v>0</v>
      </c>
      <c r="O13" s="46"/>
      <c r="P13" s="46"/>
      <c r="Q13" s="56"/>
    </row>
    <row r="14" spans="2:18" x14ac:dyDescent="0.25">
      <c r="B14" s="288"/>
      <c r="C14" s="281" t="s">
        <v>8</v>
      </c>
      <c r="D14" s="282"/>
      <c r="E14" s="69"/>
      <c r="F14" s="46">
        <f>Clinker!AK14</f>
        <v>0</v>
      </c>
      <c r="G14" s="46">
        <f>Clinker!AL14</f>
        <v>0</v>
      </c>
      <c r="H14" s="46">
        <f>G14+'11'!H14</f>
        <v>0</v>
      </c>
      <c r="I14" s="46">
        <f>G14+'11'!I14</f>
        <v>0</v>
      </c>
      <c r="J14" s="46">
        <f>Clinker!AM14</f>
        <v>0</v>
      </c>
      <c r="K14" s="46">
        <f>J14+'11'!K14</f>
        <v>0</v>
      </c>
      <c r="L14" s="46">
        <f>J14+'11'!L14</f>
        <v>0</v>
      </c>
      <c r="M14" s="45">
        <f>F14+G14-J14</f>
        <v>0</v>
      </c>
      <c r="N14" s="46">
        <v>0</v>
      </c>
      <c r="O14" s="46"/>
      <c r="P14" s="46"/>
      <c r="Q14" s="56"/>
    </row>
    <row r="15" spans="2:18" x14ac:dyDescent="0.25">
      <c r="B15" s="288"/>
      <c r="C15" s="281" t="s">
        <v>11</v>
      </c>
      <c r="D15" s="282"/>
      <c r="E15" s="69"/>
      <c r="F15" s="46">
        <f>Clinker!AY14</f>
        <v>2296.2069999999903</v>
      </c>
      <c r="G15" s="46">
        <f>Clinker!AZ14</f>
        <v>186.68</v>
      </c>
      <c r="H15" s="46">
        <f>G15+'11'!H15</f>
        <v>2070.86</v>
      </c>
      <c r="I15" s="46">
        <f>G15+'11'!I15</f>
        <v>2482.6</v>
      </c>
      <c r="J15" s="46">
        <f>Clinker!BA14</f>
        <v>0</v>
      </c>
      <c r="K15" s="46">
        <f>J15+'11'!K15</f>
        <v>0</v>
      </c>
      <c r="L15" s="46">
        <f>J15+'11'!L15</f>
        <v>0</v>
      </c>
      <c r="M15" s="45">
        <f>F15+G15-J15-J38</f>
        <v>2482.8869999999902</v>
      </c>
      <c r="N15" s="75">
        <v>0</v>
      </c>
      <c r="O15" s="46">
        <v>5000</v>
      </c>
      <c r="P15" s="46">
        <v>9000</v>
      </c>
      <c r="Q15" s="56"/>
    </row>
    <row r="16" spans="2:18" x14ac:dyDescent="0.25">
      <c r="B16" s="288"/>
      <c r="C16" s="76" t="s">
        <v>141</v>
      </c>
      <c r="D16" s="77"/>
      <c r="E16" s="69"/>
      <c r="F16" s="46">
        <f>Clinker!BD14</f>
        <v>0</v>
      </c>
      <c r="G16" s="46">
        <f>Clinker!BE14</f>
        <v>0</v>
      </c>
      <c r="H16" s="46">
        <f>G16+'11'!H16</f>
        <v>0</v>
      </c>
      <c r="I16" s="46">
        <f>G16+'11'!I16</f>
        <v>0</v>
      </c>
      <c r="J16" s="46">
        <f>Clinker!BF14</f>
        <v>0</v>
      </c>
      <c r="K16" s="46">
        <f>J16+'11'!K16</f>
        <v>0</v>
      </c>
      <c r="L16" s="46">
        <f>J16+'11'!L16</f>
        <v>0</v>
      </c>
      <c r="M16" s="45">
        <f>F16+G16-J16-J39</f>
        <v>0</v>
      </c>
      <c r="N16" s="46">
        <v>0</v>
      </c>
      <c r="O16" s="46"/>
      <c r="P16" s="46"/>
      <c r="Q16" s="56"/>
    </row>
    <row r="17" spans="2:17" ht="14.25" customHeight="1" x14ac:dyDescent="0.25">
      <c r="B17" s="288"/>
      <c r="C17" s="281" t="s">
        <v>182</v>
      </c>
      <c r="D17" s="282"/>
      <c r="E17" s="283"/>
      <c r="F17" s="46">
        <f>Clinker!BI14</f>
        <v>0</v>
      </c>
      <c r="G17" s="46">
        <f>Clinker!BJ14</f>
        <v>0</v>
      </c>
      <c r="H17" s="46">
        <f>G17+'11'!H17</f>
        <v>0</v>
      </c>
      <c r="I17" s="46">
        <f>G17+'11'!I17</f>
        <v>0</v>
      </c>
      <c r="J17" s="46">
        <f>Clinker!BK14</f>
        <v>0</v>
      </c>
      <c r="K17" s="46">
        <f>J17+'11'!K17</f>
        <v>0</v>
      </c>
      <c r="L17" s="46">
        <f>J17+'11'!L17</f>
        <v>0</v>
      </c>
      <c r="M17" s="45">
        <f>F17+G17-J17-J40</f>
        <v>0</v>
      </c>
      <c r="N17" s="46">
        <v>0</v>
      </c>
      <c r="O17" s="46"/>
      <c r="P17" s="46"/>
      <c r="Q17" s="56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Clinker!BN14</f>
        <v>0</v>
      </c>
      <c r="G18" s="46">
        <f>Clinker!BO14</f>
        <v>0</v>
      </c>
      <c r="H18" s="46">
        <f>G18+'11'!H18</f>
        <v>0</v>
      </c>
      <c r="I18" s="46">
        <f>G18+'11'!I18</f>
        <v>0</v>
      </c>
      <c r="J18" s="46">
        <f>Clinker!BP14</f>
        <v>0</v>
      </c>
      <c r="K18" s="46">
        <f>J18+'11'!K18</f>
        <v>0</v>
      </c>
      <c r="L18" s="46">
        <f>J18+'11'!L18</f>
        <v>0</v>
      </c>
      <c r="M18" s="45">
        <f>F18+G18-J18-J41</f>
        <v>0</v>
      </c>
      <c r="N18" s="46">
        <v>0</v>
      </c>
      <c r="O18" s="46"/>
      <c r="P18" s="46"/>
      <c r="Q18" s="56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Clinker!BS14</f>
        <v>0</v>
      </c>
      <c r="G19" s="46">
        <f>Clinker!BT14</f>
        <v>0</v>
      </c>
      <c r="H19" s="46">
        <f>G19+'11'!H19</f>
        <v>0</v>
      </c>
      <c r="I19" s="46">
        <f>G19+'11'!I19</f>
        <v>0</v>
      </c>
      <c r="J19" s="46">
        <f>Clinker!BU14</f>
        <v>0</v>
      </c>
      <c r="K19" s="46">
        <f>J19+'11'!K19</f>
        <v>0</v>
      </c>
      <c r="L19" s="46">
        <f>J19+'11'!L19</f>
        <v>0</v>
      </c>
      <c r="M19" s="45">
        <f>F19+G19-J19-J42</f>
        <v>0</v>
      </c>
      <c r="N19" s="46">
        <v>0</v>
      </c>
      <c r="O19" s="46"/>
      <c r="P19" s="46"/>
      <c r="Q19" s="56"/>
    </row>
    <row r="20" spans="2:17" ht="14.25" customHeight="1" x14ac:dyDescent="0.25">
      <c r="B20" s="288"/>
      <c r="C20" s="281" t="s">
        <v>16</v>
      </c>
      <c r="D20" s="282"/>
      <c r="E20" s="69"/>
      <c r="F20" s="46">
        <f>Clinker!BX14</f>
        <v>0</v>
      </c>
      <c r="G20" s="46">
        <f>Clinker!BY14</f>
        <v>0</v>
      </c>
      <c r="H20" s="46">
        <f>G20+'11'!H20</f>
        <v>0</v>
      </c>
      <c r="I20" s="46">
        <f>G20+'11'!I20</f>
        <v>0</v>
      </c>
      <c r="J20" s="46">
        <f>Clinker!BZ14</f>
        <v>0</v>
      </c>
      <c r="K20" s="46">
        <f>J20+'11'!K20</f>
        <v>0</v>
      </c>
      <c r="L20" s="46">
        <f>J20+'11'!L20</f>
        <v>4052.88</v>
      </c>
      <c r="M20" s="45">
        <f>F20+G20-J20</f>
        <v>0</v>
      </c>
      <c r="N20" s="46">
        <v>0</v>
      </c>
      <c r="O20" s="46"/>
      <c r="P20" s="46"/>
      <c r="Q20" s="56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Clinker!CR14</f>
        <v>0</v>
      </c>
      <c r="G21" s="46">
        <f>Clinker!CS14</f>
        <v>0</v>
      </c>
      <c r="H21" s="46">
        <f>G21+'11'!H21</f>
        <v>0</v>
      </c>
      <c r="I21" s="46">
        <f>G21+'11'!I21</f>
        <v>0</v>
      </c>
      <c r="J21" s="46">
        <f>Clinker!CT14</f>
        <v>0</v>
      </c>
      <c r="K21" s="46">
        <f>J21+'11'!K21</f>
        <v>0</v>
      </c>
      <c r="L21" s="46">
        <f>J21+'11'!L21</f>
        <v>0</v>
      </c>
      <c r="M21" s="45">
        <f>F21+G21-J21-J43</f>
        <v>0</v>
      </c>
      <c r="N21" s="46">
        <v>0</v>
      </c>
      <c r="O21" s="46"/>
      <c r="P21" s="46"/>
      <c r="Q21" s="56"/>
    </row>
    <row r="22" spans="2:17" ht="14.25" customHeight="1" x14ac:dyDescent="0.25">
      <c r="B22" s="288"/>
      <c r="C22" s="76" t="s">
        <v>143</v>
      </c>
      <c r="D22" s="77"/>
      <c r="E22" s="69"/>
      <c r="F22" s="46">
        <f>Clinker!CW14</f>
        <v>0</v>
      </c>
      <c r="G22" s="46">
        <f>Clinker!CX14</f>
        <v>0</v>
      </c>
      <c r="H22" s="46">
        <f>G22+'11'!H22</f>
        <v>0</v>
      </c>
      <c r="I22" s="46">
        <f>G22+'11'!I22</f>
        <v>0</v>
      </c>
      <c r="J22" s="46">
        <f>Clinker!CY14</f>
        <v>0</v>
      </c>
      <c r="K22" s="46">
        <f>J22+'11'!K22</f>
        <v>0</v>
      </c>
      <c r="L22" s="46">
        <f>J22+'11'!L22</f>
        <v>0</v>
      </c>
      <c r="M22" s="45">
        <f>F22+G22-J22-J44</f>
        <v>0</v>
      </c>
      <c r="N22" s="46">
        <v>0</v>
      </c>
      <c r="O22" s="46"/>
      <c r="P22" s="46"/>
      <c r="Q22" s="56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Clinker!DB14</f>
        <v>1.0000000000013998E-2</v>
      </c>
      <c r="G23" s="46">
        <f>Clinker!DC14</f>
        <v>0</v>
      </c>
      <c r="H23" s="46">
        <f>G23+'11'!H23</f>
        <v>0</v>
      </c>
      <c r="I23" s="46">
        <f>G23+'11'!I23</f>
        <v>0</v>
      </c>
      <c r="J23" s="46">
        <f>Clinker!DD14</f>
        <v>0</v>
      </c>
      <c r="K23" s="46">
        <f>J23+'11'!K23</f>
        <v>7.1</v>
      </c>
      <c r="L23" s="46">
        <f>J23+'11'!L23</f>
        <v>305.99</v>
      </c>
      <c r="M23" s="45">
        <f>F23+G23-J23-J45</f>
        <v>1.0000000000013998E-2</v>
      </c>
      <c r="N23" s="46">
        <v>0</v>
      </c>
      <c r="O23" s="46"/>
      <c r="P23" s="46"/>
      <c r="Q23" s="56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Clinker!DG14</f>
        <v>0</v>
      </c>
      <c r="G24" s="46">
        <f>Clinker!DH14</f>
        <v>0</v>
      </c>
      <c r="H24" s="46">
        <f>G24+'11'!H24</f>
        <v>0</v>
      </c>
      <c r="I24" s="46">
        <f>G24+'11'!I24</f>
        <v>0</v>
      </c>
      <c r="J24" s="46">
        <f>Clinker!DI14</f>
        <v>0</v>
      </c>
      <c r="K24" s="46">
        <f>J24+'11'!K24</f>
        <v>0</v>
      </c>
      <c r="L24" s="46">
        <f>J24+'11'!L24</f>
        <v>0</v>
      </c>
      <c r="M24" s="45">
        <f>F24+G24-J24-J46</f>
        <v>0</v>
      </c>
      <c r="N24" s="46">
        <v>0</v>
      </c>
      <c r="O24" s="46"/>
      <c r="P24" s="46"/>
      <c r="Q24" s="56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Clinker!DL14</f>
        <v>304</v>
      </c>
      <c r="G25" s="46">
        <f>Clinker!DM14</f>
        <v>0</v>
      </c>
      <c r="H25" s="46">
        <f>G25+'11'!H25</f>
        <v>92</v>
      </c>
      <c r="I25" s="46">
        <f>G25+'11'!I25</f>
        <v>304</v>
      </c>
      <c r="J25" s="46">
        <f>Clinker!DN14</f>
        <v>0</v>
      </c>
      <c r="K25" s="46">
        <f>J25+'11'!K25</f>
        <v>0</v>
      </c>
      <c r="L25" s="46">
        <f>J25+'11'!L25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56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Clinker!DV14</f>
        <v>0</v>
      </c>
      <c r="G26" s="46">
        <f>Clinker!DW14</f>
        <v>0</v>
      </c>
      <c r="H26" s="46">
        <f>G26+'11'!H26</f>
        <v>0</v>
      </c>
      <c r="I26" s="46">
        <f>G26+'11'!I26</f>
        <v>0</v>
      </c>
      <c r="J26" s="46">
        <f>Clinker!DX14</f>
        <v>0</v>
      </c>
      <c r="K26" s="46">
        <f>J26+'11'!K26</f>
        <v>0</v>
      </c>
      <c r="L26" s="46">
        <f>J26+'11'!L26</f>
        <v>0</v>
      </c>
      <c r="M26" s="45">
        <f>F26+G26-J26</f>
        <v>0</v>
      </c>
      <c r="N26" s="46">
        <v>0</v>
      </c>
      <c r="O26" s="46"/>
      <c r="P26" s="46"/>
      <c r="Q26" s="56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3691.3669999999906</v>
      </c>
      <c r="G27" s="46">
        <f t="shared" ref="G27:Q27" si="0">SUM(G10:G26)</f>
        <v>186.68</v>
      </c>
      <c r="H27" s="46">
        <f t="shared" si="0"/>
        <v>2162.86</v>
      </c>
      <c r="I27" s="46">
        <f t="shared" si="0"/>
        <v>2968.1</v>
      </c>
      <c r="J27" s="46">
        <f t="shared" si="0"/>
        <v>286.67</v>
      </c>
      <c r="K27" s="46">
        <f t="shared" si="0"/>
        <v>3199.56</v>
      </c>
      <c r="L27" s="46">
        <f t="shared" si="0"/>
        <v>17916.870000000003</v>
      </c>
      <c r="M27" s="46">
        <f>SUM(M10:M26)</f>
        <v>3591.3769999999904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7">
        <f t="shared" si="0"/>
        <v>776.36999999999807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Clinker!Q14</f>
        <v>0</v>
      </c>
      <c r="G29" s="46">
        <f>Clinker!R14</f>
        <v>0</v>
      </c>
      <c r="H29" s="46">
        <f>G29+'11'!H29</f>
        <v>0</v>
      </c>
      <c r="I29" s="46">
        <f>G29+'11'!I29</f>
        <v>0</v>
      </c>
      <c r="J29" s="46">
        <f>Clinker!S14</f>
        <v>0</v>
      </c>
      <c r="K29" s="46">
        <f>J29+'11'!K29</f>
        <v>0</v>
      </c>
      <c r="L29" s="46">
        <f>J29+'11'!L29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G30+'11'!H30</f>
        <v>0</v>
      </c>
      <c r="I30" s="46">
        <f>G30+'11'!I30</f>
        <v>0</v>
      </c>
      <c r="J30" s="46">
        <v>0</v>
      </c>
      <c r="K30" s="46">
        <f>J30+'11'!K30</f>
        <v>0</v>
      </c>
      <c r="L30" s="46">
        <f>J30+'11'!L30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f>Clinker!Q16</f>
        <v>0</v>
      </c>
      <c r="G31" s="46">
        <v>0</v>
      </c>
      <c r="H31" s="46">
        <f>G31+'11'!H31</f>
        <v>0</v>
      </c>
      <c r="I31" s="46">
        <f>G31+'11'!I31</f>
        <v>0</v>
      </c>
      <c r="J31" s="46">
        <v>0</v>
      </c>
      <c r="K31" s="46">
        <f>J31+'11'!K31</f>
        <v>0</v>
      </c>
      <c r="L31" s="46">
        <f>J31+'11'!L31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140</v>
      </c>
      <c r="D32" s="282"/>
      <c r="E32" s="283"/>
      <c r="F32" s="46">
        <v>1</v>
      </c>
      <c r="G32" s="46">
        <f>Clinker!DR14</f>
        <v>0</v>
      </c>
      <c r="H32" s="46">
        <f>G32+'11'!H32</f>
        <v>0</v>
      </c>
      <c r="I32" s="46">
        <f>G32+'11'!I32</f>
        <v>0</v>
      </c>
      <c r="J32" s="46">
        <f>Clinker!AW14</f>
        <v>0</v>
      </c>
      <c r="K32" s="46">
        <f>J32+'11'!K32</f>
        <v>0</v>
      </c>
      <c r="L32" s="46">
        <f>J32+'11'!L32</f>
        <v>0</v>
      </c>
      <c r="M32" s="45">
        <v>0</v>
      </c>
      <c r="N32" s="46">
        <v>0</v>
      </c>
      <c r="O32" s="46"/>
      <c r="P32" s="46"/>
      <c r="Q32" s="56"/>
    </row>
    <row r="33" spans="2:21" x14ac:dyDescent="0.25">
      <c r="B33" s="288"/>
      <c r="C33" s="281" t="s">
        <v>151</v>
      </c>
      <c r="D33" s="282"/>
      <c r="E33" s="283"/>
      <c r="F33" s="46">
        <f>Clinker!Q18</f>
        <v>0</v>
      </c>
      <c r="G33" s="46">
        <v>0</v>
      </c>
      <c r="H33" s="46">
        <f>G33+'11'!H33</f>
        <v>0</v>
      </c>
      <c r="I33" s="46">
        <f>G33+'11'!I33</f>
        <v>0</v>
      </c>
      <c r="J33" s="46">
        <v>0</v>
      </c>
      <c r="K33" s="46">
        <f>J33+'11'!K33</f>
        <v>0</v>
      </c>
      <c r="L33" s="46">
        <f>J33+'11'!L33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21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Clinker!Y14</f>
        <v>0</v>
      </c>
      <c r="K34" s="46">
        <f>J34+'11'!K34</f>
        <v>0</v>
      </c>
      <c r="L34" s="46">
        <f>J34+'11'!L34</f>
        <v>1327</v>
      </c>
      <c r="M34" s="45"/>
      <c r="N34" s="46"/>
      <c r="O34" s="46"/>
      <c r="P34" s="46"/>
      <c r="Q34" s="56"/>
    </row>
    <row r="35" spans="2:21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Clinker!M14</f>
        <v>0</v>
      </c>
      <c r="K35" s="46">
        <f>J35+'11'!K35</f>
        <v>0</v>
      </c>
      <c r="L35" s="46">
        <f>J35+'11'!L35</f>
        <v>0</v>
      </c>
      <c r="M35" s="45"/>
      <c r="N35" s="46"/>
      <c r="O35" s="46"/>
      <c r="P35" s="46"/>
      <c r="Q35" s="56"/>
    </row>
    <row r="36" spans="2:21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Clinker!AR14</f>
        <v>0</v>
      </c>
      <c r="K36" s="46">
        <f>J36+'11'!K36</f>
        <v>0</v>
      </c>
      <c r="L36" s="46">
        <f>J36+'11'!L36</f>
        <v>0</v>
      </c>
      <c r="M36" s="45"/>
      <c r="N36" s="46"/>
      <c r="O36" s="46"/>
      <c r="P36" s="46"/>
      <c r="Q36" s="56"/>
    </row>
    <row r="37" spans="2:21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Clinker!DT14</f>
        <v>0</v>
      </c>
      <c r="K37" s="46">
        <f>J37+'11'!K37</f>
        <v>0</v>
      </c>
      <c r="L37" s="46">
        <f>J37+'11'!L37</f>
        <v>20</v>
      </c>
      <c r="M37" s="45"/>
      <c r="N37" s="46"/>
      <c r="O37" s="46"/>
      <c r="P37" s="46"/>
      <c r="Q37" s="56"/>
    </row>
    <row r="38" spans="2:21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Clinker!BB14</f>
        <v>0</v>
      </c>
      <c r="K38" s="46">
        <f>J38+'11'!K38</f>
        <v>0</v>
      </c>
      <c r="L38" s="46">
        <f>J38+'11'!L38</f>
        <v>0</v>
      </c>
      <c r="M38" s="45"/>
      <c r="N38" s="46"/>
      <c r="O38" s="46"/>
      <c r="P38" s="46"/>
      <c r="Q38" s="56"/>
    </row>
    <row r="39" spans="2:21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Clinker!BG14</f>
        <v>0</v>
      </c>
      <c r="K39" s="46">
        <f>J39+'11'!K39</f>
        <v>0</v>
      </c>
      <c r="L39" s="46">
        <f>J39+'11'!L39</f>
        <v>0</v>
      </c>
      <c r="M39" s="45"/>
      <c r="N39" s="46"/>
      <c r="O39" s="46"/>
      <c r="P39" s="46"/>
      <c r="Q39" s="56"/>
    </row>
    <row r="40" spans="2:21" ht="15" customHeight="1" x14ac:dyDescent="0.25">
      <c r="B40" s="288"/>
      <c r="C40" s="281" t="s">
        <v>180</v>
      </c>
      <c r="D40" s="282"/>
      <c r="E40" s="283"/>
      <c r="F40" s="46"/>
      <c r="G40" s="46"/>
      <c r="H40" s="46"/>
      <c r="I40" s="46"/>
      <c r="J40" s="46">
        <f>Clinker!BL14</f>
        <v>0</v>
      </c>
      <c r="K40" s="46">
        <f>J40+'11'!K40</f>
        <v>0</v>
      </c>
      <c r="L40" s="46">
        <f>J40+'11'!L40</f>
        <v>0</v>
      </c>
      <c r="M40" s="45"/>
      <c r="N40" s="46"/>
      <c r="O40" s="46"/>
      <c r="P40" s="46"/>
      <c r="Q40" s="56"/>
    </row>
    <row r="41" spans="2:21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Clinker!BQ14</f>
        <v>0</v>
      </c>
      <c r="K41" s="46">
        <f>J41+'11'!K41</f>
        <v>0</v>
      </c>
      <c r="L41" s="46">
        <f>J41+'11'!L41</f>
        <v>0</v>
      </c>
      <c r="M41" s="45"/>
      <c r="N41" s="46"/>
      <c r="O41" s="46"/>
      <c r="P41" s="46"/>
      <c r="Q41" s="56"/>
    </row>
    <row r="42" spans="2:21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Clinker!BV14</f>
        <v>0</v>
      </c>
      <c r="K42" s="46">
        <f>J42+'11'!K42</f>
        <v>0</v>
      </c>
      <c r="L42" s="46">
        <f>J42+'11'!L42</f>
        <v>0</v>
      </c>
      <c r="M42" s="45"/>
      <c r="N42" s="46"/>
      <c r="O42" s="46"/>
      <c r="P42" s="46"/>
      <c r="Q42" s="56"/>
    </row>
    <row r="43" spans="2:21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Clinker!CU14</f>
        <v>0</v>
      </c>
      <c r="K43" s="46">
        <f>J43+'11'!K43</f>
        <v>0</v>
      </c>
      <c r="L43" s="46">
        <f>J43+'11'!L43</f>
        <v>0</v>
      </c>
      <c r="M43" s="45"/>
      <c r="N43" s="46">
        <v>0</v>
      </c>
      <c r="O43" s="46"/>
      <c r="P43" s="46"/>
      <c r="Q43" s="56"/>
    </row>
    <row r="44" spans="2:21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Clinker!CZ14</f>
        <v>0</v>
      </c>
      <c r="K44" s="46">
        <f>J44+'11'!K44</f>
        <v>0</v>
      </c>
      <c r="L44" s="46">
        <f>J44+'11'!L44</f>
        <v>0</v>
      </c>
      <c r="M44" s="45"/>
      <c r="N44" s="46"/>
      <c r="O44" s="46"/>
      <c r="P44" s="46"/>
      <c r="Q44" s="56"/>
    </row>
    <row r="45" spans="2:21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Clinker!DE14</f>
        <v>0</v>
      </c>
      <c r="K45" s="46">
        <f>J45+'11'!K45</f>
        <v>0</v>
      </c>
      <c r="L45" s="46">
        <f>J45+'11'!L45</f>
        <v>0</v>
      </c>
      <c r="M45" s="45"/>
      <c r="N45" s="46"/>
      <c r="O45" s="46"/>
      <c r="P45" s="46"/>
      <c r="Q45" s="56"/>
    </row>
    <row r="46" spans="2:21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Clinker!DJ14</f>
        <v>0</v>
      </c>
      <c r="K46" s="46">
        <f>J46+'11'!K46</f>
        <v>0</v>
      </c>
      <c r="L46" s="46">
        <f>J46+'11'!L46</f>
        <v>0</v>
      </c>
      <c r="M46" s="45"/>
      <c r="N46" s="46"/>
      <c r="O46" s="46"/>
      <c r="P46" s="46"/>
      <c r="Q46" s="56"/>
    </row>
    <row r="47" spans="2:21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Clinker!DO14</f>
        <v>0</v>
      </c>
      <c r="K47" s="46">
        <f>J47+'11'!K47</f>
        <v>0</v>
      </c>
      <c r="L47" s="46">
        <f>J47+'11'!L47</f>
        <v>0</v>
      </c>
      <c r="M47" s="45"/>
      <c r="N47" s="46"/>
      <c r="O47" s="46"/>
      <c r="P47" s="46"/>
      <c r="Q47" s="56"/>
      <c r="U47" s="90"/>
    </row>
    <row r="48" spans="2:21" x14ac:dyDescent="0.25">
      <c r="B48" s="288"/>
      <c r="C48" s="76" t="s">
        <v>19</v>
      </c>
      <c r="D48" s="77"/>
      <c r="E48" s="69"/>
      <c r="F48" s="46">
        <f>Clinker!CM14</f>
        <v>5.0000000000181899E-2</v>
      </c>
      <c r="G48" s="46">
        <f>Clinker!CN14</f>
        <v>0</v>
      </c>
      <c r="H48" s="46">
        <f>G48+'11'!H48</f>
        <v>0</v>
      </c>
      <c r="I48" s="46">
        <f>G48+'11'!I48</f>
        <v>0</v>
      </c>
      <c r="J48" s="46">
        <f>Clinker!CP14</f>
        <v>0</v>
      </c>
      <c r="K48" s="46">
        <f>J48+'11'!K48</f>
        <v>0</v>
      </c>
      <c r="L48" s="46">
        <f>J48+'11'!L48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Clinker!CC14</f>
        <v>0</v>
      </c>
      <c r="G49" s="46">
        <f>Clinker!CD14</f>
        <v>0</v>
      </c>
      <c r="H49" s="46">
        <f>G49+'11'!H49</f>
        <v>0</v>
      </c>
      <c r="I49" s="46">
        <f>G49+'11'!I49</f>
        <v>0</v>
      </c>
      <c r="J49" s="46">
        <f>Clinker!CF14</f>
        <v>0</v>
      </c>
      <c r="K49" s="46">
        <f>J49+'11'!K49</f>
        <v>0</v>
      </c>
      <c r="L49" s="46">
        <f>J49+'11'!L49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Clinker!CH14</f>
        <v>0</v>
      </c>
      <c r="G50" s="46">
        <f>Clinker!CI14</f>
        <v>0</v>
      </c>
      <c r="H50" s="46">
        <f>G50+'11'!H50</f>
        <v>0</v>
      </c>
      <c r="I50" s="46">
        <f>G50+'11'!I50</f>
        <v>0</v>
      </c>
      <c r="J50" s="46">
        <f>Clinker!CK14</f>
        <v>0</v>
      </c>
      <c r="K50" s="46">
        <f>J50+'11'!K50</f>
        <v>0</v>
      </c>
      <c r="L50" s="46">
        <f>J50+'11'!L50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Clinker!AF14</f>
        <v>4079.0199999999932</v>
      </c>
      <c r="G51" s="46">
        <f>Clinker!AG14</f>
        <v>95</v>
      </c>
      <c r="H51" s="46">
        <f>G51+'11'!H51</f>
        <v>1660.3500000000001</v>
      </c>
      <c r="I51" s="46">
        <f>G51+'11'!I51</f>
        <v>3801.2999999999997</v>
      </c>
      <c r="J51" s="46">
        <f>Clinker!AI14</f>
        <v>137</v>
      </c>
      <c r="K51" s="46">
        <f>J51+'11'!K51</f>
        <v>1672</v>
      </c>
      <c r="L51" s="46">
        <f>J51+'11'!L51</f>
        <v>8497</v>
      </c>
      <c r="M51" s="45">
        <f>F51+G51-J51</f>
        <v>4037.0199999999932</v>
      </c>
      <c r="N51" s="46">
        <v>0</v>
      </c>
      <c r="O51" s="46">
        <v>1500</v>
      </c>
      <c r="P51" s="46">
        <v>3000</v>
      </c>
      <c r="Q51" s="56">
        <f>SUM(M51+N51)-O51</f>
        <v>2537.0199999999932</v>
      </c>
    </row>
    <row r="52" spans="2:19" x14ac:dyDescent="0.25">
      <c r="B52" s="288"/>
      <c r="C52" s="281" t="s">
        <v>156</v>
      </c>
      <c r="D52" s="282"/>
      <c r="E52" s="283"/>
      <c r="F52" s="46">
        <f>Clinker!AB14</f>
        <v>0</v>
      </c>
      <c r="G52" s="46">
        <f>Clinker!AC14</f>
        <v>0</v>
      </c>
      <c r="H52" s="46">
        <f>G52+'11'!H52</f>
        <v>0</v>
      </c>
      <c r="I52" s="46">
        <f>G52+'11'!I52</f>
        <v>0</v>
      </c>
      <c r="J52" s="46">
        <f>Clinker!AD14</f>
        <v>0</v>
      </c>
      <c r="K52" s="46">
        <f>J52+'11'!K52</f>
        <v>0</v>
      </c>
      <c r="L52" s="46">
        <f>J52+'11'!L52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 t="shared" ref="F53:Q53" si="1">SUM(F29:F52)</f>
        <v>4080.0699999999933</v>
      </c>
      <c r="G53" s="46">
        <f t="shared" si="1"/>
        <v>95</v>
      </c>
      <c r="H53" s="46">
        <f t="shared" si="1"/>
        <v>1660.3500000000001</v>
      </c>
      <c r="I53" s="46">
        <f t="shared" si="1"/>
        <v>3801.2999999999997</v>
      </c>
      <c r="J53" s="46">
        <f t="shared" si="1"/>
        <v>137</v>
      </c>
      <c r="K53" s="46">
        <f t="shared" si="1"/>
        <v>1672</v>
      </c>
      <c r="L53" s="46">
        <f t="shared" si="1"/>
        <v>9844</v>
      </c>
      <c r="M53" s="46">
        <f t="shared" si="1"/>
        <v>4037.0699999999933</v>
      </c>
      <c r="N53" s="49">
        <f t="shared" si="1"/>
        <v>0</v>
      </c>
      <c r="O53" s="46">
        <f t="shared" si="1"/>
        <v>3000</v>
      </c>
      <c r="P53" s="46">
        <f t="shared" si="1"/>
        <v>6000</v>
      </c>
      <c r="Q53" s="47">
        <f t="shared" si="1"/>
        <v>2537.0199999999932</v>
      </c>
    </row>
    <row r="54" spans="2:19" x14ac:dyDescent="0.25">
      <c r="B54" s="289"/>
      <c r="C54" s="284" t="s">
        <v>157</v>
      </c>
      <c r="D54" s="285"/>
      <c r="E54" s="286"/>
      <c r="F54" s="59">
        <f>SUM(F27+F53)</f>
        <v>7771.4369999999835</v>
      </c>
      <c r="G54" s="59">
        <f>SUM(G27+G53)</f>
        <v>281.68</v>
      </c>
      <c r="H54" s="59">
        <f t="shared" ref="H54:Q54" si="2">SUM(H27+H53)</f>
        <v>3823.21</v>
      </c>
      <c r="I54" s="59">
        <f t="shared" si="2"/>
        <v>6769.4</v>
      </c>
      <c r="J54" s="59">
        <f>SUM(J27+J53)</f>
        <v>423.67</v>
      </c>
      <c r="K54" s="59">
        <f t="shared" si="2"/>
        <v>4871.5599999999995</v>
      </c>
      <c r="L54" s="59">
        <f t="shared" si="2"/>
        <v>27760.870000000003</v>
      </c>
      <c r="M54" s="59">
        <f>SUM(M27+M53)</f>
        <v>7628.4469999999837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60">
        <f t="shared" si="2"/>
        <v>3313.3899999999912</v>
      </c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'!C14</f>
        <v>2356439</v>
      </c>
      <c r="G56" s="46">
        <f>'Packing bag '!D14</f>
        <v>240000</v>
      </c>
      <c r="H56" s="46">
        <f>G56+'11'!H56</f>
        <v>414500</v>
      </c>
      <c r="I56" s="46">
        <f>G56+'11'!I56</f>
        <v>3567000</v>
      </c>
      <c r="J56" s="46">
        <f>'Packing bag '!E14</f>
        <v>42192</v>
      </c>
      <c r="K56" s="46">
        <f>J56+'11'!K56</f>
        <v>487488</v>
      </c>
      <c r="L56" s="46">
        <f>J56+'11'!L56</f>
        <v>2064322</v>
      </c>
      <c r="M56" s="46">
        <f>F56+G56-J56</f>
        <v>2554247</v>
      </c>
      <c r="N56" s="46"/>
      <c r="O56" s="46">
        <v>400000</v>
      </c>
      <c r="P56" s="46">
        <v>800000</v>
      </c>
      <c r="Q56" s="56">
        <f>SUM(M56+N56)-O56</f>
        <v>2154247</v>
      </c>
    </row>
    <row r="57" spans="2:19" x14ac:dyDescent="0.25">
      <c r="B57" s="288"/>
      <c r="C57" s="281" t="s">
        <v>160</v>
      </c>
      <c r="D57" s="282"/>
      <c r="E57" s="283"/>
      <c r="F57" s="46">
        <f>'Packing bag '!G14</f>
        <v>622058</v>
      </c>
      <c r="G57" s="46">
        <f>'Packing bag '!H14</f>
        <v>0</v>
      </c>
      <c r="H57" s="46">
        <f>G57+'11'!H57</f>
        <v>40500</v>
      </c>
      <c r="I57" s="46">
        <f>G57+'11'!I57</f>
        <v>332000</v>
      </c>
      <c r="J57" s="46">
        <f>'Packing bag '!I14</f>
        <v>1801</v>
      </c>
      <c r="K57" s="46">
        <f>J57+'11'!K57</f>
        <v>22404</v>
      </c>
      <c r="L57" s="46">
        <f>J57+'11'!L57</f>
        <v>112025</v>
      </c>
      <c r="M57" s="46">
        <f>F57+G57-J57</f>
        <v>620257</v>
      </c>
      <c r="N57" s="46"/>
      <c r="O57" s="46">
        <v>100000</v>
      </c>
      <c r="P57" s="46">
        <v>250000</v>
      </c>
      <c r="Q57" s="56">
        <f>SUM(M57+N57)-O57</f>
        <v>520257</v>
      </c>
    </row>
    <row r="58" spans="2:19" x14ac:dyDescent="0.25">
      <c r="B58" s="288"/>
      <c r="C58" s="281" t="s">
        <v>161</v>
      </c>
      <c r="D58" s="282"/>
      <c r="E58" s="283"/>
      <c r="F58" s="46">
        <f>'Packing bag '!K14</f>
        <v>498377</v>
      </c>
      <c r="G58" s="46">
        <f>'Packing bag '!L14</f>
        <v>0</v>
      </c>
      <c r="H58" s="46">
        <f>G58+'11'!H58</f>
        <v>0</v>
      </c>
      <c r="I58" s="46">
        <f>G58+'11'!I58</f>
        <v>295000</v>
      </c>
      <c r="J58" s="46">
        <f>'Packing bag '!M14</f>
        <v>2543</v>
      </c>
      <c r="K58" s="46">
        <f>J58+'11'!K58</f>
        <v>32929</v>
      </c>
      <c r="L58" s="46">
        <f>J58+'11'!L58</f>
        <v>205221</v>
      </c>
      <c r="M58" s="46">
        <f>F58+G58-J58</f>
        <v>495834</v>
      </c>
      <c r="N58" s="46"/>
      <c r="O58" s="46">
        <v>50000</v>
      </c>
      <c r="P58" s="46">
        <v>150000</v>
      </c>
      <c r="Q58" s="56">
        <f>SUM(M58+N58)-O58</f>
        <v>445834</v>
      </c>
    </row>
    <row r="59" spans="2:19" x14ac:dyDescent="0.25">
      <c r="B59" s="288"/>
      <c r="C59" s="281" t="s">
        <v>162</v>
      </c>
      <c r="D59" s="282"/>
      <c r="E59" s="283"/>
      <c r="F59" s="46">
        <f>'Packing bag '!O14</f>
        <v>152120</v>
      </c>
      <c r="G59" s="46">
        <f>'Packing bag '!P14</f>
        <v>0</v>
      </c>
      <c r="H59" s="46">
        <f>G59+'11'!H59</f>
        <v>85612</v>
      </c>
      <c r="I59" s="46">
        <f>G59+'11'!I59</f>
        <v>85000</v>
      </c>
      <c r="J59" s="46">
        <f>'Packing bag '!Q14</f>
        <v>0</v>
      </c>
      <c r="K59" s="46">
        <f>J59+'11'!K59</f>
        <v>1812</v>
      </c>
      <c r="L59" s="46">
        <f>J59+'11'!L59</f>
        <v>16581</v>
      </c>
      <c r="M59" s="46">
        <f>F59+G59-J59</f>
        <v>152120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G60+'11'!H60</f>
        <v>0</v>
      </c>
      <c r="I60" s="46">
        <f>G60+'11'!I60</f>
        <v>0</v>
      </c>
      <c r="J60" s="46">
        <v>0</v>
      </c>
      <c r="K60" s="46">
        <f>J60+'11'!K60</f>
        <v>0</v>
      </c>
      <c r="L60" s="46">
        <f>J60+'11'!L60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G61+'11'!H61</f>
        <v>0</v>
      </c>
      <c r="I61" s="46">
        <f>G61+'11'!I61</f>
        <v>0</v>
      </c>
      <c r="J61" s="46">
        <v>0</v>
      </c>
      <c r="K61" s="46">
        <f>J61+'11'!K61</f>
        <v>0</v>
      </c>
      <c r="L61" s="46">
        <f>J61+'11'!L61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3628994</v>
      </c>
      <c r="G62" s="59">
        <f>SUM(G56:G61)</f>
        <v>240000</v>
      </c>
      <c r="H62" s="59">
        <f t="shared" ref="H62:Q62" si="3">SUM(H56:H61)</f>
        <v>540612</v>
      </c>
      <c r="I62" s="59">
        <f t="shared" si="3"/>
        <v>4279000</v>
      </c>
      <c r="J62" s="59">
        <f>SUM(J56:J61)</f>
        <v>46536</v>
      </c>
      <c r="K62" s="59">
        <f t="shared" si="3"/>
        <v>544633</v>
      </c>
      <c r="L62" s="59">
        <f t="shared" si="3"/>
        <v>2398149</v>
      </c>
      <c r="M62" s="59">
        <f t="shared" si="3"/>
        <v>3822458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60">
        <f t="shared" si="3"/>
        <v>3118838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Cement!G14</f>
        <v>0</v>
      </c>
      <c r="G64" s="46">
        <f>Cement!H14</f>
        <v>0</v>
      </c>
      <c r="H64" s="46">
        <f>G64+'11'!H64</f>
        <v>0</v>
      </c>
      <c r="I64" s="46">
        <f>G64+'11'!I64</f>
        <v>0</v>
      </c>
      <c r="J64" s="46">
        <v>0</v>
      </c>
      <c r="K64" s="46">
        <f>J64+'11'!K64</f>
        <v>0</v>
      </c>
      <c r="L64" s="46">
        <f>J64+'11'!L64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Cement!K14</f>
        <v>0</v>
      </c>
      <c r="G65" s="46">
        <f>Cement!L14</f>
        <v>0</v>
      </c>
      <c r="H65" s="46">
        <f>G65+'11'!H65</f>
        <v>0</v>
      </c>
      <c r="I65" s="46">
        <f>G65+'11'!I65</f>
        <v>0</v>
      </c>
      <c r="J65" s="46">
        <v>0</v>
      </c>
      <c r="K65" s="46">
        <f>J65+'11'!K65</f>
        <v>0</v>
      </c>
      <c r="L65" s="46">
        <f>J65+'11'!L65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Diesel!B14</f>
        <v>38290</v>
      </c>
      <c r="G68" s="46">
        <f>Diesel!C14</f>
        <v>0</v>
      </c>
      <c r="H68" s="46">
        <f>G68+'11'!H68</f>
        <v>32000</v>
      </c>
      <c r="I68" s="46">
        <f>G68+'11'!I68</f>
        <v>122000</v>
      </c>
      <c r="J68" s="46">
        <v>0</v>
      </c>
      <c r="K68" s="46">
        <f>J68+'11'!K68</f>
        <v>0</v>
      </c>
      <c r="L68" s="46">
        <f>J68+'11'!L68</f>
        <v>0</v>
      </c>
      <c r="M68" s="46">
        <f>F68+G68-G69-J71-J72</f>
        <v>37624</v>
      </c>
      <c r="N68" s="46"/>
      <c r="O68" s="46">
        <v>30000</v>
      </c>
      <c r="P68" s="46">
        <v>60000</v>
      </c>
      <c r="Q68" s="56">
        <f>SUM(M68+N68)-O68</f>
        <v>7624</v>
      </c>
    </row>
    <row r="69" spans="2:17" x14ac:dyDescent="0.25">
      <c r="B69" s="297"/>
      <c r="C69" s="281" t="s">
        <v>171</v>
      </c>
      <c r="D69" s="282"/>
      <c r="E69" s="283"/>
      <c r="F69" s="46">
        <f>Diesel!Y14</f>
        <v>0</v>
      </c>
      <c r="G69" s="46">
        <f>Diesel!Z14</f>
        <v>0</v>
      </c>
      <c r="H69" s="46">
        <f>G69+'11'!H69</f>
        <v>0</v>
      </c>
      <c r="I69" s="46">
        <f>G69+'11'!I69</f>
        <v>0</v>
      </c>
      <c r="J69" s="46">
        <f>Diesel!AA14</f>
        <v>0</v>
      </c>
      <c r="K69" s="46">
        <f>J69+'11'!K69</f>
        <v>0</v>
      </c>
      <c r="L69" s="46">
        <f>J69+'11'!L69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G70+'11'!H70</f>
        <v>0</v>
      </c>
      <c r="I70" s="46">
        <f>G70+'11'!I70</f>
        <v>0</v>
      </c>
      <c r="J70" s="46">
        <f>Diesel!P14</f>
        <v>35</v>
      </c>
      <c r="K70" s="46">
        <f>J70+'11'!K70</f>
        <v>75</v>
      </c>
      <c r="L70" s="46">
        <f>J70+'11'!L70</f>
        <v>678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G71+'11'!H71</f>
        <v>0</v>
      </c>
      <c r="I71" s="46">
        <f>G71+'11'!I71</f>
        <v>0</v>
      </c>
      <c r="J71" s="46">
        <f>Diesel!Q14</f>
        <v>0</v>
      </c>
      <c r="K71" s="46">
        <f>J71+'11'!K71</f>
        <v>12201</v>
      </c>
      <c r="L71" s="46">
        <f>J71+'11'!L71</f>
        <v>66836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G72+'11'!H72</f>
        <v>0</v>
      </c>
      <c r="I72" s="46">
        <f>G72+'11'!I72</f>
        <v>0</v>
      </c>
      <c r="J72" s="46">
        <f>Diesel!R14</f>
        <v>666</v>
      </c>
      <c r="K72" s="46">
        <f>J72+'11'!K72</f>
        <v>8280</v>
      </c>
      <c r="L72" s="46">
        <f>J72+'11'!L72</f>
        <v>50988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G73+'11'!H73</f>
        <v>0</v>
      </c>
      <c r="I73" s="46">
        <f>G73+'11'!I73</f>
        <v>0</v>
      </c>
      <c r="J73" s="46">
        <f>Diesel!S14</f>
        <v>0</v>
      </c>
      <c r="K73" s="46">
        <f>J73+'11'!K73</f>
        <v>0</v>
      </c>
      <c r="L73" s="46">
        <f>J73+'11'!L73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G74+'11'!H74</f>
        <v>0</v>
      </c>
      <c r="I74" s="46">
        <f>G74+'11'!I74</f>
        <v>0</v>
      </c>
      <c r="J74" s="46">
        <f>Diesel!T14</f>
        <v>0</v>
      </c>
      <c r="K74" s="46">
        <f>J74+'11'!K74</f>
        <v>0</v>
      </c>
      <c r="L74" s="46">
        <f>J74+'11'!L74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G75+'11'!H75</f>
        <v>0</v>
      </c>
      <c r="I75" s="46">
        <f>G75+'11'!I75</f>
        <v>0</v>
      </c>
      <c r="J75" s="61">
        <f>Diesel!U14</f>
        <v>0</v>
      </c>
      <c r="K75" s="46">
        <f>J75+'11'!K75</f>
        <v>0</v>
      </c>
      <c r="L75" s="46">
        <f>J75+'11'!L75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38290</v>
      </c>
      <c r="G76" s="62">
        <f t="shared" ref="G76:M76" si="5">SUM(G68:G75)</f>
        <v>0</v>
      </c>
      <c r="H76" s="62">
        <f t="shared" si="5"/>
        <v>32000</v>
      </c>
      <c r="I76" s="62">
        <f t="shared" si="5"/>
        <v>122000</v>
      </c>
      <c r="J76" s="62">
        <f t="shared" si="5"/>
        <v>701</v>
      </c>
      <c r="K76" s="62">
        <f t="shared" si="5"/>
        <v>20556</v>
      </c>
      <c r="L76" s="62">
        <f t="shared" si="5"/>
        <v>133502</v>
      </c>
      <c r="M76" s="62">
        <f t="shared" si="5"/>
        <v>37624</v>
      </c>
      <c r="N76" s="63"/>
      <c r="O76" s="64"/>
      <c r="P76" s="62"/>
      <c r="Q76" s="65"/>
    </row>
  </sheetData>
  <mergeCells count="70"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  <mergeCell ref="C29:E29"/>
    <mergeCell ref="C30:E30"/>
    <mergeCell ref="C34:E34"/>
    <mergeCell ref="C35:E35"/>
    <mergeCell ref="C31:E31"/>
    <mergeCell ref="C32:E32"/>
    <mergeCell ref="C36:D36"/>
    <mergeCell ref="C50:D50"/>
    <mergeCell ref="C6:E6"/>
    <mergeCell ref="C7:E7"/>
    <mergeCell ref="C51:E51"/>
    <mergeCell ref="C11:E11"/>
    <mergeCell ref="C27:E27"/>
    <mergeCell ref="C14:D14"/>
    <mergeCell ref="C12:E12"/>
    <mergeCell ref="C37:D37"/>
    <mergeCell ref="C38:D38"/>
    <mergeCell ref="C17:E17"/>
    <mergeCell ref="C18:E18"/>
    <mergeCell ref="C20:D20"/>
    <mergeCell ref="C40:E40"/>
    <mergeCell ref="C47:D47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5:D15"/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</mergeCells>
  <pageMargins left="0.7" right="0.7" top="0.75" bottom="0.75" header="0.3" footer="0.3"/>
  <pageSetup paperSize="9" scale="4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>
    <pageSetUpPr fitToPage="1"/>
  </sheetPr>
  <dimension ref="B1:T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T57" sqref="T5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20" ht="15.75" thickBot="1" x14ac:dyDescent="0.3"/>
    <row r="2" spans="2:20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20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 t="s">
        <v>221</v>
      </c>
      <c r="Q3" s="316"/>
    </row>
    <row r="4" spans="2:20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20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20" x14ac:dyDescent="0.25">
      <c r="B6" s="54">
        <v>1</v>
      </c>
      <c r="C6" s="308" t="s">
        <v>135</v>
      </c>
      <c r="D6" s="309"/>
      <c r="E6" s="310"/>
      <c r="F6" s="45">
        <f>Clinker!C15</f>
        <v>1847.92</v>
      </c>
      <c r="G6" s="45">
        <f>Clinker!D15</f>
        <v>0</v>
      </c>
      <c r="H6" s="45">
        <f>G6+'12'!H6</f>
        <v>0</v>
      </c>
      <c r="I6" s="45">
        <f>G6+'12'!I6</f>
        <v>417.28000000000003</v>
      </c>
      <c r="J6" s="45">
        <f>Clinker!E15</f>
        <v>46</v>
      </c>
      <c r="K6" s="45">
        <f>J6+'12'!K6</f>
        <v>846</v>
      </c>
      <c r="L6" s="45">
        <f>J6+'12'!L6</f>
        <v>3981</v>
      </c>
      <c r="M6" s="45">
        <f>F6+G6-J6</f>
        <v>1801.92</v>
      </c>
      <c r="N6" s="45">
        <v>0</v>
      </c>
      <c r="O6" s="45">
        <v>3000</v>
      </c>
      <c r="P6" s="45">
        <v>6000</v>
      </c>
      <c r="Q6" s="55">
        <f>SUM(M6+N6)-O6</f>
        <v>-1198.08</v>
      </c>
      <c r="R6" s="90"/>
    </row>
    <row r="7" spans="2:20" x14ac:dyDescent="0.25">
      <c r="B7" s="50">
        <v>2</v>
      </c>
      <c r="C7" s="305" t="s">
        <v>136</v>
      </c>
      <c r="D7" s="306"/>
      <c r="E7" s="307"/>
      <c r="F7" s="46">
        <f>Cement!C15</f>
        <v>3191.0795453564192</v>
      </c>
      <c r="G7" s="46">
        <f>Cement!D15</f>
        <v>0</v>
      </c>
      <c r="H7" s="45">
        <f>G7+'12'!H7</f>
        <v>432.7</v>
      </c>
      <c r="I7" s="45">
        <f>G7+'12'!I7</f>
        <v>2559.3199999999997</v>
      </c>
      <c r="J7" s="46">
        <f>Cement!I15</f>
        <v>146.31263142315791</v>
      </c>
      <c r="K7" s="45">
        <f>J7+'12'!K7</f>
        <v>1596.238944222916</v>
      </c>
      <c r="L7" s="45">
        <f>J7+'12'!L7</f>
        <v>6822.4689345504166</v>
      </c>
      <c r="M7" s="45">
        <f>F7+G7-J7</f>
        <v>3044.7669139332611</v>
      </c>
      <c r="N7" s="46">
        <v>0</v>
      </c>
      <c r="O7" s="46">
        <v>3000</v>
      </c>
      <c r="P7" s="46">
        <v>6000</v>
      </c>
      <c r="Q7" s="56">
        <f>SUM(M7+N7)-O7</f>
        <v>44.766913933261094</v>
      </c>
      <c r="R7" s="90"/>
    </row>
    <row r="8" spans="2:20" x14ac:dyDescent="0.25">
      <c r="B8" s="124">
        <v>3</v>
      </c>
      <c r="C8" s="121" t="s">
        <v>29</v>
      </c>
      <c r="D8" s="122"/>
      <c r="E8" s="123"/>
      <c r="F8" s="46">
        <f>Clinker!EI15</f>
        <v>28709.532583221444</v>
      </c>
      <c r="G8" s="46">
        <f>Clinker!EJ15</f>
        <v>1304</v>
      </c>
      <c r="H8" s="45">
        <f>G8+'12'!H8</f>
        <v>20092</v>
      </c>
      <c r="I8" s="45">
        <f>G8+'12'!I8</f>
        <v>119008.66</v>
      </c>
      <c r="J8" s="46">
        <f>Clinker!EK15</f>
        <v>2171.6030015528004</v>
      </c>
      <c r="K8" s="45">
        <f>J8+'12'!K8</f>
        <v>23501.972506138321</v>
      </c>
      <c r="L8" s="45">
        <f>J8+'12'!L8</f>
        <v>103297.81952595824</v>
      </c>
      <c r="M8" s="45">
        <f>F8+G8-J8</f>
        <v>27841.929581668643</v>
      </c>
      <c r="N8" s="46">
        <v>0</v>
      </c>
      <c r="O8" s="46"/>
      <c r="P8" s="46"/>
      <c r="Q8" s="56"/>
      <c r="R8" s="90"/>
    </row>
    <row r="9" spans="2:20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20" x14ac:dyDescent="0.25">
      <c r="B10" s="288"/>
      <c r="C10" s="281" t="s">
        <v>138</v>
      </c>
      <c r="D10" s="282"/>
      <c r="E10" s="283"/>
      <c r="F10" s="46">
        <f>Clinker!K15</f>
        <v>0</v>
      </c>
      <c r="G10" s="46">
        <f>Clinker!L15</f>
        <v>0</v>
      </c>
      <c r="H10" s="46">
        <f>G10+'12'!H10</f>
        <v>0</v>
      </c>
      <c r="I10" s="46">
        <f>G10+'12'!I10</f>
        <v>0</v>
      </c>
      <c r="J10" s="46">
        <f>Clinker!N15</f>
        <v>0</v>
      </c>
      <c r="K10" s="46">
        <f>J10+'12'!K10</f>
        <v>0</v>
      </c>
      <c r="L10" s="46">
        <f>J10+'12'!L10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20" x14ac:dyDescent="0.25">
      <c r="B11" s="288"/>
      <c r="C11" s="281" t="s">
        <v>139</v>
      </c>
      <c r="D11" s="282"/>
      <c r="E11" s="283"/>
      <c r="F11" s="46">
        <f>Clinker!W15</f>
        <v>776.36999999999807</v>
      </c>
      <c r="G11" s="46">
        <f>Clinker!X15</f>
        <v>0</v>
      </c>
      <c r="H11" s="46">
        <f>G11+'12'!H11</f>
        <v>0</v>
      </c>
      <c r="I11" s="46">
        <f>G11+'12'!I11</f>
        <v>0</v>
      </c>
      <c r="J11" s="46">
        <f>Clinker!Z15</f>
        <v>242.22</v>
      </c>
      <c r="K11" s="46">
        <f>J11+'12'!K11</f>
        <v>528.89</v>
      </c>
      <c r="L11" s="46">
        <f>J11+'12'!L11</f>
        <v>8152.73</v>
      </c>
      <c r="M11" s="45">
        <f>F11+G11-J11-J34</f>
        <v>534.14999999999804</v>
      </c>
      <c r="N11" s="46">
        <v>0</v>
      </c>
      <c r="O11" s="46"/>
      <c r="P11" s="46"/>
      <c r="Q11" s="56">
        <f>SUM(M11+N11)-O11</f>
        <v>534.14999999999804</v>
      </c>
    </row>
    <row r="12" spans="2:20" ht="15" customHeight="1" x14ac:dyDescent="0.25">
      <c r="B12" s="288"/>
      <c r="C12" s="281" t="s">
        <v>140</v>
      </c>
      <c r="D12" s="282"/>
      <c r="E12" s="283"/>
      <c r="F12" s="46">
        <f>Clinker!AT15</f>
        <v>28.11000000000206</v>
      </c>
      <c r="G12" s="46">
        <f>Clinker!AU15</f>
        <v>0</v>
      </c>
      <c r="H12" s="46">
        <f>G12+'12'!H12</f>
        <v>0</v>
      </c>
      <c r="I12" s="46">
        <f>G12+'12'!I12</f>
        <v>181.5</v>
      </c>
      <c r="J12" s="46">
        <f>Clinker!AV15</f>
        <v>0</v>
      </c>
      <c r="K12" s="46">
        <f>J12+'12'!K12</f>
        <v>2905.79</v>
      </c>
      <c r="L12" s="46">
        <f>J12+'12'!L12</f>
        <v>5647.4900000000007</v>
      </c>
      <c r="M12" s="45">
        <f>F12+G12-J12-J37</f>
        <v>28.11000000000206</v>
      </c>
      <c r="N12" s="46">
        <v>0</v>
      </c>
      <c r="O12" s="46"/>
      <c r="P12" s="46"/>
      <c r="Q12" s="71"/>
    </row>
    <row r="13" spans="2:20" x14ac:dyDescent="0.25">
      <c r="B13" s="288"/>
      <c r="C13" s="281" t="s">
        <v>9</v>
      </c>
      <c r="D13" s="282"/>
      <c r="E13" s="69"/>
      <c r="F13" s="46">
        <f>Clinker!AO15</f>
        <v>0</v>
      </c>
      <c r="G13" s="46">
        <f>Clinker!AP15</f>
        <v>0</v>
      </c>
      <c r="H13" s="46">
        <f>G13+'12'!H13</f>
        <v>0</v>
      </c>
      <c r="I13" s="46">
        <f>G13+'12'!I13</f>
        <v>0</v>
      </c>
      <c r="J13" s="46">
        <f>Clinker!AQ15</f>
        <v>0</v>
      </c>
      <c r="K13" s="46">
        <f>J13+'12'!K13</f>
        <v>0</v>
      </c>
      <c r="L13" s="46">
        <f>J13+'12'!L13</f>
        <v>0</v>
      </c>
      <c r="M13" s="45">
        <f>F13+G13-J13-J36</f>
        <v>0</v>
      </c>
      <c r="N13" s="46">
        <v>0</v>
      </c>
      <c r="O13" s="46"/>
      <c r="P13" s="46"/>
      <c r="Q13" s="71"/>
      <c r="T13" s="52"/>
    </row>
    <row r="14" spans="2:20" x14ac:dyDescent="0.25">
      <c r="B14" s="288"/>
      <c r="C14" s="281" t="s">
        <v>8</v>
      </c>
      <c r="D14" s="282"/>
      <c r="E14" s="69"/>
      <c r="F14" s="46">
        <f>Clinker!AK15</f>
        <v>0</v>
      </c>
      <c r="G14" s="46">
        <f>Clinker!AL15</f>
        <v>0</v>
      </c>
      <c r="H14" s="46">
        <f>G14+'12'!H14</f>
        <v>0</v>
      </c>
      <c r="I14" s="46">
        <f>G14+'12'!I14</f>
        <v>0</v>
      </c>
      <c r="J14" s="46">
        <f>Clinker!AM15</f>
        <v>0</v>
      </c>
      <c r="K14" s="46">
        <f>J14+'12'!K14</f>
        <v>0</v>
      </c>
      <c r="L14" s="46">
        <f>J14+'12'!L14</f>
        <v>0</v>
      </c>
      <c r="M14" s="45">
        <f>F14+G14-J14</f>
        <v>0</v>
      </c>
      <c r="N14" s="46">
        <v>0</v>
      </c>
      <c r="O14" s="46"/>
      <c r="P14" s="46"/>
      <c r="Q14" s="71"/>
    </row>
    <row r="15" spans="2:20" x14ac:dyDescent="0.25">
      <c r="B15" s="288"/>
      <c r="C15" s="281" t="s">
        <v>11</v>
      </c>
      <c r="D15" s="282"/>
      <c r="E15" s="69"/>
      <c r="F15" s="46">
        <f>Clinker!AY15</f>
        <v>2482.8869999999902</v>
      </c>
      <c r="G15" s="46">
        <f>Clinker!AZ15</f>
        <v>0</v>
      </c>
      <c r="H15" s="46">
        <f>G15+'12'!H15</f>
        <v>2070.86</v>
      </c>
      <c r="I15" s="46">
        <f>G15+'12'!I15</f>
        <v>2482.6</v>
      </c>
      <c r="J15" s="46">
        <f>Clinker!BA15</f>
        <v>0</v>
      </c>
      <c r="K15" s="46">
        <f>J15+'12'!K15</f>
        <v>0</v>
      </c>
      <c r="L15" s="46">
        <f>J15+'12'!L15</f>
        <v>0</v>
      </c>
      <c r="M15" s="45">
        <f>F15+G15-J15-J38</f>
        <v>2482.8869999999902</v>
      </c>
      <c r="N15" s="75">
        <v>0</v>
      </c>
      <c r="O15" s="46">
        <v>5000</v>
      </c>
      <c r="P15" s="46">
        <v>9000</v>
      </c>
      <c r="Q15" s="70"/>
    </row>
    <row r="16" spans="2:20" x14ac:dyDescent="0.25">
      <c r="B16" s="288"/>
      <c r="C16" s="76" t="s">
        <v>141</v>
      </c>
      <c r="D16" s="77"/>
      <c r="E16" s="69"/>
      <c r="F16" s="46">
        <f>Clinker!BD15</f>
        <v>0</v>
      </c>
      <c r="G16" s="46">
        <f>Clinker!BE15</f>
        <v>0</v>
      </c>
      <c r="H16" s="46">
        <f>G16+'12'!H16</f>
        <v>0</v>
      </c>
      <c r="I16" s="46">
        <f>G16+'12'!I16</f>
        <v>0</v>
      </c>
      <c r="J16" s="46">
        <f>Clinker!BF15</f>
        <v>0</v>
      </c>
      <c r="K16" s="46">
        <f>J16+'12'!K16</f>
        <v>0</v>
      </c>
      <c r="L16" s="46">
        <f>J16+'12'!L16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13</v>
      </c>
      <c r="D17" s="282"/>
      <c r="E17" s="283"/>
      <c r="F17" s="46">
        <f>Clinker!BI15</f>
        <v>0</v>
      </c>
      <c r="G17" s="46">
        <f>Clinker!BJ15</f>
        <v>0</v>
      </c>
      <c r="H17" s="46">
        <f>G17+'12'!H17</f>
        <v>0</v>
      </c>
      <c r="I17" s="46">
        <f>G17+'12'!I17</f>
        <v>0</v>
      </c>
      <c r="J17" s="46">
        <f>Clinker!BK15</f>
        <v>0</v>
      </c>
      <c r="K17" s="46">
        <f>J17+'12'!K17</f>
        <v>0</v>
      </c>
      <c r="L17" s="46">
        <f>J17+'12'!L17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Clinker!BN15</f>
        <v>0</v>
      </c>
      <c r="G18" s="46">
        <f>Clinker!BO15</f>
        <v>0</v>
      </c>
      <c r="H18" s="46">
        <f>G18+'12'!H18</f>
        <v>0</v>
      </c>
      <c r="I18" s="46">
        <f>G18+'12'!I18</f>
        <v>0</v>
      </c>
      <c r="J18" s="46">
        <f>Clinker!BP15</f>
        <v>0</v>
      </c>
      <c r="K18" s="46">
        <f>J18+'12'!K18</f>
        <v>0</v>
      </c>
      <c r="L18" s="46">
        <f>J18+'12'!L18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Clinker!BS15</f>
        <v>0</v>
      </c>
      <c r="G19" s="46">
        <f>Clinker!BT15</f>
        <v>0</v>
      </c>
      <c r="H19" s="46">
        <f>G19+'12'!H19</f>
        <v>0</v>
      </c>
      <c r="I19" s="46">
        <f>G19+'12'!I19</f>
        <v>0</v>
      </c>
      <c r="J19" s="46">
        <f>Clinker!BU15</f>
        <v>0</v>
      </c>
      <c r="K19" s="46">
        <f>J19+'12'!K19</f>
        <v>0</v>
      </c>
      <c r="L19" s="46">
        <f>J19+'12'!L19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Clinker!BX15</f>
        <v>0</v>
      </c>
      <c r="G20" s="46">
        <f>Clinker!BY15</f>
        <v>0</v>
      </c>
      <c r="H20" s="46">
        <f>G20+'12'!H20</f>
        <v>0</v>
      </c>
      <c r="I20" s="46">
        <f>G20+'12'!I20</f>
        <v>0</v>
      </c>
      <c r="J20" s="46">
        <f>Clinker!AH15</f>
        <v>0</v>
      </c>
      <c r="K20" s="46">
        <f>J20+'12'!K20</f>
        <v>0</v>
      </c>
      <c r="L20" s="46">
        <f>J20+'12'!L20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Clinker!CR15</f>
        <v>0</v>
      </c>
      <c r="G21" s="46">
        <f>Clinker!CS15</f>
        <v>0</v>
      </c>
      <c r="H21" s="46">
        <f>G21+'12'!H21</f>
        <v>0</v>
      </c>
      <c r="I21" s="46">
        <f>G21+'12'!I21</f>
        <v>0</v>
      </c>
      <c r="J21" s="46">
        <f>Clinker!CT15</f>
        <v>0</v>
      </c>
      <c r="K21" s="46">
        <f>J21+'12'!K21</f>
        <v>0</v>
      </c>
      <c r="L21" s="46">
        <f>J21+'12'!L21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143</v>
      </c>
      <c r="D22" s="77"/>
      <c r="E22" s="69"/>
      <c r="F22" s="46">
        <f>Clinker!CW15</f>
        <v>0</v>
      </c>
      <c r="G22" s="46">
        <f>Clinker!CX15</f>
        <v>0</v>
      </c>
      <c r="H22" s="46">
        <f>G22+'12'!H22</f>
        <v>0</v>
      </c>
      <c r="I22" s="46">
        <f>G22+'12'!I22</f>
        <v>0</v>
      </c>
      <c r="J22" s="46">
        <f>Clinker!CY15</f>
        <v>0</v>
      </c>
      <c r="K22" s="46">
        <f>J22+'12'!K22</f>
        <v>0</v>
      </c>
      <c r="L22" s="46">
        <f>J22+'12'!L22</f>
        <v>0</v>
      </c>
      <c r="M22" s="45">
        <f>F22+G22-J22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Clinker!DB15</f>
        <v>1.0000000000013998E-2</v>
      </c>
      <c r="G23" s="46">
        <f>Clinker!DC15</f>
        <v>0</v>
      </c>
      <c r="H23" s="46">
        <f>G23+'12'!H23</f>
        <v>0</v>
      </c>
      <c r="I23" s="46">
        <f>G23+'12'!I23</f>
        <v>0</v>
      </c>
      <c r="J23" s="46">
        <f>Clinker!DD15</f>
        <v>0</v>
      </c>
      <c r="K23" s="46">
        <f>J23+'12'!K23</f>
        <v>7.1</v>
      </c>
      <c r="L23" s="46">
        <f>J23+'12'!L23</f>
        <v>305.99</v>
      </c>
      <c r="M23" s="45">
        <f>F23+G23-J23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Clinker!DG15</f>
        <v>0</v>
      </c>
      <c r="G24" s="46">
        <f>Clinker!DH15</f>
        <v>0</v>
      </c>
      <c r="H24" s="46">
        <f>G24+'12'!H24</f>
        <v>0</v>
      </c>
      <c r="I24" s="46">
        <f>G24+'12'!I24</f>
        <v>0</v>
      </c>
      <c r="J24" s="46">
        <f>Clinker!DI15</f>
        <v>0</v>
      </c>
      <c r="K24" s="46">
        <f>J24+'12'!K24</f>
        <v>0</v>
      </c>
      <c r="L24" s="46">
        <f>J24+'12'!L24</f>
        <v>0</v>
      </c>
      <c r="M24" s="45">
        <f>F24+G24-J24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Clinker!DL15</f>
        <v>304</v>
      </c>
      <c r="G25" s="46">
        <f>Clinker!DM15</f>
        <v>0</v>
      </c>
      <c r="H25" s="46">
        <f>G25+'12'!H25</f>
        <v>92</v>
      </c>
      <c r="I25" s="46">
        <f>G25+'12'!I25</f>
        <v>304</v>
      </c>
      <c r="J25" s="46">
        <f>Clinker!DN15</f>
        <v>0</v>
      </c>
      <c r="K25" s="46">
        <f>J25+'12'!K25</f>
        <v>0</v>
      </c>
      <c r="L25" s="46">
        <f>J25+'12'!L25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Clinker!DV15</f>
        <v>0</v>
      </c>
      <c r="G26" s="46">
        <f>Clinker!DW15</f>
        <v>0</v>
      </c>
      <c r="H26" s="46">
        <f>G26+'12'!H26</f>
        <v>0</v>
      </c>
      <c r="I26" s="46">
        <f>G26+'12'!I26</f>
        <v>0</v>
      </c>
      <c r="J26" s="46">
        <f>Clinker!DX15</f>
        <v>0</v>
      </c>
      <c r="K26" s="46">
        <f>J26+'12'!K26</f>
        <v>0</v>
      </c>
      <c r="L26" s="46">
        <f>J26+'12'!L26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3591.3769999999904</v>
      </c>
      <c r="G27" s="46">
        <f t="shared" ref="G27:Q27" si="0">SUM(G10:G26)</f>
        <v>0</v>
      </c>
      <c r="H27" s="46">
        <f t="shared" si="0"/>
        <v>2162.86</v>
      </c>
      <c r="I27" s="46">
        <f t="shared" si="0"/>
        <v>2968.1</v>
      </c>
      <c r="J27" s="46">
        <f t="shared" si="0"/>
        <v>242.22</v>
      </c>
      <c r="K27" s="46">
        <f t="shared" si="0"/>
        <v>3441.7799999999997</v>
      </c>
      <c r="L27" s="46">
        <f t="shared" si="0"/>
        <v>18159.090000000004</v>
      </c>
      <c r="M27" s="46">
        <f t="shared" si="0"/>
        <v>3349.1569999999906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534.14999999999804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Clinker!Q15</f>
        <v>0</v>
      </c>
      <c r="G29" s="46">
        <f>Clinker!R15</f>
        <v>0</v>
      </c>
      <c r="H29" s="46">
        <f>G29+'12'!H29</f>
        <v>0</v>
      </c>
      <c r="I29" s="46">
        <f>G29+'12'!I29</f>
        <v>0</v>
      </c>
      <c r="J29" s="46">
        <f>Clinker!S15</f>
        <v>0</v>
      </c>
      <c r="K29" s="46">
        <f>J29+'12'!K29</f>
        <v>0</v>
      </c>
      <c r="L29" s="46">
        <f>J29+'12'!L29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G30+'12'!H30</f>
        <v>0</v>
      </c>
      <c r="I30" s="46">
        <f>G30+'12'!I30</f>
        <v>0</v>
      </c>
      <c r="J30" s="46">
        <v>0</v>
      </c>
      <c r="K30" s="46">
        <f>J30+'12'!K30</f>
        <v>0</v>
      </c>
      <c r="L30" s="46">
        <f>J30+'12'!L30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G31+'12'!H31</f>
        <v>0</v>
      </c>
      <c r="I31" s="46">
        <f>G31+'12'!I31</f>
        <v>0</v>
      </c>
      <c r="J31" s="46">
        <v>0</v>
      </c>
      <c r="K31" s="46">
        <f>J31+'12'!K31</f>
        <v>0</v>
      </c>
      <c r="L31" s="46">
        <f>J31+'12'!L31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140</v>
      </c>
      <c r="D32" s="282"/>
      <c r="E32" s="283"/>
      <c r="F32" s="46">
        <v>0</v>
      </c>
      <c r="G32" s="46">
        <f>Clinker!DR15</f>
        <v>0</v>
      </c>
      <c r="H32" s="46">
        <f>G32+'12'!H32</f>
        <v>0</v>
      </c>
      <c r="I32" s="46">
        <f>G32+'12'!I32</f>
        <v>0</v>
      </c>
      <c r="J32" s="46">
        <f>Clinker!AW15</f>
        <v>0</v>
      </c>
      <c r="K32" s="46">
        <f>J32+'12'!K32</f>
        <v>0</v>
      </c>
      <c r="L32" s="46">
        <f>J32+'12'!L32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G33+'12'!H33</f>
        <v>0</v>
      </c>
      <c r="I33" s="46">
        <f>G33+'12'!I33</f>
        <v>0</v>
      </c>
      <c r="J33" s="46">
        <v>0</v>
      </c>
      <c r="K33" s="46">
        <f>J33+'12'!K33</f>
        <v>0</v>
      </c>
      <c r="L33" s="46">
        <f>J33+'12'!L33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Clinker!Y15</f>
        <v>0</v>
      </c>
      <c r="K34" s="46">
        <f>J34+'12'!K34</f>
        <v>0</v>
      </c>
      <c r="L34" s="46">
        <f>J34+'12'!L34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Clinker!M15</f>
        <v>0</v>
      </c>
      <c r="K35" s="46">
        <f>J35+'12'!K35</f>
        <v>0</v>
      </c>
      <c r="L35" s="46">
        <f>J35+'12'!L35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Clinker!AR15</f>
        <v>0</v>
      </c>
      <c r="K36" s="46">
        <f>J36+'12'!K36</f>
        <v>0</v>
      </c>
      <c r="L36" s="46">
        <f>J36+'12'!L36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Clinker!DT15</f>
        <v>0</v>
      </c>
      <c r="K37" s="46">
        <f>J37+'12'!K37</f>
        <v>0</v>
      </c>
      <c r="L37" s="46">
        <f>J37+'12'!L37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Clinker!BB15</f>
        <v>0</v>
      </c>
      <c r="K38" s="46">
        <f>J38+'12'!K38</f>
        <v>0</v>
      </c>
      <c r="L38" s="46">
        <f>J38+'12'!L38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Clinker!BG15</f>
        <v>0</v>
      </c>
      <c r="K39" s="46">
        <f>J39+'12'!K39</f>
        <v>0</v>
      </c>
      <c r="L39" s="46">
        <f>J39+'12'!L39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13</v>
      </c>
      <c r="D40" s="282"/>
      <c r="E40" s="283"/>
      <c r="F40" s="46"/>
      <c r="G40" s="46"/>
      <c r="H40" s="46"/>
      <c r="I40" s="46"/>
      <c r="J40" s="46">
        <f>Clinker!BL15</f>
        <v>0</v>
      </c>
      <c r="K40" s="46">
        <f>J40+'12'!K40</f>
        <v>0</v>
      </c>
      <c r="L40" s="46">
        <f>J40+'12'!L40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Clinker!BQ15</f>
        <v>0</v>
      </c>
      <c r="K41" s="46">
        <f>J41+'12'!K41</f>
        <v>0</v>
      </c>
      <c r="L41" s="46">
        <f>J41+'12'!L41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Clinker!BV15</f>
        <v>0</v>
      </c>
      <c r="K42" s="46">
        <f>J42+'12'!K42</f>
        <v>0</v>
      </c>
      <c r="L42" s="46">
        <f>J42+'12'!L42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Clinker!CU15</f>
        <v>0</v>
      </c>
      <c r="K43" s="46">
        <f>J43+'12'!K43</f>
        <v>0</v>
      </c>
      <c r="L43" s="46">
        <f>J43+'12'!L43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Clinker!CZ15</f>
        <v>0</v>
      </c>
      <c r="K44" s="46">
        <f>J44+'12'!K44</f>
        <v>0</v>
      </c>
      <c r="L44" s="46">
        <f>J44+'12'!L44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Clinker!DE15</f>
        <v>0</v>
      </c>
      <c r="K45" s="46">
        <f>J45+'12'!K45</f>
        <v>0</v>
      </c>
      <c r="L45" s="46">
        <f>J45+'12'!L45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Clinker!DJ15</f>
        <v>0</v>
      </c>
      <c r="K46" s="46">
        <f>J46+'12'!K46</f>
        <v>0</v>
      </c>
      <c r="L46" s="46">
        <f>J46+'12'!L46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Clinker!DO15</f>
        <v>0</v>
      </c>
      <c r="K47" s="46">
        <f>J47+'12'!K47</f>
        <v>0</v>
      </c>
      <c r="L47" s="46">
        <f>J47+'12'!L47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Clinker!CM15</f>
        <v>5.0000000000181899E-2</v>
      </c>
      <c r="G48" s="46">
        <f>Clinker!CN15</f>
        <v>0</v>
      </c>
      <c r="H48" s="46">
        <f>G48+'12'!H48</f>
        <v>0</v>
      </c>
      <c r="I48" s="46">
        <f>G48+'12'!I48</f>
        <v>0</v>
      </c>
      <c r="J48" s="46">
        <f>Clinker!CP15</f>
        <v>0</v>
      </c>
      <c r="K48" s="46">
        <f>J48+'12'!K48</f>
        <v>0</v>
      </c>
      <c r="L48" s="46">
        <f>J48+'12'!L48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Clinker!CC15</f>
        <v>0</v>
      </c>
      <c r="G49" s="46">
        <f>Clinker!CD15</f>
        <v>0</v>
      </c>
      <c r="H49" s="46">
        <f>G49+'12'!H49</f>
        <v>0</v>
      </c>
      <c r="I49" s="46">
        <f>G49+'12'!I49</f>
        <v>0</v>
      </c>
      <c r="J49" s="46">
        <f>Clinker!CF15</f>
        <v>0</v>
      </c>
      <c r="K49" s="46">
        <f>J49+'12'!K49</f>
        <v>0</v>
      </c>
      <c r="L49" s="46">
        <f>J49+'12'!L49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Clinker!CH15</f>
        <v>0</v>
      </c>
      <c r="G50" s="46">
        <f>Clinker!CI15</f>
        <v>0</v>
      </c>
      <c r="H50" s="46">
        <f>G50+'12'!H50</f>
        <v>0</v>
      </c>
      <c r="I50" s="46">
        <f>G50+'12'!I50</f>
        <v>0</v>
      </c>
      <c r="J50" s="46">
        <f>Clinker!CK15</f>
        <v>0</v>
      </c>
      <c r="K50" s="46">
        <f>J50+'12'!K50</f>
        <v>0</v>
      </c>
      <c r="L50" s="46">
        <f>J50+'12'!L50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Clinker!AF15</f>
        <v>4037.0199999999932</v>
      </c>
      <c r="G51" s="46">
        <f>Clinker!AG15</f>
        <v>0</v>
      </c>
      <c r="H51" s="46">
        <f>G51+'12'!H51</f>
        <v>1660.3500000000001</v>
      </c>
      <c r="I51" s="46">
        <f>G51+'12'!I51</f>
        <v>3801.2999999999997</v>
      </c>
      <c r="J51" s="46">
        <f>Clinker!AI15</f>
        <v>126</v>
      </c>
      <c r="K51" s="46">
        <f>J51+'12'!K51</f>
        <v>1798</v>
      </c>
      <c r="L51" s="46">
        <f>J51+'12'!L51</f>
        <v>8623</v>
      </c>
      <c r="M51" s="45">
        <f>F51+G51-J51-J20</f>
        <v>3911.0199999999932</v>
      </c>
      <c r="N51" s="46">
        <v>0</v>
      </c>
      <c r="O51" s="46">
        <v>1500</v>
      </c>
      <c r="P51" s="46">
        <v>3000</v>
      </c>
      <c r="Q51" s="56">
        <f>SUM(M51+N51)-O51</f>
        <v>2411.0199999999932</v>
      </c>
    </row>
    <row r="52" spans="2:19" x14ac:dyDescent="0.25">
      <c r="B52" s="288"/>
      <c r="C52" s="281" t="s">
        <v>156</v>
      </c>
      <c r="D52" s="282"/>
      <c r="E52" s="283"/>
      <c r="F52" s="46">
        <f>Clinker!AB15</f>
        <v>0</v>
      </c>
      <c r="G52" s="46">
        <f>Clinker!AC15</f>
        <v>0</v>
      </c>
      <c r="H52" s="46">
        <f>G52+'12'!H52</f>
        <v>0</v>
      </c>
      <c r="I52" s="46">
        <f>G52+'12'!I52</f>
        <v>0</v>
      </c>
      <c r="J52" s="46">
        <f>Clinker!AD15</f>
        <v>0</v>
      </c>
      <c r="K52" s="46">
        <f>J52+'12'!K52</f>
        <v>0</v>
      </c>
      <c r="L52" s="46">
        <f>J52+'12'!L52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>SUM(F29:F52)</f>
        <v>4037.0699999999933</v>
      </c>
      <c r="G53" s="46">
        <f>SUM(G29:G52)</f>
        <v>0</v>
      </c>
      <c r="H53" s="46">
        <f>SUM(H29:H52)</f>
        <v>1660.3500000000001</v>
      </c>
      <c r="I53" s="46">
        <f>SUM(I29:I52)</f>
        <v>3801.2999999999997</v>
      </c>
      <c r="J53" s="46">
        <f>SUM(J29:J52)</f>
        <v>126</v>
      </c>
      <c r="K53" s="46">
        <f t="shared" ref="K53:P53" si="1">SUM(K29:K52)</f>
        <v>1798</v>
      </c>
      <c r="L53" s="46">
        <f t="shared" si="1"/>
        <v>9970</v>
      </c>
      <c r="M53" s="46">
        <f t="shared" si="1"/>
        <v>3911.0699999999933</v>
      </c>
      <c r="N53" s="49">
        <f t="shared" si="1"/>
        <v>0</v>
      </c>
      <c r="O53" s="46">
        <f t="shared" si="1"/>
        <v>3000</v>
      </c>
      <c r="P53" s="46">
        <f t="shared" si="1"/>
        <v>6000</v>
      </c>
      <c r="Q53" s="46">
        <f>SUM(Q29:Q52)</f>
        <v>2411.0199999999932</v>
      </c>
    </row>
    <row r="54" spans="2:19" x14ac:dyDescent="0.25">
      <c r="B54" s="289"/>
      <c r="C54" s="284" t="s">
        <v>157</v>
      </c>
      <c r="D54" s="285"/>
      <c r="E54" s="286"/>
      <c r="F54" s="59">
        <f t="shared" ref="F54:Q54" si="2">SUM(F27+F53)</f>
        <v>7628.4469999999837</v>
      </c>
      <c r="G54" s="59">
        <f>SUM(G27+G53)</f>
        <v>0</v>
      </c>
      <c r="H54" s="59">
        <f t="shared" si="2"/>
        <v>3823.21</v>
      </c>
      <c r="I54" s="59">
        <f t="shared" si="2"/>
        <v>6769.4</v>
      </c>
      <c r="J54" s="59">
        <f>SUM(J27+J53)</f>
        <v>368.22</v>
      </c>
      <c r="K54" s="59">
        <f t="shared" si="2"/>
        <v>5239.78</v>
      </c>
      <c r="L54" s="59">
        <f t="shared" si="2"/>
        <v>28129.090000000004</v>
      </c>
      <c r="M54" s="59">
        <f t="shared" si="2"/>
        <v>7260.2269999999844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2"/>
        <v>2945.169999999991</v>
      </c>
      <c r="R54" s="90"/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'!C15</f>
        <v>2554247</v>
      </c>
      <c r="G56" s="46">
        <f>'Packing bag '!D15</f>
        <v>0</v>
      </c>
      <c r="H56" s="46">
        <f>G56+'12'!H56</f>
        <v>414500</v>
      </c>
      <c r="I56" s="46">
        <f>G56+'12'!I56</f>
        <v>3567000</v>
      </c>
      <c r="J56" s="46">
        <f>'Packing bag '!E15</f>
        <v>49235</v>
      </c>
      <c r="K56" s="46">
        <f>J56+'12'!K56</f>
        <v>536723</v>
      </c>
      <c r="L56" s="46">
        <f>J56+'12'!L56</f>
        <v>2113557</v>
      </c>
      <c r="M56" s="46">
        <f>F56+G56-J56</f>
        <v>2505012</v>
      </c>
      <c r="N56" s="46"/>
      <c r="O56" s="46">
        <v>400000</v>
      </c>
      <c r="P56" s="46">
        <v>800000</v>
      </c>
      <c r="Q56" s="56">
        <f>SUM(M56+N56)-O56</f>
        <v>2105012</v>
      </c>
    </row>
    <row r="57" spans="2:19" x14ac:dyDescent="0.25">
      <c r="B57" s="288"/>
      <c r="C57" s="281" t="s">
        <v>160</v>
      </c>
      <c r="D57" s="282"/>
      <c r="E57" s="283"/>
      <c r="F57" s="46">
        <f>'Packing bag '!G15</f>
        <v>620257</v>
      </c>
      <c r="G57" s="46">
        <f>'Packing bag '!H15</f>
        <v>0</v>
      </c>
      <c r="H57" s="46">
        <f>G57+'12'!H57</f>
        <v>40500</v>
      </c>
      <c r="I57" s="46">
        <f>G57+'12'!I57</f>
        <v>332000</v>
      </c>
      <c r="J57" s="46">
        <f>'Packing bag '!I15</f>
        <v>2769</v>
      </c>
      <c r="K57" s="46">
        <f>J57+'12'!K57</f>
        <v>25173</v>
      </c>
      <c r="L57" s="46">
        <f>J57+'12'!L57</f>
        <v>114794</v>
      </c>
      <c r="M57" s="46">
        <f>F57+G57-J57</f>
        <v>617488</v>
      </c>
      <c r="N57" s="46"/>
      <c r="O57" s="46">
        <v>100000</v>
      </c>
      <c r="P57" s="46">
        <v>250000</v>
      </c>
      <c r="Q57" s="56">
        <f>SUM(M57+N57)-O57</f>
        <v>517488</v>
      </c>
    </row>
    <row r="58" spans="2:19" x14ac:dyDescent="0.25">
      <c r="B58" s="288"/>
      <c r="C58" s="281" t="s">
        <v>161</v>
      </c>
      <c r="D58" s="282"/>
      <c r="E58" s="283"/>
      <c r="F58" s="46">
        <f>'Packing bag '!K15</f>
        <v>495834</v>
      </c>
      <c r="G58" s="46">
        <f>'Packing bag '!L15</f>
        <v>0</v>
      </c>
      <c r="H58" s="46">
        <f>G58+'12'!H58</f>
        <v>0</v>
      </c>
      <c r="I58" s="46">
        <f>G58+'12'!I58</f>
        <v>295000</v>
      </c>
      <c r="J58" s="46">
        <f>'Packing bag '!M15</f>
        <v>601</v>
      </c>
      <c r="K58" s="46">
        <f>J58+'12'!K58</f>
        <v>33530</v>
      </c>
      <c r="L58" s="46">
        <f>J58+'12'!L58</f>
        <v>205822</v>
      </c>
      <c r="M58" s="46">
        <f>F58+G58-J58</f>
        <v>495233</v>
      </c>
      <c r="N58" s="46"/>
      <c r="O58" s="46">
        <v>50000</v>
      </c>
      <c r="P58" s="46">
        <v>150000</v>
      </c>
      <c r="Q58" s="56">
        <f>SUM(M58+N58)-O58</f>
        <v>445233</v>
      </c>
    </row>
    <row r="59" spans="2:19" x14ac:dyDescent="0.25">
      <c r="B59" s="288"/>
      <c r="C59" s="281" t="s">
        <v>162</v>
      </c>
      <c r="D59" s="282"/>
      <c r="E59" s="283"/>
      <c r="F59" s="46">
        <f>'Packing bag '!O15</f>
        <v>152120</v>
      </c>
      <c r="G59" s="46">
        <f>'Packing bag '!P15</f>
        <v>0</v>
      </c>
      <c r="H59" s="46">
        <f>G59+'12'!H59</f>
        <v>85612</v>
      </c>
      <c r="I59" s="46">
        <f>G59+'12'!I59</f>
        <v>85000</v>
      </c>
      <c r="J59" s="46">
        <f>'Packing bag '!Q15</f>
        <v>602</v>
      </c>
      <c r="K59" s="46">
        <f>J59+'12'!K59</f>
        <v>2414</v>
      </c>
      <c r="L59" s="46">
        <f>J59+'12'!L59</f>
        <v>17183</v>
      </c>
      <c r="M59" s="46">
        <f>F59+G59-J59</f>
        <v>151518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G60+'12'!H60</f>
        <v>0</v>
      </c>
      <c r="I60" s="46">
        <f>G60+'12'!I60</f>
        <v>0</v>
      </c>
      <c r="J60" s="46">
        <v>0</v>
      </c>
      <c r="K60" s="46">
        <f>J60+'12'!K60</f>
        <v>0</v>
      </c>
      <c r="L60" s="46">
        <f>J60+'12'!L60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G61+'12'!H61</f>
        <v>0</v>
      </c>
      <c r="I61" s="46">
        <f>G61+'12'!I61</f>
        <v>0</v>
      </c>
      <c r="J61" s="46">
        <v>0</v>
      </c>
      <c r="K61" s="46">
        <f>J61+'12'!K61</f>
        <v>0</v>
      </c>
      <c r="L61" s="46">
        <f>J61+'12'!L61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3822458</v>
      </c>
      <c r="G62" s="59">
        <f>SUM(G56:G61)</f>
        <v>0</v>
      </c>
      <c r="H62" s="59">
        <f t="shared" ref="H62:Q62" si="3">SUM(H56:H61)</f>
        <v>540612</v>
      </c>
      <c r="I62" s="59">
        <f t="shared" si="3"/>
        <v>4279000</v>
      </c>
      <c r="J62" s="59">
        <f>SUM(J56:J61)</f>
        <v>53207</v>
      </c>
      <c r="K62" s="59">
        <f t="shared" si="3"/>
        <v>597840</v>
      </c>
      <c r="L62" s="59">
        <f t="shared" si="3"/>
        <v>2451356</v>
      </c>
      <c r="M62" s="59">
        <f t="shared" si="3"/>
        <v>3769251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59">
        <f t="shared" si="3"/>
        <v>3066233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Cement!G15</f>
        <v>0</v>
      </c>
      <c r="G64" s="46">
        <f>Cement!H15</f>
        <v>0</v>
      </c>
      <c r="H64" s="46">
        <f>G64+'12'!H64</f>
        <v>0</v>
      </c>
      <c r="I64" s="46">
        <f>G64+'12'!I64</f>
        <v>0</v>
      </c>
      <c r="J64" s="46">
        <v>0</v>
      </c>
      <c r="K64" s="46">
        <v>0</v>
      </c>
      <c r="L64" s="46"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Cement!K15</f>
        <v>0</v>
      </c>
      <c r="G65" s="46">
        <f>Cement!L15</f>
        <v>0</v>
      </c>
      <c r="H65" s="46">
        <f>G65+'12'!H65</f>
        <v>0</v>
      </c>
      <c r="I65" s="46">
        <f>G65+'12'!I65</f>
        <v>0</v>
      </c>
      <c r="J65" s="46">
        <v>0</v>
      </c>
      <c r="K65" s="46">
        <f>J65+'12'!K65</f>
        <v>0</v>
      </c>
      <c r="L65" s="46">
        <f>J65+'12'!L65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Diesel!B15</f>
        <v>37589</v>
      </c>
      <c r="G68" s="46">
        <f>Diesel!C15</f>
        <v>0</v>
      </c>
      <c r="H68" s="46">
        <f>G68+'12'!H68</f>
        <v>32000</v>
      </c>
      <c r="I68" s="46">
        <f>G68+'12'!I68</f>
        <v>122000</v>
      </c>
      <c r="J68" s="46">
        <v>0</v>
      </c>
      <c r="K68" s="46">
        <f>J68+'12'!K68</f>
        <v>0</v>
      </c>
      <c r="L68" s="46">
        <f>J68+'12'!L68</f>
        <v>0</v>
      </c>
      <c r="M68" s="46">
        <f>F68+G68-G69-J71-J72</f>
        <v>34259</v>
      </c>
      <c r="N68" s="46"/>
      <c r="O68" s="46">
        <v>30000</v>
      </c>
      <c r="P68" s="46">
        <v>60000</v>
      </c>
      <c r="Q68" s="56">
        <f>SUM(M68+N68)-O68</f>
        <v>4259</v>
      </c>
    </row>
    <row r="69" spans="2:17" x14ac:dyDescent="0.25">
      <c r="B69" s="297"/>
      <c r="C69" s="281" t="s">
        <v>171</v>
      </c>
      <c r="D69" s="282"/>
      <c r="E69" s="283"/>
      <c r="F69" s="46">
        <f>Diesel!Y15</f>
        <v>0</v>
      </c>
      <c r="G69" s="46">
        <f>Diesel!Z15</f>
        <v>0</v>
      </c>
      <c r="H69" s="46">
        <f>G69+'12'!H69</f>
        <v>0</v>
      </c>
      <c r="I69" s="46">
        <f>G69+'12'!I69</f>
        <v>0</v>
      </c>
      <c r="J69" s="46">
        <f>Diesel!AA15</f>
        <v>0</v>
      </c>
      <c r="K69" s="46">
        <f>J69+'12'!K69</f>
        <v>0</v>
      </c>
      <c r="L69" s="46">
        <f>J69+'12'!L69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G70+'12'!H70</f>
        <v>0</v>
      </c>
      <c r="I70" s="46">
        <f>G70+'12'!I70</f>
        <v>0</v>
      </c>
      <c r="J70" s="46">
        <f>Diesel!P15</f>
        <v>0</v>
      </c>
      <c r="K70" s="46">
        <f>J70+'12'!K70</f>
        <v>75</v>
      </c>
      <c r="L70" s="46">
        <f>J70+'12'!L70</f>
        <v>678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G71+'12'!H71</f>
        <v>0</v>
      </c>
      <c r="I71" s="46">
        <f>G71+'12'!I71</f>
        <v>0</v>
      </c>
      <c r="J71" s="46">
        <f>Diesel!Q15</f>
        <v>2060</v>
      </c>
      <c r="K71" s="46">
        <f>J71+'12'!K71</f>
        <v>14261</v>
      </c>
      <c r="L71" s="46">
        <f>J71+'12'!L71</f>
        <v>68896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G72+'12'!H72</f>
        <v>0</v>
      </c>
      <c r="I72" s="46">
        <f>G72+'12'!I72</f>
        <v>0</v>
      </c>
      <c r="J72" s="46">
        <f>Diesel!R15</f>
        <v>1270</v>
      </c>
      <c r="K72" s="46">
        <f>J72+'12'!K72</f>
        <v>9550</v>
      </c>
      <c r="L72" s="46">
        <f>J72+'12'!L72</f>
        <v>52258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G73+'12'!H73</f>
        <v>0</v>
      </c>
      <c r="I73" s="46">
        <f>G73+'12'!I73</f>
        <v>0</v>
      </c>
      <c r="J73" s="46">
        <f>Diesel!S15</f>
        <v>0</v>
      </c>
      <c r="K73" s="46">
        <f>J73+'12'!K73</f>
        <v>0</v>
      </c>
      <c r="L73" s="46">
        <f>J73+'12'!L73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G74+'12'!H74</f>
        <v>0</v>
      </c>
      <c r="I74" s="46">
        <f>G74+'12'!I74</f>
        <v>0</v>
      </c>
      <c r="J74" s="46">
        <f>Diesel!T15</f>
        <v>0</v>
      </c>
      <c r="K74" s="46">
        <f>J74+'12'!K74</f>
        <v>0</v>
      </c>
      <c r="L74" s="46">
        <f>J74+'12'!L74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G75+'12'!H75</f>
        <v>0</v>
      </c>
      <c r="I75" s="46">
        <f>G75+'12'!I75</f>
        <v>0</v>
      </c>
      <c r="J75" s="61">
        <f>Diesel!U15</f>
        <v>0</v>
      </c>
      <c r="K75" s="46">
        <f>J75+'12'!K75</f>
        <v>0</v>
      </c>
      <c r="L75" s="46">
        <f>J75+'12'!L75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37589</v>
      </c>
      <c r="G76" s="62">
        <f t="shared" ref="G76:M76" si="5">SUM(G68:G75)</f>
        <v>0</v>
      </c>
      <c r="H76" s="62">
        <f t="shared" si="5"/>
        <v>32000</v>
      </c>
      <c r="I76" s="62">
        <f t="shared" si="5"/>
        <v>122000</v>
      </c>
      <c r="J76" s="62">
        <f t="shared" si="5"/>
        <v>3330</v>
      </c>
      <c r="K76" s="62">
        <f t="shared" si="5"/>
        <v>23886</v>
      </c>
      <c r="L76" s="62">
        <f t="shared" si="5"/>
        <v>136832</v>
      </c>
      <c r="M76" s="62">
        <f t="shared" si="5"/>
        <v>34259</v>
      </c>
      <c r="N76" s="63"/>
      <c r="O76" s="64"/>
      <c r="P76" s="62"/>
      <c r="Q76" s="65"/>
    </row>
  </sheetData>
  <mergeCells count="70"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  <mergeCell ref="C29:E29"/>
    <mergeCell ref="C30:E30"/>
    <mergeCell ref="C34:E34"/>
    <mergeCell ref="C35:E35"/>
    <mergeCell ref="C31:E31"/>
    <mergeCell ref="C32:E32"/>
    <mergeCell ref="C36:D36"/>
    <mergeCell ref="C50:D50"/>
    <mergeCell ref="C6:E6"/>
    <mergeCell ref="C7:E7"/>
    <mergeCell ref="C51:E51"/>
    <mergeCell ref="C11:E11"/>
    <mergeCell ref="C27:E27"/>
    <mergeCell ref="C14:D14"/>
    <mergeCell ref="C15:D15"/>
    <mergeCell ref="C37:D37"/>
    <mergeCell ref="C38:D38"/>
    <mergeCell ref="C17:E17"/>
    <mergeCell ref="C18:E18"/>
    <mergeCell ref="C20:D20"/>
    <mergeCell ref="C40:E40"/>
    <mergeCell ref="C47:D47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2:E12"/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</mergeCells>
  <pageMargins left="0.7" right="0.7" top="0.75" bottom="0.75" header="0.3" footer="0.3"/>
  <pageSetup paperSize="9" scale="41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5" sqref="S5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7" ht="15.75" thickBot="1" x14ac:dyDescent="0.3"/>
    <row r="2" spans="2:17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7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 t="s">
        <v>222</v>
      </c>
      <c r="Q3" s="316"/>
    </row>
    <row r="4" spans="2:17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7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7" x14ac:dyDescent="0.25">
      <c r="B6" s="54">
        <v>1</v>
      </c>
      <c r="C6" s="308" t="s">
        <v>135</v>
      </c>
      <c r="D6" s="309"/>
      <c r="E6" s="310"/>
      <c r="F6" s="45">
        <f>Clinker!C16</f>
        <v>1801.92</v>
      </c>
      <c r="G6" s="45">
        <f>Clinker!D16</f>
        <v>0</v>
      </c>
      <c r="H6" s="45">
        <f>G6+'13'!H6</f>
        <v>0</v>
      </c>
      <c r="I6" s="45">
        <f>G6+'13'!I6</f>
        <v>417.28000000000003</v>
      </c>
      <c r="J6" s="45">
        <f>Clinker!E16</f>
        <v>61</v>
      </c>
      <c r="K6" s="45">
        <f>J6+'13'!K6</f>
        <v>907</v>
      </c>
      <c r="L6" s="45">
        <f>J6+'13'!L6</f>
        <v>4042</v>
      </c>
      <c r="M6" s="45">
        <f>F6+G6-J6</f>
        <v>1740.92</v>
      </c>
      <c r="N6" s="45">
        <v>0</v>
      </c>
      <c r="O6" s="45">
        <v>3000</v>
      </c>
      <c r="P6" s="45">
        <v>6000</v>
      </c>
      <c r="Q6" s="55">
        <f>SUM(M6+N6)-O6</f>
        <v>-1259.08</v>
      </c>
    </row>
    <row r="7" spans="2:17" x14ac:dyDescent="0.25">
      <c r="B7" s="50">
        <v>2</v>
      </c>
      <c r="C7" s="305" t="s">
        <v>136</v>
      </c>
      <c r="D7" s="306"/>
      <c r="E7" s="307"/>
      <c r="F7" s="46">
        <f>Cement!C16</f>
        <v>3044.7669139332611</v>
      </c>
      <c r="G7" s="46">
        <f>Cement!D16</f>
        <v>0</v>
      </c>
      <c r="H7" s="45">
        <f>G7+'13'!H7</f>
        <v>432.7</v>
      </c>
      <c r="I7" s="45">
        <f>G7+'13'!I7</f>
        <v>2559.3199999999997</v>
      </c>
      <c r="J7" s="46">
        <f>Cement!I16</f>
        <v>139.78947369442105</v>
      </c>
      <c r="K7" s="45">
        <f>J7+'13'!K7</f>
        <v>1736.028417917337</v>
      </c>
      <c r="L7" s="45">
        <f>J7+'13'!L7</f>
        <v>6962.2584082448375</v>
      </c>
      <c r="M7" s="45">
        <f>F7+G7-J7</f>
        <v>2904.9774402388402</v>
      </c>
      <c r="N7" s="46">
        <v>0</v>
      </c>
      <c r="O7" s="46">
        <v>3000</v>
      </c>
      <c r="P7" s="46">
        <v>6000</v>
      </c>
      <c r="Q7" s="56">
        <f>SUM(M7+N7)-O7</f>
        <v>-95.022559761159755</v>
      </c>
    </row>
    <row r="8" spans="2:17" x14ac:dyDescent="0.25">
      <c r="B8" s="124">
        <v>3</v>
      </c>
      <c r="C8" s="121" t="s">
        <v>29</v>
      </c>
      <c r="D8" s="122"/>
      <c r="E8" s="123"/>
      <c r="F8" s="46">
        <f>Clinker!EI16</f>
        <v>27841.929581668643</v>
      </c>
      <c r="G8" s="46">
        <f>Clinker!EJ16</f>
        <v>1305</v>
      </c>
      <c r="H8" s="45">
        <f>G8+'13'!H8</f>
        <v>21397</v>
      </c>
      <c r="I8" s="45">
        <f>G8+'13'!I8</f>
        <v>120313.66</v>
      </c>
      <c r="J8" s="46">
        <f>Clinker!EK16</f>
        <v>2083.5799999910705</v>
      </c>
      <c r="K8" s="45">
        <f>J8+'13'!K8</f>
        <v>25585.552506129392</v>
      </c>
      <c r="L8" s="45">
        <f>J8+'13'!L8</f>
        <v>105381.39952594931</v>
      </c>
      <c r="M8" s="45">
        <f>F8+G8-J8</f>
        <v>27063.349581677572</v>
      </c>
      <c r="N8" s="46">
        <v>0</v>
      </c>
      <c r="O8" s="46"/>
      <c r="P8" s="46"/>
      <c r="Q8" s="56"/>
    </row>
    <row r="9" spans="2:17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7" x14ac:dyDescent="0.25">
      <c r="B10" s="288"/>
      <c r="C10" s="281" t="s">
        <v>138</v>
      </c>
      <c r="D10" s="282"/>
      <c r="E10" s="283"/>
      <c r="F10" s="46">
        <f>Clinker!K16</f>
        <v>0</v>
      </c>
      <c r="G10" s="46">
        <f>Clinker!L16</f>
        <v>0</v>
      </c>
      <c r="H10" s="46">
        <f>G10+'13'!H10</f>
        <v>0</v>
      </c>
      <c r="I10" s="46">
        <f>G10+'13'!I10</f>
        <v>0</v>
      </c>
      <c r="J10" s="46">
        <f>Clinker!N16</f>
        <v>0</v>
      </c>
      <c r="K10" s="46">
        <f>J10+'13'!K10</f>
        <v>0</v>
      </c>
      <c r="L10" s="46">
        <f>J10+'13'!L10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7" x14ac:dyDescent="0.25">
      <c r="B11" s="288"/>
      <c r="C11" s="281" t="s">
        <v>139</v>
      </c>
      <c r="D11" s="282"/>
      <c r="E11" s="283"/>
      <c r="F11" s="46">
        <f>Clinker!W16</f>
        <v>534.14999999999804</v>
      </c>
      <c r="G11" s="46">
        <f>Clinker!X16</f>
        <v>0</v>
      </c>
      <c r="H11" s="46">
        <f>G11+'13'!H11</f>
        <v>0</v>
      </c>
      <c r="I11" s="46">
        <f>G11+'13'!I11</f>
        <v>0</v>
      </c>
      <c r="J11" s="46">
        <f>Clinker!Z16</f>
        <v>227.78</v>
      </c>
      <c r="K11" s="46">
        <f>J11+'13'!K11</f>
        <v>756.67</v>
      </c>
      <c r="L11" s="46">
        <f>J11+'13'!L11</f>
        <v>8380.51</v>
      </c>
      <c r="M11" s="45">
        <f>F11+G11-J11-J34</f>
        <v>306.36999999999807</v>
      </c>
      <c r="N11" s="46">
        <v>0</v>
      </c>
      <c r="O11" s="46"/>
      <c r="P11" s="46"/>
      <c r="Q11" s="56">
        <f>SUM(M11+N11)-O11</f>
        <v>306.36999999999807</v>
      </c>
    </row>
    <row r="12" spans="2:17" ht="15" customHeight="1" x14ac:dyDescent="0.25">
      <c r="B12" s="288"/>
      <c r="C12" s="281" t="s">
        <v>140</v>
      </c>
      <c r="D12" s="282"/>
      <c r="E12" s="283"/>
      <c r="F12" s="46">
        <f>Clinker!AT16</f>
        <v>28.11000000000206</v>
      </c>
      <c r="G12" s="46">
        <f>Clinker!AU16</f>
        <v>0</v>
      </c>
      <c r="H12" s="46">
        <f>G12+'13'!H12</f>
        <v>0</v>
      </c>
      <c r="I12" s="46">
        <f>G12+'13'!I12</f>
        <v>181.5</v>
      </c>
      <c r="J12" s="46">
        <f>Clinker!AV16</f>
        <v>0</v>
      </c>
      <c r="K12" s="46">
        <f>J12+'13'!K12</f>
        <v>2905.79</v>
      </c>
      <c r="L12" s="46">
        <f>J12+'13'!L12</f>
        <v>5647.4900000000007</v>
      </c>
      <c r="M12" s="45">
        <f>F12+G12-J12-J37</f>
        <v>28.11000000000206</v>
      </c>
      <c r="N12" s="46">
        <v>0</v>
      </c>
      <c r="O12" s="46"/>
      <c r="P12" s="46"/>
      <c r="Q12" s="70"/>
    </row>
    <row r="13" spans="2:17" x14ac:dyDescent="0.25">
      <c r="B13" s="288"/>
      <c r="C13" s="281" t="s">
        <v>9</v>
      </c>
      <c r="D13" s="282"/>
      <c r="E13" s="69"/>
      <c r="F13" s="46">
        <f>Clinker!AO16</f>
        <v>0</v>
      </c>
      <c r="G13" s="46">
        <f>Clinker!AP16</f>
        <v>0</v>
      </c>
      <c r="H13" s="46">
        <f>G13+'13'!H13</f>
        <v>0</v>
      </c>
      <c r="I13" s="46">
        <f>G13+'13'!I13</f>
        <v>0</v>
      </c>
      <c r="J13" s="46">
        <f>Clinker!AQ16</f>
        <v>0</v>
      </c>
      <c r="K13" s="46">
        <f>J13+'13'!K13</f>
        <v>0</v>
      </c>
      <c r="L13" s="46">
        <f>J13+'13'!L13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7" x14ac:dyDescent="0.25">
      <c r="B14" s="288"/>
      <c r="C14" s="281" t="s">
        <v>8</v>
      </c>
      <c r="D14" s="282"/>
      <c r="E14" s="69"/>
      <c r="F14" s="46">
        <f>Clinker!AK16</f>
        <v>0</v>
      </c>
      <c r="G14" s="46">
        <f>Clinker!AL16</f>
        <v>0</v>
      </c>
      <c r="H14" s="46">
        <f>G14+'13'!H14</f>
        <v>0</v>
      </c>
      <c r="I14" s="46">
        <f>G14+'13'!I14</f>
        <v>0</v>
      </c>
      <c r="J14" s="46">
        <f>Clinker!AM16</f>
        <v>0</v>
      </c>
      <c r="K14" s="46">
        <f>J14+'13'!K14</f>
        <v>0</v>
      </c>
      <c r="L14" s="46">
        <f>J14+'13'!L14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7" x14ac:dyDescent="0.25">
      <c r="B15" s="288"/>
      <c r="C15" s="281" t="s">
        <v>11</v>
      </c>
      <c r="D15" s="282"/>
      <c r="E15" s="69"/>
      <c r="F15" s="46">
        <f>Clinker!AY16</f>
        <v>2482.8869999999902</v>
      </c>
      <c r="G15" s="46">
        <f>Clinker!AZ16</f>
        <v>0</v>
      </c>
      <c r="H15" s="46">
        <f>G15+'13'!H15</f>
        <v>2070.86</v>
      </c>
      <c r="I15" s="46">
        <f>G15+'13'!I15</f>
        <v>2482.6</v>
      </c>
      <c r="J15" s="46">
        <f>Clinker!BA16</f>
        <v>0</v>
      </c>
      <c r="K15" s="46">
        <f>J15+'13'!K15</f>
        <v>0</v>
      </c>
      <c r="L15" s="46">
        <f>J15+'13'!L15</f>
        <v>0</v>
      </c>
      <c r="M15" s="45">
        <f>F15+G15-J15-J38</f>
        <v>2482.8869999999902</v>
      </c>
      <c r="N15" s="75">
        <v>0</v>
      </c>
      <c r="O15" s="46">
        <v>5000</v>
      </c>
      <c r="P15" s="46">
        <v>9000</v>
      </c>
      <c r="Q15" s="70"/>
    </row>
    <row r="16" spans="2:17" x14ac:dyDescent="0.25">
      <c r="B16" s="288"/>
      <c r="C16" s="76" t="s">
        <v>141</v>
      </c>
      <c r="D16" s="77"/>
      <c r="E16" s="69"/>
      <c r="F16" s="46">
        <f>Clinker!BD16</f>
        <v>0</v>
      </c>
      <c r="G16" s="46">
        <f>Clinker!BE16</f>
        <v>0</v>
      </c>
      <c r="H16" s="46">
        <f>G16+'13'!H16</f>
        <v>0</v>
      </c>
      <c r="I16" s="46">
        <f>G16+'13'!I16</f>
        <v>0</v>
      </c>
      <c r="J16" s="46">
        <f>Clinker!BF16</f>
        <v>0</v>
      </c>
      <c r="K16" s="46">
        <f>J16+'13'!K16</f>
        <v>0</v>
      </c>
      <c r="L16" s="46">
        <f>J16+'13'!L16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13</v>
      </c>
      <c r="D17" s="282"/>
      <c r="E17" s="283"/>
      <c r="F17" s="46">
        <f>Clinker!BI16</f>
        <v>0</v>
      </c>
      <c r="G17" s="46">
        <f>Clinker!BJ16</f>
        <v>0</v>
      </c>
      <c r="H17" s="46">
        <f>G17+'13'!H17</f>
        <v>0</v>
      </c>
      <c r="I17" s="46">
        <f>G17+'13'!I17</f>
        <v>0</v>
      </c>
      <c r="J17" s="46">
        <f>Clinker!BK16</f>
        <v>0</v>
      </c>
      <c r="K17" s="46">
        <f>J17+'13'!K17</f>
        <v>0</v>
      </c>
      <c r="L17" s="46">
        <f>J17+'13'!L17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Clinker!BN16</f>
        <v>0</v>
      </c>
      <c r="G18" s="46">
        <f>Clinker!BO16</f>
        <v>0</v>
      </c>
      <c r="H18" s="46">
        <f>G18+'13'!H18</f>
        <v>0</v>
      </c>
      <c r="I18" s="46">
        <f>G18+'13'!I18</f>
        <v>0</v>
      </c>
      <c r="J18" s="46">
        <f>Clinker!BP16</f>
        <v>0</v>
      </c>
      <c r="K18" s="46">
        <f>J18+'13'!K18</f>
        <v>0</v>
      </c>
      <c r="L18" s="46">
        <f>J18+'13'!L18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Clinker!BS16</f>
        <v>0</v>
      </c>
      <c r="G19" s="46">
        <f>Clinker!BT16</f>
        <v>0</v>
      </c>
      <c r="H19" s="46">
        <f>G19+'13'!H19</f>
        <v>0</v>
      </c>
      <c r="I19" s="46">
        <f>G19+'13'!I19</f>
        <v>0</v>
      </c>
      <c r="J19" s="46">
        <f>Clinker!BU16</f>
        <v>0</v>
      </c>
      <c r="K19" s="46">
        <f>J19+'13'!K19</f>
        <v>0</v>
      </c>
      <c r="L19" s="46">
        <f>J19+'13'!L19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Clinker!BX16</f>
        <v>0</v>
      </c>
      <c r="G20" s="46">
        <f>Clinker!BY16</f>
        <v>0</v>
      </c>
      <c r="H20" s="46">
        <f>G20+'13'!H20</f>
        <v>0</v>
      </c>
      <c r="I20" s="46">
        <f>G20+'13'!I20</f>
        <v>0</v>
      </c>
      <c r="J20" s="46">
        <f>Clinker!AH16</f>
        <v>0</v>
      </c>
      <c r="K20" s="46">
        <f>J20+'13'!K20</f>
        <v>0</v>
      </c>
      <c r="L20" s="46">
        <f>J20+'13'!L20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Clinker!CR16</f>
        <v>0</v>
      </c>
      <c r="G21" s="46">
        <f>Clinker!CS16</f>
        <v>0</v>
      </c>
      <c r="H21" s="46">
        <f>G21+'13'!H21</f>
        <v>0</v>
      </c>
      <c r="I21" s="46">
        <f>G21+'13'!I21</f>
        <v>0</v>
      </c>
      <c r="J21" s="46">
        <f>Clinker!CT16</f>
        <v>0</v>
      </c>
      <c r="K21" s="46">
        <f>J21+'13'!K21</f>
        <v>0</v>
      </c>
      <c r="L21" s="46">
        <f>J21+'13'!L21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184</v>
      </c>
      <c r="D22" s="77"/>
      <c r="E22" s="69"/>
      <c r="F22" s="46">
        <f>Clinker!CW16</f>
        <v>0</v>
      </c>
      <c r="G22" s="46">
        <f>Clinker!CX16</f>
        <v>0</v>
      </c>
      <c r="H22" s="46">
        <f>G22+'13'!H22</f>
        <v>0</v>
      </c>
      <c r="I22" s="46">
        <f>G22+'13'!I22</f>
        <v>0</v>
      </c>
      <c r="J22" s="46">
        <f>Clinker!CY16</f>
        <v>0</v>
      </c>
      <c r="K22" s="46">
        <f>J22+'13'!K22</f>
        <v>0</v>
      </c>
      <c r="L22" s="46">
        <f>J22+'13'!L22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Clinker!DB16</f>
        <v>1.0000000000013998E-2</v>
      </c>
      <c r="G23" s="46">
        <f>Clinker!DC16</f>
        <v>0</v>
      </c>
      <c r="H23" s="46">
        <f>G23+'13'!H23</f>
        <v>0</v>
      </c>
      <c r="I23" s="46">
        <f>G23+'13'!I23</f>
        <v>0</v>
      </c>
      <c r="J23" s="46">
        <f>Clinker!DD16</f>
        <v>0</v>
      </c>
      <c r="K23" s="46">
        <f>J23+'13'!K23</f>
        <v>7.1</v>
      </c>
      <c r="L23" s="46">
        <f>J23+'13'!L23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Clinker!DG16</f>
        <v>0</v>
      </c>
      <c r="G24" s="46">
        <f>Clinker!DH16</f>
        <v>0</v>
      </c>
      <c r="H24" s="46">
        <f>G24+'13'!H24</f>
        <v>0</v>
      </c>
      <c r="I24" s="46">
        <f>G24+'13'!I24</f>
        <v>0</v>
      </c>
      <c r="J24" s="46">
        <f>Clinker!DI16</f>
        <v>0</v>
      </c>
      <c r="K24" s="46">
        <f>J24+'13'!K24</f>
        <v>0</v>
      </c>
      <c r="L24" s="46">
        <f>J24+'13'!L24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Clinker!DL16</f>
        <v>304</v>
      </c>
      <c r="G25" s="46">
        <f>Clinker!DM16</f>
        <v>0</v>
      </c>
      <c r="H25" s="46">
        <f>G25+'13'!H25</f>
        <v>92</v>
      </c>
      <c r="I25" s="46">
        <f>G25+'13'!I25</f>
        <v>304</v>
      </c>
      <c r="J25" s="46">
        <f>Clinker!DN16</f>
        <v>0</v>
      </c>
      <c r="K25" s="46">
        <f>J25+'13'!K25</f>
        <v>0</v>
      </c>
      <c r="L25" s="46">
        <f>J25+'13'!L25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Clinker!DV16</f>
        <v>0</v>
      </c>
      <c r="G26" s="46">
        <f>Clinker!DW16</f>
        <v>0</v>
      </c>
      <c r="H26" s="46">
        <f>G26+'13'!H26</f>
        <v>0</v>
      </c>
      <c r="I26" s="46">
        <f>G26+'13'!I26</f>
        <v>0</v>
      </c>
      <c r="J26" s="46">
        <f>Clinker!DX16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3349.1569999999906</v>
      </c>
      <c r="G27" s="46">
        <f t="shared" ref="G27:Q27" si="0">SUM(G10:G26)</f>
        <v>0</v>
      </c>
      <c r="H27" s="46">
        <f t="shared" si="0"/>
        <v>2162.86</v>
      </c>
      <c r="I27" s="46">
        <f t="shared" si="0"/>
        <v>2968.1</v>
      </c>
      <c r="J27" s="46">
        <f t="shared" si="0"/>
        <v>227.78</v>
      </c>
      <c r="K27" s="46">
        <f t="shared" si="0"/>
        <v>3669.56</v>
      </c>
      <c r="L27" s="46">
        <f t="shared" si="0"/>
        <v>18386.870000000003</v>
      </c>
      <c r="M27" s="46">
        <f t="shared" si="0"/>
        <v>3121.3769999999904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306.36999999999807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Clinker!Q16</f>
        <v>0</v>
      </c>
      <c r="G29" s="46">
        <f>Clinker!R16</f>
        <v>0</v>
      </c>
      <c r="H29" s="46">
        <f>G29+'13'!H29</f>
        <v>0</v>
      </c>
      <c r="I29" s="46">
        <f>G29+'13'!I29</f>
        <v>0</v>
      </c>
      <c r="J29" s="46">
        <f>Clinker!S16</f>
        <v>0</v>
      </c>
      <c r="K29" s="46">
        <f>J29+'13'!K29</f>
        <v>0</v>
      </c>
      <c r="L29" s="46">
        <f>J29+'13'!L29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G30+'13'!H30</f>
        <v>0</v>
      </c>
      <c r="I30" s="46">
        <f>G30+'13'!I30</f>
        <v>0</v>
      </c>
      <c r="J30" s="46">
        <v>0</v>
      </c>
      <c r="K30" s="46">
        <f>J30+'13'!K30</f>
        <v>0</v>
      </c>
      <c r="L30" s="46">
        <f>J30+'13'!L30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G31+'13'!H31</f>
        <v>0</v>
      </c>
      <c r="I31" s="46">
        <f>G31+'13'!I31</f>
        <v>0</v>
      </c>
      <c r="J31" s="46">
        <v>0</v>
      </c>
      <c r="K31" s="46">
        <f>J31+'13'!K31</f>
        <v>0</v>
      </c>
      <c r="L31" s="46">
        <f>J31+'13'!L31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140</v>
      </c>
      <c r="D32" s="282"/>
      <c r="E32" s="283"/>
      <c r="F32" s="46">
        <v>0</v>
      </c>
      <c r="G32" s="46">
        <f>Clinker!DR16</f>
        <v>0</v>
      </c>
      <c r="H32" s="46">
        <f>G32+'13'!H32</f>
        <v>0</v>
      </c>
      <c r="I32" s="46">
        <f>G32+'13'!I32</f>
        <v>0</v>
      </c>
      <c r="J32" s="46">
        <f>Clinker!AW16</f>
        <v>0</v>
      </c>
      <c r="K32" s="46">
        <f>J32+'13'!K32</f>
        <v>0</v>
      </c>
      <c r="L32" s="46">
        <f>J32+'13'!L32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G33+'13'!H33</f>
        <v>0</v>
      </c>
      <c r="I33" s="46">
        <f>G33+'13'!I33</f>
        <v>0</v>
      </c>
      <c r="J33" s="46">
        <v>0</v>
      </c>
      <c r="K33" s="46">
        <f>J33+'13'!K33</f>
        <v>0</v>
      </c>
      <c r="L33" s="46">
        <f>J33+'13'!L33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Clinker!Y16</f>
        <v>0</v>
      </c>
      <c r="K34" s="46">
        <f>J34+'13'!K34</f>
        <v>0</v>
      </c>
      <c r="L34" s="46">
        <f>J34+'13'!L34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Clinker!M16</f>
        <v>0</v>
      </c>
      <c r="K35" s="46">
        <f>J35+'13'!K35</f>
        <v>0</v>
      </c>
      <c r="L35" s="46">
        <f>J35+'13'!L35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Clinker!AR16</f>
        <v>0</v>
      </c>
      <c r="K36" s="46">
        <f>J36+'13'!K36</f>
        <v>0</v>
      </c>
      <c r="L36" s="46">
        <f>J36+'13'!L36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Clinker!DT16</f>
        <v>0</v>
      </c>
      <c r="K37" s="46">
        <f>J37+'13'!K37</f>
        <v>0</v>
      </c>
      <c r="L37" s="46">
        <f>J37+'13'!L37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Clinker!BB16</f>
        <v>0</v>
      </c>
      <c r="K38" s="46">
        <f>J38+'13'!K38</f>
        <v>0</v>
      </c>
      <c r="L38" s="46">
        <f>J38+'13'!L38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Clinker!BG16</f>
        <v>0</v>
      </c>
      <c r="K39" s="46">
        <f>J39+'13'!K39</f>
        <v>0</v>
      </c>
      <c r="L39" s="46">
        <f>J39+'13'!L39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13</v>
      </c>
      <c r="D40" s="282"/>
      <c r="E40" s="283"/>
      <c r="F40" s="46"/>
      <c r="G40" s="46"/>
      <c r="H40" s="46"/>
      <c r="I40" s="46"/>
      <c r="J40" s="46">
        <f>Clinker!BL16</f>
        <v>0</v>
      </c>
      <c r="K40" s="46">
        <f>J40+'13'!K40</f>
        <v>0</v>
      </c>
      <c r="L40" s="46">
        <f>J40+'13'!L40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Clinker!BQ16</f>
        <v>0</v>
      </c>
      <c r="K41" s="46">
        <f>J41+'13'!K41</f>
        <v>0</v>
      </c>
      <c r="L41" s="46">
        <f>J41+'13'!L41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Clinker!BV16</f>
        <v>0</v>
      </c>
      <c r="K42" s="46">
        <f>J42+'13'!K42</f>
        <v>0</v>
      </c>
      <c r="L42" s="46">
        <f>J42+'13'!L42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Clinker!CU16</f>
        <v>0</v>
      </c>
      <c r="K43" s="46">
        <f>J43+'13'!K43</f>
        <v>0</v>
      </c>
      <c r="L43" s="46">
        <f>J43+'13'!L43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Clinker!CZ16</f>
        <v>0</v>
      </c>
      <c r="K44" s="46">
        <f>J44+'13'!K44</f>
        <v>0</v>
      </c>
      <c r="L44" s="46">
        <f>J44+'13'!L44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Clinker!DE16</f>
        <v>0</v>
      </c>
      <c r="K45" s="46">
        <f>J45+'13'!K45</f>
        <v>0</v>
      </c>
      <c r="L45" s="46">
        <f>J45+'13'!L45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Clinker!DJ16</f>
        <v>0</v>
      </c>
      <c r="K46" s="46">
        <f>J46+'13'!K46</f>
        <v>0</v>
      </c>
      <c r="L46" s="46">
        <f>J46+'13'!L46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Clinker!DO16</f>
        <v>0</v>
      </c>
      <c r="K47" s="46">
        <f>J47+'13'!K47</f>
        <v>0</v>
      </c>
      <c r="L47" s="46">
        <f>J47+'13'!L47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Clinker!CM16</f>
        <v>5.0000000000181899E-2</v>
      </c>
      <c r="G48" s="46">
        <f>Clinker!CN16</f>
        <v>0</v>
      </c>
      <c r="H48" s="46">
        <f>G48+'13'!H48</f>
        <v>0</v>
      </c>
      <c r="I48" s="46">
        <f>G48+'13'!I48</f>
        <v>0</v>
      </c>
      <c r="J48" s="46">
        <f>Clinker!CP16</f>
        <v>0</v>
      </c>
      <c r="K48" s="46">
        <f>J48+'13'!K48</f>
        <v>0</v>
      </c>
      <c r="L48" s="46">
        <f>J48+'13'!L48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8" x14ac:dyDescent="0.25">
      <c r="B49" s="288"/>
      <c r="C49" s="76" t="s">
        <v>102</v>
      </c>
      <c r="D49" s="77"/>
      <c r="E49" s="69"/>
      <c r="F49" s="46">
        <f>Clinker!CC16</f>
        <v>0</v>
      </c>
      <c r="G49" s="46">
        <f>Clinker!CD16</f>
        <v>0</v>
      </c>
      <c r="H49" s="46">
        <f>G49+'13'!H49</f>
        <v>0</v>
      </c>
      <c r="I49" s="46">
        <f>G49+'13'!I49</f>
        <v>0</v>
      </c>
      <c r="J49" s="46">
        <f>Clinker!CF16</f>
        <v>0</v>
      </c>
      <c r="K49" s="46">
        <f>J49+'13'!K49</f>
        <v>0</v>
      </c>
      <c r="L49" s="46">
        <f>J49+'13'!L49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8" x14ac:dyDescent="0.25">
      <c r="B50" s="288"/>
      <c r="C50" s="281" t="s">
        <v>154</v>
      </c>
      <c r="D50" s="282"/>
      <c r="E50" s="69"/>
      <c r="F50" s="46">
        <f>Clinker!CH16</f>
        <v>0</v>
      </c>
      <c r="G50" s="46">
        <f>Clinker!CI16</f>
        <v>0</v>
      </c>
      <c r="H50" s="46">
        <f>G50+'13'!H50</f>
        <v>0</v>
      </c>
      <c r="I50" s="46">
        <f>G50+'13'!I50</f>
        <v>0</v>
      </c>
      <c r="J50" s="46">
        <f>Clinker!CK16</f>
        <v>0</v>
      </c>
      <c r="K50" s="46">
        <f>J50+'13'!K50</f>
        <v>0</v>
      </c>
      <c r="L50" s="46">
        <f>J50+'13'!L50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8" ht="15" customHeight="1" x14ac:dyDescent="0.25">
      <c r="B51" s="288"/>
      <c r="C51" s="281" t="s">
        <v>155</v>
      </c>
      <c r="D51" s="282"/>
      <c r="E51" s="283"/>
      <c r="F51" s="46">
        <f>Clinker!AF16</f>
        <v>3911.0199999999932</v>
      </c>
      <c r="G51" s="46">
        <f>Clinker!AG16</f>
        <v>0</v>
      </c>
      <c r="H51" s="46">
        <f>G51+'13'!H51</f>
        <v>1660.3500000000001</v>
      </c>
      <c r="I51" s="46">
        <f>G51+'13'!I51</f>
        <v>3801.2999999999997</v>
      </c>
      <c r="J51" s="46">
        <f>Clinker!AI16</f>
        <v>130</v>
      </c>
      <c r="K51" s="46">
        <f>J51+'13'!K51</f>
        <v>1928</v>
      </c>
      <c r="L51" s="46">
        <f>J51+'13'!L51</f>
        <v>8753</v>
      </c>
      <c r="M51" s="45">
        <f>F51+G51-J51-J20</f>
        <v>3781.0199999999932</v>
      </c>
      <c r="N51" s="46">
        <v>0</v>
      </c>
      <c r="O51" s="46">
        <v>1500</v>
      </c>
      <c r="P51" s="46">
        <v>3000</v>
      </c>
      <c r="Q51" s="56">
        <f>SUM(M51+N51)-O51</f>
        <v>2281.0199999999932</v>
      </c>
    </row>
    <row r="52" spans="2:18" x14ac:dyDescent="0.25">
      <c r="B52" s="288"/>
      <c r="C52" s="281" t="s">
        <v>156</v>
      </c>
      <c r="D52" s="282"/>
      <c r="E52" s="283"/>
      <c r="F52" s="46">
        <f>Clinker!AB16</f>
        <v>0</v>
      </c>
      <c r="G52" s="46">
        <f>Clinker!AC16</f>
        <v>0</v>
      </c>
      <c r="H52" s="46">
        <f>G52+'13'!H52</f>
        <v>0</v>
      </c>
      <c r="I52" s="46">
        <f>G52+'13'!I52</f>
        <v>0</v>
      </c>
      <c r="J52" s="46">
        <f>Clinker!AD16</f>
        <v>0</v>
      </c>
      <c r="K52" s="46">
        <f>J52+'13'!K52</f>
        <v>0</v>
      </c>
      <c r="L52" s="46">
        <f>J52+'13'!L52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8" x14ac:dyDescent="0.25">
      <c r="B53" s="288"/>
      <c r="C53" s="281" t="s">
        <v>146</v>
      </c>
      <c r="D53" s="282"/>
      <c r="E53" s="283"/>
      <c r="F53" s="46">
        <f>SUM(F29:F52)</f>
        <v>3911.0699999999933</v>
      </c>
      <c r="G53" s="46">
        <f t="shared" ref="G53:Q53" si="1">SUM(G29:G52)</f>
        <v>0</v>
      </c>
      <c r="H53" s="46">
        <f t="shared" si="1"/>
        <v>1660.3500000000001</v>
      </c>
      <c r="I53" s="46">
        <f t="shared" si="1"/>
        <v>3801.2999999999997</v>
      </c>
      <c r="J53" s="46">
        <f t="shared" si="1"/>
        <v>130</v>
      </c>
      <c r="K53" s="46">
        <f t="shared" si="1"/>
        <v>1928</v>
      </c>
      <c r="L53" s="46">
        <f t="shared" si="1"/>
        <v>10100</v>
      </c>
      <c r="M53" s="46">
        <f t="shared" si="1"/>
        <v>3781.0699999999933</v>
      </c>
      <c r="N53" s="49">
        <f t="shared" si="1"/>
        <v>0</v>
      </c>
      <c r="O53" s="46">
        <f t="shared" si="1"/>
        <v>3000</v>
      </c>
      <c r="P53" s="46">
        <f t="shared" si="1"/>
        <v>6000</v>
      </c>
      <c r="Q53" s="46">
        <f t="shared" si="1"/>
        <v>2281.0199999999932</v>
      </c>
    </row>
    <row r="54" spans="2:18" x14ac:dyDescent="0.25">
      <c r="B54" s="289"/>
      <c r="C54" s="284" t="s">
        <v>157</v>
      </c>
      <c r="D54" s="285"/>
      <c r="E54" s="286"/>
      <c r="F54" s="59">
        <f t="shared" ref="F54:Q54" si="2">SUM(F27+F53)</f>
        <v>7260.2269999999844</v>
      </c>
      <c r="G54" s="59">
        <f>SUM(G27+G53)</f>
        <v>0</v>
      </c>
      <c r="H54" s="59">
        <f>SUM(H27+H53)</f>
        <v>3823.21</v>
      </c>
      <c r="I54" s="59">
        <f t="shared" si="2"/>
        <v>6769.4</v>
      </c>
      <c r="J54" s="59">
        <f>SUM(J27+J53)</f>
        <v>357.78</v>
      </c>
      <c r="K54" s="59">
        <f t="shared" si="2"/>
        <v>5597.5599999999995</v>
      </c>
      <c r="L54" s="59">
        <f t="shared" si="2"/>
        <v>28486.870000000003</v>
      </c>
      <c r="M54" s="59">
        <f t="shared" si="2"/>
        <v>6902.4469999999837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2"/>
        <v>2587.3899999999912</v>
      </c>
      <c r="R54" s="90"/>
    </row>
    <row r="55" spans="2:18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8" x14ac:dyDescent="0.25">
      <c r="B56" s="288"/>
      <c r="C56" s="281" t="s">
        <v>159</v>
      </c>
      <c r="D56" s="282"/>
      <c r="E56" s="283"/>
      <c r="F56" s="46">
        <f>'Packing bag '!C16</f>
        <v>2505012</v>
      </c>
      <c r="G56" s="46">
        <f>'Packing bag '!D16</f>
        <v>0</v>
      </c>
      <c r="H56" s="46">
        <f>G56+'13'!H56</f>
        <v>414500</v>
      </c>
      <c r="I56" s="46">
        <f>G56+'13'!I56</f>
        <v>3567000</v>
      </c>
      <c r="J56" s="46">
        <f>'Packing bag '!E16</f>
        <v>48684</v>
      </c>
      <c r="K56" s="46">
        <f>J56+'13'!K56</f>
        <v>585407</v>
      </c>
      <c r="L56" s="46">
        <f>J56+'13'!L56</f>
        <v>2162241</v>
      </c>
      <c r="M56" s="46">
        <f>F56+G56-J56</f>
        <v>2456328</v>
      </c>
      <c r="N56" s="46"/>
      <c r="O56" s="46">
        <v>400000</v>
      </c>
      <c r="P56" s="46">
        <v>800000</v>
      </c>
      <c r="Q56" s="56">
        <f>SUM(M56+N56)-O56</f>
        <v>2056328</v>
      </c>
    </row>
    <row r="57" spans="2:18" x14ac:dyDescent="0.25">
      <c r="B57" s="288"/>
      <c r="C57" s="281" t="s">
        <v>160</v>
      </c>
      <c r="D57" s="282"/>
      <c r="E57" s="283"/>
      <c r="F57" s="46">
        <f>'Packing bag '!G16</f>
        <v>617488</v>
      </c>
      <c r="G57" s="46">
        <f>'Packing bag '!H16</f>
        <v>0</v>
      </c>
      <c r="H57" s="46">
        <f>G57+'13'!H57</f>
        <v>40500</v>
      </c>
      <c r="I57" s="46">
        <f>G57+'13'!I57</f>
        <v>332000</v>
      </c>
      <c r="J57" s="46">
        <f>'Packing bag '!I16</f>
        <v>645</v>
      </c>
      <c r="K57" s="46">
        <f>J57+'13'!K57</f>
        <v>25818</v>
      </c>
      <c r="L57" s="46">
        <f>J57+'13'!L57</f>
        <v>115439</v>
      </c>
      <c r="M57" s="46">
        <f>F57+G57-J57</f>
        <v>616843</v>
      </c>
      <c r="N57" s="46"/>
      <c r="O57" s="46">
        <v>100000</v>
      </c>
      <c r="P57" s="46">
        <v>250000</v>
      </c>
      <c r="Q57" s="56">
        <f>SUM(M57+N57)-O57</f>
        <v>516843</v>
      </c>
    </row>
    <row r="58" spans="2:18" x14ac:dyDescent="0.25">
      <c r="B58" s="288"/>
      <c r="C58" s="281" t="s">
        <v>161</v>
      </c>
      <c r="D58" s="282"/>
      <c r="E58" s="283"/>
      <c r="F58" s="46">
        <f>'Packing bag '!K16</f>
        <v>495233</v>
      </c>
      <c r="G58" s="46">
        <f>'Packing bag '!L16</f>
        <v>0</v>
      </c>
      <c r="H58" s="46">
        <f>G58+'13'!H58</f>
        <v>0</v>
      </c>
      <c r="I58" s="46">
        <f>G58+'13'!I58</f>
        <v>295000</v>
      </c>
      <c r="J58" s="46">
        <f>'Packing bag '!M16</f>
        <v>606</v>
      </c>
      <c r="K58" s="46">
        <f>J58+'13'!K58</f>
        <v>34136</v>
      </c>
      <c r="L58" s="46">
        <f>J58+'13'!L58</f>
        <v>206428</v>
      </c>
      <c r="M58" s="46">
        <f>F58+G58-J58</f>
        <v>494627</v>
      </c>
      <c r="N58" s="46"/>
      <c r="O58" s="46">
        <v>50000</v>
      </c>
      <c r="P58" s="46">
        <v>150000</v>
      </c>
      <c r="Q58" s="56">
        <f>SUM(M58+N58)-O58</f>
        <v>444627</v>
      </c>
    </row>
    <row r="59" spans="2:18" x14ac:dyDescent="0.25">
      <c r="B59" s="288"/>
      <c r="C59" s="281" t="s">
        <v>162</v>
      </c>
      <c r="D59" s="282"/>
      <c r="E59" s="283"/>
      <c r="F59" s="46">
        <f>'Packing bag '!O16</f>
        <v>151518</v>
      </c>
      <c r="G59" s="46">
        <f>'Packing bag '!P16</f>
        <v>0</v>
      </c>
      <c r="H59" s="46">
        <f>G59+'13'!H59</f>
        <v>85612</v>
      </c>
      <c r="I59" s="46">
        <f>G59+'13'!I59</f>
        <v>85000</v>
      </c>
      <c r="J59" s="46">
        <f>'Packing bag '!Q16</f>
        <v>0</v>
      </c>
      <c r="K59" s="46">
        <f>J59+'13'!K59</f>
        <v>2414</v>
      </c>
      <c r="L59" s="46">
        <f>J59+'13'!L59</f>
        <v>17183</v>
      </c>
      <c r="M59" s="46">
        <f>F59+G59-J59</f>
        <v>151518</v>
      </c>
      <c r="N59" s="46"/>
      <c r="O59" s="46"/>
      <c r="P59" s="46"/>
      <c r="Q59" s="56"/>
    </row>
    <row r="60" spans="2:18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G60+'13'!H60</f>
        <v>0</v>
      </c>
      <c r="I60" s="46">
        <f>G60+'13'!I60</f>
        <v>0</v>
      </c>
      <c r="J60" s="46">
        <v>0</v>
      </c>
      <c r="K60" s="46">
        <f>J60+'13'!K60</f>
        <v>0</v>
      </c>
      <c r="L60" s="46">
        <f>J60+'13'!L60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8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G61+'13'!H61</f>
        <v>0</v>
      </c>
      <c r="I61" s="46">
        <f>G61+'13'!I61</f>
        <v>0</v>
      </c>
      <c r="J61" s="46">
        <v>0</v>
      </c>
      <c r="K61" s="46">
        <f>J61+'13'!K61</f>
        <v>0</v>
      </c>
      <c r="L61" s="46">
        <f>J61+'13'!L61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8" x14ac:dyDescent="0.25">
      <c r="B62" s="289"/>
      <c r="C62" s="284" t="s">
        <v>165</v>
      </c>
      <c r="D62" s="285"/>
      <c r="E62" s="286"/>
      <c r="F62" s="59">
        <f>SUM(F56:F61)</f>
        <v>3769251</v>
      </c>
      <c r="G62" s="59">
        <f>SUM(G56:G61)</f>
        <v>0</v>
      </c>
      <c r="H62" s="59">
        <f t="shared" ref="H62:Q62" si="3">SUM(H56:H61)</f>
        <v>540612</v>
      </c>
      <c r="I62" s="59">
        <f t="shared" si="3"/>
        <v>4279000</v>
      </c>
      <c r="J62" s="59">
        <f>SUM(J56:J61)</f>
        <v>49935</v>
      </c>
      <c r="K62" s="59">
        <f t="shared" si="3"/>
        <v>647775</v>
      </c>
      <c r="L62" s="59">
        <f t="shared" si="3"/>
        <v>2501291</v>
      </c>
      <c r="M62" s="59">
        <f t="shared" si="3"/>
        <v>3719316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59">
        <f t="shared" si="3"/>
        <v>3016298</v>
      </c>
    </row>
    <row r="63" spans="2:18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8" x14ac:dyDescent="0.25">
      <c r="B64" s="288"/>
      <c r="C64" s="281" t="s">
        <v>48</v>
      </c>
      <c r="D64" s="282"/>
      <c r="E64" s="283"/>
      <c r="F64" s="46">
        <f>Cement!G16</f>
        <v>0</v>
      </c>
      <c r="G64" s="46">
        <f>Cement!H16</f>
        <v>0</v>
      </c>
      <c r="H64" s="46">
        <f>G64+'13'!H64</f>
        <v>0</v>
      </c>
      <c r="I64" s="46">
        <f>G64+'13'!I64</f>
        <v>0</v>
      </c>
      <c r="J64" s="46">
        <v>0</v>
      </c>
      <c r="K64" s="46">
        <f>J64+'13'!K64</f>
        <v>0</v>
      </c>
      <c r="L64" s="46">
        <f>J64+'13'!L64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Cement!K16</f>
        <v>0</v>
      </c>
      <c r="G65" s="46">
        <f>Cement!L16</f>
        <v>0</v>
      </c>
      <c r="H65" s="46">
        <f>G65+'13'!H65</f>
        <v>0</v>
      </c>
      <c r="I65" s="46">
        <f>G65+'13'!I65</f>
        <v>0</v>
      </c>
      <c r="J65" s="46">
        <v>0</v>
      </c>
      <c r="K65" s="46">
        <f>J65+'13'!K65</f>
        <v>0</v>
      </c>
      <c r="L65" s="46">
        <f>J65+'13'!L65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Diesel!B16</f>
        <v>34259</v>
      </c>
      <c r="G68" s="46">
        <f>Diesel!C16</f>
        <v>0</v>
      </c>
      <c r="H68" s="46">
        <f>G68+'13'!H68</f>
        <v>32000</v>
      </c>
      <c r="I68" s="46">
        <f>G68+'13'!I68</f>
        <v>122000</v>
      </c>
      <c r="J68" s="46">
        <v>0</v>
      </c>
      <c r="K68" s="46">
        <f>J68+'13'!K68</f>
        <v>0</v>
      </c>
      <c r="L68" s="46">
        <f>J68+'13'!L68</f>
        <v>0</v>
      </c>
      <c r="M68" s="46">
        <f>F68+G68-G69-J71-J72</f>
        <v>34259</v>
      </c>
      <c r="N68" s="46"/>
      <c r="O68" s="46">
        <v>30000</v>
      </c>
      <c r="P68" s="46">
        <v>60000</v>
      </c>
      <c r="Q68" s="56">
        <f>SUM(M68+N68)-O68</f>
        <v>4259</v>
      </c>
    </row>
    <row r="69" spans="2:17" x14ac:dyDescent="0.25">
      <c r="B69" s="297"/>
      <c r="C69" s="281" t="s">
        <v>171</v>
      </c>
      <c r="D69" s="282"/>
      <c r="E69" s="283"/>
      <c r="F69" s="46">
        <f>Diesel!Y16</f>
        <v>0</v>
      </c>
      <c r="G69" s="46">
        <f>Diesel!Z16</f>
        <v>0</v>
      </c>
      <c r="H69" s="46">
        <f>G69+'13'!H69</f>
        <v>0</v>
      </c>
      <c r="I69" s="46">
        <f>G69+'13'!I69</f>
        <v>0</v>
      </c>
      <c r="J69" s="46">
        <f>Diesel!AA16</f>
        <v>0</v>
      </c>
      <c r="K69" s="46">
        <f>J69+'13'!K69</f>
        <v>0</v>
      </c>
      <c r="L69" s="46">
        <f>J69+'13'!L69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G70+'13'!H70</f>
        <v>0</v>
      </c>
      <c r="I70" s="46">
        <f>G70+'13'!I70</f>
        <v>0</v>
      </c>
      <c r="J70" s="46">
        <f>Diesel!P16</f>
        <v>0</v>
      </c>
      <c r="K70" s="46">
        <f>J70+'13'!K70</f>
        <v>75</v>
      </c>
      <c r="L70" s="46">
        <f>J70+'13'!L70</f>
        <v>678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G71+'13'!H71</f>
        <v>0</v>
      </c>
      <c r="I71" s="46">
        <f>G71+'13'!I71</f>
        <v>0</v>
      </c>
      <c r="J71" s="46">
        <f>Diesel!Q16</f>
        <v>0</v>
      </c>
      <c r="K71" s="46">
        <f>J71+'13'!K71</f>
        <v>14261</v>
      </c>
      <c r="L71" s="46">
        <f>J71+'13'!L71</f>
        <v>68896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G72+'13'!H72</f>
        <v>0</v>
      </c>
      <c r="I72" s="46">
        <f>G72+'13'!I72</f>
        <v>0</v>
      </c>
      <c r="J72" s="46">
        <f>Diesel!R16</f>
        <v>0</v>
      </c>
      <c r="K72" s="46">
        <f>J72+'13'!K72</f>
        <v>9550</v>
      </c>
      <c r="L72" s="46">
        <f>J72+'13'!L72</f>
        <v>52258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G73+'13'!H73</f>
        <v>0</v>
      </c>
      <c r="I73" s="46">
        <f>G73+'13'!I73</f>
        <v>0</v>
      </c>
      <c r="J73" s="46">
        <f>Diesel!S16</f>
        <v>0</v>
      </c>
      <c r="K73" s="46">
        <f>J73+'13'!K73</f>
        <v>0</v>
      </c>
      <c r="L73" s="46">
        <f>J73+'13'!L73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G74+'13'!H74</f>
        <v>0</v>
      </c>
      <c r="I74" s="46">
        <f>G74+'13'!I74</f>
        <v>0</v>
      </c>
      <c r="J74" s="46">
        <f>Diesel!T16</f>
        <v>0</v>
      </c>
      <c r="K74" s="46">
        <f>J74+'13'!K74</f>
        <v>0</v>
      </c>
      <c r="L74" s="46">
        <f>J74+'13'!L74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G75+'13'!H75</f>
        <v>0</v>
      </c>
      <c r="I75" s="46">
        <f>G75+'13'!I75</f>
        <v>0</v>
      </c>
      <c r="J75" s="61">
        <f>Diesel!U16</f>
        <v>0</v>
      </c>
      <c r="K75" s="46">
        <f>J75+'13'!K75</f>
        <v>0</v>
      </c>
      <c r="L75" s="46">
        <f>J75+'13'!L75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34259</v>
      </c>
      <c r="G76" s="62">
        <f t="shared" ref="G76:M76" si="5">SUM(G68:G75)</f>
        <v>0</v>
      </c>
      <c r="H76" s="62">
        <f t="shared" si="5"/>
        <v>32000</v>
      </c>
      <c r="I76" s="62">
        <f t="shared" si="5"/>
        <v>122000</v>
      </c>
      <c r="J76" s="62">
        <f t="shared" si="5"/>
        <v>0</v>
      </c>
      <c r="K76" s="62">
        <f t="shared" si="5"/>
        <v>23886</v>
      </c>
      <c r="L76" s="62">
        <f t="shared" si="5"/>
        <v>136832</v>
      </c>
      <c r="M76" s="62">
        <f t="shared" si="5"/>
        <v>34259</v>
      </c>
      <c r="N76" s="63"/>
      <c r="O76" s="64"/>
      <c r="P76" s="62"/>
      <c r="Q76" s="65"/>
    </row>
  </sheetData>
  <mergeCells count="70"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  <mergeCell ref="C6:E6"/>
    <mergeCell ref="C7:E7"/>
    <mergeCell ref="C29:E29"/>
    <mergeCell ref="C30:E30"/>
    <mergeCell ref="C34:E34"/>
    <mergeCell ref="C31:E31"/>
    <mergeCell ref="C32:E32"/>
    <mergeCell ref="C51:E51"/>
    <mergeCell ref="C11:E11"/>
    <mergeCell ref="C27:E27"/>
    <mergeCell ref="C14:D14"/>
    <mergeCell ref="C15:D15"/>
    <mergeCell ref="C37:D37"/>
    <mergeCell ref="C38:D38"/>
    <mergeCell ref="C17:E17"/>
    <mergeCell ref="C18:E18"/>
    <mergeCell ref="C20:D20"/>
    <mergeCell ref="C47:D47"/>
    <mergeCell ref="C36:D36"/>
    <mergeCell ref="C40:E40"/>
    <mergeCell ref="C50:D50"/>
    <mergeCell ref="C35:E35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2:E12"/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</mergeCells>
  <pageMargins left="0.7" right="0.7" top="0.75" bottom="0.75" header="0.3" footer="0.3"/>
  <pageSetup paperSize="9" scale="41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U7" sqref="U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7" ht="15.75" thickBot="1" x14ac:dyDescent="0.3"/>
    <row r="2" spans="2:17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7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 t="s">
        <v>223</v>
      </c>
      <c r="Q3" s="316"/>
    </row>
    <row r="4" spans="2:17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7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7" x14ac:dyDescent="0.25">
      <c r="B6" s="54">
        <v>1</v>
      </c>
      <c r="C6" s="308" t="s">
        <v>135</v>
      </c>
      <c r="D6" s="309"/>
      <c r="E6" s="310"/>
      <c r="F6" s="45">
        <f>Clinker!C17</f>
        <v>1740.92</v>
      </c>
      <c r="G6" s="45">
        <f>Clinker!D17</f>
        <v>0</v>
      </c>
      <c r="H6" s="45">
        <f>G6+'14'!H6</f>
        <v>0</v>
      </c>
      <c r="I6" s="45">
        <f>G6+'14'!I6</f>
        <v>417.28000000000003</v>
      </c>
      <c r="J6" s="45">
        <f>Clinker!E17</f>
        <v>63</v>
      </c>
      <c r="K6" s="45">
        <f>J6+'14'!K6</f>
        <v>970</v>
      </c>
      <c r="L6" s="45">
        <f>J6+'14'!L6</f>
        <v>4105</v>
      </c>
      <c r="M6" s="45">
        <f>F6+G6-J6</f>
        <v>1677.92</v>
      </c>
      <c r="N6" s="45">
        <v>0</v>
      </c>
      <c r="O6" s="45">
        <v>3000</v>
      </c>
      <c r="P6" s="45">
        <v>6000</v>
      </c>
      <c r="Q6" s="55">
        <f>SUM(M6+N6)-O6</f>
        <v>-1322.08</v>
      </c>
    </row>
    <row r="7" spans="2:17" x14ac:dyDescent="0.25">
      <c r="B7" s="50">
        <v>2</v>
      </c>
      <c r="C7" s="305" t="s">
        <v>136</v>
      </c>
      <c r="D7" s="306"/>
      <c r="E7" s="307"/>
      <c r="F7" s="46">
        <f>Cement!C17</f>
        <v>2904.9774402388402</v>
      </c>
      <c r="G7" s="46">
        <f>Cement!D17</f>
        <v>87.28</v>
      </c>
      <c r="H7" s="45">
        <f>G7+'14'!H7</f>
        <v>519.98</v>
      </c>
      <c r="I7" s="45">
        <f>G7+'14'!I7</f>
        <v>2646.6</v>
      </c>
      <c r="J7" s="46">
        <f>Cement!I17</f>
        <v>129.51788421013896</v>
      </c>
      <c r="K7" s="45">
        <f>J7+'14'!K7</f>
        <v>1865.5463021274759</v>
      </c>
      <c r="L7" s="45">
        <f>J7+'14'!L7</f>
        <v>7091.7762924549761</v>
      </c>
      <c r="M7" s="45">
        <f>F7+G7-J7</f>
        <v>2862.7395560287014</v>
      </c>
      <c r="N7" s="46">
        <v>0</v>
      </c>
      <c r="O7" s="46">
        <v>3000</v>
      </c>
      <c r="P7" s="46">
        <v>6000</v>
      </c>
      <c r="Q7" s="56">
        <f>SUM(M7+N7)-O7</f>
        <v>-137.26044397129863</v>
      </c>
    </row>
    <row r="8" spans="2:17" x14ac:dyDescent="0.25">
      <c r="B8" s="124">
        <v>3</v>
      </c>
      <c r="C8" s="121" t="s">
        <v>29</v>
      </c>
      <c r="D8" s="122"/>
      <c r="E8" s="123"/>
      <c r="F8" s="46">
        <f>Clinker!EI17</f>
        <v>27063.349581677572</v>
      </c>
      <c r="G8" s="46">
        <f>Clinker!EJ17</f>
        <v>1350</v>
      </c>
      <c r="H8" s="45">
        <f>G8+'14'!H8</f>
        <v>22747</v>
      </c>
      <c r="I8" s="45">
        <f>G8+'14'!I8</f>
        <v>121663.66</v>
      </c>
      <c r="J8" s="46">
        <f>Clinker!EK17</f>
        <v>1946.6680100003696</v>
      </c>
      <c r="K8" s="45">
        <f>J8+'14'!K8</f>
        <v>27532.220516129761</v>
      </c>
      <c r="L8" s="45">
        <f>J8+'14'!L8</f>
        <v>107328.06753594968</v>
      </c>
      <c r="M8" s="45">
        <f>F8+G8-J8</f>
        <v>26466.681571677203</v>
      </c>
      <c r="N8" s="46">
        <v>0</v>
      </c>
      <c r="O8" s="46"/>
      <c r="P8" s="46"/>
      <c r="Q8" s="56"/>
    </row>
    <row r="9" spans="2:17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7" x14ac:dyDescent="0.25">
      <c r="B10" s="288"/>
      <c r="C10" s="281" t="s">
        <v>138</v>
      </c>
      <c r="D10" s="282"/>
      <c r="E10" s="283"/>
      <c r="F10" s="46">
        <f>Clinker!K17</f>
        <v>0</v>
      </c>
      <c r="G10" s="46">
        <f>Clinker!L17</f>
        <v>0</v>
      </c>
      <c r="H10" s="46">
        <f>G10+'14'!H10</f>
        <v>0</v>
      </c>
      <c r="I10" s="46">
        <f>G10+'14'!I10</f>
        <v>0</v>
      </c>
      <c r="J10" s="46">
        <f>Clinker!N17</f>
        <v>0</v>
      </c>
      <c r="K10" s="46">
        <f>J10+'14'!K10</f>
        <v>0</v>
      </c>
      <c r="L10" s="46">
        <f>J10+'14'!L10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7" x14ac:dyDescent="0.25">
      <c r="B11" s="288"/>
      <c r="C11" s="281" t="s">
        <v>139</v>
      </c>
      <c r="D11" s="282"/>
      <c r="E11" s="283"/>
      <c r="F11" s="46">
        <f>Clinker!W17</f>
        <v>306.36999999999807</v>
      </c>
      <c r="G11" s="46">
        <f>Clinker!X17</f>
        <v>0</v>
      </c>
      <c r="H11" s="46">
        <f>G11+'14'!H11</f>
        <v>0</v>
      </c>
      <c r="I11" s="46">
        <f>G11+'14'!I11</f>
        <v>0</v>
      </c>
      <c r="J11" s="46">
        <f>Clinker!Z17</f>
        <v>205.23</v>
      </c>
      <c r="K11" s="46">
        <f>J11+'14'!K11</f>
        <v>961.9</v>
      </c>
      <c r="L11" s="46">
        <f>J11+'14'!L11</f>
        <v>8585.74</v>
      </c>
      <c r="M11" s="45">
        <f>F11+G11-J11-J34</f>
        <v>101.13999999999808</v>
      </c>
      <c r="N11" s="46">
        <v>0</v>
      </c>
      <c r="O11" s="46"/>
      <c r="P11" s="46"/>
      <c r="Q11" s="56">
        <f>SUM(M11+N11)-O11</f>
        <v>101.13999999999808</v>
      </c>
    </row>
    <row r="12" spans="2:17" ht="15" customHeight="1" x14ac:dyDescent="0.25">
      <c r="B12" s="288"/>
      <c r="C12" s="281" t="s">
        <v>140</v>
      </c>
      <c r="D12" s="282"/>
      <c r="E12" s="283"/>
      <c r="F12" s="46">
        <f>Clinker!AT17</f>
        <v>28.11000000000206</v>
      </c>
      <c r="G12" s="46">
        <f>Clinker!AU17</f>
        <v>0</v>
      </c>
      <c r="H12" s="46">
        <f>G12+'14'!H12</f>
        <v>0</v>
      </c>
      <c r="I12" s="46">
        <f>G12+'14'!I12</f>
        <v>181.5</v>
      </c>
      <c r="J12" s="46">
        <f>Clinker!AV17</f>
        <v>28.1</v>
      </c>
      <c r="K12" s="46">
        <f>J12+'14'!K12</f>
        <v>2933.89</v>
      </c>
      <c r="L12" s="46">
        <f>J12+'14'!L12</f>
        <v>5675.5900000000011</v>
      </c>
      <c r="M12" s="45">
        <f>F12+G12-J12-J37</f>
        <v>1.0000000002058584E-2</v>
      </c>
      <c r="N12" s="46">
        <v>0</v>
      </c>
      <c r="O12" s="46"/>
      <c r="P12" s="46"/>
      <c r="Q12" s="70"/>
    </row>
    <row r="13" spans="2:17" x14ac:dyDescent="0.25">
      <c r="B13" s="288"/>
      <c r="C13" s="281" t="s">
        <v>9</v>
      </c>
      <c r="D13" s="282"/>
      <c r="E13" s="69"/>
      <c r="F13" s="46">
        <f>Clinker!AO17</f>
        <v>0</v>
      </c>
      <c r="G13" s="46">
        <f>Clinker!AP17</f>
        <v>0</v>
      </c>
      <c r="H13" s="46">
        <f>G13+'14'!H13</f>
        <v>0</v>
      </c>
      <c r="I13" s="46">
        <f>G13+'14'!I13</f>
        <v>0</v>
      </c>
      <c r="J13" s="46">
        <f>Clinker!AQ17</f>
        <v>0</v>
      </c>
      <c r="K13" s="46">
        <f>J13+'14'!K13</f>
        <v>0</v>
      </c>
      <c r="L13" s="46">
        <f>J13+'14'!L13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7" x14ac:dyDescent="0.25">
      <c r="B14" s="288"/>
      <c r="C14" s="281" t="s">
        <v>8</v>
      </c>
      <c r="D14" s="282"/>
      <c r="E14" s="69"/>
      <c r="F14" s="46">
        <f>Clinker!AK17</f>
        <v>0</v>
      </c>
      <c r="G14" s="46">
        <f>Clinker!AL17</f>
        <v>0</v>
      </c>
      <c r="H14" s="46">
        <f>G14+'14'!H14</f>
        <v>0</v>
      </c>
      <c r="I14" s="46">
        <f>G14+'14'!I14</f>
        <v>0</v>
      </c>
      <c r="J14" s="46">
        <f>Clinker!AM17</f>
        <v>0</v>
      </c>
      <c r="K14" s="46">
        <f>J14+'14'!K14</f>
        <v>0</v>
      </c>
      <c r="L14" s="46">
        <f>J14+'14'!L14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7" x14ac:dyDescent="0.25">
      <c r="B15" s="288"/>
      <c r="C15" s="281" t="s">
        <v>11</v>
      </c>
      <c r="D15" s="282"/>
      <c r="E15" s="69"/>
      <c r="F15" s="46">
        <f>Clinker!AY17</f>
        <v>2482.8869999999902</v>
      </c>
      <c r="G15" s="46">
        <f>Clinker!AZ17</f>
        <v>155.24</v>
      </c>
      <c r="H15" s="46">
        <f>G15+'14'!H15</f>
        <v>2226.1000000000004</v>
      </c>
      <c r="I15" s="46">
        <f>G15+'14'!I15</f>
        <v>2637.84</v>
      </c>
      <c r="J15" s="46">
        <f>Clinker!BA17</f>
        <v>0</v>
      </c>
      <c r="K15" s="46">
        <f>J15+'14'!K15</f>
        <v>0</v>
      </c>
      <c r="L15" s="46">
        <f>J15+'14'!L15</f>
        <v>0</v>
      </c>
      <c r="M15" s="45">
        <f>F15+G15-J15-J38</f>
        <v>2638.1269999999904</v>
      </c>
      <c r="N15" s="75">
        <v>123.28</v>
      </c>
      <c r="O15" s="46">
        <v>5000</v>
      </c>
      <c r="P15" s="46">
        <v>9000</v>
      </c>
      <c r="Q15" s="70"/>
    </row>
    <row r="16" spans="2:17" x14ac:dyDescent="0.25">
      <c r="B16" s="288"/>
      <c r="C16" s="76" t="s">
        <v>141</v>
      </c>
      <c r="D16" s="77"/>
      <c r="E16" s="69"/>
      <c r="F16" s="46">
        <f>Clinker!BD17</f>
        <v>0</v>
      </c>
      <c r="G16" s="46">
        <f>Clinker!BE17</f>
        <v>0</v>
      </c>
      <c r="H16" s="46">
        <f>G16+'14'!H16</f>
        <v>0</v>
      </c>
      <c r="I16" s="46">
        <f>G16+'14'!I16</f>
        <v>0</v>
      </c>
      <c r="J16" s="46">
        <f>Clinker!BF17</f>
        <v>0</v>
      </c>
      <c r="K16" s="46">
        <f>J16+'14'!K16</f>
        <v>0</v>
      </c>
      <c r="L16" s="46">
        <f>J16+'14'!L16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185</v>
      </c>
      <c r="D17" s="282"/>
      <c r="E17" s="283"/>
      <c r="F17" s="46">
        <f>Clinker!BI17</f>
        <v>0</v>
      </c>
      <c r="G17" s="46">
        <f>Clinker!BJ17</f>
        <v>0</v>
      </c>
      <c r="H17" s="46">
        <f>G17+'14'!H17</f>
        <v>0</v>
      </c>
      <c r="I17" s="46">
        <f>G17+'14'!I17</f>
        <v>0</v>
      </c>
      <c r="J17" s="46">
        <f>Clinker!BK17</f>
        <v>0</v>
      </c>
      <c r="K17" s="46">
        <f>J17+'14'!K17</f>
        <v>0</v>
      </c>
      <c r="L17" s="46">
        <f>J17+'14'!L17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Clinker!BN17</f>
        <v>0</v>
      </c>
      <c r="G18" s="46">
        <f>Clinker!BO17</f>
        <v>0</v>
      </c>
      <c r="H18" s="46">
        <f>G18+'14'!H18</f>
        <v>0</v>
      </c>
      <c r="I18" s="46">
        <f>G18+'14'!I18</f>
        <v>0</v>
      </c>
      <c r="J18" s="46">
        <f>Clinker!BP17</f>
        <v>0</v>
      </c>
      <c r="K18" s="46">
        <f>J18+'14'!K18</f>
        <v>0</v>
      </c>
      <c r="L18" s="46">
        <f>J18+'14'!L18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Clinker!BS17</f>
        <v>0</v>
      </c>
      <c r="G19" s="46">
        <f>Clinker!BT17</f>
        <v>0</v>
      </c>
      <c r="H19" s="46">
        <f>G19+'14'!H19</f>
        <v>0</v>
      </c>
      <c r="I19" s="46">
        <f>G19+'14'!I19</f>
        <v>0</v>
      </c>
      <c r="J19" s="46">
        <f>Clinker!BU17</f>
        <v>0</v>
      </c>
      <c r="K19" s="46">
        <f>J19+'14'!K19</f>
        <v>0</v>
      </c>
      <c r="L19" s="46">
        <f>J19+'14'!L19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Clinker!BX17</f>
        <v>0</v>
      </c>
      <c r="G20" s="46">
        <f>Clinker!BY17</f>
        <v>0</v>
      </c>
      <c r="H20" s="46">
        <f>G20+'14'!H20</f>
        <v>0</v>
      </c>
      <c r="I20" s="46">
        <f>G20+'14'!I20</f>
        <v>0</v>
      </c>
      <c r="J20" s="46">
        <f>Clinker!AH17</f>
        <v>0</v>
      </c>
      <c r="K20" s="46">
        <f>J20+'14'!K20</f>
        <v>0</v>
      </c>
      <c r="L20" s="46">
        <f>J20+'14'!L20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Clinker!CR17</f>
        <v>0</v>
      </c>
      <c r="G21" s="46">
        <f>Clinker!CS17</f>
        <v>0</v>
      </c>
      <c r="H21" s="46">
        <f>G21+'14'!H21</f>
        <v>0</v>
      </c>
      <c r="I21" s="46">
        <f>G21+'14'!I21</f>
        <v>0</v>
      </c>
      <c r="J21" s="46">
        <f>Clinker!CT17</f>
        <v>0</v>
      </c>
      <c r="K21" s="46">
        <f>J21+'14'!K21</f>
        <v>0</v>
      </c>
      <c r="L21" s="46">
        <f>J21+'14'!L21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184</v>
      </c>
      <c r="D22" s="77"/>
      <c r="E22" s="69"/>
      <c r="F22" s="46">
        <f>Clinker!CW17</f>
        <v>0</v>
      </c>
      <c r="G22" s="46">
        <f>Clinker!CX17</f>
        <v>0</v>
      </c>
      <c r="H22" s="46">
        <f>G22+'14'!H22</f>
        <v>0</v>
      </c>
      <c r="I22" s="46">
        <f>G22+'14'!I22</f>
        <v>0</v>
      </c>
      <c r="J22" s="46">
        <f>Clinker!CY17</f>
        <v>0</v>
      </c>
      <c r="K22" s="46">
        <f>J22+'14'!K22</f>
        <v>0</v>
      </c>
      <c r="L22" s="46">
        <f>J22+'14'!L22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Clinker!DB17</f>
        <v>1.0000000000013998E-2</v>
      </c>
      <c r="G23" s="46">
        <f>Clinker!DC17</f>
        <v>0</v>
      </c>
      <c r="H23" s="46">
        <f>G23+'14'!H23</f>
        <v>0</v>
      </c>
      <c r="I23" s="46">
        <f>G23+'14'!I23</f>
        <v>0</v>
      </c>
      <c r="J23" s="46">
        <f>Clinker!DD17</f>
        <v>0</v>
      </c>
      <c r="K23" s="46">
        <f>J23+'14'!K23</f>
        <v>7.1</v>
      </c>
      <c r="L23" s="46">
        <f>J23+'14'!L23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Clinker!DG17</f>
        <v>0</v>
      </c>
      <c r="G24" s="46">
        <f>Clinker!DH17</f>
        <v>0</v>
      </c>
      <c r="H24" s="46">
        <f>G24+'14'!H24</f>
        <v>0</v>
      </c>
      <c r="I24" s="46">
        <f>G24+'14'!I24</f>
        <v>0</v>
      </c>
      <c r="J24" s="46">
        <f>Clinker!DI17</f>
        <v>0</v>
      </c>
      <c r="K24" s="46">
        <f>J24+'14'!K24</f>
        <v>0</v>
      </c>
      <c r="L24" s="46">
        <f>J24+'14'!L24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Clinker!DL17</f>
        <v>304</v>
      </c>
      <c r="G25" s="46">
        <f>Clinker!DM17</f>
        <v>0</v>
      </c>
      <c r="H25" s="46">
        <f>G25+'14'!H25</f>
        <v>92</v>
      </c>
      <c r="I25" s="46">
        <f>G25+'14'!I25</f>
        <v>304</v>
      </c>
      <c r="J25" s="46">
        <f>Clinker!DN17</f>
        <v>0</v>
      </c>
      <c r="K25" s="46">
        <f>J25+'14'!K25</f>
        <v>0</v>
      </c>
      <c r="L25" s="46">
        <f>J25+'14'!L25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Clinker!DV17</f>
        <v>0</v>
      </c>
      <c r="G26" s="46">
        <f>Clinker!DW17</f>
        <v>0</v>
      </c>
      <c r="H26" s="46">
        <f>G26+'14'!H26</f>
        <v>0</v>
      </c>
      <c r="I26" s="46">
        <f>G26+'14'!I26</f>
        <v>0</v>
      </c>
      <c r="J26" s="46">
        <f>Clinker!DX17</f>
        <v>0</v>
      </c>
      <c r="K26" s="46">
        <f>J26+'14'!K26</f>
        <v>0</v>
      </c>
      <c r="L26" s="46">
        <f>J26+'14'!L26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3121.3769999999904</v>
      </c>
      <c r="G27" s="46">
        <f t="shared" ref="G27:Q27" si="0">SUM(G10:G26)</f>
        <v>155.24</v>
      </c>
      <c r="H27" s="46">
        <f t="shared" si="0"/>
        <v>2318.1000000000004</v>
      </c>
      <c r="I27" s="46">
        <f t="shared" si="0"/>
        <v>3123.34</v>
      </c>
      <c r="J27" s="46">
        <f t="shared" si="0"/>
        <v>233.32999999999998</v>
      </c>
      <c r="K27" s="46">
        <f t="shared" si="0"/>
        <v>3902.89</v>
      </c>
      <c r="L27" s="46">
        <f>SUM(L10:L26)</f>
        <v>18620.200000000004</v>
      </c>
      <c r="M27" s="46">
        <f t="shared" si="0"/>
        <v>3043.2869999999907</v>
      </c>
      <c r="N27" s="46">
        <f t="shared" si="0"/>
        <v>123.28</v>
      </c>
      <c r="O27" s="46">
        <f t="shared" si="0"/>
        <v>10000</v>
      </c>
      <c r="P27" s="46">
        <f t="shared" si="0"/>
        <v>18000</v>
      </c>
      <c r="Q27" s="46">
        <f t="shared" si="0"/>
        <v>101.13999999999808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Clinker!Q17</f>
        <v>0</v>
      </c>
      <c r="G29" s="46">
        <f>Clinker!R17</f>
        <v>0</v>
      </c>
      <c r="H29" s="46">
        <f>G29+'14'!H29</f>
        <v>0</v>
      </c>
      <c r="I29" s="46">
        <f>G29+'14'!I29</f>
        <v>0</v>
      </c>
      <c r="J29" s="46">
        <f>Clinker!S17</f>
        <v>0</v>
      </c>
      <c r="K29" s="46">
        <f>J29+'14'!K29</f>
        <v>0</v>
      </c>
      <c r="L29" s="46">
        <f>J29+'14'!L29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G30+'14'!H30</f>
        <v>0</v>
      </c>
      <c r="I30" s="46">
        <f>G30+'14'!I30</f>
        <v>0</v>
      </c>
      <c r="J30" s="46">
        <v>0</v>
      </c>
      <c r="K30" s="46">
        <f>J30+'14'!K30</f>
        <v>0</v>
      </c>
      <c r="L30" s="46">
        <f>J30+'14'!L30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G31+'14'!H31</f>
        <v>0</v>
      </c>
      <c r="I31" s="46">
        <f>G31+'14'!I31</f>
        <v>0</v>
      </c>
      <c r="J31" s="46">
        <v>0</v>
      </c>
      <c r="K31" s="46">
        <f>J31+'14'!K31</f>
        <v>0</v>
      </c>
      <c r="L31" s="46">
        <f>J31+'14'!L31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140</v>
      </c>
      <c r="D32" s="282"/>
      <c r="E32" s="283"/>
      <c r="F32" s="46">
        <v>0</v>
      </c>
      <c r="G32" s="46">
        <f>Clinker!DR17</f>
        <v>0</v>
      </c>
      <c r="H32" s="46">
        <f>G32+'14'!H32</f>
        <v>0</v>
      </c>
      <c r="I32" s="46">
        <f>G32+'14'!I32</f>
        <v>0</v>
      </c>
      <c r="J32" s="46">
        <f>Clinker!AW17</f>
        <v>0</v>
      </c>
      <c r="K32" s="46">
        <f>J32+'14'!K32</f>
        <v>0</v>
      </c>
      <c r="L32" s="46">
        <f>J32+'14'!L32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G33+'14'!H33</f>
        <v>0</v>
      </c>
      <c r="I33" s="46">
        <f>G33+'14'!I33</f>
        <v>0</v>
      </c>
      <c r="J33" s="46">
        <v>0</v>
      </c>
      <c r="K33" s="46">
        <f>J33+'14'!K33</f>
        <v>0</v>
      </c>
      <c r="L33" s="46">
        <f>J33+'14'!L33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Clinker!Y17</f>
        <v>0</v>
      </c>
      <c r="K34" s="46">
        <f>J34+'14'!K34</f>
        <v>0</v>
      </c>
      <c r="L34" s="46">
        <f>J34+'14'!L34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Clinker!M17</f>
        <v>0</v>
      </c>
      <c r="K35" s="46">
        <f>J35+'14'!K35</f>
        <v>0</v>
      </c>
      <c r="L35" s="46">
        <f>J35+'14'!L35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Clinker!AR17</f>
        <v>0</v>
      </c>
      <c r="K36" s="46">
        <f>J36+'14'!K36</f>
        <v>0</v>
      </c>
      <c r="L36" s="46">
        <f>J36+'14'!L36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Clinker!DT17</f>
        <v>0</v>
      </c>
      <c r="K37" s="46">
        <f>J37+'14'!K37</f>
        <v>0</v>
      </c>
      <c r="L37" s="46">
        <f>J37+'14'!L37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Clinker!BB17</f>
        <v>0</v>
      </c>
      <c r="K38" s="46">
        <f>J38+'14'!K38</f>
        <v>0</v>
      </c>
      <c r="L38" s="46">
        <f>J38+'14'!L38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Clinker!BG17</f>
        <v>0</v>
      </c>
      <c r="K39" s="46">
        <f>J39+'14'!K39</f>
        <v>0</v>
      </c>
      <c r="L39" s="46">
        <f>J39+'14'!L39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13</v>
      </c>
      <c r="D40" s="282"/>
      <c r="E40" s="283"/>
      <c r="F40" s="46"/>
      <c r="G40" s="46"/>
      <c r="H40" s="46"/>
      <c r="I40" s="46"/>
      <c r="J40" s="46">
        <f>Clinker!BL17</f>
        <v>0</v>
      </c>
      <c r="K40" s="46">
        <f>J40+'14'!K40</f>
        <v>0</v>
      </c>
      <c r="L40" s="46">
        <f>J40+'14'!L40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Clinker!BQ17</f>
        <v>0</v>
      </c>
      <c r="K41" s="46">
        <f>J41+'14'!K41</f>
        <v>0</v>
      </c>
      <c r="L41" s="46">
        <f>J41+'14'!L41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Clinker!BV17</f>
        <v>0</v>
      </c>
      <c r="K42" s="46">
        <f>J42+'14'!K42</f>
        <v>0</v>
      </c>
      <c r="L42" s="46">
        <f>J42+'14'!L42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Clinker!CU17</f>
        <v>0</v>
      </c>
      <c r="K43" s="46">
        <f>J43+'14'!K43</f>
        <v>0</v>
      </c>
      <c r="L43" s="46">
        <f>J43+'14'!L43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Clinker!CZ17</f>
        <v>0</v>
      </c>
      <c r="K44" s="46">
        <f>J44+'14'!K44</f>
        <v>0</v>
      </c>
      <c r="L44" s="46">
        <f>J44+'14'!L44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Clinker!DE17</f>
        <v>0</v>
      </c>
      <c r="K45" s="46">
        <f>J45+'14'!K45</f>
        <v>0</v>
      </c>
      <c r="L45" s="46">
        <f>J45+'14'!L45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Clinker!DJ17</f>
        <v>0</v>
      </c>
      <c r="K46" s="46">
        <f>J46+'14'!K46</f>
        <v>0</v>
      </c>
      <c r="L46" s="46">
        <f>J46+'14'!L46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Clinker!DO17</f>
        <v>0</v>
      </c>
      <c r="K47" s="46">
        <f>J47+'14'!K47</f>
        <v>0</v>
      </c>
      <c r="L47" s="46">
        <f>J47+'14'!L47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Clinker!CM17</f>
        <v>5.0000000000181899E-2</v>
      </c>
      <c r="G48" s="46">
        <f>Clinker!CN17</f>
        <v>0</v>
      </c>
      <c r="H48" s="46">
        <f>G48+'14'!H48</f>
        <v>0</v>
      </c>
      <c r="I48" s="46">
        <f>G48+'14'!I48</f>
        <v>0</v>
      </c>
      <c r="J48" s="46">
        <f>Clinker!CP17</f>
        <v>0</v>
      </c>
      <c r="K48" s="46">
        <f>J48+'14'!K48</f>
        <v>0</v>
      </c>
      <c r="L48" s="46">
        <f>J48+'14'!L48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8" x14ac:dyDescent="0.25">
      <c r="B49" s="288"/>
      <c r="C49" s="76" t="s">
        <v>102</v>
      </c>
      <c r="D49" s="77"/>
      <c r="E49" s="69"/>
      <c r="F49" s="46">
        <f>Clinker!CC17</f>
        <v>0</v>
      </c>
      <c r="G49" s="46">
        <f>Clinker!CD17</f>
        <v>0</v>
      </c>
      <c r="H49" s="46">
        <f>G49+'14'!H49</f>
        <v>0</v>
      </c>
      <c r="I49" s="46">
        <f>G49+'14'!I49</f>
        <v>0</v>
      </c>
      <c r="J49" s="46">
        <f>Clinker!CF17</f>
        <v>0</v>
      </c>
      <c r="K49" s="46">
        <f>J49+'14'!K49</f>
        <v>0</v>
      </c>
      <c r="L49" s="46">
        <f>J49+'14'!L49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8" x14ac:dyDescent="0.25">
      <c r="B50" s="288"/>
      <c r="C50" s="281" t="s">
        <v>154</v>
      </c>
      <c r="D50" s="282"/>
      <c r="E50" s="69"/>
      <c r="F50" s="46">
        <f>Clinker!CH17</f>
        <v>0</v>
      </c>
      <c r="G50" s="46">
        <f>Clinker!CI17</f>
        <v>0</v>
      </c>
      <c r="H50" s="46">
        <f>G50+'14'!H50</f>
        <v>0</v>
      </c>
      <c r="I50" s="46">
        <f>G50+'14'!I50</f>
        <v>0</v>
      </c>
      <c r="J50" s="46">
        <f>Clinker!CK17</f>
        <v>0</v>
      </c>
      <c r="K50" s="46">
        <f>J50+'14'!K50</f>
        <v>0</v>
      </c>
      <c r="L50" s="46">
        <f>J50+'14'!L50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8" ht="15" customHeight="1" x14ac:dyDescent="0.25">
      <c r="B51" s="288"/>
      <c r="C51" s="281" t="s">
        <v>155</v>
      </c>
      <c r="D51" s="282"/>
      <c r="E51" s="283"/>
      <c r="F51" s="46">
        <f>Clinker!AF17</f>
        <v>3781.0199999999932</v>
      </c>
      <c r="G51" s="46">
        <f>Clinker!AG17</f>
        <v>764.75</v>
      </c>
      <c r="H51" s="46">
        <f>G51+'14'!H51</f>
        <v>2425.1000000000004</v>
      </c>
      <c r="I51" s="46">
        <f>G51+'14'!I51</f>
        <v>4566.0499999999993</v>
      </c>
      <c r="J51" s="46">
        <f>Clinker!AI17</f>
        <v>147</v>
      </c>
      <c r="K51" s="46">
        <f>J51+'14'!K51</f>
        <v>2075</v>
      </c>
      <c r="L51" s="46">
        <f>J51+'14'!L51</f>
        <v>8900</v>
      </c>
      <c r="M51" s="45">
        <f>F51+G51-J51-J20</f>
        <v>4398.7699999999932</v>
      </c>
      <c r="N51" s="46">
        <v>124.25</v>
      </c>
      <c r="O51" s="46">
        <v>1500</v>
      </c>
      <c r="P51" s="46">
        <v>3000</v>
      </c>
      <c r="Q51" s="56">
        <f>SUM(M51+N51)-O51</f>
        <v>3023.0199999999932</v>
      </c>
    </row>
    <row r="52" spans="2:18" x14ac:dyDescent="0.25">
      <c r="B52" s="288"/>
      <c r="C52" s="281" t="s">
        <v>156</v>
      </c>
      <c r="D52" s="282"/>
      <c r="E52" s="283"/>
      <c r="F52" s="46">
        <f>Clinker!AB17</f>
        <v>0</v>
      </c>
      <c r="G52" s="46">
        <f>Clinker!AC17</f>
        <v>0</v>
      </c>
      <c r="H52" s="46">
        <f>G52+'14'!H52</f>
        <v>0</v>
      </c>
      <c r="I52" s="46">
        <f>G52+'14'!I52</f>
        <v>0</v>
      </c>
      <c r="J52" s="46">
        <f>Clinker!AD17</f>
        <v>0</v>
      </c>
      <c r="K52" s="46">
        <f>J52+'14'!K52</f>
        <v>0</v>
      </c>
      <c r="L52" s="46">
        <f>J52+'14'!L52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8" x14ac:dyDescent="0.25">
      <c r="B53" s="288"/>
      <c r="C53" s="281" t="s">
        <v>146</v>
      </c>
      <c r="D53" s="282"/>
      <c r="E53" s="283"/>
      <c r="F53" s="46">
        <f>SUM(F29:F52)</f>
        <v>3781.0699999999933</v>
      </c>
      <c r="G53" s="46">
        <f t="shared" ref="G53:Q53" si="1">SUM(G29:G52)</f>
        <v>764.75</v>
      </c>
      <c r="H53" s="46">
        <f t="shared" si="1"/>
        <v>2425.1000000000004</v>
      </c>
      <c r="I53" s="46">
        <f t="shared" si="1"/>
        <v>4566.0499999999993</v>
      </c>
      <c r="J53" s="46">
        <f t="shared" si="1"/>
        <v>147</v>
      </c>
      <c r="K53" s="46">
        <f t="shared" si="1"/>
        <v>2075</v>
      </c>
      <c r="L53" s="46">
        <f>SUM(L29:L52)</f>
        <v>10247</v>
      </c>
      <c r="M53" s="46">
        <f t="shared" si="1"/>
        <v>4398.8199999999933</v>
      </c>
      <c r="N53" s="49">
        <f t="shared" si="1"/>
        <v>124.25</v>
      </c>
      <c r="O53" s="46">
        <f t="shared" si="1"/>
        <v>3000</v>
      </c>
      <c r="P53" s="46">
        <f t="shared" si="1"/>
        <v>6000</v>
      </c>
      <c r="Q53" s="46">
        <f t="shared" si="1"/>
        <v>3023.0199999999932</v>
      </c>
    </row>
    <row r="54" spans="2:18" x14ac:dyDescent="0.25">
      <c r="B54" s="289"/>
      <c r="C54" s="284" t="s">
        <v>157</v>
      </c>
      <c r="D54" s="285"/>
      <c r="E54" s="286"/>
      <c r="F54" s="59">
        <f t="shared" ref="F54:Q54" si="2">SUM(F27+F53)</f>
        <v>6902.4469999999837</v>
      </c>
      <c r="G54" s="59">
        <f t="shared" si="2"/>
        <v>919.99</v>
      </c>
      <c r="H54" s="59">
        <f t="shared" si="2"/>
        <v>4743.2000000000007</v>
      </c>
      <c r="I54" s="59">
        <f t="shared" si="2"/>
        <v>7689.3899999999994</v>
      </c>
      <c r="J54" s="59">
        <f t="shared" si="2"/>
        <v>380.33</v>
      </c>
      <c r="K54" s="59">
        <f t="shared" si="2"/>
        <v>5977.8899999999994</v>
      </c>
      <c r="L54" s="59">
        <f>SUM(L27+L53)</f>
        <v>28867.200000000004</v>
      </c>
      <c r="M54" s="59">
        <f t="shared" si="2"/>
        <v>7442.1069999999836</v>
      </c>
      <c r="N54" s="59">
        <f>N27+N53</f>
        <v>247.53</v>
      </c>
      <c r="O54" s="59">
        <f>SUM(O27+O53)</f>
        <v>13000</v>
      </c>
      <c r="P54" s="59">
        <f>SUM(P27+P53)</f>
        <v>24000</v>
      </c>
      <c r="Q54" s="59">
        <f t="shared" si="2"/>
        <v>3124.1599999999912</v>
      </c>
      <c r="R54" s="90"/>
    </row>
    <row r="55" spans="2:18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8" x14ac:dyDescent="0.25">
      <c r="B56" s="288"/>
      <c r="C56" s="281" t="s">
        <v>159</v>
      </c>
      <c r="D56" s="282"/>
      <c r="E56" s="283"/>
      <c r="F56" s="46">
        <f>'Packing bag '!C17</f>
        <v>2456328</v>
      </c>
      <c r="G56" s="46">
        <f>'Packing bag '!D17</f>
        <v>0</v>
      </c>
      <c r="H56" s="46">
        <f>G56+'14'!H56</f>
        <v>414500</v>
      </c>
      <c r="I56" s="46">
        <f>G56+'14'!I56</f>
        <v>3567000</v>
      </c>
      <c r="J56" s="46">
        <f>'Packing bag '!E17</f>
        <v>39977</v>
      </c>
      <c r="K56" s="46">
        <f>J56+'14'!K56</f>
        <v>625384</v>
      </c>
      <c r="L56" s="46">
        <f>J56+'14'!L56</f>
        <v>2202218</v>
      </c>
      <c r="M56" s="46">
        <f>F56+G56-J56</f>
        <v>2416351</v>
      </c>
      <c r="N56" s="46"/>
      <c r="O56" s="46">
        <v>400000</v>
      </c>
      <c r="P56" s="46">
        <v>800000</v>
      </c>
      <c r="Q56" s="56">
        <f>SUM(M56+N56)-O56</f>
        <v>2016351</v>
      </c>
    </row>
    <row r="57" spans="2:18" x14ac:dyDescent="0.25">
      <c r="B57" s="288"/>
      <c r="C57" s="281" t="s">
        <v>160</v>
      </c>
      <c r="D57" s="282"/>
      <c r="E57" s="283"/>
      <c r="F57" s="46">
        <f>'Packing bag '!G17</f>
        <v>616843</v>
      </c>
      <c r="G57" s="46">
        <f>'Packing bag '!H17</f>
        <v>0</v>
      </c>
      <c r="H57" s="46">
        <f>G57+'14'!H57</f>
        <v>40500</v>
      </c>
      <c r="I57" s="46">
        <f>G57+'14'!I57</f>
        <v>332000</v>
      </c>
      <c r="J57" s="46">
        <f>'Packing bag '!I17</f>
        <v>1801</v>
      </c>
      <c r="K57" s="46">
        <f>J57+'14'!K57</f>
        <v>27619</v>
      </c>
      <c r="L57" s="46">
        <f>J57+'14'!L57</f>
        <v>117240</v>
      </c>
      <c r="M57" s="46">
        <f>F57+G57-J57</f>
        <v>615042</v>
      </c>
      <c r="N57" s="46"/>
      <c r="O57" s="46">
        <v>100000</v>
      </c>
      <c r="P57" s="46">
        <v>250000</v>
      </c>
      <c r="Q57" s="56">
        <f>SUM(M57+N57)-O57</f>
        <v>515042</v>
      </c>
    </row>
    <row r="58" spans="2:18" x14ac:dyDescent="0.25">
      <c r="B58" s="288"/>
      <c r="C58" s="281" t="s">
        <v>161</v>
      </c>
      <c r="D58" s="282"/>
      <c r="E58" s="283"/>
      <c r="F58" s="46">
        <f>'Packing bag '!K17</f>
        <v>494627</v>
      </c>
      <c r="G58" s="46">
        <f>'Packing bag '!L17</f>
        <v>0</v>
      </c>
      <c r="H58" s="46">
        <f>G58+'14'!H58</f>
        <v>0</v>
      </c>
      <c r="I58" s="46">
        <f>G58+'14'!I58</f>
        <v>295000</v>
      </c>
      <c r="J58" s="46">
        <f>'Packing bag '!M17</f>
        <v>1152</v>
      </c>
      <c r="K58" s="46">
        <f>J58+'14'!K58</f>
        <v>35288</v>
      </c>
      <c r="L58" s="46">
        <f>J58+'14'!L58</f>
        <v>207580</v>
      </c>
      <c r="M58" s="46">
        <f>F58+G58-J58</f>
        <v>493475</v>
      </c>
      <c r="N58" s="46"/>
      <c r="O58" s="46">
        <v>50000</v>
      </c>
      <c r="P58" s="46">
        <v>150000</v>
      </c>
      <c r="Q58" s="56">
        <f>SUM(M58+N58)-O58</f>
        <v>443475</v>
      </c>
    </row>
    <row r="59" spans="2:18" x14ac:dyDescent="0.25">
      <c r="B59" s="288"/>
      <c r="C59" s="281" t="s">
        <v>162</v>
      </c>
      <c r="D59" s="282"/>
      <c r="E59" s="283"/>
      <c r="F59" s="46">
        <f>'Packing bag '!O17</f>
        <v>151518</v>
      </c>
      <c r="G59" s="46">
        <f>'Packing bag '!P17</f>
        <v>0</v>
      </c>
      <c r="H59" s="46">
        <f>G59+'14'!H59</f>
        <v>85612</v>
      </c>
      <c r="I59" s="46">
        <f>G59+'14'!I59</f>
        <v>85000</v>
      </c>
      <c r="J59" s="46">
        <f>'Packing bag '!Q17</f>
        <v>0</v>
      </c>
      <c r="K59" s="46">
        <f>J59+'14'!K59</f>
        <v>2414</v>
      </c>
      <c r="L59" s="46">
        <f>J59+'14'!L59</f>
        <v>17183</v>
      </c>
      <c r="M59" s="46">
        <f>F59+G59-J59</f>
        <v>151518</v>
      </c>
      <c r="N59" s="46"/>
      <c r="O59" s="46"/>
      <c r="P59" s="46"/>
      <c r="Q59" s="56"/>
    </row>
    <row r="60" spans="2:18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G60+'14'!H60</f>
        <v>0</v>
      </c>
      <c r="I60" s="46">
        <f>G60+'14'!I60</f>
        <v>0</v>
      </c>
      <c r="J60" s="46">
        <v>0</v>
      </c>
      <c r="K60" s="46">
        <f>J60+'14'!K60</f>
        <v>0</v>
      </c>
      <c r="L60" s="46">
        <f>J60+'14'!L60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8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G61+'14'!H61</f>
        <v>0</v>
      </c>
      <c r="I61" s="46">
        <f>G61+'14'!I61</f>
        <v>0</v>
      </c>
      <c r="J61" s="46">
        <v>0</v>
      </c>
      <c r="K61" s="46">
        <f>J61+'14'!K61</f>
        <v>0</v>
      </c>
      <c r="L61" s="46">
        <f>J61+'14'!L61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8" x14ac:dyDescent="0.25">
      <c r="B62" s="289"/>
      <c r="C62" s="284" t="s">
        <v>165</v>
      </c>
      <c r="D62" s="285"/>
      <c r="E62" s="286"/>
      <c r="F62" s="59">
        <f>SUM(F56:F61)</f>
        <v>3719316</v>
      </c>
      <c r="G62" s="59">
        <f>SUM(G56:G61)</f>
        <v>0</v>
      </c>
      <c r="H62" s="59">
        <f t="shared" ref="H62:Q62" si="3">SUM(H56:H61)</f>
        <v>540612</v>
      </c>
      <c r="I62" s="59">
        <f t="shared" si="3"/>
        <v>4279000</v>
      </c>
      <c r="J62" s="59">
        <f>SUM(J56:J61)</f>
        <v>42930</v>
      </c>
      <c r="K62" s="59">
        <f t="shared" si="3"/>
        <v>690705</v>
      </c>
      <c r="L62" s="59">
        <f t="shared" si="3"/>
        <v>2544221</v>
      </c>
      <c r="M62" s="59">
        <f t="shared" si="3"/>
        <v>3676386</v>
      </c>
      <c r="N62" s="59">
        <f t="shared" si="3"/>
        <v>0</v>
      </c>
      <c r="O62" s="59">
        <f>SUM(O56:O61)</f>
        <v>551500</v>
      </c>
      <c r="P62" s="59">
        <f>SUM(P56:P61)</f>
        <v>1207000</v>
      </c>
      <c r="Q62" s="59">
        <f t="shared" si="3"/>
        <v>2973368</v>
      </c>
    </row>
    <row r="63" spans="2:18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8" x14ac:dyDescent="0.25">
      <c r="B64" s="288"/>
      <c r="C64" s="281" t="s">
        <v>48</v>
      </c>
      <c r="D64" s="282"/>
      <c r="E64" s="283"/>
      <c r="F64" s="46">
        <f>Cement!G17</f>
        <v>0</v>
      </c>
      <c r="G64" s="46">
        <f>Cement!H17</f>
        <v>0</v>
      </c>
      <c r="H64" s="46">
        <f>G64+'14'!H64</f>
        <v>0</v>
      </c>
      <c r="I64" s="46">
        <f>G64+'14'!I64</f>
        <v>0</v>
      </c>
      <c r="J64" s="46">
        <v>0</v>
      </c>
      <c r="K64" s="46">
        <f>J64+'14'!K64</f>
        <v>0</v>
      </c>
      <c r="L64" s="46">
        <f>J64+'14'!L64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Cement!K17</f>
        <v>0</v>
      </c>
      <c r="G65" s="46">
        <f>Cement!L17</f>
        <v>0</v>
      </c>
      <c r="H65" s="46">
        <f>G65+'14'!H65</f>
        <v>0</v>
      </c>
      <c r="I65" s="46">
        <f>G65+'14'!I65</f>
        <v>0</v>
      </c>
      <c r="J65" s="46">
        <f>Cement!M17</f>
        <v>0</v>
      </c>
      <c r="K65" s="46">
        <f>J65+'14'!K65</f>
        <v>0</v>
      </c>
      <c r="L65" s="46">
        <f>J65+'14'!L65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Diesel!B17</f>
        <v>34259</v>
      </c>
      <c r="G68" s="46">
        <f>Diesel!C17</f>
        <v>0</v>
      </c>
      <c r="H68" s="46">
        <f>G68+'14'!H68</f>
        <v>32000</v>
      </c>
      <c r="I68" s="46">
        <f>G68+'14'!I68</f>
        <v>122000</v>
      </c>
      <c r="J68" s="46">
        <v>0</v>
      </c>
      <c r="K68" s="46">
        <f>J68+'14'!K68</f>
        <v>0</v>
      </c>
      <c r="L68" s="46">
        <f>J68+'14'!L68</f>
        <v>0</v>
      </c>
      <c r="M68" s="46">
        <f>F68+G68-G69-J76</f>
        <v>33678</v>
      </c>
      <c r="N68" s="46"/>
      <c r="O68" s="46">
        <v>30000</v>
      </c>
      <c r="P68" s="46">
        <v>60000</v>
      </c>
      <c r="Q68" s="56">
        <f>SUM(M68+N68)-O68</f>
        <v>3678</v>
      </c>
    </row>
    <row r="69" spans="2:17" x14ac:dyDescent="0.25">
      <c r="B69" s="297"/>
      <c r="C69" s="281" t="s">
        <v>171</v>
      </c>
      <c r="D69" s="282"/>
      <c r="E69" s="283"/>
      <c r="F69" s="46">
        <f>Diesel!Y17</f>
        <v>0</v>
      </c>
      <c r="G69" s="46">
        <f>Diesel!Z17</f>
        <v>0</v>
      </c>
      <c r="H69" s="46">
        <f>G69+'14'!H69</f>
        <v>0</v>
      </c>
      <c r="I69" s="46">
        <f>G69+'14'!I69</f>
        <v>0</v>
      </c>
      <c r="J69" s="46">
        <f>Diesel!AA17</f>
        <v>0</v>
      </c>
      <c r="K69" s="46">
        <f>J69+'14'!K69</f>
        <v>0</v>
      </c>
      <c r="L69" s="46">
        <f>J69+'14'!L69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G70+'14'!H70</f>
        <v>0</v>
      </c>
      <c r="I70" s="46">
        <f>G70+'14'!I70</f>
        <v>0</v>
      </c>
      <c r="J70" s="46">
        <f>Diesel!P17</f>
        <v>0</v>
      </c>
      <c r="K70" s="46">
        <f>J70+'14'!K70</f>
        <v>75</v>
      </c>
      <c r="L70" s="46">
        <f>J70+'14'!L70</f>
        <v>678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G71+'14'!H71</f>
        <v>0</v>
      </c>
      <c r="I71" s="46">
        <f>G71+'14'!I71</f>
        <v>0</v>
      </c>
      <c r="J71" s="46">
        <f>Diesel!Q17</f>
        <v>0</v>
      </c>
      <c r="K71" s="46">
        <f>J71+'14'!K71</f>
        <v>14261</v>
      </c>
      <c r="L71" s="46">
        <f>J71+'14'!L71</f>
        <v>68896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G72+'14'!H72</f>
        <v>0</v>
      </c>
      <c r="I72" s="46">
        <f>G72+'14'!I72</f>
        <v>0</v>
      </c>
      <c r="J72" s="46">
        <f>Diesel!R17</f>
        <v>581</v>
      </c>
      <c r="K72" s="46">
        <f>J72+'14'!K72</f>
        <v>10131</v>
      </c>
      <c r="L72" s="46">
        <f>J72+'14'!L72</f>
        <v>52839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G73+'14'!H73</f>
        <v>0</v>
      </c>
      <c r="I73" s="46">
        <f>G73+'14'!I73</f>
        <v>0</v>
      </c>
      <c r="J73" s="46">
        <f>Diesel!S17</f>
        <v>0</v>
      </c>
      <c r="K73" s="46">
        <f>J73+'14'!K73</f>
        <v>0</v>
      </c>
      <c r="L73" s="46">
        <f>J73+'14'!L73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G74+'14'!H74</f>
        <v>0</v>
      </c>
      <c r="I74" s="46">
        <f>G74+'14'!I74</f>
        <v>0</v>
      </c>
      <c r="J74" s="46">
        <f>Diesel!T17</f>
        <v>0</v>
      </c>
      <c r="K74" s="46">
        <f>J74+'14'!K74</f>
        <v>0</v>
      </c>
      <c r="L74" s="46">
        <f>J74+'14'!L74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G75+'14'!H75</f>
        <v>0</v>
      </c>
      <c r="I75" s="46">
        <f>G75+'14'!I75</f>
        <v>0</v>
      </c>
      <c r="J75" s="61">
        <f>Diesel!U17</f>
        <v>0</v>
      </c>
      <c r="K75" s="46">
        <f>J75+'14'!K75</f>
        <v>0</v>
      </c>
      <c r="L75" s="46">
        <f>J75+'14'!L75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34259</v>
      </c>
      <c r="G76" s="62">
        <f t="shared" ref="G76:M76" si="5">SUM(G68:G75)</f>
        <v>0</v>
      </c>
      <c r="H76" s="62">
        <f t="shared" si="5"/>
        <v>32000</v>
      </c>
      <c r="I76" s="62">
        <f t="shared" si="5"/>
        <v>122000</v>
      </c>
      <c r="J76" s="62">
        <f t="shared" si="5"/>
        <v>581</v>
      </c>
      <c r="K76" s="62">
        <f t="shared" si="5"/>
        <v>24467</v>
      </c>
      <c r="L76" s="62">
        <f t="shared" si="5"/>
        <v>137413</v>
      </c>
      <c r="M76" s="62">
        <f t="shared" si="5"/>
        <v>33678</v>
      </c>
      <c r="N76" s="63"/>
      <c r="O76" s="64"/>
      <c r="P76" s="62"/>
      <c r="Q76" s="65"/>
    </row>
  </sheetData>
  <mergeCells count="70">
    <mergeCell ref="C65:E65"/>
    <mergeCell ref="C66:E66"/>
    <mergeCell ref="C62:E62"/>
    <mergeCell ref="C61:E61"/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55:Q55"/>
    <mergeCell ref="C56:E56"/>
    <mergeCell ref="C57:E57"/>
    <mergeCell ref="C58:E58"/>
    <mergeCell ref="C60:E60"/>
    <mergeCell ref="C59:E59"/>
    <mergeCell ref="C29:E29"/>
    <mergeCell ref="B55:B62"/>
    <mergeCell ref="C38:D38"/>
    <mergeCell ref="C12:E12"/>
    <mergeCell ref="C13:D13"/>
    <mergeCell ref="C14:D14"/>
    <mergeCell ref="C35:E35"/>
    <mergeCell ref="C36:D36"/>
    <mergeCell ref="C34:E34"/>
    <mergeCell ref="C15:D15"/>
    <mergeCell ref="C37:D37"/>
    <mergeCell ref="C17:E17"/>
    <mergeCell ref="C18:E18"/>
    <mergeCell ref="C20:D20"/>
    <mergeCell ref="C50:D50"/>
    <mergeCell ref="C54:E54"/>
    <mergeCell ref="C7:E7"/>
    <mergeCell ref="C51:E51"/>
    <mergeCell ref="C52:E52"/>
    <mergeCell ref="C53:E53"/>
    <mergeCell ref="B9:B54"/>
    <mergeCell ref="C47:D47"/>
    <mergeCell ref="C40:E40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</mergeCells>
  <pageMargins left="0.7" right="0.7" top="0.75" bottom="0.75" header="0.3" footer="0.3"/>
  <pageSetup paperSize="9" scale="3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B1:S76"/>
  <sheetViews>
    <sheetView zoomScale="90" zoomScaleNormal="90" workbookViewId="0">
      <pane xSplit="4" ySplit="1" topLeftCell="E22" activePane="bottomRight" state="frozen"/>
      <selection pane="topRight" activeCell="E1" sqref="E1"/>
      <selection pane="bottomLeft" activeCell="A6" sqref="A6"/>
      <selection pane="bottomRight" activeCell="C32" sqref="C32:E32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9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 t="s">
        <v>224</v>
      </c>
      <c r="Q3" s="316"/>
    </row>
    <row r="4" spans="2:19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9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9" x14ac:dyDescent="0.25">
      <c r="B6" s="54">
        <v>1</v>
      </c>
      <c r="C6" s="308" t="s">
        <v>135</v>
      </c>
      <c r="D6" s="309"/>
      <c r="E6" s="310"/>
      <c r="F6" s="45">
        <f>Clinker!C18</f>
        <v>1677.92</v>
      </c>
      <c r="G6" s="45">
        <f>Clinker!D18</f>
        <v>0</v>
      </c>
      <c r="H6" s="45">
        <f>G6+'15'!H6</f>
        <v>0</v>
      </c>
      <c r="I6" s="45">
        <f>G6+'15'!I6</f>
        <v>417.28000000000003</v>
      </c>
      <c r="J6" s="45">
        <f>Clinker!E18</f>
        <v>72</v>
      </c>
      <c r="K6" s="45">
        <f>J6+'15'!K6</f>
        <v>1042</v>
      </c>
      <c r="L6" s="45">
        <f>J6+'15'!L6</f>
        <v>4177</v>
      </c>
      <c r="M6" s="45">
        <f>F6+G6-J6</f>
        <v>1605.92</v>
      </c>
      <c r="N6" s="45">
        <v>0</v>
      </c>
      <c r="O6" s="45">
        <v>3000</v>
      </c>
      <c r="P6" s="45">
        <v>6000</v>
      </c>
      <c r="Q6" s="55">
        <f>SUM(M6+N6)-O6</f>
        <v>-1394.08</v>
      </c>
      <c r="S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Cement!C18</f>
        <v>2862.7395560287014</v>
      </c>
      <c r="G7" s="46">
        <f>Cement!D18</f>
        <v>0</v>
      </c>
      <c r="H7" s="45">
        <f>G7+'15'!H7</f>
        <v>519.98</v>
      </c>
      <c r="I7" s="45">
        <f>G7+'15'!I7</f>
        <v>2646.6</v>
      </c>
      <c r="J7" s="46">
        <f>Cement!I18</f>
        <v>152.63013268826296</v>
      </c>
      <c r="K7" s="45">
        <f>J7+'15'!K7</f>
        <v>2018.176434815739</v>
      </c>
      <c r="L7" s="45">
        <f>J7+'15'!L7</f>
        <v>7244.4064251432392</v>
      </c>
      <c r="M7" s="45">
        <f>F7+G7-J7</f>
        <v>2710.1094233404383</v>
      </c>
      <c r="N7" s="46">
        <v>121.7</v>
      </c>
      <c r="O7" s="46">
        <v>3000</v>
      </c>
      <c r="P7" s="46">
        <v>6000</v>
      </c>
      <c r="Q7" s="56">
        <f>SUM(M7+N7)-O7</f>
        <v>-168.19057665956188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Clinker!EI18</f>
        <v>26466.681571677203</v>
      </c>
      <c r="G8" s="46">
        <f>Clinker!EJ18</f>
        <v>1390</v>
      </c>
      <c r="H8" s="45">
        <f>G8+'15'!H8</f>
        <v>24137</v>
      </c>
      <c r="I8" s="45">
        <f>G8+'15'!I8</f>
        <v>123053.66</v>
      </c>
      <c r="J8" s="46">
        <f>Clinker!EK18</f>
        <v>2298.5289999570005</v>
      </c>
      <c r="K8" s="45">
        <f>J8+'15'!K8</f>
        <v>29830.749516086762</v>
      </c>
      <c r="L8" s="45">
        <f>J8+'15'!L8</f>
        <v>109626.59653590668</v>
      </c>
      <c r="M8" s="45">
        <f>F8+G8-J8</f>
        <v>25558.152571720202</v>
      </c>
      <c r="N8" s="46">
        <v>0</v>
      </c>
      <c r="O8" s="46"/>
      <c r="P8" s="46"/>
      <c r="Q8" s="56"/>
      <c r="S8" s="90"/>
    </row>
    <row r="9" spans="2:19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88"/>
      <c r="C10" s="281" t="s">
        <v>138</v>
      </c>
      <c r="D10" s="282"/>
      <c r="E10" s="283"/>
      <c r="F10" s="46">
        <f>Clinker!K18</f>
        <v>0</v>
      </c>
      <c r="G10" s="46">
        <f>Clinker!L18</f>
        <v>0</v>
      </c>
      <c r="H10" s="46">
        <f>G10+'15'!H10</f>
        <v>0</v>
      </c>
      <c r="I10" s="46">
        <f>G10+'15'!I10</f>
        <v>0</v>
      </c>
      <c r="J10" s="46">
        <f>Clinker!N18</f>
        <v>0</v>
      </c>
      <c r="K10" s="46">
        <f>J10+'15'!K10</f>
        <v>0</v>
      </c>
      <c r="L10" s="46">
        <f>J10+'15'!L10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88"/>
      <c r="C11" s="281" t="s">
        <v>139</v>
      </c>
      <c r="D11" s="282"/>
      <c r="E11" s="283"/>
      <c r="F11" s="46">
        <f>Clinker!W18</f>
        <v>101.13999999999808</v>
      </c>
      <c r="G11" s="46">
        <f>Clinker!X18</f>
        <v>0</v>
      </c>
      <c r="H11" s="46">
        <f>G11+'15'!H11</f>
        <v>0</v>
      </c>
      <c r="I11" s="46">
        <f>G11+'15'!I11</f>
        <v>0</v>
      </c>
      <c r="J11" s="46">
        <f>Clinker!Z18</f>
        <v>101.1</v>
      </c>
      <c r="K11" s="46">
        <f>J11+'15'!K11</f>
        <v>1063</v>
      </c>
      <c r="L11" s="46">
        <f>J11+'15'!L11</f>
        <v>8686.84</v>
      </c>
      <c r="M11" s="45">
        <f>F11+G11-J11-J34</f>
        <v>3.9999999998087787E-2</v>
      </c>
      <c r="N11" s="46">
        <v>0</v>
      </c>
      <c r="O11" s="46"/>
      <c r="P11" s="46"/>
      <c r="Q11" s="56">
        <f>SUM(M11+N11)-O11</f>
        <v>3.9999999998087787E-2</v>
      </c>
    </row>
    <row r="12" spans="2:19" ht="15" customHeight="1" x14ac:dyDescent="0.25">
      <c r="B12" s="288"/>
      <c r="C12" s="281" t="s">
        <v>140</v>
      </c>
      <c r="D12" s="282"/>
      <c r="E12" s="283"/>
      <c r="F12" s="46">
        <f>Clinker!AT18</f>
        <v>1.0000000002058584E-2</v>
      </c>
      <c r="G12" s="46">
        <f>Clinker!AU18</f>
        <v>0</v>
      </c>
      <c r="H12" s="46">
        <f>G12+'15'!H12</f>
        <v>0</v>
      </c>
      <c r="I12" s="46">
        <f>G12+'15'!I12</f>
        <v>181.5</v>
      </c>
      <c r="J12" s="46">
        <f>Clinker!AV18</f>
        <v>0</v>
      </c>
      <c r="K12" s="46">
        <f>J12+'15'!K12</f>
        <v>2933.89</v>
      </c>
      <c r="L12" s="46">
        <f>J12+'15'!L12</f>
        <v>5675.5900000000011</v>
      </c>
      <c r="M12" s="45">
        <f>F12+G12-J12-J32</f>
        <v>1.0000000002058584E-2</v>
      </c>
      <c r="N12" s="46">
        <v>0</v>
      </c>
      <c r="O12" s="46"/>
      <c r="P12" s="46"/>
      <c r="Q12" s="70"/>
    </row>
    <row r="13" spans="2:19" x14ac:dyDescent="0.25">
      <c r="B13" s="288"/>
      <c r="C13" s="281" t="s">
        <v>9</v>
      </c>
      <c r="D13" s="282"/>
      <c r="E13" s="69"/>
      <c r="F13" s="46">
        <f>Clinker!AO18</f>
        <v>0</v>
      </c>
      <c r="G13" s="46">
        <f>Clinker!AP18</f>
        <v>0</v>
      </c>
      <c r="H13" s="46">
        <f>G13+'15'!H13</f>
        <v>0</v>
      </c>
      <c r="I13" s="46">
        <f>G13+'15'!I13</f>
        <v>0</v>
      </c>
      <c r="J13" s="46">
        <f>Clinker!AQ18</f>
        <v>0</v>
      </c>
      <c r="K13" s="46">
        <f>J13+'15'!K13</f>
        <v>0</v>
      </c>
      <c r="L13" s="46">
        <f>J13+'15'!L13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88"/>
      <c r="C14" s="281" t="s">
        <v>8</v>
      </c>
      <c r="D14" s="282"/>
      <c r="E14" s="69"/>
      <c r="F14" s="46">
        <f>Clinker!AK18</f>
        <v>0</v>
      </c>
      <c r="G14" s="46">
        <f>Clinker!AL18</f>
        <v>0</v>
      </c>
      <c r="H14" s="46">
        <f>G14+'15'!H14</f>
        <v>0</v>
      </c>
      <c r="I14" s="46">
        <f>G14+'15'!I14</f>
        <v>0</v>
      </c>
      <c r="J14" s="46">
        <f>Clinker!AM18</f>
        <v>0</v>
      </c>
      <c r="K14" s="46">
        <f>J14+'15'!K14</f>
        <v>0</v>
      </c>
      <c r="L14" s="46">
        <f>J14+'15'!L14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88"/>
      <c r="C15" s="281" t="s">
        <v>11</v>
      </c>
      <c r="D15" s="282"/>
      <c r="E15" s="69"/>
      <c r="F15" s="46">
        <f>Clinker!AY18</f>
        <v>2638.1269999999904</v>
      </c>
      <c r="G15" s="46">
        <f>Clinker!AZ18</f>
        <v>123.28</v>
      </c>
      <c r="H15" s="46">
        <f>G15+'15'!H15</f>
        <v>2349.3800000000006</v>
      </c>
      <c r="I15" s="46">
        <f>G15+'15'!I15</f>
        <v>2761.1200000000003</v>
      </c>
      <c r="J15" s="46">
        <f>Clinker!BA18</f>
        <v>143.34</v>
      </c>
      <c r="K15" s="46">
        <f>J15+'15'!K15</f>
        <v>143.34</v>
      </c>
      <c r="L15" s="46">
        <f>J15+'15'!L15</f>
        <v>143.34</v>
      </c>
      <c r="M15" s="45">
        <f>F15+G15-J15-J38</f>
        <v>2618.0669999999905</v>
      </c>
      <c r="N15" s="75">
        <v>64.14</v>
      </c>
      <c r="O15" s="46">
        <v>5000</v>
      </c>
      <c r="P15" s="46">
        <v>9000</v>
      </c>
      <c r="Q15" s="70"/>
      <c r="S15" s="90"/>
    </row>
    <row r="16" spans="2:19" x14ac:dyDescent="0.25">
      <c r="B16" s="288"/>
      <c r="C16" s="76" t="s">
        <v>141</v>
      </c>
      <c r="D16" s="77"/>
      <c r="E16" s="69"/>
      <c r="F16" s="46">
        <f>Clinker!BD18</f>
        <v>0</v>
      </c>
      <c r="G16" s="46">
        <f>Clinker!BE18</f>
        <v>0</v>
      </c>
      <c r="H16" s="46">
        <f>G16+'15'!H16</f>
        <v>0</v>
      </c>
      <c r="I16" s="46">
        <f>G16+'15'!I16</f>
        <v>0</v>
      </c>
      <c r="J16" s="46">
        <f>Clinker!BF18</f>
        <v>0</v>
      </c>
      <c r="K16" s="46">
        <f>J16+'15'!K16</f>
        <v>0</v>
      </c>
      <c r="L16" s="46">
        <f>J16+'15'!L16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13</v>
      </c>
      <c r="D17" s="282"/>
      <c r="E17" s="283"/>
      <c r="F17" s="46">
        <f>Clinker!BI18</f>
        <v>0</v>
      </c>
      <c r="G17" s="46">
        <f>Clinker!BJ18</f>
        <v>0</v>
      </c>
      <c r="H17" s="46">
        <f>G17+'15'!H17</f>
        <v>0</v>
      </c>
      <c r="I17" s="46">
        <f>G17+'15'!I17</f>
        <v>0</v>
      </c>
      <c r="J17" s="46">
        <f>Clinker!BK18</f>
        <v>0</v>
      </c>
      <c r="K17" s="46">
        <f>J17+'15'!K17</f>
        <v>0</v>
      </c>
      <c r="L17" s="46">
        <f>J17+'15'!L17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Clinker!BN18</f>
        <v>0</v>
      </c>
      <c r="G18" s="46">
        <f>Clinker!BO18</f>
        <v>0</v>
      </c>
      <c r="H18" s="46">
        <f>G18+'15'!H18</f>
        <v>0</v>
      </c>
      <c r="I18" s="46">
        <f>G18+'15'!I18</f>
        <v>0</v>
      </c>
      <c r="J18" s="46">
        <f>Clinker!BP18</f>
        <v>0</v>
      </c>
      <c r="K18" s="46">
        <f>J18+'15'!K18</f>
        <v>0</v>
      </c>
      <c r="L18" s="46">
        <f>J18+'15'!L18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Clinker!BS18</f>
        <v>0</v>
      </c>
      <c r="G19" s="46">
        <f>Clinker!BT18</f>
        <v>0</v>
      </c>
      <c r="H19" s="46">
        <f>G19+'15'!H19</f>
        <v>0</v>
      </c>
      <c r="I19" s="46">
        <f>G19+'15'!I19</f>
        <v>0</v>
      </c>
      <c r="J19" s="46">
        <f>Clinker!BU18</f>
        <v>0</v>
      </c>
      <c r="K19" s="46">
        <f>J19+'15'!K19</f>
        <v>0</v>
      </c>
      <c r="L19" s="46">
        <f>J19+'15'!L19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Clinker!BX18</f>
        <v>0</v>
      </c>
      <c r="G20" s="46">
        <f>Clinker!BY18</f>
        <v>0</v>
      </c>
      <c r="H20" s="46">
        <f>G20+'15'!H20</f>
        <v>0</v>
      </c>
      <c r="I20" s="46">
        <f>G20+'15'!I20</f>
        <v>0</v>
      </c>
      <c r="J20" s="46">
        <f>Clinker!AH18</f>
        <v>0</v>
      </c>
      <c r="K20" s="46">
        <f>J20+'15'!K20</f>
        <v>0</v>
      </c>
      <c r="L20" s="46">
        <f>J20+'15'!L20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Clinker!CR18</f>
        <v>0</v>
      </c>
      <c r="G21" s="46">
        <f>Clinker!CS18</f>
        <v>0</v>
      </c>
      <c r="H21" s="46">
        <f>G21+'15'!H21</f>
        <v>0</v>
      </c>
      <c r="I21" s="46">
        <f>G21+'15'!I21</f>
        <v>0</v>
      </c>
      <c r="J21" s="46">
        <f>Clinker!CT18</f>
        <v>0</v>
      </c>
      <c r="K21" s="46">
        <f>J21+'15'!K21</f>
        <v>0</v>
      </c>
      <c r="L21" s="46">
        <f>J21+'15'!L21</f>
        <v>0</v>
      </c>
      <c r="M21" s="45">
        <f t="shared" ref="M21:M26" si="0"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184</v>
      </c>
      <c r="D22" s="77"/>
      <c r="E22" s="69"/>
      <c r="F22" s="46">
        <f>Clinker!CW18</f>
        <v>0</v>
      </c>
      <c r="G22" s="46">
        <f>Clinker!CX18</f>
        <v>0</v>
      </c>
      <c r="H22" s="46">
        <f>G22+'15'!H22</f>
        <v>0</v>
      </c>
      <c r="I22" s="46">
        <f>G22+'15'!I22</f>
        <v>0</v>
      </c>
      <c r="J22" s="46">
        <f>Clinker!CY18</f>
        <v>0</v>
      </c>
      <c r="K22" s="46">
        <f>J22+'15'!K22</f>
        <v>0</v>
      </c>
      <c r="L22" s="46">
        <f>J22+'15'!L22</f>
        <v>0</v>
      </c>
      <c r="M22" s="45">
        <f t="shared" si="0"/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Clinker!DB18</f>
        <v>1.0000000000013998E-2</v>
      </c>
      <c r="G23" s="46">
        <f>Clinker!DC18</f>
        <v>0</v>
      </c>
      <c r="H23" s="46">
        <f>G23+'15'!H23</f>
        <v>0</v>
      </c>
      <c r="I23" s="46">
        <f>G23+'15'!I23</f>
        <v>0</v>
      </c>
      <c r="J23" s="46">
        <f>Clinker!DD18</f>
        <v>0</v>
      </c>
      <c r="K23" s="46">
        <f>J23+'15'!K23</f>
        <v>7.1</v>
      </c>
      <c r="L23" s="46">
        <f>J23+'15'!L23</f>
        <v>305.99</v>
      </c>
      <c r="M23" s="45">
        <f t="shared" si="0"/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Clinker!DG18</f>
        <v>0</v>
      </c>
      <c r="G24" s="46">
        <f>Clinker!DH18</f>
        <v>0</v>
      </c>
      <c r="H24" s="46">
        <f>G24+'15'!H24</f>
        <v>0</v>
      </c>
      <c r="I24" s="46">
        <f>G24+'15'!I24</f>
        <v>0</v>
      </c>
      <c r="J24" s="46">
        <f>Clinker!DI18</f>
        <v>0</v>
      </c>
      <c r="K24" s="46">
        <f>J24+'15'!K24</f>
        <v>0</v>
      </c>
      <c r="L24" s="46">
        <f>J24+'15'!L24</f>
        <v>0</v>
      </c>
      <c r="M24" s="45">
        <f t="shared" si="0"/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Clinker!DL18</f>
        <v>304</v>
      </c>
      <c r="G25" s="46">
        <f>Clinker!DM18</f>
        <v>0</v>
      </c>
      <c r="H25" s="46">
        <f>G25+'15'!H25</f>
        <v>92</v>
      </c>
      <c r="I25" s="46">
        <f>G25+'15'!I25</f>
        <v>304</v>
      </c>
      <c r="J25" s="46">
        <f>Clinker!DN18</f>
        <v>0</v>
      </c>
      <c r="K25" s="46">
        <f>J25+'15'!K25</f>
        <v>0</v>
      </c>
      <c r="L25" s="46">
        <f>J25+'15'!L25</f>
        <v>0</v>
      </c>
      <c r="M25" s="45">
        <f t="shared" si="0"/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Clinker!DV18</f>
        <v>0</v>
      </c>
      <c r="G26" s="46">
        <f>Clinker!DW18</f>
        <v>0</v>
      </c>
      <c r="H26" s="46">
        <f>G26+'15'!H26</f>
        <v>0</v>
      </c>
      <c r="I26" s="46">
        <f>G26+'15'!I26</f>
        <v>0</v>
      </c>
      <c r="J26" s="46">
        <f>Clinker!DX18</f>
        <v>0</v>
      </c>
      <c r="K26" s="46">
        <f>J26+'15'!K26</f>
        <v>0</v>
      </c>
      <c r="L26" s="46">
        <f>J26+'15'!L26</f>
        <v>0</v>
      </c>
      <c r="M26" s="45">
        <f t="shared" si="0"/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3043.2869999999907</v>
      </c>
      <c r="G27" s="46">
        <f t="shared" ref="G27:Q27" si="1">SUM(G10:G26)</f>
        <v>123.28</v>
      </c>
      <c r="H27" s="46">
        <f t="shared" si="1"/>
        <v>2441.3800000000006</v>
      </c>
      <c r="I27" s="46">
        <f t="shared" si="1"/>
        <v>3246.6200000000003</v>
      </c>
      <c r="J27" s="46">
        <f t="shared" si="1"/>
        <v>244.44</v>
      </c>
      <c r="K27" s="46">
        <f t="shared" si="1"/>
        <v>4147.33</v>
      </c>
      <c r="L27" s="46">
        <f t="shared" si="1"/>
        <v>18864.640000000003</v>
      </c>
      <c r="M27" s="46">
        <f t="shared" si="1"/>
        <v>2922.1269999999909</v>
      </c>
      <c r="N27" s="46">
        <f t="shared" si="1"/>
        <v>64.14</v>
      </c>
      <c r="O27" s="46">
        <f t="shared" si="1"/>
        <v>10000</v>
      </c>
      <c r="P27" s="46">
        <f t="shared" si="1"/>
        <v>18000</v>
      </c>
      <c r="Q27" s="46">
        <f t="shared" si="1"/>
        <v>3.9999999998087787E-2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Clinker!Q18</f>
        <v>0</v>
      </c>
      <c r="G29" s="46">
        <f>Clinker!R18</f>
        <v>0</v>
      </c>
      <c r="H29" s="46">
        <f>G29+'15'!H29</f>
        <v>0</v>
      </c>
      <c r="I29" s="46">
        <f>G29+'15'!I29</f>
        <v>0</v>
      </c>
      <c r="J29" s="46">
        <f>Clinker!S18</f>
        <v>0</v>
      </c>
      <c r="K29" s="46">
        <f>J29+'15'!K29</f>
        <v>0</v>
      </c>
      <c r="L29" s="46">
        <f>J29+'15'!L29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G30+'15'!H30</f>
        <v>0</v>
      </c>
      <c r="I30" s="46">
        <f>G30+'15'!I30</f>
        <v>0</v>
      </c>
      <c r="J30" s="46">
        <v>0</v>
      </c>
      <c r="K30" s="46">
        <f>J30+'15'!K30</f>
        <v>0</v>
      </c>
      <c r="L30" s="46">
        <f>J30+'15'!L30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G31+'15'!H31</f>
        <v>0</v>
      </c>
      <c r="I31" s="46">
        <f>G31+'15'!I31</f>
        <v>0</v>
      </c>
      <c r="J31" s="46">
        <v>0</v>
      </c>
      <c r="K31" s="46">
        <f>J31+'15'!K31</f>
        <v>0</v>
      </c>
      <c r="L31" s="46">
        <f>J31+'15'!L31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140</v>
      </c>
      <c r="D32" s="282"/>
      <c r="E32" s="283"/>
      <c r="F32" s="46">
        <v>0</v>
      </c>
      <c r="G32" s="46">
        <f>Clinker!DR18</f>
        <v>0</v>
      </c>
      <c r="H32" s="46">
        <f>G32+'15'!H32</f>
        <v>0</v>
      </c>
      <c r="I32" s="46">
        <f>G32+'15'!I32</f>
        <v>0</v>
      </c>
      <c r="J32" s="46">
        <f>Clinker!AW18</f>
        <v>0</v>
      </c>
      <c r="K32" s="46">
        <f>J32+'15'!K32</f>
        <v>0</v>
      </c>
      <c r="L32" s="46">
        <f>J32+'15'!L32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G33+'15'!H33</f>
        <v>0</v>
      </c>
      <c r="I33" s="46">
        <f>G33+'15'!I33</f>
        <v>0</v>
      </c>
      <c r="J33" s="46">
        <v>0</v>
      </c>
      <c r="K33" s="46">
        <f>J33+'15'!K33</f>
        <v>0</v>
      </c>
      <c r="L33" s="46">
        <f>J33+'15'!L33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Clinker!Y18</f>
        <v>0</v>
      </c>
      <c r="K34" s="46">
        <f>J34+'15'!K34</f>
        <v>0</v>
      </c>
      <c r="L34" s="46">
        <f>J34+'15'!L34</f>
        <v>1327</v>
      </c>
      <c r="M34" s="45"/>
      <c r="N34" s="46">
        <v>0</v>
      </c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Clinker!M18</f>
        <v>0</v>
      </c>
      <c r="K35" s="46">
        <f>J35+'15'!K35</f>
        <v>0</v>
      </c>
      <c r="L35" s="46">
        <f>J35+'15'!L35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Clinker!AR18</f>
        <v>0</v>
      </c>
      <c r="K36" s="46">
        <f>J36+'15'!K36</f>
        <v>0</v>
      </c>
      <c r="L36" s="46">
        <f>J36+'15'!L36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Clinker!DT18</f>
        <v>0</v>
      </c>
      <c r="K37" s="46">
        <f>J37+'15'!K37</f>
        <v>0</v>
      </c>
      <c r="L37" s="46">
        <f>J37+'15'!L37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Clinker!AR20</f>
        <v>0</v>
      </c>
      <c r="K38" s="46">
        <f>J38+'15'!K38</f>
        <v>0</v>
      </c>
      <c r="L38" s="46">
        <f>J38+'15'!L38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Clinker!BG18</f>
        <v>0</v>
      </c>
      <c r="K39" s="46">
        <f>J39+'15'!K39</f>
        <v>0</v>
      </c>
      <c r="L39" s="46">
        <f>J39+'15'!L39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13</v>
      </c>
      <c r="D40" s="282"/>
      <c r="E40" s="283"/>
      <c r="F40" s="46"/>
      <c r="G40" s="46"/>
      <c r="H40" s="46"/>
      <c r="I40" s="46"/>
      <c r="J40" s="46">
        <f>Clinker!BL18</f>
        <v>0</v>
      </c>
      <c r="K40" s="46">
        <f>J40+'15'!K40</f>
        <v>0</v>
      </c>
      <c r="L40" s="46">
        <f>J40+'15'!L40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Clinker!BQ18</f>
        <v>0</v>
      </c>
      <c r="K41" s="46">
        <f>J41+'15'!K41</f>
        <v>0</v>
      </c>
      <c r="L41" s="46">
        <f>J41+'15'!L41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Clinker!BV18</f>
        <v>0</v>
      </c>
      <c r="K42" s="46">
        <f>J42+'15'!K42</f>
        <v>0</v>
      </c>
      <c r="L42" s="46">
        <f>J42+'15'!L42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Clinker!CU18</f>
        <v>0</v>
      </c>
      <c r="K43" s="46">
        <f>J43+'15'!K43</f>
        <v>0</v>
      </c>
      <c r="L43" s="46">
        <f>J43+'15'!L43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Clinker!CZ18</f>
        <v>0</v>
      </c>
      <c r="K44" s="46">
        <f>J44+'15'!K44</f>
        <v>0</v>
      </c>
      <c r="L44" s="46">
        <f>J44+'15'!L44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Clinker!DE18</f>
        <v>0</v>
      </c>
      <c r="K45" s="46">
        <f>J45+'15'!K45</f>
        <v>0</v>
      </c>
      <c r="L45" s="46">
        <f>J45+'15'!L45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Clinker!DJ18</f>
        <v>0</v>
      </c>
      <c r="K46" s="46">
        <f>J46+'15'!K46</f>
        <v>0</v>
      </c>
      <c r="L46" s="46">
        <f>J46+'15'!L46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Clinker!DO18</f>
        <v>0</v>
      </c>
      <c r="K47" s="46">
        <f>J47+'15'!K47</f>
        <v>0</v>
      </c>
      <c r="L47" s="46">
        <f>J47+'15'!L47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181</v>
      </c>
      <c r="D48" s="77"/>
      <c r="E48" s="69"/>
      <c r="F48" s="46">
        <f>Clinker!CM18</f>
        <v>5.0000000000181899E-2</v>
      </c>
      <c r="G48" s="46">
        <f>Clinker!CN18</f>
        <v>0</v>
      </c>
      <c r="H48" s="46">
        <f>G48+'15'!H48</f>
        <v>0</v>
      </c>
      <c r="I48" s="46">
        <f>G48+'15'!I48</f>
        <v>0</v>
      </c>
      <c r="J48" s="46">
        <f>Clinker!CP18</f>
        <v>0</v>
      </c>
      <c r="K48" s="46">
        <f>J48+'15'!K48</f>
        <v>0</v>
      </c>
      <c r="L48" s="46">
        <f>J48+'15'!L48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Clinker!CC18</f>
        <v>0</v>
      </c>
      <c r="G49" s="46">
        <f>Clinker!CD18</f>
        <v>0</v>
      </c>
      <c r="H49" s="46">
        <f>G49+'15'!H49</f>
        <v>0</v>
      </c>
      <c r="I49" s="46">
        <f>G49+'15'!I49</f>
        <v>0</v>
      </c>
      <c r="J49" s="46">
        <f>Clinker!CF18</f>
        <v>0</v>
      </c>
      <c r="K49" s="46">
        <f>J49+'15'!K49</f>
        <v>0</v>
      </c>
      <c r="L49" s="46">
        <f>J49+'15'!L49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Clinker!CH18</f>
        <v>0</v>
      </c>
      <c r="G50" s="46">
        <f>Clinker!CI18</f>
        <v>0</v>
      </c>
      <c r="H50" s="46">
        <f>G50+'15'!H50</f>
        <v>0</v>
      </c>
      <c r="I50" s="46">
        <f>G50+'15'!I50</f>
        <v>0</v>
      </c>
      <c r="J50" s="46">
        <f>Clinker!CK18</f>
        <v>0</v>
      </c>
      <c r="K50" s="46">
        <f>J50+'15'!K50</f>
        <v>0</v>
      </c>
      <c r="L50" s="46">
        <f>J50+'15'!L50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Clinker!AF18</f>
        <v>4398.7699999999932</v>
      </c>
      <c r="G51" s="46">
        <f>Clinker!AG18</f>
        <v>124.25</v>
      </c>
      <c r="H51" s="46">
        <f>G51+'15'!H51</f>
        <v>2549.3500000000004</v>
      </c>
      <c r="I51" s="46">
        <f>G51+'15'!I51</f>
        <v>4690.2999999999993</v>
      </c>
      <c r="J51" s="46">
        <f>Clinker!AI18</f>
        <v>172</v>
      </c>
      <c r="K51" s="46">
        <f>J51+'15'!K51</f>
        <v>2247</v>
      </c>
      <c r="L51" s="46">
        <f>J51+'15'!L51</f>
        <v>9072</v>
      </c>
      <c r="M51" s="45">
        <f>F51+G51-J51-J20</f>
        <v>4351.0199999999932</v>
      </c>
      <c r="N51" s="46">
        <v>32</v>
      </c>
      <c r="O51" s="46">
        <v>1500</v>
      </c>
      <c r="P51" s="46">
        <v>3000</v>
      </c>
      <c r="Q51" s="56">
        <f>SUM(M51+N51)-O51</f>
        <v>2883.0199999999932</v>
      </c>
    </row>
    <row r="52" spans="2:19" x14ac:dyDescent="0.25">
      <c r="B52" s="288"/>
      <c r="C52" s="281" t="s">
        <v>156</v>
      </c>
      <c r="D52" s="282"/>
      <c r="E52" s="283"/>
      <c r="F52" s="46">
        <f>Clinker!AB18</f>
        <v>0</v>
      </c>
      <c r="G52" s="46">
        <f>Clinker!AC18</f>
        <v>0</v>
      </c>
      <c r="H52" s="46">
        <f>G52+'15'!H52</f>
        <v>0</v>
      </c>
      <c r="I52" s="46">
        <f>G52+'15'!I52</f>
        <v>0</v>
      </c>
      <c r="J52" s="46">
        <f>Clinker!AD18</f>
        <v>0</v>
      </c>
      <c r="K52" s="46">
        <f>J52+'15'!K52</f>
        <v>0</v>
      </c>
      <c r="L52" s="46">
        <f>J52+'15'!L52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 t="shared" ref="F53:Q53" si="2">SUM(F29:F52)</f>
        <v>4398.8199999999933</v>
      </c>
      <c r="G53" s="46">
        <f t="shared" si="2"/>
        <v>124.25</v>
      </c>
      <c r="H53" s="46">
        <f t="shared" si="2"/>
        <v>2549.3500000000004</v>
      </c>
      <c r="I53" s="46">
        <f t="shared" si="2"/>
        <v>4690.2999999999993</v>
      </c>
      <c r="J53" s="46">
        <f t="shared" si="2"/>
        <v>172</v>
      </c>
      <c r="K53" s="46">
        <f t="shared" si="2"/>
        <v>2247</v>
      </c>
      <c r="L53" s="46">
        <f t="shared" si="2"/>
        <v>10419</v>
      </c>
      <c r="M53" s="46">
        <f t="shared" si="2"/>
        <v>4351.0699999999933</v>
      </c>
      <c r="N53" s="46">
        <f>SUM(N29:N52)</f>
        <v>32</v>
      </c>
      <c r="O53" s="46">
        <f>SUM(O29:O52)</f>
        <v>3000</v>
      </c>
      <c r="P53" s="46">
        <f>SUM(P29:P52)</f>
        <v>6000</v>
      </c>
      <c r="Q53" s="46">
        <f t="shared" si="2"/>
        <v>2883.0199999999932</v>
      </c>
    </row>
    <row r="54" spans="2:19" x14ac:dyDescent="0.25">
      <c r="B54" s="289"/>
      <c r="C54" s="284" t="s">
        <v>157</v>
      </c>
      <c r="D54" s="285"/>
      <c r="E54" s="286"/>
      <c r="F54" s="59">
        <f t="shared" ref="F54:Q54" si="3">SUM(F27+F53)</f>
        <v>7442.1069999999836</v>
      </c>
      <c r="G54" s="59">
        <f t="shared" si="3"/>
        <v>247.53</v>
      </c>
      <c r="H54" s="59">
        <f>SUM(H27+H53)</f>
        <v>4990.7300000000014</v>
      </c>
      <c r="I54" s="59">
        <f t="shared" si="3"/>
        <v>7936.92</v>
      </c>
      <c r="J54" s="59">
        <f t="shared" si="3"/>
        <v>416.44</v>
      </c>
      <c r="K54" s="59">
        <f t="shared" si="3"/>
        <v>6394.33</v>
      </c>
      <c r="L54" s="59">
        <f t="shared" si="3"/>
        <v>29283.640000000003</v>
      </c>
      <c r="M54" s="59">
        <f t="shared" si="3"/>
        <v>7273.1969999999837</v>
      </c>
      <c r="N54" s="59">
        <f>SUM(N27+N53)</f>
        <v>96.14</v>
      </c>
      <c r="O54" s="59">
        <f>SUM(O27+O53)</f>
        <v>13000</v>
      </c>
      <c r="P54" s="59">
        <f>SUM(P27+P53)</f>
        <v>24000</v>
      </c>
      <c r="Q54" s="59">
        <f t="shared" si="3"/>
        <v>2883.0599999999913</v>
      </c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'!C18</f>
        <v>2416351</v>
      </c>
      <c r="G56" s="46">
        <f>'Packing bag '!D18</f>
        <v>0</v>
      </c>
      <c r="H56" s="46">
        <f>G56+'15'!H56</f>
        <v>414500</v>
      </c>
      <c r="I56" s="46">
        <f>G56+'15'!I56</f>
        <v>3567000</v>
      </c>
      <c r="J56" s="46">
        <f>'Packing bag '!E18</f>
        <v>36818</v>
      </c>
      <c r="K56" s="46">
        <f>J56+'15'!K56</f>
        <v>662202</v>
      </c>
      <c r="L56" s="46">
        <f>J56+'15'!L56</f>
        <v>2239036</v>
      </c>
      <c r="M56" s="46">
        <f>F56+G56-J56</f>
        <v>2379533</v>
      </c>
      <c r="N56" s="46"/>
      <c r="O56" s="46">
        <v>400000</v>
      </c>
      <c r="P56" s="46">
        <v>800000</v>
      </c>
      <c r="Q56" s="56">
        <f>SUM(M56+N56)-O56</f>
        <v>1979533</v>
      </c>
    </row>
    <row r="57" spans="2:19" x14ac:dyDescent="0.25">
      <c r="B57" s="288"/>
      <c r="C57" s="281" t="s">
        <v>160</v>
      </c>
      <c r="D57" s="282"/>
      <c r="E57" s="283"/>
      <c r="F57" s="46">
        <f>'Packing bag '!G18</f>
        <v>615042</v>
      </c>
      <c r="G57" s="46">
        <f>'Packing bag '!H18</f>
        <v>0</v>
      </c>
      <c r="H57" s="46">
        <f>G57+'15'!H57</f>
        <v>40500</v>
      </c>
      <c r="I57" s="46">
        <f>G57+'15'!I57</f>
        <v>332000</v>
      </c>
      <c r="J57" s="46">
        <f>'Packing bag '!I18</f>
        <v>2407</v>
      </c>
      <c r="K57" s="46">
        <f>J57+'15'!K57</f>
        <v>30026</v>
      </c>
      <c r="L57" s="46">
        <f>J57+'15'!L57</f>
        <v>119647</v>
      </c>
      <c r="M57" s="46">
        <f>F57+G57-J57</f>
        <v>612635</v>
      </c>
      <c r="N57" s="46"/>
      <c r="O57" s="46">
        <v>100000</v>
      </c>
      <c r="P57" s="46">
        <v>250000</v>
      </c>
      <c r="Q57" s="56">
        <f>SUM(M57+N57)-O57</f>
        <v>512635</v>
      </c>
    </row>
    <row r="58" spans="2:19" x14ac:dyDescent="0.25">
      <c r="B58" s="288"/>
      <c r="C58" s="281" t="s">
        <v>161</v>
      </c>
      <c r="D58" s="282"/>
      <c r="E58" s="283"/>
      <c r="F58" s="46">
        <f>'Packing bag '!K18</f>
        <v>493475</v>
      </c>
      <c r="G58" s="46">
        <f>'Packing bag '!L18</f>
        <v>0</v>
      </c>
      <c r="H58" s="46">
        <f>G58+'15'!H58</f>
        <v>0</v>
      </c>
      <c r="I58" s="46">
        <f>G58+'15'!I58</f>
        <v>295000</v>
      </c>
      <c r="J58" s="46">
        <f>'Packing bag '!M18</f>
        <v>1300</v>
      </c>
      <c r="K58" s="46">
        <f>J58+'15'!K58</f>
        <v>36588</v>
      </c>
      <c r="L58" s="46">
        <f>J58+'15'!L58</f>
        <v>208880</v>
      </c>
      <c r="M58" s="46">
        <f>F58+G58-J58</f>
        <v>492175</v>
      </c>
      <c r="N58" s="46"/>
      <c r="O58" s="46">
        <v>50000</v>
      </c>
      <c r="P58" s="46">
        <v>150000</v>
      </c>
      <c r="Q58" s="56">
        <f>SUM(M58+N58)-O58</f>
        <v>442175</v>
      </c>
    </row>
    <row r="59" spans="2:19" x14ac:dyDescent="0.25">
      <c r="B59" s="288"/>
      <c r="C59" s="281" t="s">
        <v>162</v>
      </c>
      <c r="D59" s="282"/>
      <c r="E59" s="283"/>
      <c r="F59" s="46">
        <f>'Packing bag '!O18</f>
        <v>151518</v>
      </c>
      <c r="G59" s="46">
        <f>'Packing bag '!P18</f>
        <v>0</v>
      </c>
      <c r="H59" s="46">
        <f>G59+'15'!H59</f>
        <v>85612</v>
      </c>
      <c r="I59" s="46">
        <f>G59+'15'!I59</f>
        <v>85000</v>
      </c>
      <c r="J59" s="46">
        <f>'Packing bag '!Q18</f>
        <v>0</v>
      </c>
      <c r="K59" s="46">
        <f>J59+'15'!K59</f>
        <v>2414</v>
      </c>
      <c r="L59" s="46">
        <f>J59+'15'!L59</f>
        <v>17183</v>
      </c>
      <c r="M59" s="46">
        <f>F59+G59-J59</f>
        <v>151518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G60+'15'!H60</f>
        <v>0</v>
      </c>
      <c r="I60" s="46">
        <f>G60+'15'!I60</f>
        <v>0</v>
      </c>
      <c r="J60" s="46">
        <v>0</v>
      </c>
      <c r="K60" s="46">
        <f>J60+'15'!K60</f>
        <v>0</v>
      </c>
      <c r="L60" s="46">
        <f>J60+'15'!L60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G61+'15'!H61</f>
        <v>0</v>
      </c>
      <c r="I61" s="46">
        <f>G61+'15'!I61</f>
        <v>0</v>
      </c>
      <c r="J61" s="46">
        <v>0</v>
      </c>
      <c r="K61" s="46">
        <f>J61+'15'!K61</f>
        <v>0</v>
      </c>
      <c r="L61" s="46">
        <f>J61+'15'!L61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3676386</v>
      </c>
      <c r="G62" s="59">
        <f>SUM(G56:G61)</f>
        <v>0</v>
      </c>
      <c r="H62" s="59">
        <f t="shared" ref="H62:Q62" si="4">SUM(H56:H61)</f>
        <v>540612</v>
      </c>
      <c r="I62" s="59">
        <f t="shared" si="4"/>
        <v>4279000</v>
      </c>
      <c r="J62" s="59">
        <f>SUM(J56:J61)</f>
        <v>40525</v>
      </c>
      <c r="K62" s="59">
        <f t="shared" si="4"/>
        <v>731230</v>
      </c>
      <c r="L62" s="59">
        <f t="shared" si="4"/>
        <v>2584746</v>
      </c>
      <c r="M62" s="59">
        <f t="shared" si="4"/>
        <v>3635861</v>
      </c>
      <c r="N62" s="59">
        <v>0</v>
      </c>
      <c r="O62" s="59">
        <f>SUM(O56:O61)</f>
        <v>551500</v>
      </c>
      <c r="P62" s="59">
        <f>SUM(P56:P61)</f>
        <v>1207000</v>
      </c>
      <c r="Q62" s="59">
        <f t="shared" si="4"/>
        <v>2932843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Cement!G18</f>
        <v>0</v>
      </c>
      <c r="G64" s="46">
        <f>Cement!H18</f>
        <v>0</v>
      </c>
      <c r="H64" s="46">
        <f>G64+'15'!H64</f>
        <v>0</v>
      </c>
      <c r="I64" s="46">
        <f>G64+'15'!I64</f>
        <v>0</v>
      </c>
      <c r="J64" s="46">
        <v>0</v>
      </c>
      <c r="K64" s="46">
        <f>J64+'15'!K64</f>
        <v>0</v>
      </c>
      <c r="L64" s="46">
        <f>J64+'15'!L64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Cement!K18</f>
        <v>0</v>
      </c>
      <c r="G65" s="46">
        <f>Cement!L18</f>
        <v>0</v>
      </c>
      <c r="H65" s="46">
        <f>G65+'15'!H65</f>
        <v>0</v>
      </c>
      <c r="I65" s="46">
        <f>G65+'15'!I65</f>
        <v>0</v>
      </c>
      <c r="J65" s="46">
        <f>Cement!M18</f>
        <v>0</v>
      </c>
      <c r="K65" s="46">
        <f>J65+'15'!K65</f>
        <v>0</v>
      </c>
      <c r="L65" s="46">
        <f>J65+'15'!L65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Diesel!B18</f>
        <v>33678</v>
      </c>
      <c r="G68" s="46">
        <f>Diesel!C18</f>
        <v>0</v>
      </c>
      <c r="H68" s="46">
        <f>G68+'15'!H68</f>
        <v>32000</v>
      </c>
      <c r="I68" s="46">
        <f>G68+'15'!I68</f>
        <v>122000</v>
      </c>
      <c r="J68" s="46">
        <v>0</v>
      </c>
      <c r="K68" s="46">
        <f>J68+'15'!K68</f>
        <v>0</v>
      </c>
      <c r="L68" s="46">
        <f>J68+'15'!L68</f>
        <v>0</v>
      </c>
      <c r="M68" s="46">
        <f>F68+G68-J70-G69-J71-J72</f>
        <v>32734</v>
      </c>
      <c r="N68" s="46"/>
      <c r="O68" s="46">
        <v>30000</v>
      </c>
      <c r="P68" s="46">
        <v>60000</v>
      </c>
      <c r="Q68" s="56">
        <f>SUM(M68+N68)-O68</f>
        <v>2734</v>
      </c>
    </row>
    <row r="69" spans="2:17" x14ac:dyDescent="0.25">
      <c r="B69" s="297"/>
      <c r="C69" s="281" t="s">
        <v>171</v>
      </c>
      <c r="D69" s="282"/>
      <c r="E69" s="283"/>
      <c r="F69" s="46">
        <f>Diesel!Y18</f>
        <v>0</v>
      </c>
      <c r="G69" s="46">
        <f>Diesel!Z18</f>
        <v>0</v>
      </c>
      <c r="H69" s="46">
        <f>G69+'15'!H69</f>
        <v>0</v>
      </c>
      <c r="I69" s="46">
        <f>G69+'15'!I69</f>
        <v>0</v>
      </c>
      <c r="J69" s="46">
        <f>Diesel!AA18</f>
        <v>0</v>
      </c>
      <c r="K69" s="46">
        <f>J69+'15'!K69</f>
        <v>0</v>
      </c>
      <c r="L69" s="46">
        <f>J69+'15'!L69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G70+'15'!H70</f>
        <v>0</v>
      </c>
      <c r="I70" s="46">
        <f>G70+'15'!I70</f>
        <v>0</v>
      </c>
      <c r="J70" s="46">
        <f>Diesel!P18</f>
        <v>0</v>
      </c>
      <c r="K70" s="46">
        <f>J70+'15'!K70</f>
        <v>75</v>
      </c>
      <c r="L70" s="46">
        <f>J70+'15'!L70</f>
        <v>678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G71+'15'!H71</f>
        <v>0</v>
      </c>
      <c r="I71" s="46">
        <f>G71+'15'!I71</f>
        <v>0</v>
      </c>
      <c r="J71" s="46">
        <f>Diesel!Q18</f>
        <v>30</v>
      </c>
      <c r="K71" s="46">
        <f>J71+'15'!K71</f>
        <v>14291</v>
      </c>
      <c r="L71" s="46">
        <f>J71+'15'!L71</f>
        <v>68926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G72+'15'!H72</f>
        <v>0</v>
      </c>
      <c r="I72" s="46">
        <f>G72+'15'!I72</f>
        <v>0</v>
      </c>
      <c r="J72" s="46">
        <f>Diesel!R18</f>
        <v>914</v>
      </c>
      <c r="K72" s="46">
        <f>J72+'15'!K72</f>
        <v>11045</v>
      </c>
      <c r="L72" s="46">
        <f>J72+'15'!L72</f>
        <v>53753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G73+'15'!H73</f>
        <v>0</v>
      </c>
      <c r="I73" s="46">
        <f>G73+'15'!I73</f>
        <v>0</v>
      </c>
      <c r="J73" s="46">
        <f>Diesel!S18</f>
        <v>0</v>
      </c>
      <c r="K73" s="46">
        <f>J73+'15'!K73</f>
        <v>0</v>
      </c>
      <c r="L73" s="46">
        <f>J73+'15'!L73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G74+'15'!H74</f>
        <v>0</v>
      </c>
      <c r="I74" s="46">
        <f>G74+'15'!I74</f>
        <v>0</v>
      </c>
      <c r="J74" s="46">
        <f>Diesel!T18</f>
        <v>0</v>
      </c>
      <c r="K74" s="46">
        <f>J74+'15'!K74</f>
        <v>0</v>
      </c>
      <c r="L74" s="46">
        <f>J74+'15'!L74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G75+'15'!H75</f>
        <v>0</v>
      </c>
      <c r="I75" s="46">
        <f>G75+'15'!I75</f>
        <v>0</v>
      </c>
      <c r="J75" s="61">
        <f>Diesel!U18</f>
        <v>0</v>
      </c>
      <c r="K75" s="46">
        <f>J75+'15'!K75</f>
        <v>0</v>
      </c>
      <c r="L75" s="46">
        <f>J75+'15'!L75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33678</v>
      </c>
      <c r="G76" s="62">
        <f t="shared" ref="G76:M76" si="6">SUM(G68:G75)</f>
        <v>0</v>
      </c>
      <c r="H76" s="62">
        <f t="shared" si="6"/>
        <v>32000</v>
      </c>
      <c r="I76" s="62">
        <f t="shared" si="6"/>
        <v>122000</v>
      </c>
      <c r="J76" s="62">
        <f t="shared" si="6"/>
        <v>944</v>
      </c>
      <c r="K76" s="62">
        <f t="shared" si="6"/>
        <v>25411</v>
      </c>
      <c r="L76" s="62">
        <f t="shared" si="6"/>
        <v>138357</v>
      </c>
      <c r="M76" s="62">
        <f t="shared" si="6"/>
        <v>32734</v>
      </c>
      <c r="N76" s="63"/>
      <c r="O76" s="64"/>
      <c r="P76" s="62"/>
      <c r="Q76" s="65"/>
    </row>
  </sheetData>
  <mergeCells count="70">
    <mergeCell ref="C31:E31"/>
    <mergeCell ref="C56:E56"/>
    <mergeCell ref="C57:E57"/>
    <mergeCell ref="C64:E64"/>
    <mergeCell ref="C65:E65"/>
    <mergeCell ref="C35:E35"/>
    <mergeCell ref="C36:D36"/>
    <mergeCell ref="C37:D37"/>
    <mergeCell ref="C40:E40"/>
    <mergeCell ref="C50:D50"/>
    <mergeCell ref="C47:D47"/>
    <mergeCell ref="C59:E59"/>
    <mergeCell ref="C66:E66"/>
    <mergeCell ref="B9:B54"/>
    <mergeCell ref="B55:B62"/>
    <mergeCell ref="C51:E51"/>
    <mergeCell ref="C52:E52"/>
    <mergeCell ref="C53:E53"/>
    <mergeCell ref="C54:E54"/>
    <mergeCell ref="C55:Q55"/>
    <mergeCell ref="C61:E61"/>
    <mergeCell ref="C62:E62"/>
    <mergeCell ref="C33:E33"/>
    <mergeCell ref="C9:E9"/>
    <mergeCell ref="C10:E10"/>
    <mergeCell ref="C30:E30"/>
    <mergeCell ref="C38:D38"/>
    <mergeCell ref="C34:E3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58:E58"/>
    <mergeCell ref="C60:E60"/>
    <mergeCell ref="C6:E6"/>
    <mergeCell ref="C7:E7"/>
    <mergeCell ref="C32:E32"/>
    <mergeCell ref="C11:E11"/>
    <mergeCell ref="C27:E27"/>
    <mergeCell ref="C28:E28"/>
    <mergeCell ref="C29:E29"/>
    <mergeCell ref="C14:D14"/>
    <mergeCell ref="C13:D13"/>
    <mergeCell ref="C12:E12"/>
    <mergeCell ref="C15:D15"/>
    <mergeCell ref="C17:E17"/>
    <mergeCell ref="C20:D20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18:E18"/>
  </mergeCells>
  <pageMargins left="0.7" right="0.7" top="0.75" bottom="0.75" header="0.3" footer="0.3"/>
  <pageSetup paperSize="9" scale="7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pageSetUpPr fitToPage="1"/>
  </sheetPr>
  <dimension ref="B1:U76"/>
  <sheetViews>
    <sheetView zoomScale="90" zoomScaleNormal="90" workbookViewId="0">
      <pane xSplit="4" ySplit="1" topLeftCell="E26" activePane="bottomRight" state="frozen"/>
      <selection pane="topRight" activeCell="E1" sqref="E1"/>
      <selection pane="bottomLeft" activeCell="A6" sqref="A6"/>
      <selection pane="bottomRight" activeCell="C32" sqref="C32:E32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9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 t="s">
        <v>225</v>
      </c>
      <c r="Q3" s="316"/>
    </row>
    <row r="4" spans="2:19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9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9" x14ac:dyDescent="0.25">
      <c r="B6" s="54">
        <v>1</v>
      </c>
      <c r="C6" s="308" t="s">
        <v>135</v>
      </c>
      <c r="D6" s="309"/>
      <c r="E6" s="310"/>
      <c r="F6" s="45">
        <f>Clinker!C19</f>
        <v>1605.92</v>
      </c>
      <c r="G6" s="45">
        <f>Clinker!D19</f>
        <v>0</v>
      </c>
      <c r="H6" s="45">
        <f>G6+'16'!H6</f>
        <v>0</v>
      </c>
      <c r="I6" s="45">
        <f>G6+'16'!I6</f>
        <v>417.28000000000003</v>
      </c>
      <c r="J6" s="45">
        <f>Clinker!E19</f>
        <v>47</v>
      </c>
      <c r="K6" s="45">
        <f>J6+'16'!K6</f>
        <v>1089</v>
      </c>
      <c r="L6" s="45">
        <f>J6+'16'!L6</f>
        <v>4224</v>
      </c>
      <c r="M6" s="45">
        <f>F6+G6-J6</f>
        <v>1558.92</v>
      </c>
      <c r="N6" s="45">
        <v>0</v>
      </c>
      <c r="O6" s="45">
        <v>3000</v>
      </c>
      <c r="P6" s="45">
        <v>6000</v>
      </c>
      <c r="Q6" s="55">
        <f>SUM(M6+N6)-O6</f>
        <v>-1441.08</v>
      </c>
    </row>
    <row r="7" spans="2:19" x14ac:dyDescent="0.25">
      <c r="B7" s="50">
        <v>2</v>
      </c>
      <c r="C7" s="305" t="s">
        <v>136</v>
      </c>
      <c r="D7" s="306"/>
      <c r="E7" s="307"/>
      <c r="F7" s="46">
        <f>Cement!C19</f>
        <v>2710.1094233404383</v>
      </c>
      <c r="G7" s="46">
        <f>Cement!D19</f>
        <v>121.7</v>
      </c>
      <c r="H7" s="45">
        <f>G7+'16'!H7</f>
        <v>641.68000000000006</v>
      </c>
      <c r="I7" s="45">
        <f>G7+'16'!I7</f>
        <v>2768.2999999999997</v>
      </c>
      <c r="J7" s="46">
        <f>Cement!I19</f>
        <v>148.15789473684211</v>
      </c>
      <c r="K7" s="45">
        <f>J7+'16'!K7</f>
        <v>2166.334329552581</v>
      </c>
      <c r="L7" s="45">
        <f>J7+'16'!L7</f>
        <v>7392.5643198800817</v>
      </c>
      <c r="M7" s="45">
        <f>F7+G7-J7</f>
        <v>2683.651528603596</v>
      </c>
      <c r="N7" s="46">
        <v>0</v>
      </c>
      <c r="O7" s="46">
        <v>3000</v>
      </c>
      <c r="P7" s="46">
        <v>6000</v>
      </c>
      <c r="Q7" s="56">
        <f>SUM(M7+N7)-O7</f>
        <v>-316.34847139640397</v>
      </c>
      <c r="R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Clinker!EI19</f>
        <v>25558.152571720202</v>
      </c>
      <c r="G8" s="46">
        <f>Clinker!EJ19</f>
        <v>1425</v>
      </c>
      <c r="H8" s="45">
        <f>G8+'16'!H8</f>
        <v>25562</v>
      </c>
      <c r="I8" s="45">
        <f>G8+'16'!I8</f>
        <v>124478.66</v>
      </c>
      <c r="J8" s="46">
        <f>Clinker!EK19</f>
        <v>2169.6900000001551</v>
      </c>
      <c r="K8" s="45">
        <f>J8+'16'!K8</f>
        <v>32000.439516086917</v>
      </c>
      <c r="L8" s="45">
        <f>J8+'16'!L8</f>
        <v>111796.28653590684</v>
      </c>
      <c r="M8" s="45">
        <f>F8+G8-J8</f>
        <v>24813.462571720047</v>
      </c>
      <c r="N8" s="46">
        <v>0</v>
      </c>
      <c r="O8" s="46"/>
      <c r="P8" s="46"/>
      <c r="Q8" s="56"/>
      <c r="S8" s="90"/>
    </row>
    <row r="9" spans="2:19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88"/>
      <c r="C10" s="281" t="s">
        <v>138</v>
      </c>
      <c r="D10" s="282"/>
      <c r="E10" s="283"/>
      <c r="F10" s="46">
        <f>Clinker!K19</f>
        <v>0</v>
      </c>
      <c r="G10" s="46">
        <f>Clinker!L19</f>
        <v>0</v>
      </c>
      <c r="H10" s="46">
        <f>G10+'16'!H10</f>
        <v>0</v>
      </c>
      <c r="I10" s="46">
        <f>G10+'16'!I10</f>
        <v>0</v>
      </c>
      <c r="J10" s="46">
        <f>Clinker!N19</f>
        <v>0</v>
      </c>
      <c r="K10" s="46">
        <f>J10+'16'!K10</f>
        <v>0</v>
      </c>
      <c r="L10" s="46">
        <f>J10+'16'!L10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88"/>
      <c r="C11" s="281" t="s">
        <v>139</v>
      </c>
      <c r="D11" s="282"/>
      <c r="E11" s="283"/>
      <c r="F11" s="46">
        <f>Clinker!W19</f>
        <v>3.9999999998087787E-2</v>
      </c>
      <c r="G11" s="46">
        <f>Clinker!X19</f>
        <v>0</v>
      </c>
      <c r="H11" s="46">
        <f>G11+'16'!H11</f>
        <v>0</v>
      </c>
      <c r="I11" s="46">
        <f>G11+'16'!I11</f>
        <v>0</v>
      </c>
      <c r="J11" s="46">
        <f>Clinker!Z19</f>
        <v>0</v>
      </c>
      <c r="K11" s="46">
        <f>J11+'16'!K11</f>
        <v>1063</v>
      </c>
      <c r="L11" s="46">
        <f>J11+'16'!L11</f>
        <v>8686.84</v>
      </c>
      <c r="M11" s="45">
        <f>F11+G11-J11-J34</f>
        <v>3.9999999998087787E-2</v>
      </c>
      <c r="N11" s="46">
        <v>0</v>
      </c>
      <c r="O11" s="46"/>
      <c r="P11" s="46"/>
      <c r="Q11" s="56">
        <f>SUM(M11+N11)-O11</f>
        <v>3.9999999998087787E-2</v>
      </c>
    </row>
    <row r="12" spans="2:19" ht="15" customHeight="1" x14ac:dyDescent="0.25">
      <c r="B12" s="288"/>
      <c r="C12" s="281" t="s">
        <v>140</v>
      </c>
      <c r="D12" s="282"/>
      <c r="E12" s="283"/>
      <c r="F12" s="46">
        <f>Clinker!AT19</f>
        <v>1.0000000002058584E-2</v>
      </c>
      <c r="G12" s="46">
        <f>Clinker!AU19</f>
        <v>0</v>
      </c>
      <c r="H12" s="46">
        <f>G12+'16'!H12</f>
        <v>0</v>
      </c>
      <c r="I12" s="46">
        <f>G12+'16'!I12</f>
        <v>181.5</v>
      </c>
      <c r="J12" s="46">
        <f>Clinker!AV19</f>
        <v>0</v>
      </c>
      <c r="K12" s="46">
        <f>J12+'16'!K12</f>
        <v>2933.89</v>
      </c>
      <c r="L12" s="46">
        <f>J12+'16'!L12</f>
        <v>5675.5900000000011</v>
      </c>
      <c r="M12" s="45">
        <f>F12+G12-J12-J32</f>
        <v>1.0000000002058584E-2</v>
      </c>
      <c r="N12" s="46">
        <v>0</v>
      </c>
      <c r="O12" s="46"/>
      <c r="P12" s="46"/>
      <c r="Q12" s="70"/>
    </row>
    <row r="13" spans="2:19" x14ac:dyDescent="0.25">
      <c r="B13" s="288"/>
      <c r="C13" s="281" t="s">
        <v>9</v>
      </c>
      <c r="D13" s="282"/>
      <c r="E13" s="69"/>
      <c r="F13" s="46">
        <f>Clinker!AO19</f>
        <v>0</v>
      </c>
      <c r="G13" s="46">
        <f>Clinker!AP19</f>
        <v>0</v>
      </c>
      <c r="H13" s="46">
        <f>G13+'16'!H13</f>
        <v>0</v>
      </c>
      <c r="I13" s="46">
        <f>G13+'16'!I13</f>
        <v>0</v>
      </c>
      <c r="J13" s="46">
        <f>Clinker!AQ19</f>
        <v>0</v>
      </c>
      <c r="K13" s="46">
        <f>J13+'16'!K13</f>
        <v>0</v>
      </c>
      <c r="L13" s="46">
        <f>J13+'16'!L13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88"/>
      <c r="C14" s="281" t="s">
        <v>8</v>
      </c>
      <c r="D14" s="282"/>
      <c r="E14" s="69"/>
      <c r="F14" s="46">
        <f>Clinker!AK19</f>
        <v>0</v>
      </c>
      <c r="G14" s="46">
        <f>Clinker!AL19</f>
        <v>0</v>
      </c>
      <c r="H14" s="46">
        <f>G14+'16'!H14</f>
        <v>0</v>
      </c>
      <c r="I14" s="46">
        <f>G14+'16'!I14</f>
        <v>0</v>
      </c>
      <c r="J14" s="46">
        <f>Clinker!AM19</f>
        <v>0</v>
      </c>
      <c r="K14" s="46">
        <f>J14+'16'!K14</f>
        <v>0</v>
      </c>
      <c r="L14" s="46">
        <f>J14+'16'!L14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88"/>
      <c r="C15" s="281" t="s">
        <v>11</v>
      </c>
      <c r="D15" s="282"/>
      <c r="E15" s="69"/>
      <c r="F15" s="46">
        <f>Clinker!AY19</f>
        <v>2618.0669999999905</v>
      </c>
      <c r="G15" s="46">
        <f>Clinker!AZ19</f>
        <v>64.14</v>
      </c>
      <c r="H15" s="46">
        <f>G15+'16'!H15</f>
        <v>2413.5200000000004</v>
      </c>
      <c r="I15" s="46">
        <f>G15+'16'!I15</f>
        <v>2825.26</v>
      </c>
      <c r="J15" s="46">
        <f>Clinker!BA19</f>
        <v>244.44</v>
      </c>
      <c r="K15" s="46">
        <f>J15+'16'!K15</f>
        <v>387.78</v>
      </c>
      <c r="L15" s="46">
        <f>J15+'16'!L15</f>
        <v>387.78</v>
      </c>
      <c r="M15" s="45">
        <f>F15+G15-J15-J38</f>
        <v>2437.7669999999903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88"/>
      <c r="C16" s="76" t="s">
        <v>141</v>
      </c>
      <c r="D16" s="77"/>
      <c r="E16" s="69"/>
      <c r="F16" s="46">
        <f>Clinker!BD19</f>
        <v>0</v>
      </c>
      <c r="G16" s="46">
        <f>Clinker!BE19</f>
        <v>0</v>
      </c>
      <c r="H16" s="46">
        <f>G16+'16'!H16</f>
        <v>0</v>
      </c>
      <c r="I16" s="46">
        <f>G16+'16'!I16</f>
        <v>0</v>
      </c>
      <c r="J16" s="46">
        <f>Clinker!BF19</f>
        <v>0</v>
      </c>
      <c r="K16" s="46">
        <f>J16+'16'!K16</f>
        <v>0</v>
      </c>
      <c r="L16" s="46">
        <f>J16+'16'!L16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21" ht="14.25" customHeight="1" x14ac:dyDescent="0.25">
      <c r="B17" s="288"/>
      <c r="C17" s="281" t="s">
        <v>13</v>
      </c>
      <c r="D17" s="282"/>
      <c r="E17" s="283"/>
      <c r="F17" s="46">
        <f>Clinker!BI19</f>
        <v>0</v>
      </c>
      <c r="G17" s="46">
        <f>Clinker!BJ19</f>
        <v>0</v>
      </c>
      <c r="H17" s="46">
        <f>G17+'16'!H17</f>
        <v>0</v>
      </c>
      <c r="I17" s="46">
        <f>G17+'16'!I17</f>
        <v>0</v>
      </c>
      <c r="J17" s="46">
        <f>Clinker!BK19</f>
        <v>0</v>
      </c>
      <c r="K17" s="46">
        <f>J17+'16'!K17</f>
        <v>0</v>
      </c>
      <c r="L17" s="46">
        <f>J17+'16'!L17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21" ht="14.25" customHeight="1" x14ac:dyDescent="0.25">
      <c r="B18" s="288"/>
      <c r="C18" s="281" t="s">
        <v>14</v>
      </c>
      <c r="D18" s="282"/>
      <c r="E18" s="283"/>
      <c r="F18" s="46">
        <f>Clinker!BN19</f>
        <v>0</v>
      </c>
      <c r="G18" s="46">
        <f>Clinker!BO19</f>
        <v>0</v>
      </c>
      <c r="H18" s="46">
        <f>G18+'16'!H18</f>
        <v>0</v>
      </c>
      <c r="I18" s="46">
        <f>G18+'16'!I18</f>
        <v>0</v>
      </c>
      <c r="J18" s="46">
        <f>Clinker!BP19</f>
        <v>0</v>
      </c>
      <c r="K18" s="46">
        <f>J18+'16'!K18</f>
        <v>0</v>
      </c>
      <c r="L18" s="46">
        <f>J18+'16'!L18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21" ht="14.25" customHeight="1" x14ac:dyDescent="0.25">
      <c r="B19" s="288"/>
      <c r="C19" s="76" t="s">
        <v>142</v>
      </c>
      <c r="D19" s="77"/>
      <c r="E19" s="69"/>
      <c r="F19" s="46">
        <f>Clinker!BS19</f>
        <v>0</v>
      </c>
      <c r="G19" s="46">
        <f>Clinker!BT19</f>
        <v>0</v>
      </c>
      <c r="H19" s="46">
        <f>G19+'16'!H19</f>
        <v>0</v>
      </c>
      <c r="I19" s="46">
        <f>G19+'16'!I19</f>
        <v>0</v>
      </c>
      <c r="J19" s="46">
        <f>Clinker!BU19</f>
        <v>0</v>
      </c>
      <c r="K19" s="46">
        <f>J19+'16'!K19</f>
        <v>0</v>
      </c>
      <c r="L19" s="46">
        <f>J19+'16'!L19</f>
        <v>0</v>
      </c>
      <c r="M19" s="45">
        <f>F19+G19-J19-J43</f>
        <v>0</v>
      </c>
      <c r="N19" s="46">
        <v>0</v>
      </c>
      <c r="O19" s="46"/>
      <c r="P19" s="46"/>
      <c r="Q19" s="70"/>
    </row>
    <row r="20" spans="2:21" ht="14.25" customHeight="1" x14ac:dyDescent="0.25">
      <c r="B20" s="288"/>
      <c r="C20" s="281" t="s">
        <v>155</v>
      </c>
      <c r="D20" s="282"/>
      <c r="E20" s="69"/>
      <c r="F20" s="46">
        <f>Clinker!BX19</f>
        <v>0</v>
      </c>
      <c r="G20" s="46">
        <f>Clinker!BY19</f>
        <v>0</v>
      </c>
      <c r="H20" s="46">
        <f>G20+'16'!H20</f>
        <v>0</v>
      </c>
      <c r="I20" s="46">
        <f>G20+'16'!I20</f>
        <v>0</v>
      </c>
      <c r="J20" s="46">
        <f>Clinker!AH19</f>
        <v>0</v>
      </c>
      <c r="K20" s="46">
        <f>J20+'16'!K20</f>
        <v>0</v>
      </c>
      <c r="L20" s="46">
        <f>J20+'16'!L20</f>
        <v>4052.88</v>
      </c>
      <c r="M20" s="45">
        <v>0</v>
      </c>
      <c r="N20" s="46">
        <v>0</v>
      </c>
      <c r="O20" s="46"/>
      <c r="P20" s="46"/>
      <c r="Q20" s="70"/>
    </row>
    <row r="21" spans="2:21" ht="14.25" customHeight="1" x14ac:dyDescent="0.25">
      <c r="B21" s="288"/>
      <c r="C21" s="76" t="s">
        <v>20</v>
      </c>
      <c r="D21" s="77"/>
      <c r="E21" s="69"/>
      <c r="F21" s="46">
        <f>Clinker!CR19</f>
        <v>0</v>
      </c>
      <c r="G21" s="46">
        <f>Clinker!CS19</f>
        <v>0</v>
      </c>
      <c r="H21" s="46">
        <f>G21+'16'!H21</f>
        <v>0</v>
      </c>
      <c r="I21" s="46">
        <f>G21+'16'!I21</f>
        <v>0</v>
      </c>
      <c r="J21" s="46">
        <f>Clinker!CT19</f>
        <v>0</v>
      </c>
      <c r="K21" s="46">
        <f>J21+'16'!K21</f>
        <v>0</v>
      </c>
      <c r="L21" s="46">
        <f>J21+'16'!L21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21" ht="14.25" customHeight="1" x14ac:dyDescent="0.25">
      <c r="B22" s="288"/>
      <c r="C22" s="76" t="s">
        <v>184</v>
      </c>
      <c r="D22" s="77"/>
      <c r="E22" s="69"/>
      <c r="F22" s="46">
        <f>Clinker!CW19</f>
        <v>0</v>
      </c>
      <c r="G22" s="46">
        <f>Clinker!CX19</f>
        <v>0</v>
      </c>
      <c r="H22" s="46">
        <f>G22+'16'!H22</f>
        <v>0</v>
      </c>
      <c r="I22" s="46">
        <f>G22+'16'!I22</f>
        <v>0</v>
      </c>
      <c r="J22" s="46">
        <f>Clinker!CY19</f>
        <v>0</v>
      </c>
      <c r="K22" s="46">
        <f>J22+'16'!K22</f>
        <v>0</v>
      </c>
      <c r="L22" s="46">
        <f>J22+'16'!L22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21" ht="14.25" customHeight="1" x14ac:dyDescent="0.25">
      <c r="B23" s="288"/>
      <c r="C23" s="76" t="s">
        <v>22</v>
      </c>
      <c r="D23" s="77"/>
      <c r="E23" s="69"/>
      <c r="F23" s="46">
        <f>Clinker!DB19</f>
        <v>1.0000000000013998E-2</v>
      </c>
      <c r="G23" s="46">
        <f>Clinker!DC19</f>
        <v>0</v>
      </c>
      <c r="H23" s="46">
        <f>G23+'16'!H23</f>
        <v>0</v>
      </c>
      <c r="I23" s="46">
        <f>G23+'16'!I23</f>
        <v>0</v>
      </c>
      <c r="J23" s="46">
        <f>Clinker!DD19</f>
        <v>0</v>
      </c>
      <c r="K23" s="46">
        <f>J23+'16'!K23</f>
        <v>7.1</v>
      </c>
      <c r="L23" s="46">
        <f>J23+'16'!L23</f>
        <v>305.99</v>
      </c>
      <c r="M23" s="45">
        <f>F23+G23-J23-J42</f>
        <v>1.0000000000013998E-2</v>
      </c>
      <c r="N23" s="46">
        <v>0</v>
      </c>
      <c r="O23" s="46"/>
      <c r="P23" s="46"/>
      <c r="Q23" s="70"/>
    </row>
    <row r="24" spans="2:21" ht="14.25" customHeight="1" x14ac:dyDescent="0.25">
      <c r="B24" s="288"/>
      <c r="C24" s="76" t="s">
        <v>144</v>
      </c>
      <c r="D24" s="77"/>
      <c r="E24" s="69"/>
      <c r="F24" s="46">
        <f>Clinker!DG19</f>
        <v>0</v>
      </c>
      <c r="G24" s="46">
        <f>Clinker!DH19</f>
        <v>0</v>
      </c>
      <c r="H24" s="46">
        <f>G24+'16'!H24</f>
        <v>0</v>
      </c>
      <c r="I24" s="46">
        <f>G24+'16'!I24</f>
        <v>0</v>
      </c>
      <c r="J24" s="46">
        <f>Clinker!DI19</f>
        <v>0</v>
      </c>
      <c r="K24" s="46">
        <f>J24+'16'!K24</f>
        <v>0</v>
      </c>
      <c r="L24" s="46">
        <f>J24+'16'!L24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21" ht="14.25" customHeight="1" x14ac:dyDescent="0.25">
      <c r="B25" s="288"/>
      <c r="C25" s="76" t="s">
        <v>145</v>
      </c>
      <c r="D25" s="77"/>
      <c r="E25" s="69"/>
      <c r="F25" s="46">
        <f>Clinker!DL19</f>
        <v>304</v>
      </c>
      <c r="G25" s="46">
        <f>Clinker!DM19</f>
        <v>0</v>
      </c>
      <c r="H25" s="46">
        <f>G25+'16'!H25</f>
        <v>92</v>
      </c>
      <c r="I25" s="46">
        <f>G25+'16'!I25</f>
        <v>304</v>
      </c>
      <c r="J25" s="46">
        <f>Clinker!DN19</f>
        <v>0</v>
      </c>
      <c r="K25" s="46">
        <f>J25+'16'!K25</f>
        <v>0</v>
      </c>
      <c r="L25" s="46">
        <f>J25+'16'!L25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21" ht="14.25" customHeight="1" x14ac:dyDescent="0.25">
      <c r="B26" s="288"/>
      <c r="C26" s="76" t="s">
        <v>26</v>
      </c>
      <c r="D26" s="77"/>
      <c r="E26" s="69"/>
      <c r="F26" s="46">
        <f>Clinker!DV19</f>
        <v>0</v>
      </c>
      <c r="G26" s="46">
        <f>Clinker!DW19</f>
        <v>0</v>
      </c>
      <c r="H26" s="46">
        <f>G26+'16'!H26</f>
        <v>0</v>
      </c>
      <c r="I26" s="46">
        <f>G26+'16'!I26</f>
        <v>0</v>
      </c>
      <c r="J26" s="46">
        <f>Clinker!DX19</f>
        <v>0</v>
      </c>
      <c r="K26" s="46">
        <f>J26+'16'!K26</f>
        <v>0</v>
      </c>
      <c r="L26" s="46">
        <f>J26+'16'!L26</f>
        <v>0</v>
      </c>
      <c r="M26" s="45">
        <f>F26+G26-J26</f>
        <v>0</v>
      </c>
      <c r="N26" s="46">
        <v>0</v>
      </c>
      <c r="O26" s="46"/>
      <c r="P26" s="46"/>
      <c r="Q26" s="70"/>
      <c r="U26">
        <f>U23</f>
        <v>0</v>
      </c>
    </row>
    <row r="27" spans="2:21" s="67" customFormat="1" x14ac:dyDescent="0.25">
      <c r="B27" s="288"/>
      <c r="C27" s="281" t="s">
        <v>146</v>
      </c>
      <c r="D27" s="282"/>
      <c r="E27" s="283"/>
      <c r="F27" s="46">
        <f>SUM(F10:F26)</f>
        <v>2922.1269999999909</v>
      </c>
      <c r="G27" s="46">
        <f t="shared" ref="G27:Q27" si="0">SUM(G10:G26)</f>
        <v>64.14</v>
      </c>
      <c r="H27" s="46">
        <f t="shared" si="0"/>
        <v>2505.5200000000004</v>
      </c>
      <c r="I27" s="46">
        <f t="shared" si="0"/>
        <v>3310.76</v>
      </c>
      <c r="J27" s="46">
        <f t="shared" si="0"/>
        <v>244.44</v>
      </c>
      <c r="K27" s="46">
        <f t="shared" si="0"/>
        <v>4391.7700000000004</v>
      </c>
      <c r="L27" s="46">
        <f t="shared" si="0"/>
        <v>19109.080000000002</v>
      </c>
      <c r="M27" s="46">
        <f t="shared" si="0"/>
        <v>2741.8269999999907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3.9999999998087787E-2</v>
      </c>
    </row>
    <row r="28" spans="2:21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21" x14ac:dyDescent="0.25">
      <c r="B29" s="288"/>
      <c r="C29" s="281" t="s">
        <v>148</v>
      </c>
      <c r="D29" s="282"/>
      <c r="E29" s="283"/>
      <c r="F29" s="46">
        <f>Clinker!Q19</f>
        <v>0</v>
      </c>
      <c r="G29" s="46">
        <f>Clinker!R19</f>
        <v>0</v>
      </c>
      <c r="H29" s="46">
        <f>G29+'16'!H29</f>
        <v>0</v>
      </c>
      <c r="I29" s="46">
        <f>G29+'16'!I29</f>
        <v>0</v>
      </c>
      <c r="J29" s="46">
        <f>Clinker!S19</f>
        <v>0</v>
      </c>
      <c r="K29" s="46">
        <f>J29+'16'!K29</f>
        <v>0</v>
      </c>
      <c r="L29" s="46">
        <f>J29+'16'!L29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21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G30+'16'!H30</f>
        <v>0</v>
      </c>
      <c r="I30" s="46">
        <f>G30+'16'!I30</f>
        <v>0</v>
      </c>
      <c r="J30" s="46">
        <v>0</v>
      </c>
      <c r="K30" s="46">
        <f>J30+'16'!K30</f>
        <v>0</v>
      </c>
      <c r="L30" s="46">
        <f>J30+'16'!L30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21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G31+'16'!H31</f>
        <v>0</v>
      </c>
      <c r="I31" s="46">
        <f>G31+'16'!I31</f>
        <v>0</v>
      </c>
      <c r="J31" s="46">
        <v>0</v>
      </c>
      <c r="K31" s="46">
        <f>J31+'16'!K31</f>
        <v>0</v>
      </c>
      <c r="L31" s="46">
        <f>J31+'16'!L31</f>
        <v>0</v>
      </c>
      <c r="M31" s="45">
        <f t="shared" ref="M31" si="1">F31+G31-J31</f>
        <v>0</v>
      </c>
      <c r="N31" s="46">
        <v>0</v>
      </c>
      <c r="O31" s="46"/>
      <c r="P31" s="46"/>
      <c r="Q31" s="56"/>
    </row>
    <row r="32" spans="2:21" ht="15" customHeight="1" x14ac:dyDescent="0.25">
      <c r="B32" s="288"/>
      <c r="C32" s="281" t="s">
        <v>25</v>
      </c>
      <c r="D32" s="282"/>
      <c r="E32" s="283"/>
      <c r="F32" s="46">
        <v>0</v>
      </c>
      <c r="G32" s="46">
        <f>Clinker!DR19</f>
        <v>0</v>
      </c>
      <c r="H32" s="46">
        <f>G32+'16'!H32</f>
        <v>0</v>
      </c>
      <c r="I32" s="46">
        <f>G32+'16'!I32</f>
        <v>0</v>
      </c>
      <c r="J32" s="46">
        <f>Clinker!AW19</f>
        <v>0</v>
      </c>
      <c r="K32" s="46">
        <f>J32+'16'!K32</f>
        <v>0</v>
      </c>
      <c r="L32" s="46">
        <f>J32+'16'!L32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G33+'16'!H33</f>
        <v>0</v>
      </c>
      <c r="I33" s="46">
        <f>G33+'16'!I33</f>
        <v>0</v>
      </c>
      <c r="J33" s="46">
        <v>0</v>
      </c>
      <c r="K33" s="46">
        <f>J33+'16'!K33</f>
        <v>0</v>
      </c>
      <c r="L33" s="46">
        <f>J33+'16'!L33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Clinker!Y19</f>
        <v>0</v>
      </c>
      <c r="K34" s="46">
        <f>J34+'16'!K34</f>
        <v>0</v>
      </c>
      <c r="L34" s="46">
        <f>J34+'16'!L34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Clinker!M19</f>
        <v>0</v>
      </c>
      <c r="K35" s="46">
        <f>J35+'16'!K35</f>
        <v>0</v>
      </c>
      <c r="L35" s="46">
        <f>J35+'16'!L35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Clinker!AR19</f>
        <v>0</v>
      </c>
      <c r="K36" s="46">
        <f>J36+'16'!K36</f>
        <v>0</v>
      </c>
      <c r="L36" s="46">
        <f>J36+'16'!L36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140</v>
      </c>
      <c r="D37" s="282"/>
      <c r="E37" s="69"/>
      <c r="F37" s="46"/>
      <c r="G37" s="46"/>
      <c r="H37" s="46"/>
      <c r="I37" s="46"/>
      <c r="J37" s="46">
        <f>Clinker!DT19</f>
        <v>0</v>
      </c>
      <c r="K37" s="46">
        <f>J37+'16'!K37</f>
        <v>0</v>
      </c>
      <c r="L37" s="46">
        <f>J37+'16'!L37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Clinker!BB19</f>
        <v>0</v>
      </c>
      <c r="K38" s="46">
        <f>J38+'16'!K38</f>
        <v>0</v>
      </c>
      <c r="L38" s="46">
        <f>J38+'16'!L38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Clinker!BG19</f>
        <v>0</v>
      </c>
      <c r="K39" s="46">
        <f>J39+'16'!K39</f>
        <v>0</v>
      </c>
      <c r="L39" s="46">
        <f>J39+'16'!L39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13</v>
      </c>
      <c r="D40" s="282"/>
      <c r="E40" s="283"/>
      <c r="F40" s="46"/>
      <c r="G40" s="46"/>
      <c r="H40" s="46"/>
      <c r="I40" s="46"/>
      <c r="J40" s="46">
        <f>Clinker!BL19</f>
        <v>0</v>
      </c>
      <c r="K40" s="46">
        <f>J40+'16'!K40</f>
        <v>0</v>
      </c>
      <c r="L40" s="46">
        <f>J40+'16'!L40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Clinker!BQ19</f>
        <v>0</v>
      </c>
      <c r="K41" s="46">
        <f>J41+'16'!K41</f>
        <v>0</v>
      </c>
      <c r="L41" s="46">
        <f>J41+'16'!L41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20</v>
      </c>
      <c r="D42" s="77"/>
      <c r="E42" s="69"/>
      <c r="F42" s="46"/>
      <c r="G42" s="46"/>
      <c r="H42" s="46"/>
      <c r="I42" s="46"/>
      <c r="J42" s="46">
        <f>Clinker!CU19</f>
        <v>0</v>
      </c>
      <c r="K42" s="46">
        <f>J42+'16'!K42</f>
        <v>0</v>
      </c>
      <c r="L42" s="46">
        <f>J42+'16'!L42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142</v>
      </c>
      <c r="D43" s="77"/>
      <c r="E43" s="69"/>
      <c r="F43" s="46"/>
      <c r="G43" s="46"/>
      <c r="H43" s="46"/>
      <c r="I43" s="46"/>
      <c r="J43" s="46">
        <f>Clinker!BV19</f>
        <v>0</v>
      </c>
      <c r="K43" s="46">
        <f>J43+'16'!K43</f>
        <v>0</v>
      </c>
      <c r="L43" s="46">
        <f>J43+'16'!L43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Clinker!CZ19</f>
        <v>0</v>
      </c>
      <c r="K44" s="46">
        <f>J44+'16'!K44</f>
        <v>0</v>
      </c>
      <c r="L44" s="46">
        <f>J44+'16'!L44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Clinker!DE19</f>
        <v>0</v>
      </c>
      <c r="K45" s="46">
        <f>J45+'16'!K45</f>
        <v>0</v>
      </c>
      <c r="L45" s="46">
        <f>J45+'16'!L45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Clinker!DJ19</f>
        <v>0</v>
      </c>
      <c r="K46" s="46">
        <f>J46+'16'!K46</f>
        <v>0</v>
      </c>
      <c r="L46" s="46">
        <f>J46+'16'!L46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Clinker!DO19</f>
        <v>0</v>
      </c>
      <c r="K47" s="46">
        <f>J47+'16'!K47</f>
        <v>0</v>
      </c>
      <c r="L47" s="46">
        <f>J47+'16'!L47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Clinker!CM19</f>
        <v>5.0000000000181899E-2</v>
      </c>
      <c r="G48" s="46">
        <f>Clinker!CN19</f>
        <v>0</v>
      </c>
      <c r="H48" s="46">
        <f>G48+'16'!H48</f>
        <v>0</v>
      </c>
      <c r="I48" s="46">
        <f>G48+'16'!I48</f>
        <v>0</v>
      </c>
      <c r="J48" s="46">
        <f>Clinker!CP19</f>
        <v>0</v>
      </c>
      <c r="K48" s="46">
        <f>J48+'16'!K48</f>
        <v>0</v>
      </c>
      <c r="L48" s="46">
        <f>J48+'16'!L48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Clinker!CC19</f>
        <v>0</v>
      </c>
      <c r="G49" s="46">
        <f>Clinker!CD19</f>
        <v>0</v>
      </c>
      <c r="H49" s="46">
        <f>G49+'16'!H49</f>
        <v>0</v>
      </c>
      <c r="I49" s="46">
        <f>G49+'16'!I49</f>
        <v>0</v>
      </c>
      <c r="J49" s="46">
        <f>Clinker!CF19</f>
        <v>0</v>
      </c>
      <c r="K49" s="46">
        <f>J49+'16'!K49</f>
        <v>0</v>
      </c>
      <c r="L49" s="46">
        <f>J49+'16'!L49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Clinker!CH19</f>
        <v>0</v>
      </c>
      <c r="G50" s="46">
        <f>Clinker!CI19</f>
        <v>0</v>
      </c>
      <c r="H50" s="46">
        <f>G50+'16'!H50</f>
        <v>0</v>
      </c>
      <c r="I50" s="46">
        <f>G50+'16'!I50</f>
        <v>0</v>
      </c>
      <c r="J50" s="46">
        <f>Clinker!CK19</f>
        <v>0</v>
      </c>
      <c r="K50" s="46">
        <f>J50+'16'!K50</f>
        <v>0</v>
      </c>
      <c r="L50" s="46">
        <f>J50+'16'!L50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Clinker!AF19</f>
        <v>4351.0199999999932</v>
      </c>
      <c r="G51" s="46">
        <f>Clinker!AG19</f>
        <v>32</v>
      </c>
      <c r="H51" s="46">
        <f>G51+'16'!H51</f>
        <v>2581.3500000000004</v>
      </c>
      <c r="I51" s="46">
        <f>G51+'16'!I51</f>
        <v>4722.2999999999993</v>
      </c>
      <c r="J51" s="46">
        <f>Clinker!AI19</f>
        <v>155</v>
      </c>
      <c r="K51" s="46">
        <f>J51+'16'!K51</f>
        <v>2402</v>
      </c>
      <c r="L51" s="46">
        <f>J51+'16'!L51</f>
        <v>9227</v>
      </c>
      <c r="M51" s="45">
        <f>F51+G51-J51-J20</f>
        <v>4228.0199999999932</v>
      </c>
      <c r="N51" s="46">
        <v>0</v>
      </c>
      <c r="O51" s="46">
        <v>1500</v>
      </c>
      <c r="P51" s="46">
        <v>3000</v>
      </c>
      <c r="Q51" s="56">
        <f>SUM(M51+N51)-O51</f>
        <v>2728.0199999999932</v>
      </c>
    </row>
    <row r="52" spans="2:19" x14ac:dyDescent="0.25">
      <c r="B52" s="288"/>
      <c r="C52" s="281" t="s">
        <v>156</v>
      </c>
      <c r="D52" s="282"/>
      <c r="E52" s="283"/>
      <c r="F52" s="46">
        <f>Clinker!AB19</f>
        <v>0</v>
      </c>
      <c r="G52" s="46">
        <f>Clinker!AC19</f>
        <v>0</v>
      </c>
      <c r="H52" s="46">
        <f>G52+'16'!H52</f>
        <v>0</v>
      </c>
      <c r="I52" s="46">
        <f>G52+'16'!I52</f>
        <v>0</v>
      </c>
      <c r="J52" s="46">
        <f>Clinker!AD19</f>
        <v>0</v>
      </c>
      <c r="K52" s="46">
        <f>J52+'16'!K52</f>
        <v>0</v>
      </c>
      <c r="L52" s="46">
        <f>J52+'16'!L52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 t="shared" ref="F53:K53" si="2">SUM(F29:F52)</f>
        <v>4351.0699999999933</v>
      </c>
      <c r="G53" s="46">
        <f t="shared" si="2"/>
        <v>32</v>
      </c>
      <c r="H53" s="46">
        <f>SUM(H29:H52)</f>
        <v>2581.3500000000004</v>
      </c>
      <c r="I53" s="46">
        <f t="shared" si="2"/>
        <v>4722.2999999999993</v>
      </c>
      <c r="J53" s="46">
        <f t="shared" si="2"/>
        <v>155</v>
      </c>
      <c r="K53" s="46">
        <f t="shared" si="2"/>
        <v>2402</v>
      </c>
      <c r="L53" s="46">
        <f>J53+'16'!L53</f>
        <v>10574</v>
      </c>
      <c r="M53" s="46">
        <f>SUM(M29:M52)</f>
        <v>4228.0699999999933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2728.0199999999932</v>
      </c>
    </row>
    <row r="54" spans="2:19" x14ac:dyDescent="0.25">
      <c r="B54" s="289"/>
      <c r="C54" s="284" t="s">
        <v>157</v>
      </c>
      <c r="D54" s="285"/>
      <c r="E54" s="286"/>
      <c r="F54" s="59">
        <f>SUM(F27+F53)</f>
        <v>7273.1969999999837</v>
      </c>
      <c r="G54" s="59">
        <f t="shared" ref="G54:Q54" si="3">SUM(G27+G53)</f>
        <v>96.14</v>
      </c>
      <c r="H54" s="59">
        <f>SUM(H27+H53)</f>
        <v>5086.8700000000008</v>
      </c>
      <c r="I54" s="59">
        <f t="shared" si="3"/>
        <v>8033.0599999999995</v>
      </c>
      <c r="J54" s="59">
        <f>SUM(J27+J53)</f>
        <v>399.44</v>
      </c>
      <c r="K54" s="59">
        <f t="shared" si="3"/>
        <v>6793.77</v>
      </c>
      <c r="L54" s="59">
        <f t="shared" si="3"/>
        <v>29683.08</v>
      </c>
      <c r="M54" s="59">
        <f t="shared" si="3"/>
        <v>6969.8969999999845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3"/>
        <v>2728.0599999999913</v>
      </c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'!C19</f>
        <v>2379533</v>
      </c>
      <c r="G56" s="46">
        <f>'Packing bag '!D19</f>
        <v>101500</v>
      </c>
      <c r="H56" s="46">
        <f>G56+'16'!H56</f>
        <v>516000</v>
      </c>
      <c r="I56" s="46">
        <f>G56+'16'!I56</f>
        <v>3668500</v>
      </c>
      <c r="J56" s="46">
        <f>'Packing bag '!E19</f>
        <v>37980</v>
      </c>
      <c r="K56" s="46">
        <f>J56+'16'!K56</f>
        <v>700182</v>
      </c>
      <c r="L56" s="46">
        <f>J56+'16'!L56</f>
        <v>2277016</v>
      </c>
      <c r="M56" s="46">
        <f>F56+G56-J56</f>
        <v>2443053</v>
      </c>
      <c r="N56" s="46"/>
      <c r="O56" s="46">
        <v>400000</v>
      </c>
      <c r="P56" s="46">
        <v>800000</v>
      </c>
      <c r="Q56" s="56">
        <f>SUM(M56+N56)-O56</f>
        <v>2043053</v>
      </c>
    </row>
    <row r="57" spans="2:19" x14ac:dyDescent="0.25">
      <c r="B57" s="288"/>
      <c r="C57" s="281" t="s">
        <v>160</v>
      </c>
      <c r="D57" s="282"/>
      <c r="E57" s="283"/>
      <c r="F57" s="46">
        <f>'Packing bag '!G19</f>
        <v>612635</v>
      </c>
      <c r="G57" s="46">
        <f>'Packing bag '!H19</f>
        <v>0</v>
      </c>
      <c r="H57" s="46">
        <f>G57+'16'!H57</f>
        <v>40500</v>
      </c>
      <c r="I57" s="46">
        <f>G57+'16'!I57</f>
        <v>332000</v>
      </c>
      <c r="J57" s="46">
        <f>'Packing bag '!I19</f>
        <v>3390</v>
      </c>
      <c r="K57" s="46">
        <f>J57+'16'!K57</f>
        <v>33416</v>
      </c>
      <c r="L57" s="46">
        <f>J57+'16'!L57</f>
        <v>123037</v>
      </c>
      <c r="M57" s="46">
        <f>F57+G57-J57</f>
        <v>609245</v>
      </c>
      <c r="N57" s="46"/>
      <c r="O57" s="46">
        <v>100000</v>
      </c>
      <c r="P57" s="46">
        <v>250000</v>
      </c>
      <c r="Q57" s="56">
        <f>SUM(M57+N57)-O57</f>
        <v>509245</v>
      </c>
    </row>
    <row r="58" spans="2:19" x14ac:dyDescent="0.25">
      <c r="B58" s="288"/>
      <c r="C58" s="281" t="s">
        <v>161</v>
      </c>
      <c r="D58" s="282"/>
      <c r="E58" s="283"/>
      <c r="F58" s="46">
        <f>'Packing bag '!K19</f>
        <v>492175</v>
      </c>
      <c r="G58" s="46">
        <f>'Packing bag '!L19</f>
        <v>0</v>
      </c>
      <c r="H58" s="46">
        <f>G58+'16'!H58</f>
        <v>0</v>
      </c>
      <c r="I58" s="46">
        <f>G58+'16'!I58</f>
        <v>295000</v>
      </c>
      <c r="J58" s="46">
        <f>'Packing bag '!M19</f>
        <v>1209</v>
      </c>
      <c r="K58" s="46">
        <f>J58+'16'!K58</f>
        <v>37797</v>
      </c>
      <c r="L58" s="46">
        <f>J58+'16'!L58</f>
        <v>210089</v>
      </c>
      <c r="M58" s="46">
        <f>F58+G58-J58</f>
        <v>490966</v>
      </c>
      <c r="N58" s="46"/>
      <c r="O58" s="46">
        <v>50000</v>
      </c>
      <c r="P58" s="46">
        <v>150000</v>
      </c>
      <c r="Q58" s="56">
        <f>SUM(M58+N58)-O58</f>
        <v>440966</v>
      </c>
    </row>
    <row r="59" spans="2:19" x14ac:dyDescent="0.25">
      <c r="B59" s="288"/>
      <c r="C59" s="281" t="s">
        <v>162</v>
      </c>
      <c r="D59" s="282"/>
      <c r="E59" s="283"/>
      <c r="F59" s="46">
        <f>'Packing bag '!O19</f>
        <v>151518</v>
      </c>
      <c r="G59" s="46">
        <f>'Packing bag '!P19</f>
        <v>0</v>
      </c>
      <c r="H59" s="46">
        <f>G59+'16'!H59</f>
        <v>85612</v>
      </c>
      <c r="I59" s="46">
        <f>G59+'16'!I59</f>
        <v>85000</v>
      </c>
      <c r="J59" s="46">
        <f>'Packing bag '!Q19</f>
        <v>604</v>
      </c>
      <c r="K59" s="46">
        <f>J59+'16'!K59</f>
        <v>3018</v>
      </c>
      <c r="L59" s="46">
        <f>J59+'16'!L59</f>
        <v>17787</v>
      </c>
      <c r="M59" s="46">
        <f>F59+G59-J59</f>
        <v>150914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G60+'16'!H60</f>
        <v>0</v>
      </c>
      <c r="I60" s="46">
        <f>G60+'16'!I60</f>
        <v>0</v>
      </c>
      <c r="J60" s="46">
        <v>0</v>
      </c>
      <c r="K60" s="46">
        <f>J60+'16'!K60</f>
        <v>0</v>
      </c>
      <c r="L60" s="46">
        <f>J60+'16'!L60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G61+'16'!H61</f>
        <v>0</v>
      </c>
      <c r="I61" s="46">
        <f>G61+'16'!I61</f>
        <v>0</v>
      </c>
      <c r="J61" s="46">
        <v>0</v>
      </c>
      <c r="K61" s="46">
        <f>J61+'16'!K61</f>
        <v>0</v>
      </c>
      <c r="L61" s="46">
        <f>J61+'16'!L61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3635861</v>
      </c>
      <c r="G62" s="59">
        <f>SUM(G56:G61)</f>
        <v>101500</v>
      </c>
      <c r="H62" s="59">
        <f t="shared" ref="H62:Q62" si="4">SUM(H56:H61)</f>
        <v>642112</v>
      </c>
      <c r="I62" s="59">
        <f t="shared" si="4"/>
        <v>4380500</v>
      </c>
      <c r="J62" s="59">
        <f>SUM(J56:J61)</f>
        <v>43183</v>
      </c>
      <c r="K62" s="59">
        <f t="shared" si="4"/>
        <v>774413</v>
      </c>
      <c r="L62" s="59">
        <f t="shared" si="4"/>
        <v>2627929</v>
      </c>
      <c r="M62" s="59">
        <f t="shared" si="4"/>
        <v>3694178</v>
      </c>
      <c r="N62" s="59">
        <v>0</v>
      </c>
      <c r="O62" s="59">
        <f>SUM(O56:O61)</f>
        <v>551500</v>
      </c>
      <c r="P62" s="59">
        <f>SUM(P56:P61)</f>
        <v>1207000</v>
      </c>
      <c r="Q62" s="59">
        <f t="shared" si="4"/>
        <v>2991764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Cement!G19</f>
        <v>0</v>
      </c>
      <c r="G64" s="46">
        <f>Cement!H19</f>
        <v>0</v>
      </c>
      <c r="H64" s="46">
        <f>G64+'16'!H64</f>
        <v>0</v>
      </c>
      <c r="I64" s="46">
        <f>G64+'16'!I64</f>
        <v>0</v>
      </c>
      <c r="J64" s="46">
        <v>0</v>
      </c>
      <c r="K64" s="46">
        <f>J64+'16'!K64</f>
        <v>0</v>
      </c>
      <c r="L64" s="46">
        <f>J64+'16'!L64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Cement!K19</f>
        <v>0</v>
      </c>
      <c r="G65" s="46">
        <f>Cement!L19</f>
        <v>0</v>
      </c>
      <c r="H65" s="46">
        <f>G65+'16'!H65</f>
        <v>0</v>
      </c>
      <c r="I65" s="46">
        <f>G65+'16'!I65</f>
        <v>0</v>
      </c>
      <c r="J65" s="46">
        <f>Cement!M19</f>
        <v>0</v>
      </c>
      <c r="K65" s="46">
        <f>J65+'16'!K65</f>
        <v>0</v>
      </c>
      <c r="L65" s="46">
        <f>J65+'16'!L65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Diesel!B19</f>
        <v>32734</v>
      </c>
      <c r="G68" s="46">
        <f>Diesel!C19</f>
        <v>0</v>
      </c>
      <c r="H68" s="46">
        <f>G68+'16'!H68</f>
        <v>32000</v>
      </c>
      <c r="I68" s="46">
        <f>G68+'16'!I68</f>
        <v>122000</v>
      </c>
      <c r="J68" s="46">
        <v>0</v>
      </c>
      <c r="K68" s="46">
        <f>J68+'16'!K68</f>
        <v>0</v>
      </c>
      <c r="L68" s="46">
        <f>J68+'16'!L68</f>
        <v>0</v>
      </c>
      <c r="M68" s="46">
        <f>F68+G68-G69-J71-J72</f>
        <v>29660</v>
      </c>
      <c r="N68" s="46"/>
      <c r="O68" s="46">
        <v>30000</v>
      </c>
      <c r="P68" s="46">
        <v>60000</v>
      </c>
      <c r="Q68" s="56">
        <f>SUM(M68+N68)-O68</f>
        <v>-340</v>
      </c>
    </row>
    <row r="69" spans="2:17" x14ac:dyDescent="0.25">
      <c r="B69" s="297"/>
      <c r="C69" s="281" t="s">
        <v>171</v>
      </c>
      <c r="D69" s="282"/>
      <c r="E69" s="283"/>
      <c r="F69" s="46">
        <f>Diesel!Y19</f>
        <v>0</v>
      </c>
      <c r="G69" s="46">
        <f>Diesel!Z19</f>
        <v>0</v>
      </c>
      <c r="H69" s="46">
        <f>G69+'16'!H69</f>
        <v>0</v>
      </c>
      <c r="I69" s="46">
        <f>G69+'16'!I69</f>
        <v>0</v>
      </c>
      <c r="J69" s="46">
        <f>Diesel!AA19</f>
        <v>0</v>
      </c>
      <c r="K69" s="46">
        <f>J69+'16'!K69</f>
        <v>0</v>
      </c>
      <c r="L69" s="46">
        <f>J69+'16'!L69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G70+'16'!H70</f>
        <v>0</v>
      </c>
      <c r="I70" s="46">
        <f>G70+'16'!I70</f>
        <v>0</v>
      </c>
      <c r="J70" s="46">
        <f>Diesel!P19</f>
        <v>0</v>
      </c>
      <c r="K70" s="46">
        <f>J70+'16'!K70</f>
        <v>75</v>
      </c>
      <c r="L70" s="46">
        <f>J70+'16'!L70</f>
        <v>678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G71+'16'!H71</f>
        <v>0</v>
      </c>
      <c r="I71" s="46">
        <f>G71+'16'!I71</f>
        <v>0</v>
      </c>
      <c r="J71" s="46">
        <f>Diesel!Q19</f>
        <v>2500</v>
      </c>
      <c r="K71" s="46">
        <f>J71+'16'!K71</f>
        <v>16791</v>
      </c>
      <c r="L71" s="46">
        <f>J71+'16'!L71</f>
        <v>71426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G72+'16'!H72</f>
        <v>0</v>
      </c>
      <c r="I72" s="46">
        <f>G72+'16'!I72</f>
        <v>0</v>
      </c>
      <c r="J72" s="46">
        <f>Diesel!R19</f>
        <v>574</v>
      </c>
      <c r="K72" s="46">
        <f>J72+'16'!K72</f>
        <v>11619</v>
      </c>
      <c r="L72" s="46">
        <f>J72+'16'!L72</f>
        <v>54327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G73+'16'!H73</f>
        <v>0</v>
      </c>
      <c r="I73" s="46">
        <f>G73+'16'!I73</f>
        <v>0</v>
      </c>
      <c r="J73" s="46">
        <f>Diesel!S19</f>
        <v>0</v>
      </c>
      <c r="K73" s="46">
        <f>J73+'16'!K73</f>
        <v>0</v>
      </c>
      <c r="L73" s="46">
        <f>J73+'16'!L73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G74+'16'!H74</f>
        <v>0</v>
      </c>
      <c r="I74" s="46">
        <f>G74+'16'!I74</f>
        <v>0</v>
      </c>
      <c r="J74" s="46">
        <f>Diesel!T19</f>
        <v>0</v>
      </c>
      <c r="K74" s="46">
        <f>J74+'16'!K74</f>
        <v>0</v>
      </c>
      <c r="L74" s="46">
        <f>J74+'16'!L74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G75+'16'!H75</f>
        <v>0</v>
      </c>
      <c r="I75" s="46">
        <f>G75+'16'!I75</f>
        <v>0</v>
      </c>
      <c r="J75" s="61">
        <f>Diesel!U19</f>
        <v>0</v>
      </c>
      <c r="K75" s="46">
        <f>J75+'16'!K75</f>
        <v>0</v>
      </c>
      <c r="L75" s="46">
        <f>J75+'16'!L75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32734</v>
      </c>
      <c r="G76" s="62">
        <f t="shared" ref="G76:M76" si="6">SUM(G68:G75)</f>
        <v>0</v>
      </c>
      <c r="H76" s="62">
        <f t="shared" si="6"/>
        <v>32000</v>
      </c>
      <c r="I76" s="62">
        <f t="shared" si="6"/>
        <v>122000</v>
      </c>
      <c r="J76" s="62">
        <f t="shared" si="6"/>
        <v>3074</v>
      </c>
      <c r="K76" s="62">
        <f t="shared" si="6"/>
        <v>28485</v>
      </c>
      <c r="L76" s="62">
        <f t="shared" si="6"/>
        <v>141431</v>
      </c>
      <c r="M76" s="62">
        <f t="shared" si="6"/>
        <v>29660</v>
      </c>
      <c r="N76" s="63"/>
      <c r="O76" s="64"/>
      <c r="P76" s="62"/>
      <c r="Q76" s="65"/>
    </row>
  </sheetData>
  <mergeCells count="70">
    <mergeCell ref="C50:D50"/>
    <mergeCell ref="C40:E40"/>
    <mergeCell ref="C37:D37"/>
    <mergeCell ref="C38:D38"/>
    <mergeCell ref="C76:E76"/>
    <mergeCell ref="C60:E60"/>
    <mergeCell ref="C61:E61"/>
    <mergeCell ref="C62:E62"/>
    <mergeCell ref="C47:D47"/>
    <mergeCell ref="C59:E59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64:E64"/>
    <mergeCell ref="C65:E65"/>
    <mergeCell ref="C66:E66"/>
    <mergeCell ref="B55:B62"/>
    <mergeCell ref="C55:Q55"/>
    <mergeCell ref="C56:E56"/>
    <mergeCell ref="C57:E57"/>
    <mergeCell ref="C58:E58"/>
    <mergeCell ref="C6:E6"/>
    <mergeCell ref="C7:E7"/>
    <mergeCell ref="C28:E28"/>
    <mergeCell ref="C29:E29"/>
    <mergeCell ref="C30:E30"/>
    <mergeCell ref="C14:D14"/>
    <mergeCell ref="C12:E12"/>
    <mergeCell ref="C15:D15"/>
    <mergeCell ref="C17:E17"/>
    <mergeCell ref="C18:E18"/>
    <mergeCell ref="C20:D20"/>
    <mergeCell ref="B9:B54"/>
    <mergeCell ref="C9:E9"/>
    <mergeCell ref="C10:E10"/>
    <mergeCell ref="C11:E11"/>
    <mergeCell ref="C27:E27"/>
    <mergeCell ref="C33:E33"/>
    <mergeCell ref="C31:E31"/>
    <mergeCell ref="C32:E32"/>
    <mergeCell ref="C34:E34"/>
    <mergeCell ref="C51:E51"/>
    <mergeCell ref="C52:E52"/>
    <mergeCell ref="C53:E53"/>
    <mergeCell ref="C54:E54"/>
    <mergeCell ref="C35:E35"/>
    <mergeCell ref="C13:D13"/>
    <mergeCell ref="C36:D3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</mergeCells>
  <pageMargins left="0.7" right="0.7" top="0.75" bottom="0.75" header="0.3" footer="0.3"/>
  <pageSetup paperSize="9" scale="41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T14" sqref="T14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8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 t="s">
        <v>226</v>
      </c>
      <c r="Q3" s="316"/>
    </row>
    <row r="4" spans="2:18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8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8" x14ac:dyDescent="0.25">
      <c r="B6" s="54">
        <v>1</v>
      </c>
      <c r="C6" s="308" t="s">
        <v>135</v>
      </c>
      <c r="D6" s="309"/>
      <c r="E6" s="310"/>
      <c r="F6" s="45">
        <f>Clinker!C20</f>
        <v>1558.92</v>
      </c>
      <c r="G6" s="45">
        <f>Clinker!D20</f>
        <v>0</v>
      </c>
      <c r="H6" s="45">
        <f>G6+'17'!H6</f>
        <v>0</v>
      </c>
      <c r="I6" s="45">
        <f>G6+'17'!I6</f>
        <v>417.28000000000003</v>
      </c>
      <c r="J6" s="45">
        <f>Clinker!E20</f>
        <v>88</v>
      </c>
      <c r="K6" s="45">
        <f>J6+'17'!K6</f>
        <v>1177</v>
      </c>
      <c r="L6" s="45">
        <f>J6+'17'!L6</f>
        <v>4312</v>
      </c>
      <c r="M6" s="45">
        <f>F6+G6-J6</f>
        <v>1470.92</v>
      </c>
      <c r="N6" s="45">
        <v>0</v>
      </c>
      <c r="O6" s="45">
        <v>3000</v>
      </c>
      <c r="P6" s="45">
        <v>6000</v>
      </c>
      <c r="Q6" s="55">
        <f>SUM(M6+N6)-O6</f>
        <v>-1529.08</v>
      </c>
    </row>
    <row r="7" spans="2:18" x14ac:dyDescent="0.25">
      <c r="B7" s="50">
        <v>2</v>
      </c>
      <c r="C7" s="305" t="s">
        <v>136</v>
      </c>
      <c r="D7" s="306"/>
      <c r="E7" s="307"/>
      <c r="F7" s="46">
        <f>Cement!C20</f>
        <v>2683.651528603596</v>
      </c>
      <c r="G7" s="46">
        <f>Cement!D20</f>
        <v>208.08</v>
      </c>
      <c r="H7" s="45">
        <f>G7+'17'!H7</f>
        <v>849.7600000000001</v>
      </c>
      <c r="I7" s="45">
        <f>G7+'17'!I7</f>
        <v>2976.3799999999997</v>
      </c>
      <c r="J7" s="46">
        <f>Cement!I20</f>
        <v>147.86315789473684</v>
      </c>
      <c r="K7" s="45">
        <f>J7+'17'!K7</f>
        <v>2314.1974874473181</v>
      </c>
      <c r="L7" s="45">
        <f>J7+'17'!L7</f>
        <v>7540.4274777748187</v>
      </c>
      <c r="M7" s="45">
        <f>F7+G7-J7</f>
        <v>2743.8683707088589</v>
      </c>
      <c r="N7" s="46">
        <v>305.10000000000002</v>
      </c>
      <c r="O7" s="46">
        <v>3000</v>
      </c>
      <c r="P7" s="46">
        <v>6000</v>
      </c>
      <c r="Q7" s="56">
        <f>SUM(M7+N7)-O7</f>
        <v>48.968370708858856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Clinker!EI20</f>
        <v>24813.462571720047</v>
      </c>
      <c r="G8" s="46">
        <f>Clinker!EJ20</f>
        <v>1350</v>
      </c>
      <c r="H8" s="45">
        <f>G8+'17'!H8</f>
        <v>26912</v>
      </c>
      <c r="I8" s="45">
        <f>G8+'17'!I8</f>
        <v>125828.66</v>
      </c>
      <c r="J8" s="46">
        <f>Clinker!EK20</f>
        <v>2232.5500000000015</v>
      </c>
      <c r="K8" s="45">
        <f>J8+'17'!K8</f>
        <v>34232.98951608692</v>
      </c>
      <c r="L8" s="45">
        <f>J8+'17'!L8</f>
        <v>114028.83653590684</v>
      </c>
      <c r="M8" s="45">
        <f>F8+G8-J8</f>
        <v>23930.912571720044</v>
      </c>
      <c r="N8" s="46">
        <v>0</v>
      </c>
      <c r="O8" s="46"/>
      <c r="P8" s="46"/>
      <c r="Q8" s="56"/>
    </row>
    <row r="9" spans="2:18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88"/>
      <c r="C10" s="281" t="s">
        <v>138</v>
      </c>
      <c r="D10" s="282"/>
      <c r="E10" s="283"/>
      <c r="F10" s="46">
        <f>Clinker!K20</f>
        <v>0</v>
      </c>
      <c r="G10" s="46">
        <f>Clinker!L20</f>
        <v>0</v>
      </c>
      <c r="H10" s="46">
        <f>G10+'17'!H10</f>
        <v>0</v>
      </c>
      <c r="I10" s="46">
        <f>G10+'17'!I10</f>
        <v>0</v>
      </c>
      <c r="J10" s="46">
        <f>Clinker!N20</f>
        <v>0</v>
      </c>
      <c r="K10" s="46">
        <f>J10+'17'!K10</f>
        <v>0</v>
      </c>
      <c r="L10" s="46">
        <f>J10+'17'!L10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ht="15.75" customHeight="1" x14ac:dyDescent="0.25">
      <c r="B11" s="288"/>
      <c r="C11" s="281" t="s">
        <v>139</v>
      </c>
      <c r="D11" s="282"/>
      <c r="E11" s="283"/>
      <c r="F11" s="46">
        <f>Clinker!W20</f>
        <v>3.9999999998087787E-2</v>
      </c>
      <c r="G11" s="46">
        <f>Clinker!X20</f>
        <v>0</v>
      </c>
      <c r="H11" s="46">
        <f>G11+'17'!H11</f>
        <v>0</v>
      </c>
      <c r="I11" s="46">
        <f>G11+'17'!I11</f>
        <v>0</v>
      </c>
      <c r="J11" s="46">
        <f>Clinker!Z20</f>
        <v>0</v>
      </c>
      <c r="K11" s="46">
        <f>J11+'17'!K11</f>
        <v>1063</v>
      </c>
      <c r="L11" s="46">
        <f>J11+'17'!L11</f>
        <v>8686.84</v>
      </c>
      <c r="M11" s="45">
        <f>F11+G11-J11-J34</f>
        <v>3.9999999998087787E-2</v>
      </c>
      <c r="N11" s="46">
        <v>0</v>
      </c>
      <c r="O11" s="46"/>
      <c r="P11" s="46"/>
      <c r="Q11" s="56">
        <f>SUM(M11+N11)-O11</f>
        <v>3.9999999998087787E-2</v>
      </c>
    </row>
    <row r="12" spans="2:18" ht="15" customHeight="1" x14ac:dyDescent="0.25">
      <c r="B12" s="288"/>
      <c r="C12" s="281" t="s">
        <v>140</v>
      </c>
      <c r="D12" s="282"/>
      <c r="E12" s="283"/>
      <c r="F12" s="46">
        <f>Clinker!AT20</f>
        <v>1.0000000002058584E-2</v>
      </c>
      <c r="G12" s="46">
        <f>Clinker!AU20</f>
        <v>0</v>
      </c>
      <c r="H12" s="46">
        <f>G12+'17'!H12</f>
        <v>0</v>
      </c>
      <c r="I12" s="46">
        <f>G12+'17'!I12</f>
        <v>181.5</v>
      </c>
      <c r="J12" s="46">
        <f>Clinker!AV20</f>
        <v>0</v>
      </c>
      <c r="K12" s="46">
        <f>J12+'17'!K12</f>
        <v>2933.89</v>
      </c>
      <c r="L12" s="46">
        <f>J12+'17'!L12</f>
        <v>5675.5900000000011</v>
      </c>
      <c r="M12" s="45">
        <f>F12+G12-J12-J37</f>
        <v>1.0000000002058584E-2</v>
      </c>
      <c r="N12" s="46">
        <v>0</v>
      </c>
      <c r="O12" s="46"/>
      <c r="P12" s="46"/>
      <c r="Q12" s="70"/>
    </row>
    <row r="13" spans="2:18" x14ac:dyDescent="0.25">
      <c r="B13" s="288"/>
      <c r="C13" s="281" t="s">
        <v>9</v>
      </c>
      <c r="D13" s="282"/>
      <c r="E13" s="69"/>
      <c r="F13" s="46">
        <f>Clinker!AO20</f>
        <v>0</v>
      </c>
      <c r="G13" s="46">
        <f>Clinker!AP20</f>
        <v>0</v>
      </c>
      <c r="H13" s="46">
        <f>G13+'17'!H13</f>
        <v>0</v>
      </c>
      <c r="I13" s="46">
        <f>G13+'17'!I13</f>
        <v>0</v>
      </c>
      <c r="J13" s="46">
        <f>Clinker!AQ20</f>
        <v>0</v>
      </c>
      <c r="K13" s="46">
        <f>J13+'17'!K13</f>
        <v>0</v>
      </c>
      <c r="L13" s="46">
        <f>J13+'17'!L13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8" x14ac:dyDescent="0.25">
      <c r="B14" s="288"/>
      <c r="C14" s="281" t="s">
        <v>8</v>
      </c>
      <c r="D14" s="282"/>
      <c r="E14" s="69"/>
      <c r="F14" s="46">
        <f>Clinker!AK20</f>
        <v>0</v>
      </c>
      <c r="G14" s="46">
        <f>Clinker!AL20</f>
        <v>0</v>
      </c>
      <c r="H14" s="46">
        <f>G14+'17'!H14</f>
        <v>0</v>
      </c>
      <c r="I14" s="46">
        <f>G14+'17'!I14</f>
        <v>0</v>
      </c>
      <c r="J14" s="46">
        <f>Clinker!AM20</f>
        <v>0</v>
      </c>
      <c r="K14" s="46">
        <f>J14+'17'!K14</f>
        <v>0</v>
      </c>
      <c r="L14" s="46">
        <f>J14+'17'!L14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8" x14ac:dyDescent="0.25">
      <c r="B15" s="288"/>
      <c r="C15" s="281" t="s">
        <v>11</v>
      </c>
      <c r="D15" s="282"/>
      <c r="E15" s="69"/>
      <c r="F15" s="46">
        <f>Clinker!AY20</f>
        <v>2437.7669999999903</v>
      </c>
      <c r="G15" s="46">
        <f>Clinker!AZ20</f>
        <v>186.46</v>
      </c>
      <c r="H15" s="46">
        <f>G15+'17'!H15</f>
        <v>2599.9800000000005</v>
      </c>
      <c r="I15" s="46">
        <f>G15+'17'!I15</f>
        <v>3011.7200000000003</v>
      </c>
      <c r="J15" s="46">
        <f>Clinker!BA20</f>
        <v>237.78</v>
      </c>
      <c r="K15" s="46">
        <f>J15+'17'!K15</f>
        <v>625.55999999999995</v>
      </c>
      <c r="L15" s="46">
        <f>J15+'17'!L15</f>
        <v>625.55999999999995</v>
      </c>
      <c r="M15" s="45">
        <f>F15+G15-J15-J38</f>
        <v>2386.4469999999901</v>
      </c>
      <c r="N15" s="75">
        <v>120.74</v>
      </c>
      <c r="O15" s="46">
        <v>5000</v>
      </c>
      <c r="P15" s="46">
        <v>9000</v>
      </c>
      <c r="Q15" s="70"/>
    </row>
    <row r="16" spans="2:18" x14ac:dyDescent="0.25">
      <c r="B16" s="288"/>
      <c r="C16" s="76" t="s">
        <v>141</v>
      </c>
      <c r="D16" s="77"/>
      <c r="E16" s="69"/>
      <c r="F16" s="46">
        <f>Clinker!BD20</f>
        <v>0</v>
      </c>
      <c r="G16" s="46">
        <f>Clinker!BE20</f>
        <v>0</v>
      </c>
      <c r="H16" s="46">
        <f>G16+'17'!H16</f>
        <v>0</v>
      </c>
      <c r="I16" s="46">
        <f>G16+'17'!I16</f>
        <v>0</v>
      </c>
      <c r="J16" s="46">
        <f>Clinker!BF20</f>
        <v>0</v>
      </c>
      <c r="K16" s="46">
        <f>J16+'17'!K16</f>
        <v>0</v>
      </c>
      <c r="L16" s="46">
        <f>J16+'17'!L16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182</v>
      </c>
      <c r="D17" s="282"/>
      <c r="E17" s="283"/>
      <c r="F17" s="46">
        <f>Clinker!BI20</f>
        <v>0</v>
      </c>
      <c r="G17" s="46">
        <f>Clinker!BJ20</f>
        <v>0</v>
      </c>
      <c r="H17" s="46">
        <f>G17+'17'!H17</f>
        <v>0</v>
      </c>
      <c r="I17" s="46">
        <f>G17+'17'!I17</f>
        <v>0</v>
      </c>
      <c r="J17" s="46">
        <f>Clinker!BK20</f>
        <v>0</v>
      </c>
      <c r="K17" s="46">
        <f>J17+'17'!K17</f>
        <v>0</v>
      </c>
      <c r="L17" s="46">
        <f>J17+'17'!L17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Clinker!BN20</f>
        <v>0</v>
      </c>
      <c r="G18" s="46">
        <f>Clinker!BO20</f>
        <v>0</v>
      </c>
      <c r="H18" s="46">
        <f>G18+'17'!H18</f>
        <v>0</v>
      </c>
      <c r="I18" s="46">
        <f>G18+'17'!I18</f>
        <v>0</v>
      </c>
      <c r="J18" s="46">
        <f>Clinker!BP20</f>
        <v>0</v>
      </c>
      <c r="K18" s="46">
        <f>J18+'17'!K18</f>
        <v>0</v>
      </c>
      <c r="L18" s="46">
        <f>J18+'17'!L18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Clinker!BS20</f>
        <v>0</v>
      </c>
      <c r="G19" s="46">
        <f>Clinker!BT20</f>
        <v>0</v>
      </c>
      <c r="H19" s="46">
        <f>G19+'17'!H19</f>
        <v>0</v>
      </c>
      <c r="I19" s="46">
        <f>G19+'17'!I19</f>
        <v>0</v>
      </c>
      <c r="J19" s="46">
        <f>Clinker!BU20</f>
        <v>0</v>
      </c>
      <c r="K19" s="46">
        <f>J19+'17'!K19</f>
        <v>0</v>
      </c>
      <c r="L19" s="46">
        <f>J19+'17'!L19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Clinker!BX20</f>
        <v>0</v>
      </c>
      <c r="G20" s="46">
        <f>Clinker!BY20</f>
        <v>0</v>
      </c>
      <c r="H20" s="46">
        <f>G20+'17'!H20</f>
        <v>0</v>
      </c>
      <c r="I20" s="46">
        <f>G20+'17'!I20</f>
        <v>0</v>
      </c>
      <c r="J20" s="46">
        <f>Clinker!AH20</f>
        <v>0</v>
      </c>
      <c r="K20" s="46">
        <f>J20+'17'!K20</f>
        <v>0</v>
      </c>
      <c r="L20" s="46">
        <f>J20+'17'!L20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Clinker!CR20</f>
        <v>0</v>
      </c>
      <c r="G21" s="46">
        <f>Clinker!CS20</f>
        <v>0</v>
      </c>
      <c r="H21" s="46">
        <f>G21+'17'!H21</f>
        <v>0</v>
      </c>
      <c r="I21" s="46">
        <f>G21+'17'!I21</f>
        <v>0</v>
      </c>
      <c r="J21" s="46">
        <f>Clinker!CT20</f>
        <v>0</v>
      </c>
      <c r="K21" s="46">
        <f>J21+'17'!K21</f>
        <v>0</v>
      </c>
      <c r="L21" s="46">
        <f>J21+'17'!L21</f>
        <v>0</v>
      </c>
      <c r="M21" s="45">
        <f>F21+G21-J43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184</v>
      </c>
      <c r="D22" s="77"/>
      <c r="E22" s="69"/>
      <c r="F22" s="46">
        <f>Clinker!CW20</f>
        <v>0</v>
      </c>
      <c r="G22" s="46">
        <f>Clinker!CX20</f>
        <v>0</v>
      </c>
      <c r="H22" s="46">
        <f>G22+'17'!H22</f>
        <v>0</v>
      </c>
      <c r="I22" s="46">
        <f>G22+'17'!I22</f>
        <v>0</v>
      </c>
      <c r="J22" s="46">
        <f>Clinker!CY20</f>
        <v>0</v>
      </c>
      <c r="K22" s="46">
        <f>J22+'17'!K22</f>
        <v>0</v>
      </c>
      <c r="L22" s="46">
        <f>J22+'17'!L22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Clinker!DB20</f>
        <v>1.0000000000013998E-2</v>
      </c>
      <c r="G23" s="46">
        <f>Clinker!DC20</f>
        <v>0</v>
      </c>
      <c r="H23" s="46">
        <f>G23+'17'!H23</f>
        <v>0</v>
      </c>
      <c r="I23" s="46">
        <f>G23+'17'!I23</f>
        <v>0</v>
      </c>
      <c r="J23" s="46">
        <f>Clinker!DD20</f>
        <v>0</v>
      </c>
      <c r="K23" s="46">
        <f>J23+'17'!K23</f>
        <v>7.1</v>
      </c>
      <c r="L23" s="46">
        <f>J23+'17'!L23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26</v>
      </c>
      <c r="D24" s="77"/>
      <c r="E24" s="69"/>
      <c r="F24" s="46">
        <f>Clinker!DG20</f>
        <v>0</v>
      </c>
      <c r="G24" s="46">
        <f>Clinker!DH20</f>
        <v>0</v>
      </c>
      <c r="H24" s="46">
        <f>G24+'17'!H24</f>
        <v>0</v>
      </c>
      <c r="I24" s="46">
        <f>G24+'17'!I24</f>
        <v>0</v>
      </c>
      <c r="J24" s="46">
        <f>Clinker!DI20</f>
        <v>0</v>
      </c>
      <c r="K24" s="46">
        <f>J24+'17'!K24</f>
        <v>0</v>
      </c>
      <c r="L24" s="46">
        <f>J24+'17'!L24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Clinker!DL20</f>
        <v>304</v>
      </c>
      <c r="G25" s="46">
        <f>Clinker!DM20</f>
        <v>0</v>
      </c>
      <c r="H25" s="46">
        <f>G25+'17'!H25</f>
        <v>92</v>
      </c>
      <c r="I25" s="46">
        <f>G25+'17'!I25</f>
        <v>304</v>
      </c>
      <c r="J25" s="46">
        <f>Clinker!DN20</f>
        <v>0</v>
      </c>
      <c r="K25" s="46">
        <f>J25+'17'!K25</f>
        <v>0</v>
      </c>
      <c r="L25" s="46">
        <f>J25+'17'!L25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Clinker!DV20</f>
        <v>0</v>
      </c>
      <c r="G26" s="46">
        <f>Clinker!DW20</f>
        <v>0</v>
      </c>
      <c r="H26" s="46">
        <f>G26+'17'!H26</f>
        <v>0</v>
      </c>
      <c r="I26" s="46">
        <f>G26+'17'!I26</f>
        <v>0</v>
      </c>
      <c r="J26" s="46">
        <f>Clinker!DX20</f>
        <v>0</v>
      </c>
      <c r="K26" s="46">
        <f>J26+'17'!K26</f>
        <v>0</v>
      </c>
      <c r="L26" s="46">
        <f>J26+'17'!L26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2741.8269999999907</v>
      </c>
      <c r="G27" s="46">
        <f t="shared" ref="G27:Q27" si="0">SUM(G10:G26)</f>
        <v>186.46</v>
      </c>
      <c r="H27" s="46">
        <f t="shared" si="0"/>
        <v>2691.9800000000005</v>
      </c>
      <c r="I27" s="46">
        <f t="shared" si="0"/>
        <v>3497.2200000000003</v>
      </c>
      <c r="J27" s="46">
        <f t="shared" si="0"/>
        <v>237.78</v>
      </c>
      <c r="K27" s="46">
        <f t="shared" si="0"/>
        <v>4629.55</v>
      </c>
      <c r="L27" s="46">
        <f t="shared" si="0"/>
        <v>19346.86</v>
      </c>
      <c r="M27" s="46">
        <f t="shared" si="0"/>
        <v>2690.5069999999905</v>
      </c>
      <c r="N27" s="46">
        <f t="shared" si="0"/>
        <v>120.74</v>
      </c>
      <c r="O27" s="46">
        <f t="shared" si="0"/>
        <v>10000</v>
      </c>
      <c r="P27" s="46">
        <f t="shared" si="0"/>
        <v>18000</v>
      </c>
      <c r="Q27" s="46">
        <f t="shared" si="0"/>
        <v>3.9999999998087787E-2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Clinker!Q20</f>
        <v>0</v>
      </c>
      <c r="G29" s="46">
        <f>Clinker!R20</f>
        <v>0</v>
      </c>
      <c r="H29" s="46">
        <f>G29+'17'!H29</f>
        <v>0</v>
      </c>
      <c r="I29" s="46">
        <f>G29+'17'!I29</f>
        <v>0</v>
      </c>
      <c r="J29" s="46">
        <f>Clinker!S20</f>
        <v>0</v>
      </c>
      <c r="K29" s="46">
        <f>J29+'17'!K29</f>
        <v>0</v>
      </c>
      <c r="L29" s="46">
        <f>J29+'17'!L29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G30+'17'!H30</f>
        <v>0</v>
      </c>
      <c r="I30" s="46">
        <f>G30+'17'!I30</f>
        <v>0</v>
      </c>
      <c r="J30" s="46">
        <v>0</v>
      </c>
      <c r="K30" s="46">
        <f>J30+'17'!K30</f>
        <v>0</v>
      </c>
      <c r="L30" s="46">
        <f>J30+'17'!L30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G31+'17'!H31</f>
        <v>0</v>
      </c>
      <c r="I31" s="46">
        <f>G31+'17'!I31</f>
        <v>0</v>
      </c>
      <c r="J31" s="46">
        <v>0</v>
      </c>
      <c r="K31" s="46">
        <f>J31+'17'!K31</f>
        <v>0</v>
      </c>
      <c r="L31" s="46">
        <f>J31+'17'!L31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v>0</v>
      </c>
      <c r="G32" s="46">
        <f>Clinker!DR20</f>
        <v>0</v>
      </c>
      <c r="H32" s="46">
        <f>G32+'17'!H32</f>
        <v>0</v>
      </c>
      <c r="I32" s="46">
        <f>G32+'17'!I32</f>
        <v>0</v>
      </c>
      <c r="J32" s="46">
        <f>Clinker!AW20</f>
        <v>0</v>
      </c>
      <c r="K32" s="46">
        <f>J32+'17'!K32</f>
        <v>0</v>
      </c>
      <c r="L32" s="46">
        <f>J32+'17'!L32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G33+'17'!H33</f>
        <v>0</v>
      </c>
      <c r="I33" s="46">
        <f>G33+'17'!I33</f>
        <v>0</v>
      </c>
      <c r="J33" s="46">
        <v>0</v>
      </c>
      <c r="K33" s="46">
        <f>J33+'17'!K33</f>
        <v>0</v>
      </c>
      <c r="L33" s="46">
        <f>J33+'17'!L33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>
        <f>G34+'17'!H34</f>
        <v>0</v>
      </c>
      <c r="I34" s="46">
        <f>G34+'17'!I34</f>
        <v>0</v>
      </c>
      <c r="J34" s="46">
        <f>Clinker!Y20</f>
        <v>0</v>
      </c>
      <c r="K34" s="46">
        <f>J34+'17'!K34</f>
        <v>0</v>
      </c>
      <c r="L34" s="46">
        <f>J34+'17'!L34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>
        <f>G35+'17'!H35</f>
        <v>0</v>
      </c>
      <c r="I35" s="46">
        <f>G35+'17'!I35</f>
        <v>0</v>
      </c>
      <c r="J35" s="46">
        <f>Clinker!M20</f>
        <v>0</v>
      </c>
      <c r="K35" s="46">
        <f>J35+'17'!K35</f>
        <v>0</v>
      </c>
      <c r="L35" s="46">
        <f>J35+'17'!L35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Clinker!AR20</f>
        <v>0</v>
      </c>
      <c r="K36" s="46">
        <f>J36+'17'!K36</f>
        <v>0</v>
      </c>
      <c r="L36" s="46">
        <f>J36+'17'!L36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140</v>
      </c>
      <c r="D37" s="282"/>
      <c r="E37" s="69"/>
      <c r="F37" s="46"/>
      <c r="G37" s="46"/>
      <c r="H37" s="46"/>
      <c r="I37" s="46"/>
      <c r="J37" s="46">
        <f>Clinker!DT20</f>
        <v>0</v>
      </c>
      <c r="K37" s="46">
        <f>J37+'17'!K37</f>
        <v>0</v>
      </c>
      <c r="L37" s="46">
        <f>J37+'17'!L37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Clinker!BB20</f>
        <v>0</v>
      </c>
      <c r="K38" s="46">
        <f>J38+'17'!K38</f>
        <v>0</v>
      </c>
      <c r="L38" s="46">
        <f>J38+'17'!L38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Clinker!BG20</f>
        <v>0</v>
      </c>
      <c r="K39" s="46">
        <f>J39+'17'!K39</f>
        <v>0</v>
      </c>
      <c r="L39" s="46">
        <f>J39+'17'!L39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180</v>
      </c>
      <c r="D40" s="282"/>
      <c r="E40" s="283"/>
      <c r="F40" s="46"/>
      <c r="G40" s="46"/>
      <c r="H40" s="46"/>
      <c r="I40" s="46"/>
      <c r="J40" s="46">
        <f>Clinker!BL20</f>
        <v>0</v>
      </c>
      <c r="K40" s="46">
        <f>J40+'17'!K40</f>
        <v>0</v>
      </c>
      <c r="L40" s="46">
        <f>J40+'17'!L40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Clinker!BQ20</f>
        <v>0</v>
      </c>
      <c r="K41" s="46">
        <f>J41+'17'!K41</f>
        <v>0</v>
      </c>
      <c r="L41" s="46">
        <f>J41+'17'!L41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Clinker!BV20</f>
        <v>0</v>
      </c>
      <c r="K42" s="46">
        <f>J42+'17'!K42</f>
        <v>0</v>
      </c>
      <c r="L42" s="46">
        <f>J42+'17'!L42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Clinker!CU20</f>
        <v>0</v>
      </c>
      <c r="K43" s="46">
        <f>J43+'17'!K43</f>
        <v>0</v>
      </c>
      <c r="L43" s="46">
        <f>J43+'17'!L43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Clinker!CZ20</f>
        <v>0</v>
      </c>
      <c r="K44" s="46">
        <f>J44+'17'!K44</f>
        <v>0</v>
      </c>
      <c r="L44" s="46">
        <f>J44+'17'!L44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Clinker!DE20</f>
        <v>0</v>
      </c>
      <c r="K45" s="46">
        <f>J45+'17'!K45</f>
        <v>0</v>
      </c>
      <c r="L45" s="46">
        <f>J45+'17'!L45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Clinker!DJ20</f>
        <v>0</v>
      </c>
      <c r="K46" s="46">
        <f>J46+'17'!K46</f>
        <v>0</v>
      </c>
      <c r="L46" s="46">
        <f>J46+'17'!L46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Clinker!DO20</f>
        <v>0</v>
      </c>
      <c r="K47" s="46">
        <f>J47+'17'!K47</f>
        <v>0</v>
      </c>
      <c r="L47" s="46">
        <f>J47+'17'!L47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181</v>
      </c>
      <c r="D48" s="77"/>
      <c r="E48" s="69"/>
      <c r="F48" s="46">
        <f>Clinker!CM20</f>
        <v>5.0000000000181899E-2</v>
      </c>
      <c r="G48" s="46">
        <f>Clinker!CN20</f>
        <v>0</v>
      </c>
      <c r="H48" s="46">
        <f>G48+'17'!H48</f>
        <v>0</v>
      </c>
      <c r="I48" s="46">
        <f>G48+'17'!I48</f>
        <v>0</v>
      </c>
      <c r="J48" s="46">
        <f>Clinker!CP20</f>
        <v>0</v>
      </c>
      <c r="K48" s="46">
        <f>J48+'17'!K48</f>
        <v>0</v>
      </c>
      <c r="L48" s="46">
        <f>J48+'17'!L48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88"/>
      <c r="C49" s="76" t="s">
        <v>102</v>
      </c>
      <c r="D49" s="77"/>
      <c r="E49" s="69"/>
      <c r="F49" s="46">
        <f>Clinker!CC20</f>
        <v>0</v>
      </c>
      <c r="G49" s="46">
        <f>Clinker!CD20</f>
        <v>0</v>
      </c>
      <c r="H49" s="46">
        <f>G49+'17'!H49</f>
        <v>0</v>
      </c>
      <c r="I49" s="46">
        <f>G49+'17'!I49</f>
        <v>0</v>
      </c>
      <c r="J49" s="46">
        <f>Clinker!CF20</f>
        <v>0</v>
      </c>
      <c r="K49" s="46">
        <f>J49+'17'!K49</f>
        <v>0</v>
      </c>
      <c r="L49" s="46">
        <f>J49+'17'!L49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88"/>
      <c r="C50" s="281" t="s">
        <v>154</v>
      </c>
      <c r="D50" s="282"/>
      <c r="E50" s="69"/>
      <c r="F50" s="46">
        <f>Clinker!CH20</f>
        <v>0</v>
      </c>
      <c r="G50" s="46">
        <f>Clinker!CI20</f>
        <v>0</v>
      </c>
      <c r="H50" s="46">
        <f>G50+'17'!H50</f>
        <v>0</v>
      </c>
      <c r="I50" s="46">
        <f>G50+'17'!I50</f>
        <v>0</v>
      </c>
      <c r="J50" s="46">
        <f>Clinker!CK20</f>
        <v>0</v>
      </c>
      <c r="K50" s="46">
        <f>J50+'17'!K50</f>
        <v>0</v>
      </c>
      <c r="L50" s="46">
        <f>J50+'17'!L50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88"/>
      <c r="C51" s="281" t="s">
        <v>155</v>
      </c>
      <c r="D51" s="282"/>
      <c r="E51" s="283"/>
      <c r="F51" s="46">
        <f>Clinker!AF20</f>
        <v>4228.0199999999932</v>
      </c>
      <c r="G51" s="46">
        <f>Clinker!AG20</f>
        <v>251.7</v>
      </c>
      <c r="H51" s="46">
        <f>G51+'17'!H51</f>
        <v>2833.05</v>
      </c>
      <c r="I51" s="46">
        <f>G51+'17'!I51</f>
        <v>4973.9999999999991</v>
      </c>
      <c r="J51" s="46">
        <f>Clinker!AI20</f>
        <v>164</v>
      </c>
      <c r="K51" s="46">
        <f>J51+'17'!K51</f>
        <v>2566</v>
      </c>
      <c r="L51" s="46">
        <f>J51+'17'!L51</f>
        <v>9391</v>
      </c>
      <c r="M51" s="45">
        <f>F51+G51-J51-J20</f>
        <v>4315.719999999993</v>
      </c>
      <c r="N51" s="46">
        <v>59.3</v>
      </c>
      <c r="O51" s="46">
        <v>1500</v>
      </c>
      <c r="P51" s="46">
        <v>3000</v>
      </c>
      <c r="Q51" s="56">
        <f>SUM(M51+N51)-O51</f>
        <v>2875.0199999999932</v>
      </c>
    </row>
    <row r="52" spans="2:17" x14ac:dyDescent="0.25">
      <c r="B52" s="288"/>
      <c r="C52" s="281" t="s">
        <v>156</v>
      </c>
      <c r="D52" s="282"/>
      <c r="E52" s="283"/>
      <c r="F52" s="46">
        <f>Clinker!AB20</f>
        <v>0</v>
      </c>
      <c r="G52" s="46">
        <f>Clinker!AC20</f>
        <v>0</v>
      </c>
      <c r="H52" s="46">
        <f>G52+'17'!H52</f>
        <v>0</v>
      </c>
      <c r="I52" s="46">
        <f>G52+'17'!I52</f>
        <v>0</v>
      </c>
      <c r="J52" s="46">
        <f>Clinker!AD20</f>
        <v>0</v>
      </c>
      <c r="K52" s="46">
        <f>J52+'17'!K52</f>
        <v>0</v>
      </c>
      <c r="L52" s="46">
        <f>J52+'17'!L52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88"/>
      <c r="C53" s="281" t="s">
        <v>146</v>
      </c>
      <c r="D53" s="282"/>
      <c r="E53" s="283"/>
      <c r="F53" s="46">
        <f t="shared" ref="F53:M53" si="1">SUM(F29:F52)</f>
        <v>4228.0699999999933</v>
      </c>
      <c r="G53" s="46">
        <f t="shared" si="1"/>
        <v>251.7</v>
      </c>
      <c r="H53" s="46">
        <f>SUM(H29:H52)</f>
        <v>2833.05</v>
      </c>
      <c r="I53" s="46">
        <f t="shared" si="1"/>
        <v>4973.9999999999991</v>
      </c>
      <c r="J53" s="46">
        <f t="shared" si="1"/>
        <v>164</v>
      </c>
      <c r="K53" s="46">
        <f t="shared" si="1"/>
        <v>2566</v>
      </c>
      <c r="L53" s="46">
        <f t="shared" si="1"/>
        <v>10738</v>
      </c>
      <c r="M53" s="46">
        <f t="shared" si="1"/>
        <v>4315.7699999999932</v>
      </c>
      <c r="N53" s="46">
        <f>SUM(N29:N52)</f>
        <v>59.3</v>
      </c>
      <c r="O53" s="46">
        <f>SUM(O29:O52)</f>
        <v>3000</v>
      </c>
      <c r="P53" s="46">
        <f>SUM(P29:P52)</f>
        <v>6000</v>
      </c>
      <c r="Q53" s="46">
        <f>SUM(Q29:Q52)</f>
        <v>2875.0199999999932</v>
      </c>
    </row>
    <row r="54" spans="2:17" x14ac:dyDescent="0.25">
      <c r="B54" s="289"/>
      <c r="C54" s="284" t="s">
        <v>157</v>
      </c>
      <c r="D54" s="285"/>
      <c r="E54" s="286"/>
      <c r="F54" s="59">
        <f t="shared" ref="F54:M54" si="2">SUM(F27+F53)</f>
        <v>6969.8969999999845</v>
      </c>
      <c r="G54" s="59">
        <f t="shared" si="2"/>
        <v>438.15999999999997</v>
      </c>
      <c r="H54" s="59">
        <f>SUM(H27+H53)</f>
        <v>5525.0300000000007</v>
      </c>
      <c r="I54" s="59">
        <f t="shared" si="2"/>
        <v>8471.2199999999993</v>
      </c>
      <c r="J54" s="59">
        <f t="shared" si="2"/>
        <v>401.78</v>
      </c>
      <c r="K54" s="59">
        <f t="shared" si="2"/>
        <v>7195.55</v>
      </c>
      <c r="L54" s="59">
        <f t="shared" si="2"/>
        <v>30084.86</v>
      </c>
      <c r="M54" s="59">
        <f t="shared" si="2"/>
        <v>7006.2769999999837</v>
      </c>
      <c r="N54" s="59">
        <f>SUM(N27+N53)</f>
        <v>180.04</v>
      </c>
      <c r="O54" s="59">
        <f>SUM(O27+O53)</f>
        <v>13000</v>
      </c>
      <c r="P54" s="59">
        <f>SUM(P27+P53)</f>
        <v>24000</v>
      </c>
      <c r="Q54" s="59">
        <f>SUM(Q27+Q53)</f>
        <v>2875.0599999999913</v>
      </c>
    </row>
    <row r="55" spans="2:17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7" x14ac:dyDescent="0.25">
      <c r="B56" s="288"/>
      <c r="C56" s="281" t="s">
        <v>159</v>
      </c>
      <c r="D56" s="282"/>
      <c r="E56" s="283"/>
      <c r="F56" s="46">
        <f>'Packing bag '!C20</f>
        <v>2443053</v>
      </c>
      <c r="G56" s="46">
        <f>'Packing bag '!D20</f>
        <v>0</v>
      </c>
      <c r="H56" s="46">
        <f>G56+'17'!H56</f>
        <v>516000</v>
      </c>
      <c r="I56" s="46">
        <f>G56+'17'!I56</f>
        <v>3668500</v>
      </c>
      <c r="J56" s="46">
        <f>'Packing bag '!E20</f>
        <v>47383</v>
      </c>
      <c r="K56" s="46">
        <f>J56+'17'!K56</f>
        <v>747565</v>
      </c>
      <c r="L56" s="46">
        <f>J56+'17'!L56</f>
        <v>2324399</v>
      </c>
      <c r="M56" s="46">
        <f>F56+G56-J56</f>
        <v>2395670</v>
      </c>
      <c r="N56" s="46"/>
      <c r="O56" s="46">
        <v>400000</v>
      </c>
      <c r="P56" s="46">
        <v>800000</v>
      </c>
      <c r="Q56" s="56">
        <f>SUM(M56+N56)-O56</f>
        <v>1995670</v>
      </c>
    </row>
    <row r="57" spans="2:17" x14ac:dyDescent="0.25">
      <c r="B57" s="288"/>
      <c r="C57" s="281" t="s">
        <v>160</v>
      </c>
      <c r="D57" s="282"/>
      <c r="E57" s="283"/>
      <c r="F57" s="46">
        <f>'Packing bag '!G20</f>
        <v>609245</v>
      </c>
      <c r="G57" s="46">
        <f>'Packing bag '!H20</f>
        <v>0</v>
      </c>
      <c r="H57" s="46">
        <f>G57+'17'!H57</f>
        <v>40500</v>
      </c>
      <c r="I57" s="46">
        <f>G57+'17'!I57</f>
        <v>332000</v>
      </c>
      <c r="J57" s="46">
        <f>'Packing bag '!I20</f>
        <v>4831</v>
      </c>
      <c r="K57" s="46">
        <f>J57+'17'!K57</f>
        <v>38247</v>
      </c>
      <c r="L57" s="46">
        <f>J57+'17'!L57</f>
        <v>127868</v>
      </c>
      <c r="M57" s="46">
        <f>F57+G57-J57</f>
        <v>604414</v>
      </c>
      <c r="N57" s="46"/>
      <c r="O57" s="46">
        <v>100000</v>
      </c>
      <c r="P57" s="46">
        <v>250000</v>
      </c>
      <c r="Q57" s="56">
        <f>SUM(M57+N57)-O57</f>
        <v>504414</v>
      </c>
    </row>
    <row r="58" spans="2:17" x14ac:dyDescent="0.25">
      <c r="B58" s="288"/>
      <c r="C58" s="281" t="s">
        <v>161</v>
      </c>
      <c r="D58" s="282"/>
      <c r="E58" s="283"/>
      <c r="F58" s="46">
        <f>'Packing bag '!K20</f>
        <v>490966</v>
      </c>
      <c r="G58" s="46">
        <f>'Packing bag '!L20</f>
        <v>0</v>
      </c>
      <c r="H58" s="46">
        <f>G58+'17'!H58</f>
        <v>0</v>
      </c>
      <c r="I58" s="46">
        <f>G58+'17'!I58</f>
        <v>295000</v>
      </c>
      <c r="J58" s="46">
        <f>'Packing bag '!M20</f>
        <v>3198</v>
      </c>
      <c r="K58" s="46">
        <f>J58+'17'!K58</f>
        <v>40995</v>
      </c>
      <c r="L58" s="46">
        <f>J58+'17'!L58</f>
        <v>213287</v>
      </c>
      <c r="M58" s="46">
        <f>F58+G58-J58</f>
        <v>487768</v>
      </c>
      <c r="N58" s="46"/>
      <c r="O58" s="46">
        <v>50000</v>
      </c>
      <c r="P58" s="46">
        <v>150000</v>
      </c>
      <c r="Q58" s="56">
        <f>SUM(M58+N58)-O58</f>
        <v>437768</v>
      </c>
    </row>
    <row r="59" spans="2:17" x14ac:dyDescent="0.25">
      <c r="B59" s="288"/>
      <c r="C59" s="281" t="s">
        <v>162</v>
      </c>
      <c r="D59" s="282"/>
      <c r="E59" s="283"/>
      <c r="F59" s="46">
        <f>'Packing bag '!O20</f>
        <v>150914</v>
      </c>
      <c r="G59" s="46">
        <f>'Packing bag '!P20</f>
        <v>0</v>
      </c>
      <c r="H59" s="46">
        <f>G59+'17'!H59</f>
        <v>85612</v>
      </c>
      <c r="I59" s="46">
        <f>G59+'17'!I59</f>
        <v>85000</v>
      </c>
      <c r="J59" s="46">
        <f>'Packing bag '!Q20</f>
        <v>603</v>
      </c>
      <c r="K59" s="46">
        <f>J59+'17'!K59</f>
        <v>3621</v>
      </c>
      <c r="L59" s="46">
        <f>J59+'17'!L59</f>
        <v>18390</v>
      </c>
      <c r="M59" s="46">
        <f>F59+G59-J59</f>
        <v>150311</v>
      </c>
      <c r="N59" s="46"/>
      <c r="O59" s="46"/>
      <c r="P59" s="46"/>
      <c r="Q59" s="56"/>
    </row>
    <row r="60" spans="2:17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G60+'17'!H60</f>
        <v>0</v>
      </c>
      <c r="I60" s="46">
        <f>G60+'17'!I60</f>
        <v>0</v>
      </c>
      <c r="J60" s="46">
        <v>0</v>
      </c>
      <c r="K60" s="46">
        <f>J60+'17'!K60</f>
        <v>0</v>
      </c>
      <c r="L60" s="46">
        <f>J60+'17'!L60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G61+'17'!H61</f>
        <v>0</v>
      </c>
      <c r="I61" s="46">
        <f>G61+'17'!I61</f>
        <v>0</v>
      </c>
      <c r="J61" s="46">
        <v>0</v>
      </c>
      <c r="K61" s="46">
        <f>J61+'17'!K61</f>
        <v>0</v>
      </c>
      <c r="L61" s="46">
        <f>J61+'17'!L61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89"/>
      <c r="C62" s="284" t="s">
        <v>165</v>
      </c>
      <c r="D62" s="285"/>
      <c r="E62" s="286"/>
      <c r="F62" s="59">
        <f>SUM(F56:F61)</f>
        <v>3694178</v>
      </c>
      <c r="G62" s="59">
        <f>SUM(G56:G61)</f>
        <v>0</v>
      </c>
      <c r="H62" s="59">
        <f t="shared" ref="H62:Q62" si="3">SUM(H56:H61)</f>
        <v>642112</v>
      </c>
      <c r="I62" s="59">
        <f t="shared" si="3"/>
        <v>4380500</v>
      </c>
      <c r="J62" s="59">
        <f>SUM(J56:J61)</f>
        <v>56015</v>
      </c>
      <c r="K62" s="59">
        <f t="shared" si="3"/>
        <v>830428</v>
      </c>
      <c r="L62" s="59">
        <f t="shared" si="3"/>
        <v>2683944</v>
      </c>
      <c r="M62" s="59">
        <f t="shared" si="3"/>
        <v>3638163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2936352</v>
      </c>
    </row>
    <row r="63" spans="2:17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7" x14ac:dyDescent="0.25">
      <c r="B64" s="288"/>
      <c r="C64" s="281" t="s">
        <v>48</v>
      </c>
      <c r="D64" s="282"/>
      <c r="E64" s="283"/>
      <c r="F64" s="46">
        <f>Cement!G20</f>
        <v>0</v>
      </c>
      <c r="G64" s="46">
        <f>Cement!H20</f>
        <v>0</v>
      </c>
      <c r="H64" s="46">
        <f>G64+'17'!H64</f>
        <v>0</v>
      </c>
      <c r="I64" s="46">
        <f>G64+'17'!I64</f>
        <v>0</v>
      </c>
      <c r="J64" s="46">
        <v>0</v>
      </c>
      <c r="K64" s="46">
        <f>J64+'17'!K64</f>
        <v>0</v>
      </c>
      <c r="L64" s="46">
        <f>J64+'17'!L64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Cement!K20</f>
        <v>0</v>
      </c>
      <c r="G65" s="46">
        <f>Cement!L20</f>
        <v>0</v>
      </c>
      <c r="H65" s="46">
        <f>G65+'17'!H65</f>
        <v>0</v>
      </c>
      <c r="I65" s="46">
        <f>G65+'17'!I65</f>
        <v>0</v>
      </c>
      <c r="J65" s="46">
        <f>Cement!M20</f>
        <v>0</v>
      </c>
      <c r="K65" s="46">
        <f>J65+'17'!K65</f>
        <v>0</v>
      </c>
      <c r="L65" s="46">
        <f>J65+'17'!L65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Diesel!B20</f>
        <v>29660</v>
      </c>
      <c r="G68" s="46">
        <f>Diesel!C20</f>
        <v>0</v>
      </c>
      <c r="H68" s="46">
        <f>G68+'17'!H68</f>
        <v>32000</v>
      </c>
      <c r="I68" s="46">
        <f>G68+'17'!I68</f>
        <v>122000</v>
      </c>
      <c r="J68" s="46">
        <v>0</v>
      </c>
      <c r="K68" s="46">
        <f>J68+'17'!K68</f>
        <v>0</v>
      </c>
      <c r="L68" s="46">
        <f>J68+'17'!L68</f>
        <v>0</v>
      </c>
      <c r="M68" s="46">
        <f>F68+G68-G69-J71-J72</f>
        <v>29029</v>
      </c>
      <c r="N68" s="46"/>
      <c r="O68" s="46">
        <v>30000</v>
      </c>
      <c r="P68" s="46">
        <v>60000</v>
      </c>
      <c r="Q68" s="56">
        <f>SUM(M68+N68)-O68</f>
        <v>-971</v>
      </c>
    </row>
    <row r="69" spans="2:17" x14ac:dyDescent="0.25">
      <c r="B69" s="297"/>
      <c r="C69" s="281" t="s">
        <v>171</v>
      </c>
      <c r="D69" s="282"/>
      <c r="E69" s="283"/>
      <c r="F69" s="46">
        <f>Diesel!Y20</f>
        <v>0</v>
      </c>
      <c r="G69" s="46">
        <f>Diesel!Z20</f>
        <v>0</v>
      </c>
      <c r="H69" s="46">
        <f>G69+'17'!H69</f>
        <v>0</v>
      </c>
      <c r="I69" s="46">
        <f>G69+'17'!I69</f>
        <v>0</v>
      </c>
      <c r="J69" s="46">
        <f>Diesel!AA20</f>
        <v>0</v>
      </c>
      <c r="K69" s="46">
        <f>J69+'17'!K69</f>
        <v>0</v>
      </c>
      <c r="L69" s="46">
        <f>J69+'17'!L69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G70+'17'!H70</f>
        <v>0</v>
      </c>
      <c r="I70" s="46">
        <f>G70+'17'!I70</f>
        <v>0</v>
      </c>
      <c r="J70" s="46">
        <f>Diesel!P20</f>
        <v>0</v>
      </c>
      <c r="K70" s="46">
        <f>J70+'17'!K70</f>
        <v>75</v>
      </c>
      <c r="L70" s="46">
        <f>J70+'17'!L70</f>
        <v>678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G71+'17'!H71</f>
        <v>0</v>
      </c>
      <c r="I71" s="46">
        <f>G71+'17'!I71</f>
        <v>0</v>
      </c>
      <c r="J71" s="46">
        <f>Diesel!Q20</f>
        <v>80</v>
      </c>
      <c r="K71" s="46">
        <f>J71+'17'!K71</f>
        <v>16871</v>
      </c>
      <c r="L71" s="46">
        <f>J71+'17'!L71</f>
        <v>71506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G72+'17'!H72</f>
        <v>0</v>
      </c>
      <c r="I72" s="46">
        <f>G72+'17'!I72</f>
        <v>0</v>
      </c>
      <c r="J72" s="46">
        <f>Diesel!R20</f>
        <v>551</v>
      </c>
      <c r="K72" s="46">
        <f>J72+'17'!K72</f>
        <v>12170</v>
      </c>
      <c r="L72" s="46">
        <f>J72+'17'!L72</f>
        <v>54878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G73+'17'!H73</f>
        <v>0</v>
      </c>
      <c r="I73" s="46">
        <f>G73+'17'!I73</f>
        <v>0</v>
      </c>
      <c r="J73" s="46">
        <f>Diesel!S20</f>
        <v>0</v>
      </c>
      <c r="K73" s="46">
        <f>J73+'17'!K73</f>
        <v>0</v>
      </c>
      <c r="L73" s="46">
        <f>J73+'17'!L73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G74+'17'!H74</f>
        <v>0</v>
      </c>
      <c r="I74" s="46">
        <f>G74+'17'!I74</f>
        <v>0</v>
      </c>
      <c r="J74" s="46">
        <f>Diesel!T20</f>
        <v>0</v>
      </c>
      <c r="K74" s="46">
        <f>J74+'17'!K74</f>
        <v>0</v>
      </c>
      <c r="L74" s="46">
        <f>J74+'17'!L74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G75+'17'!H75</f>
        <v>0</v>
      </c>
      <c r="I75" s="46">
        <f>G75+'17'!I75</f>
        <v>0</v>
      </c>
      <c r="J75" s="61">
        <f>Diesel!U20</f>
        <v>0</v>
      </c>
      <c r="K75" s="46">
        <f>J75+'17'!K75</f>
        <v>0</v>
      </c>
      <c r="L75" s="46">
        <f>J75+'17'!L75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29660</v>
      </c>
      <c r="G76" s="62">
        <f t="shared" ref="G76:M76" si="5">SUM(G68:G75)</f>
        <v>0</v>
      </c>
      <c r="H76" s="62">
        <f t="shared" si="5"/>
        <v>32000</v>
      </c>
      <c r="I76" s="62">
        <f t="shared" si="5"/>
        <v>122000</v>
      </c>
      <c r="J76" s="62">
        <f t="shared" si="5"/>
        <v>631</v>
      </c>
      <c r="K76" s="62">
        <f t="shared" si="5"/>
        <v>29116</v>
      </c>
      <c r="L76" s="62">
        <f t="shared" si="5"/>
        <v>142062</v>
      </c>
      <c r="M76" s="62">
        <f t="shared" si="5"/>
        <v>29029</v>
      </c>
      <c r="N76" s="63"/>
      <c r="O76" s="64"/>
      <c r="P76" s="62"/>
      <c r="Q76" s="65"/>
    </row>
  </sheetData>
  <mergeCells count="70"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B9:B54"/>
    <mergeCell ref="C9:E9"/>
    <mergeCell ref="C10:E10"/>
    <mergeCell ref="C11:E11"/>
    <mergeCell ref="C27:E27"/>
    <mergeCell ref="C14:D14"/>
    <mergeCell ref="C36:D36"/>
    <mergeCell ref="C15:D15"/>
    <mergeCell ref="C37:D37"/>
    <mergeCell ref="C38:D38"/>
    <mergeCell ref="C17:E17"/>
    <mergeCell ref="C18:E18"/>
    <mergeCell ref="C40:E40"/>
    <mergeCell ref="C20:D20"/>
    <mergeCell ref="C50:D50"/>
    <mergeCell ref="C47:D47"/>
    <mergeCell ref="C6:E6"/>
    <mergeCell ref="C7:E7"/>
    <mergeCell ref="C54:E54"/>
    <mergeCell ref="C28:E28"/>
    <mergeCell ref="C29:E29"/>
    <mergeCell ref="C30:E30"/>
    <mergeCell ref="C31:E31"/>
    <mergeCell ref="C32:E32"/>
    <mergeCell ref="C33:E33"/>
    <mergeCell ref="C34:E34"/>
    <mergeCell ref="C35:E35"/>
    <mergeCell ref="C51:E51"/>
    <mergeCell ref="C52:E52"/>
    <mergeCell ref="C53:E53"/>
    <mergeCell ref="C13:D13"/>
    <mergeCell ref="C12:E12"/>
    <mergeCell ref="B55:B62"/>
    <mergeCell ref="C55:Q55"/>
    <mergeCell ref="C56:E56"/>
    <mergeCell ref="C57:E57"/>
    <mergeCell ref="C58:E58"/>
    <mergeCell ref="C60:E60"/>
    <mergeCell ref="C61:E61"/>
    <mergeCell ref="C62:E62"/>
    <mergeCell ref="C59:E59"/>
    <mergeCell ref="C76:E76"/>
    <mergeCell ref="B63:B66"/>
    <mergeCell ref="C63:Q63"/>
    <mergeCell ref="C64:E64"/>
    <mergeCell ref="C65:E65"/>
    <mergeCell ref="C66:E6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</mergeCells>
  <pageMargins left="0.7" right="0.7" top="0.75" bottom="0.75" header="0.3" footer="0.3"/>
  <pageSetup paperSize="9" scale="51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T6" sqref="T6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8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 t="s">
        <v>227</v>
      </c>
      <c r="Q3" s="316"/>
    </row>
    <row r="4" spans="2:18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8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8" x14ac:dyDescent="0.25">
      <c r="B6" s="54">
        <v>1</v>
      </c>
      <c r="C6" s="308" t="s">
        <v>135</v>
      </c>
      <c r="D6" s="309"/>
      <c r="E6" s="310"/>
      <c r="F6" s="45">
        <f>Clinker!C21</f>
        <v>1470.92</v>
      </c>
      <c r="G6" s="45">
        <f>Clinker!D21</f>
        <v>0</v>
      </c>
      <c r="H6" s="45">
        <f>G6+'18'!H6</f>
        <v>0</v>
      </c>
      <c r="I6" s="45">
        <f>G6+'18'!I6</f>
        <v>417.28000000000003</v>
      </c>
      <c r="J6" s="45">
        <f>Clinker!E21</f>
        <v>80</v>
      </c>
      <c r="K6" s="45">
        <f>J6+'18'!K6</f>
        <v>1257</v>
      </c>
      <c r="L6" s="45">
        <f>J6+'18'!L6</f>
        <v>4392</v>
      </c>
      <c r="M6" s="45">
        <f>F6+G6-J6</f>
        <v>1390.92</v>
      </c>
      <c r="N6" s="45">
        <v>0</v>
      </c>
      <c r="O6" s="45">
        <v>3000</v>
      </c>
      <c r="P6" s="45">
        <v>6000</v>
      </c>
      <c r="Q6" s="55">
        <f>SUM(M6+N6)-O6</f>
        <v>-1609.08</v>
      </c>
    </row>
    <row r="7" spans="2:18" x14ac:dyDescent="0.25">
      <c r="B7" s="50">
        <v>2</v>
      </c>
      <c r="C7" s="305" t="s">
        <v>136</v>
      </c>
      <c r="D7" s="306"/>
      <c r="E7" s="307"/>
      <c r="F7" s="46">
        <f>Cement!C21</f>
        <v>2743.8683707088589</v>
      </c>
      <c r="G7" s="46">
        <f>Cement!D21</f>
        <v>307.26</v>
      </c>
      <c r="H7" s="45">
        <f>G7+'18'!H7</f>
        <v>1157.02</v>
      </c>
      <c r="I7" s="45">
        <f>G7+'18'!I7</f>
        <v>3283.6399999999994</v>
      </c>
      <c r="J7" s="46">
        <f>Cement!I21</f>
        <v>157.5694727231579</v>
      </c>
      <c r="K7" s="45">
        <f>J7+'18'!K7</f>
        <v>2471.7669601704761</v>
      </c>
      <c r="L7" s="45">
        <f>J7+'18'!L7</f>
        <v>7697.9969504979763</v>
      </c>
      <c r="M7" s="45">
        <f>F7+G7-J7</f>
        <v>2893.5588979857007</v>
      </c>
      <c r="N7" s="46">
        <v>0</v>
      </c>
      <c r="O7" s="46">
        <v>3000</v>
      </c>
      <c r="P7" s="46">
        <v>6000</v>
      </c>
      <c r="Q7" s="56">
        <f>SUM(M7+N7)-O7</f>
        <v>-106.4411020142993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Clinker!EI21</f>
        <v>23930.912571720044</v>
      </c>
      <c r="G8" s="46">
        <f>Clinker!EJ21</f>
        <v>1335</v>
      </c>
      <c r="H8" s="45">
        <f>G8+'18'!H8</f>
        <v>28247</v>
      </c>
      <c r="I8" s="45">
        <f>G8+'18'!I8</f>
        <v>127163.66</v>
      </c>
      <c r="J8" s="46">
        <f>Clinker!EK21</f>
        <v>2382.8080021814003</v>
      </c>
      <c r="K8" s="45">
        <f>J8+'18'!K8</f>
        <v>36615.797518268322</v>
      </c>
      <c r="L8" s="45">
        <f>J8+'18'!L8</f>
        <v>116411.64453808824</v>
      </c>
      <c r="M8" s="45">
        <f>F8+G8-J8</f>
        <v>22883.104569538642</v>
      </c>
      <c r="N8" s="46">
        <v>0</v>
      </c>
      <c r="O8" s="46"/>
      <c r="P8" s="46"/>
      <c r="Q8" s="56"/>
    </row>
    <row r="9" spans="2:18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88"/>
      <c r="C10" s="281" t="s">
        <v>138</v>
      </c>
      <c r="D10" s="282"/>
      <c r="E10" s="283"/>
      <c r="F10" s="46">
        <f>Clinker!K21</f>
        <v>0</v>
      </c>
      <c r="G10" s="46">
        <f>Clinker!L21</f>
        <v>0</v>
      </c>
      <c r="H10" s="46">
        <f>G10+'18'!H10</f>
        <v>0</v>
      </c>
      <c r="I10" s="46">
        <f>G10+'18'!I10</f>
        <v>0</v>
      </c>
      <c r="J10" s="46">
        <f>Clinker!N21</f>
        <v>0</v>
      </c>
      <c r="K10" s="46">
        <f>J10+'18'!K10</f>
        <v>0</v>
      </c>
      <c r="L10" s="46">
        <f>J10+'18'!L10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88"/>
      <c r="C11" s="281" t="s">
        <v>139</v>
      </c>
      <c r="D11" s="282"/>
      <c r="E11" s="283"/>
      <c r="F11" s="46">
        <f>Clinker!W21</f>
        <v>3.9999999998087787E-2</v>
      </c>
      <c r="G11" s="46">
        <f>Clinker!X21</f>
        <v>0</v>
      </c>
      <c r="H11" s="46">
        <f>G11+'18'!H11</f>
        <v>0</v>
      </c>
      <c r="I11" s="46">
        <f>G11+'18'!I11</f>
        <v>0</v>
      </c>
      <c r="J11" s="46">
        <f>Clinker!Z21</f>
        <v>0</v>
      </c>
      <c r="K11" s="46">
        <f>J11+'18'!K11</f>
        <v>1063</v>
      </c>
      <c r="L11" s="46">
        <f>J11+'18'!L11</f>
        <v>8686.84</v>
      </c>
      <c r="M11" s="45">
        <f>F11+G11-J11-J34</f>
        <v>3.9999999998087787E-2</v>
      </c>
      <c r="N11" s="46">
        <v>0</v>
      </c>
      <c r="O11" s="46"/>
      <c r="P11" s="46"/>
      <c r="Q11" s="56">
        <f>SUM(M11+N11)-O11</f>
        <v>3.9999999998087787E-2</v>
      </c>
    </row>
    <row r="12" spans="2:18" ht="15" customHeight="1" x14ac:dyDescent="0.25">
      <c r="B12" s="288"/>
      <c r="C12" s="281" t="s">
        <v>140</v>
      </c>
      <c r="D12" s="282"/>
      <c r="E12" s="283"/>
      <c r="F12" s="46">
        <f>Clinker!AT21</f>
        <v>1.0000000002058584E-2</v>
      </c>
      <c r="G12" s="46">
        <f>Clinker!AU21</f>
        <v>0</v>
      </c>
      <c r="H12" s="46">
        <f>G12+'18'!H12</f>
        <v>0</v>
      </c>
      <c r="I12" s="46">
        <f>G12+'18'!I12</f>
        <v>181.5</v>
      </c>
      <c r="J12" s="46">
        <f>Clinker!AV21</f>
        <v>0</v>
      </c>
      <c r="K12" s="46">
        <f>J12+'18'!K12</f>
        <v>2933.89</v>
      </c>
      <c r="L12" s="46">
        <f>J12+'18'!L12</f>
        <v>5675.5900000000011</v>
      </c>
      <c r="M12" s="45">
        <f>F12+G12-J12-J37</f>
        <v>1.0000000002058584E-2</v>
      </c>
      <c r="N12" s="46">
        <v>0</v>
      </c>
      <c r="O12" s="46"/>
      <c r="P12" s="46"/>
      <c r="Q12" s="71"/>
    </row>
    <row r="13" spans="2:18" x14ac:dyDescent="0.25">
      <c r="B13" s="288"/>
      <c r="C13" s="281" t="s">
        <v>9</v>
      </c>
      <c r="D13" s="282"/>
      <c r="E13" s="69"/>
      <c r="F13" s="46">
        <f>Clinker!AO21</f>
        <v>0</v>
      </c>
      <c r="G13" s="46">
        <f>Clinker!AP21</f>
        <v>0</v>
      </c>
      <c r="H13" s="46">
        <f>G13+'18'!H13</f>
        <v>0</v>
      </c>
      <c r="I13" s="46">
        <f>G13+'18'!I13</f>
        <v>0</v>
      </c>
      <c r="J13" s="46">
        <f>Clinker!AQ21</f>
        <v>0</v>
      </c>
      <c r="K13" s="46">
        <f>J13+'18'!K13</f>
        <v>0</v>
      </c>
      <c r="L13" s="46">
        <f>J13+'18'!L13</f>
        <v>0</v>
      </c>
      <c r="M13" s="45">
        <f>F13+G13-J13-J36</f>
        <v>0</v>
      </c>
      <c r="N13" s="46">
        <v>0</v>
      </c>
      <c r="O13" s="46"/>
      <c r="P13" s="46"/>
      <c r="Q13" s="71"/>
    </row>
    <row r="14" spans="2:18" x14ac:dyDescent="0.25">
      <c r="B14" s="288"/>
      <c r="C14" s="281" t="s">
        <v>8</v>
      </c>
      <c r="D14" s="282"/>
      <c r="E14" s="69"/>
      <c r="F14" s="46">
        <f>Clinker!AK21</f>
        <v>0</v>
      </c>
      <c r="G14" s="46">
        <f>Clinker!AL21</f>
        <v>0</v>
      </c>
      <c r="H14" s="46">
        <f>G14+'18'!H14</f>
        <v>0</v>
      </c>
      <c r="I14" s="46">
        <f>G14+'18'!I14</f>
        <v>0</v>
      </c>
      <c r="J14" s="46">
        <f>Clinker!AM21</f>
        <v>0</v>
      </c>
      <c r="K14" s="46">
        <f>J14+'18'!K14</f>
        <v>0</v>
      </c>
      <c r="L14" s="46">
        <f>J14+'18'!L14</f>
        <v>0</v>
      </c>
      <c r="M14" s="45">
        <f>F14+G14-J14</f>
        <v>0</v>
      </c>
      <c r="N14" s="46">
        <v>0</v>
      </c>
      <c r="O14" s="46"/>
      <c r="P14" s="46"/>
      <c r="Q14" s="71"/>
    </row>
    <row r="15" spans="2:18" x14ac:dyDescent="0.25">
      <c r="B15" s="288"/>
      <c r="C15" s="281" t="s">
        <v>11</v>
      </c>
      <c r="D15" s="282"/>
      <c r="E15" s="69"/>
      <c r="F15" s="46">
        <f>Clinker!AY21</f>
        <v>2386.4469999999901</v>
      </c>
      <c r="G15" s="46">
        <f>Clinker!AZ21</f>
        <v>120.74</v>
      </c>
      <c r="H15" s="46">
        <f>G15+'18'!H15</f>
        <v>2720.7200000000003</v>
      </c>
      <c r="I15" s="46">
        <f>G15+'18'!I15</f>
        <v>3132.46</v>
      </c>
      <c r="J15" s="46">
        <f>Clinker!BA21</f>
        <v>236.67</v>
      </c>
      <c r="K15" s="46">
        <f>J15+'18'!K15</f>
        <v>862.2299999999999</v>
      </c>
      <c r="L15" s="46">
        <f>J15+'18'!L15</f>
        <v>862.2299999999999</v>
      </c>
      <c r="M15" s="45">
        <f>F15+G15-J15-J38</f>
        <v>2270.5169999999898</v>
      </c>
      <c r="N15" s="75">
        <v>0</v>
      </c>
      <c r="O15" s="46">
        <v>5000</v>
      </c>
      <c r="P15" s="46">
        <v>9000</v>
      </c>
      <c r="Q15" s="71"/>
    </row>
    <row r="16" spans="2:18" x14ac:dyDescent="0.25">
      <c r="B16" s="288"/>
      <c r="C16" s="76" t="s">
        <v>141</v>
      </c>
      <c r="D16" s="77"/>
      <c r="E16" s="69"/>
      <c r="F16" s="46">
        <f>Clinker!BD21</f>
        <v>0</v>
      </c>
      <c r="G16" s="46">
        <f>Clinker!BE21</f>
        <v>0</v>
      </c>
      <c r="H16" s="46">
        <f>G16+'18'!H16</f>
        <v>0</v>
      </c>
      <c r="I16" s="46">
        <f>G16+'18'!I16</f>
        <v>0</v>
      </c>
      <c r="J16" s="46">
        <f>Clinker!BF21</f>
        <v>0</v>
      </c>
      <c r="K16" s="46">
        <f>J16+'18'!K16</f>
        <v>0</v>
      </c>
      <c r="L16" s="46">
        <f>J16+'18'!L16</f>
        <v>0</v>
      </c>
      <c r="M16" s="45">
        <f>F16+G16-J16-J39</f>
        <v>0</v>
      </c>
      <c r="N16" s="46">
        <v>0</v>
      </c>
      <c r="O16" s="46"/>
      <c r="P16" s="46"/>
      <c r="Q16" s="71"/>
    </row>
    <row r="17" spans="2:17" ht="14.25" customHeight="1" x14ac:dyDescent="0.25">
      <c r="B17" s="288"/>
      <c r="C17" s="281" t="s">
        <v>13</v>
      </c>
      <c r="D17" s="282"/>
      <c r="E17" s="283"/>
      <c r="F17" s="46">
        <f>Clinker!BI21</f>
        <v>0</v>
      </c>
      <c r="G17" s="46">
        <f>Clinker!BJ21</f>
        <v>0</v>
      </c>
      <c r="H17" s="46">
        <f>G17+'18'!H17</f>
        <v>0</v>
      </c>
      <c r="I17" s="46">
        <f>G17+'18'!I17</f>
        <v>0</v>
      </c>
      <c r="J17" s="46">
        <f>Clinker!BK21</f>
        <v>0</v>
      </c>
      <c r="K17" s="46">
        <f>J17+'18'!K17</f>
        <v>0</v>
      </c>
      <c r="L17" s="46">
        <f>J17+'18'!L17</f>
        <v>0</v>
      </c>
      <c r="M17" s="45">
        <f>F17+G17-J17</f>
        <v>0</v>
      </c>
      <c r="N17" s="46">
        <v>0</v>
      </c>
      <c r="O17" s="46"/>
      <c r="P17" s="46"/>
      <c r="Q17" s="71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Clinker!BN21</f>
        <v>0</v>
      </c>
      <c r="G18" s="46">
        <f>Clinker!BO21</f>
        <v>0</v>
      </c>
      <c r="H18" s="46">
        <f>G18+'18'!H18</f>
        <v>0</v>
      </c>
      <c r="I18" s="46">
        <f>G18+'18'!I18</f>
        <v>0</v>
      </c>
      <c r="J18" s="46">
        <f>Clinker!BP21</f>
        <v>0</v>
      </c>
      <c r="K18" s="46">
        <f>J18+'18'!K18</f>
        <v>0</v>
      </c>
      <c r="L18" s="46">
        <f>J18+'18'!L18</f>
        <v>0</v>
      </c>
      <c r="M18" s="45">
        <f>F18+G18-J18-J41</f>
        <v>0</v>
      </c>
      <c r="N18" s="46">
        <v>0</v>
      </c>
      <c r="O18" s="46"/>
      <c r="P18" s="46"/>
      <c r="Q18" s="71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Clinker!BS21</f>
        <v>0</v>
      </c>
      <c r="G19" s="46">
        <f>Clinker!BT21</f>
        <v>0</v>
      </c>
      <c r="H19" s="46">
        <f>G19+'18'!H19</f>
        <v>0</v>
      </c>
      <c r="I19" s="46">
        <f>G19+'18'!I19</f>
        <v>0</v>
      </c>
      <c r="J19" s="46">
        <f>Clinker!BU21</f>
        <v>0</v>
      </c>
      <c r="K19" s="46">
        <f>J19+'18'!K19</f>
        <v>0</v>
      </c>
      <c r="L19" s="46">
        <f>J19+'18'!L19</f>
        <v>0</v>
      </c>
      <c r="M19" s="45">
        <f>F19+G19-J19-J42</f>
        <v>0</v>
      </c>
      <c r="N19" s="46">
        <v>0</v>
      </c>
      <c r="O19" s="46"/>
      <c r="P19" s="46"/>
      <c r="Q19" s="71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Clinker!BX21</f>
        <v>0</v>
      </c>
      <c r="G20" s="46">
        <f>Clinker!BY21</f>
        <v>0</v>
      </c>
      <c r="H20" s="46">
        <f>G20+'18'!H20</f>
        <v>0</v>
      </c>
      <c r="I20" s="46">
        <f>G20+'18'!I20</f>
        <v>0</v>
      </c>
      <c r="J20" s="46">
        <f>Clinker!AH21</f>
        <v>0</v>
      </c>
      <c r="K20" s="46">
        <f>J20+'18'!K20</f>
        <v>0</v>
      </c>
      <c r="L20" s="46">
        <f>J20+'18'!L20</f>
        <v>4052.88</v>
      </c>
      <c r="M20" s="45">
        <v>0</v>
      </c>
      <c r="N20" s="46">
        <v>0</v>
      </c>
      <c r="O20" s="46"/>
      <c r="P20" s="46"/>
      <c r="Q20" s="71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Clinker!CR21</f>
        <v>0</v>
      </c>
      <c r="G21" s="46">
        <f>Clinker!CS21</f>
        <v>0</v>
      </c>
      <c r="H21" s="46">
        <f>G21+'18'!H21</f>
        <v>0</v>
      </c>
      <c r="I21" s="46">
        <f>G21+'18'!I21</f>
        <v>0</v>
      </c>
      <c r="J21" s="46">
        <f>Clinker!CT21</f>
        <v>0</v>
      </c>
      <c r="K21" s="46">
        <f>J21+'18'!K21</f>
        <v>0</v>
      </c>
      <c r="L21" s="46">
        <f>J21+'18'!L21</f>
        <v>0</v>
      </c>
      <c r="M21" s="45">
        <f>F21+G21-J21-J43</f>
        <v>0</v>
      </c>
      <c r="N21" s="46">
        <v>0</v>
      </c>
      <c r="O21" s="46"/>
      <c r="P21" s="46"/>
      <c r="Q21" s="71"/>
    </row>
    <row r="22" spans="2:17" ht="14.25" customHeight="1" x14ac:dyDescent="0.25">
      <c r="B22" s="288"/>
      <c r="C22" s="76" t="s">
        <v>184</v>
      </c>
      <c r="D22" s="77"/>
      <c r="E22" s="69"/>
      <c r="F22" s="46">
        <f>Clinker!CW21</f>
        <v>0</v>
      </c>
      <c r="G22" s="46">
        <f>Clinker!CX21</f>
        <v>0</v>
      </c>
      <c r="H22" s="46">
        <f>G22+'18'!H22</f>
        <v>0</v>
      </c>
      <c r="I22" s="46">
        <f>G22+'18'!I22</f>
        <v>0</v>
      </c>
      <c r="J22" s="46">
        <f>Clinker!CY21</f>
        <v>0</v>
      </c>
      <c r="K22" s="46">
        <f>J22+'18'!K22</f>
        <v>0</v>
      </c>
      <c r="L22" s="46">
        <f>J22+'18'!L22</f>
        <v>0</v>
      </c>
      <c r="M22" s="45">
        <f>F22+G22-J22-J44</f>
        <v>0</v>
      </c>
      <c r="N22" s="46">
        <v>0</v>
      </c>
      <c r="O22" s="46"/>
      <c r="P22" s="46"/>
      <c r="Q22" s="71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Clinker!DB21</f>
        <v>1.0000000000013998E-2</v>
      </c>
      <c r="G23" s="46">
        <f>Clinker!DC21</f>
        <v>0</v>
      </c>
      <c r="H23" s="46">
        <f>G23+'18'!H23</f>
        <v>0</v>
      </c>
      <c r="I23" s="46">
        <f>G23+'18'!I23</f>
        <v>0</v>
      </c>
      <c r="J23" s="46">
        <f>Clinker!DD21</f>
        <v>0</v>
      </c>
      <c r="K23" s="46">
        <f>J23+'18'!K23</f>
        <v>7.1</v>
      </c>
      <c r="L23" s="46">
        <f>J23+'18'!L23</f>
        <v>305.99</v>
      </c>
      <c r="M23" s="45">
        <f>F23+G23-J23-J45</f>
        <v>1.0000000000013998E-2</v>
      </c>
      <c r="N23" s="46">
        <v>0</v>
      </c>
      <c r="O23" s="46"/>
      <c r="P23" s="46"/>
      <c r="Q23" s="71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Clinker!DG21</f>
        <v>0</v>
      </c>
      <c r="G24" s="46">
        <f>Clinker!DH21</f>
        <v>0</v>
      </c>
      <c r="H24" s="46">
        <f>G24+'18'!H24</f>
        <v>0</v>
      </c>
      <c r="I24" s="46">
        <f>G24+'18'!I24</f>
        <v>0</v>
      </c>
      <c r="J24" s="46">
        <f>Clinker!DI21</f>
        <v>0</v>
      </c>
      <c r="K24" s="46">
        <f>J24+'18'!K24</f>
        <v>0</v>
      </c>
      <c r="L24" s="46">
        <f>J24+'18'!L24</f>
        <v>0</v>
      </c>
      <c r="M24" s="45">
        <f>F24+G24-J24-J46</f>
        <v>0</v>
      </c>
      <c r="N24" s="46">
        <v>0</v>
      </c>
      <c r="O24" s="46"/>
      <c r="P24" s="46"/>
      <c r="Q24" s="71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Clinker!DL21</f>
        <v>304</v>
      </c>
      <c r="G25" s="46">
        <f>Clinker!DM21</f>
        <v>0</v>
      </c>
      <c r="H25" s="46">
        <f>G25+'18'!H25</f>
        <v>92</v>
      </c>
      <c r="I25" s="46">
        <f>G25+'18'!I25</f>
        <v>304</v>
      </c>
      <c r="J25" s="46">
        <f>Clinker!DN21</f>
        <v>0</v>
      </c>
      <c r="K25" s="46">
        <f>J25+'18'!K25</f>
        <v>0</v>
      </c>
      <c r="L25" s="46">
        <f>J25+'18'!L25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Clinker!DV21</f>
        <v>0</v>
      </c>
      <c r="G26" s="46">
        <f>Clinker!DW21</f>
        <v>0</v>
      </c>
      <c r="H26" s="46">
        <f>G26+'18'!H26</f>
        <v>0</v>
      </c>
      <c r="I26" s="46">
        <f>G26+'18'!I26</f>
        <v>0</v>
      </c>
      <c r="J26" s="46">
        <f>Clinker!DX21</f>
        <v>0</v>
      </c>
      <c r="K26" s="46">
        <f>J26+'18'!K26</f>
        <v>0</v>
      </c>
      <c r="L26" s="46">
        <f>J26+'18'!L26</f>
        <v>0</v>
      </c>
      <c r="M26" s="45">
        <f>F26+G26-J26</f>
        <v>0</v>
      </c>
      <c r="N26" s="46">
        <v>0</v>
      </c>
      <c r="O26" s="46"/>
      <c r="P26" s="46"/>
      <c r="Q26" s="71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2690.5069999999905</v>
      </c>
      <c r="G27" s="46">
        <f t="shared" ref="G27:Q27" si="0">SUM(G10:G26)</f>
        <v>120.74</v>
      </c>
      <c r="H27" s="46">
        <f t="shared" si="0"/>
        <v>2812.7200000000003</v>
      </c>
      <c r="I27" s="46">
        <f t="shared" si="0"/>
        <v>3617.96</v>
      </c>
      <c r="J27" s="46">
        <f t="shared" si="0"/>
        <v>236.67</v>
      </c>
      <c r="K27" s="46">
        <f t="shared" si="0"/>
        <v>4866.22</v>
      </c>
      <c r="L27" s="46">
        <f t="shared" si="0"/>
        <v>19583.530000000002</v>
      </c>
      <c r="M27" s="46">
        <f t="shared" si="0"/>
        <v>2574.5769999999902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3.9999999998087787E-2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213"/>
    </row>
    <row r="29" spans="2:17" x14ac:dyDescent="0.25">
      <c r="B29" s="288"/>
      <c r="C29" s="281" t="s">
        <v>148</v>
      </c>
      <c r="D29" s="282"/>
      <c r="E29" s="283"/>
      <c r="F29" s="46">
        <f>Clinker!Q21</f>
        <v>0</v>
      </c>
      <c r="G29" s="46">
        <f>Clinker!R21</f>
        <v>0</v>
      </c>
      <c r="H29" s="46">
        <f>G29+'18'!H29</f>
        <v>0</v>
      </c>
      <c r="I29" s="46">
        <f>G29+'18'!I29</f>
        <v>0</v>
      </c>
      <c r="J29" s="46">
        <f>Clinker!S21</f>
        <v>0</v>
      </c>
      <c r="K29" s="46">
        <f>J29+'18'!K29</f>
        <v>0</v>
      </c>
      <c r="L29" s="46">
        <f>J29+'18'!L29</f>
        <v>0</v>
      </c>
      <c r="M29" s="45">
        <f t="shared" ref="M29:M33" si="1">F29+G29-J29</f>
        <v>0</v>
      </c>
      <c r="N29" s="46">
        <v>0</v>
      </c>
      <c r="O29" s="46"/>
      <c r="P29" s="46"/>
      <c r="Q29" s="71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G30+'18'!H30</f>
        <v>0</v>
      </c>
      <c r="I30" s="46">
        <f>G30+'18'!I30</f>
        <v>0</v>
      </c>
      <c r="J30" s="46">
        <v>0</v>
      </c>
      <c r="K30" s="46">
        <f>J30+'18'!K30</f>
        <v>0</v>
      </c>
      <c r="L30" s="46">
        <f>J30+'18'!L30</f>
        <v>0</v>
      </c>
      <c r="M30" s="45">
        <f t="shared" si="1"/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G31+'18'!H31</f>
        <v>0</v>
      </c>
      <c r="I31" s="46">
        <f>G31+'18'!I31</f>
        <v>0</v>
      </c>
      <c r="J31" s="46">
        <v>0</v>
      </c>
      <c r="K31" s="46">
        <f>J31+'18'!K31</f>
        <v>0</v>
      </c>
      <c r="L31" s="46">
        <f>J31+'18'!L31</f>
        <v>0</v>
      </c>
      <c r="M31" s="45">
        <f t="shared" si="1"/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v>0</v>
      </c>
      <c r="G32" s="46">
        <f>Clinker!DR21</f>
        <v>0</v>
      </c>
      <c r="H32" s="46">
        <f>G32+'18'!H32</f>
        <v>0</v>
      </c>
      <c r="I32" s="46">
        <f>G32+'18'!I32</f>
        <v>0</v>
      </c>
      <c r="J32" s="46">
        <v>0</v>
      </c>
      <c r="K32" s="46">
        <f>J32+'18'!K32</f>
        <v>0</v>
      </c>
      <c r="L32" s="46">
        <f>J32+'18'!L32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G33+'18'!H33</f>
        <v>0</v>
      </c>
      <c r="I33" s="46">
        <f>G33+'18'!I33</f>
        <v>0</v>
      </c>
      <c r="J33" s="46">
        <v>0</v>
      </c>
      <c r="K33" s="46">
        <f>J33+'18'!K33</f>
        <v>0</v>
      </c>
      <c r="L33" s="46">
        <f>J33+'18'!L33</f>
        <v>0</v>
      </c>
      <c r="M33" s="45">
        <f t="shared" si="1"/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>
        <f>G34+'18'!H34</f>
        <v>0</v>
      </c>
      <c r="I34" s="46">
        <f>G34+'18'!I34</f>
        <v>0</v>
      </c>
      <c r="J34" s="46">
        <f>Clinker!Y21</f>
        <v>0</v>
      </c>
      <c r="K34" s="46">
        <f>J34+'18'!K34</f>
        <v>0</v>
      </c>
      <c r="L34" s="46">
        <f>J34+'18'!L34</f>
        <v>1327</v>
      </c>
      <c r="M34" s="45">
        <v>0</v>
      </c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>
        <f>G35+'18'!H35</f>
        <v>0</v>
      </c>
      <c r="I35" s="46">
        <f>G35+'18'!I35</f>
        <v>0</v>
      </c>
      <c r="J35" s="46">
        <f>Clinker!M21</f>
        <v>0</v>
      </c>
      <c r="K35" s="46">
        <f>J35+'18'!K35</f>
        <v>0</v>
      </c>
      <c r="L35" s="46">
        <f>J35+'18'!L35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Clinker!AR21</f>
        <v>0</v>
      </c>
      <c r="K36" s="46">
        <f>J36+'18'!K36</f>
        <v>0</v>
      </c>
      <c r="L36" s="46">
        <f>J36+'18'!L36</f>
        <v>0</v>
      </c>
      <c r="M36" s="45"/>
      <c r="N36" s="46"/>
      <c r="O36" s="46"/>
      <c r="P36" s="46"/>
      <c r="Q36" s="56"/>
    </row>
    <row r="37" spans="2:17" ht="15" customHeight="1" x14ac:dyDescent="0.25">
      <c r="B37" s="288"/>
      <c r="C37" s="281" t="s">
        <v>140</v>
      </c>
      <c r="D37" s="282"/>
      <c r="E37" s="69"/>
      <c r="F37" s="46"/>
      <c r="G37" s="46"/>
      <c r="H37" s="46"/>
      <c r="I37" s="46"/>
      <c r="J37" s="46">
        <f>Clinker!DT21</f>
        <v>0</v>
      </c>
      <c r="K37" s="46">
        <f>J37+'18'!K37</f>
        <v>0</v>
      </c>
      <c r="L37" s="46">
        <f>J37+'18'!L37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Clinker!BB21</f>
        <v>0</v>
      </c>
      <c r="K38" s="46">
        <f>J38+'18'!K38</f>
        <v>0</v>
      </c>
      <c r="L38" s="46">
        <f>J38+'18'!L38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Clinker!BG21</f>
        <v>0</v>
      </c>
      <c r="K39" s="46">
        <f>J39+'18'!K39</f>
        <v>0</v>
      </c>
      <c r="L39" s="46">
        <f>J39+'18'!L39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13</v>
      </c>
      <c r="D40" s="282"/>
      <c r="E40" s="283"/>
      <c r="F40" s="46"/>
      <c r="G40" s="46"/>
      <c r="H40" s="46"/>
      <c r="I40" s="46"/>
      <c r="J40" s="46">
        <f>Clinker!BL21</f>
        <v>0</v>
      </c>
      <c r="K40" s="46">
        <f>J40+'18'!K40</f>
        <v>0</v>
      </c>
      <c r="L40" s="46">
        <f>J40+'18'!L40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Clinker!BQ21</f>
        <v>0</v>
      </c>
      <c r="K41" s="46">
        <f>J41+'18'!K41</f>
        <v>0</v>
      </c>
      <c r="L41" s="46">
        <f>J41+'18'!L41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Clinker!BV21</f>
        <v>0</v>
      </c>
      <c r="K42" s="46">
        <f>J42+'18'!K42</f>
        <v>0</v>
      </c>
      <c r="L42" s="46">
        <f>J42+'18'!L42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Clinker!CU21</f>
        <v>0</v>
      </c>
      <c r="K43" s="46">
        <f>J43+'18'!K43</f>
        <v>0</v>
      </c>
      <c r="L43" s="46">
        <f>J43+'18'!L43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Clinker!CZ21</f>
        <v>0</v>
      </c>
      <c r="K44" s="46">
        <f>J44+'18'!K44</f>
        <v>0</v>
      </c>
      <c r="L44" s="46">
        <f>J44+'18'!L44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Clinker!DE21</f>
        <v>0</v>
      </c>
      <c r="K45" s="46">
        <f>J45+'18'!K45</f>
        <v>0</v>
      </c>
      <c r="L45" s="46">
        <f>J45+'18'!L45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104</v>
      </c>
      <c r="D46" s="77"/>
      <c r="E46" s="69"/>
      <c r="F46" s="46"/>
      <c r="G46" s="46"/>
      <c r="H46" s="46"/>
      <c r="I46" s="46"/>
      <c r="J46" s="46">
        <f>Clinker!DJ21</f>
        <v>0</v>
      </c>
      <c r="K46" s="46">
        <f>J46+'18'!K46</f>
        <v>0</v>
      </c>
      <c r="L46" s="46">
        <f>J46+'18'!L46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Clinker!DO21</f>
        <v>0</v>
      </c>
      <c r="K47" s="46">
        <f>J47+'18'!K47</f>
        <v>0</v>
      </c>
      <c r="L47" s="46">
        <f>J47+'18'!L47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Clinker!CM21</f>
        <v>5.0000000000181899E-2</v>
      </c>
      <c r="G48" s="46">
        <f>Clinker!CN21</f>
        <v>0</v>
      </c>
      <c r="H48" s="46">
        <f>G48+'18'!H48</f>
        <v>0</v>
      </c>
      <c r="I48" s="46">
        <f>G48+'18'!I48</f>
        <v>0</v>
      </c>
      <c r="J48" s="46">
        <f>Clinker!CP21</f>
        <v>0</v>
      </c>
      <c r="K48" s="46">
        <f>J48+'18'!K48</f>
        <v>0</v>
      </c>
      <c r="L48" s="46">
        <f>J48+'18'!L48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88"/>
      <c r="C49" s="76" t="s">
        <v>102</v>
      </c>
      <c r="D49" s="77"/>
      <c r="E49" s="69"/>
      <c r="F49" s="46">
        <f>Clinker!CC21</f>
        <v>0</v>
      </c>
      <c r="G49" s="46">
        <f>Clinker!CD21</f>
        <v>0</v>
      </c>
      <c r="H49" s="46">
        <f>G49+'18'!H49</f>
        <v>0</v>
      </c>
      <c r="I49" s="46">
        <f>G49+'18'!I49</f>
        <v>0</v>
      </c>
      <c r="J49" s="46">
        <f>Clinker!CF21</f>
        <v>0</v>
      </c>
      <c r="K49" s="46">
        <f>J49+'18'!K49</f>
        <v>0</v>
      </c>
      <c r="L49" s="46">
        <f>J49+'18'!L49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88"/>
      <c r="C50" s="281" t="s">
        <v>154</v>
      </c>
      <c r="D50" s="282"/>
      <c r="E50" s="69"/>
      <c r="F50" s="46">
        <f>Clinker!CH21</f>
        <v>0</v>
      </c>
      <c r="G50" s="46">
        <f>Clinker!CI21</f>
        <v>0</v>
      </c>
      <c r="H50" s="46">
        <f>G50+'18'!H50</f>
        <v>0</v>
      </c>
      <c r="I50" s="46">
        <f>G50+'18'!I50</f>
        <v>0</v>
      </c>
      <c r="J50" s="46">
        <f>Clinker!CK21</f>
        <v>0</v>
      </c>
      <c r="K50" s="46">
        <f>J50+'18'!K50</f>
        <v>0</v>
      </c>
      <c r="L50" s="46">
        <f>J50+'18'!L50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88"/>
      <c r="C51" s="281" t="s">
        <v>155</v>
      </c>
      <c r="D51" s="282"/>
      <c r="E51" s="283"/>
      <c r="F51" s="46">
        <f>Clinker!AF21</f>
        <v>4315.719999999993</v>
      </c>
      <c r="G51" s="46">
        <f>Clinker!AG21</f>
        <v>59.3</v>
      </c>
      <c r="H51" s="46">
        <f>G51+'18'!H51</f>
        <v>2892.3500000000004</v>
      </c>
      <c r="I51" s="46">
        <f>G51+'18'!I51</f>
        <v>5033.2999999999993</v>
      </c>
      <c r="J51" s="46">
        <f>Clinker!AI21</f>
        <v>172</v>
      </c>
      <c r="K51" s="46">
        <f>J51+'18'!K51</f>
        <v>2738</v>
      </c>
      <c r="L51" s="46">
        <f>J51+'18'!L51</f>
        <v>9563</v>
      </c>
      <c r="M51" s="45">
        <f>F51+G51-J51-J20</f>
        <v>4203.0199999999932</v>
      </c>
      <c r="N51" s="46">
        <v>0</v>
      </c>
      <c r="O51" s="46">
        <v>1500</v>
      </c>
      <c r="P51" s="46">
        <v>3000</v>
      </c>
      <c r="Q51" s="56">
        <f>SUM(M51+N51)-O51</f>
        <v>2703.0199999999932</v>
      </c>
    </row>
    <row r="52" spans="2:17" x14ac:dyDescent="0.25">
      <c r="B52" s="288"/>
      <c r="C52" s="281" t="s">
        <v>156</v>
      </c>
      <c r="D52" s="282"/>
      <c r="E52" s="283"/>
      <c r="F52" s="46">
        <f>Clinker!AB21</f>
        <v>0</v>
      </c>
      <c r="G52" s="46">
        <f>Clinker!AC21</f>
        <v>0</v>
      </c>
      <c r="H52" s="46">
        <f>G52+'18'!H52</f>
        <v>0</v>
      </c>
      <c r="I52" s="46">
        <f>G52+'18'!I52</f>
        <v>0</v>
      </c>
      <c r="J52" s="46">
        <f>Clinker!AD21</f>
        <v>0</v>
      </c>
      <c r="K52" s="46">
        <f>J52+'18'!K52</f>
        <v>0</v>
      </c>
      <c r="L52" s="46">
        <f>J52+'18'!L52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88"/>
      <c r="C53" s="281" t="s">
        <v>146</v>
      </c>
      <c r="D53" s="282"/>
      <c r="E53" s="283"/>
      <c r="F53" s="46">
        <f t="shared" ref="F53:Q53" si="2">SUM(F29:F52)</f>
        <v>4315.7699999999932</v>
      </c>
      <c r="G53" s="46">
        <f t="shared" si="2"/>
        <v>59.3</v>
      </c>
      <c r="H53" s="46">
        <f t="shared" si="2"/>
        <v>2892.3500000000004</v>
      </c>
      <c r="I53" s="46">
        <f t="shared" si="2"/>
        <v>5033.2999999999993</v>
      </c>
      <c r="J53" s="46">
        <f t="shared" si="2"/>
        <v>172</v>
      </c>
      <c r="K53" s="46">
        <f t="shared" si="2"/>
        <v>2738</v>
      </c>
      <c r="L53" s="46">
        <f t="shared" si="2"/>
        <v>10910</v>
      </c>
      <c r="M53" s="45">
        <f>SUM(M29:M52)</f>
        <v>4203.0699999999933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2"/>
        <v>2703.0199999999932</v>
      </c>
    </row>
    <row r="54" spans="2:17" x14ac:dyDescent="0.25">
      <c r="B54" s="289"/>
      <c r="C54" s="284" t="s">
        <v>157</v>
      </c>
      <c r="D54" s="285"/>
      <c r="E54" s="286"/>
      <c r="F54" s="59">
        <f t="shared" ref="F54:Q54" si="3">SUM(F27+F53)</f>
        <v>7006.2769999999837</v>
      </c>
      <c r="G54" s="59">
        <f t="shared" si="3"/>
        <v>180.04</v>
      </c>
      <c r="H54" s="59">
        <f t="shared" si="3"/>
        <v>5705.0700000000006</v>
      </c>
      <c r="I54" s="59">
        <f t="shared" si="3"/>
        <v>8651.2599999999984</v>
      </c>
      <c r="J54" s="59">
        <f t="shared" si="3"/>
        <v>408.66999999999996</v>
      </c>
      <c r="K54" s="59">
        <f t="shared" si="3"/>
        <v>7604.22</v>
      </c>
      <c r="L54" s="59">
        <f t="shared" si="3"/>
        <v>30493.530000000002</v>
      </c>
      <c r="M54" s="59">
        <f t="shared" si="3"/>
        <v>6777.6469999999836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3"/>
        <v>2703.0599999999913</v>
      </c>
    </row>
    <row r="55" spans="2:17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7" x14ac:dyDescent="0.25">
      <c r="B56" s="288"/>
      <c r="C56" s="281" t="s">
        <v>159</v>
      </c>
      <c r="D56" s="282"/>
      <c r="E56" s="283"/>
      <c r="F56" s="46">
        <f>'Packing bag '!C21</f>
        <v>2395670</v>
      </c>
      <c r="G56" s="46">
        <f>'Packing bag '!D21</f>
        <v>0</v>
      </c>
      <c r="H56" s="46">
        <f>G56+'18'!H56</f>
        <v>516000</v>
      </c>
      <c r="I56" s="46">
        <f>G56+'18'!I56</f>
        <v>3668500</v>
      </c>
      <c r="J56" s="46">
        <f>'Packing bag '!E21</f>
        <v>20187</v>
      </c>
      <c r="K56" s="46">
        <f>J56+'18'!K56</f>
        <v>767752</v>
      </c>
      <c r="L56" s="46">
        <f>J56+'18'!L56</f>
        <v>2344586</v>
      </c>
      <c r="M56" s="46">
        <f>F56+G56-J56</f>
        <v>2375483</v>
      </c>
      <c r="N56" s="46"/>
      <c r="O56" s="46">
        <v>400000</v>
      </c>
      <c r="P56" s="46">
        <v>800000</v>
      </c>
      <c r="Q56" s="56">
        <f>SUM(M56+N56)-O56</f>
        <v>1975483</v>
      </c>
    </row>
    <row r="57" spans="2:17" x14ac:dyDescent="0.25">
      <c r="B57" s="288"/>
      <c r="C57" s="281" t="s">
        <v>160</v>
      </c>
      <c r="D57" s="282"/>
      <c r="E57" s="283"/>
      <c r="F57" s="46">
        <f>'Packing bag '!G21</f>
        <v>604414</v>
      </c>
      <c r="G57" s="46">
        <f>'Packing bag '!H21</f>
        <v>0</v>
      </c>
      <c r="H57" s="46">
        <f>G57+'18'!H57</f>
        <v>40500</v>
      </c>
      <c r="I57" s="46">
        <f>G57+'18'!I57</f>
        <v>332000</v>
      </c>
      <c r="J57" s="46">
        <f>'Packing bag '!I21</f>
        <v>610</v>
      </c>
      <c r="K57" s="46">
        <f>J57+'18'!K57</f>
        <v>38857</v>
      </c>
      <c r="L57" s="46">
        <f>J57+'18'!L57</f>
        <v>128478</v>
      </c>
      <c r="M57" s="46">
        <f>F57+G57-J57</f>
        <v>603804</v>
      </c>
      <c r="N57" s="46"/>
      <c r="O57" s="46">
        <v>100000</v>
      </c>
      <c r="P57" s="46">
        <v>250000</v>
      </c>
      <c r="Q57" s="56">
        <f>SUM(M57+N57)-O57</f>
        <v>503804</v>
      </c>
    </row>
    <row r="58" spans="2:17" x14ac:dyDescent="0.25">
      <c r="B58" s="288"/>
      <c r="C58" s="281" t="s">
        <v>161</v>
      </c>
      <c r="D58" s="282"/>
      <c r="E58" s="283"/>
      <c r="F58" s="46">
        <f>'Packing bag '!K21</f>
        <v>487768</v>
      </c>
      <c r="G58" s="46">
        <f>'Packing bag '!L21</f>
        <v>0</v>
      </c>
      <c r="H58" s="46">
        <f>G58+'18'!H58</f>
        <v>0</v>
      </c>
      <c r="I58" s="46">
        <f>G58+'18'!I58</f>
        <v>295000</v>
      </c>
      <c r="J58" s="46">
        <f>'Packing bag '!M21</f>
        <v>4903</v>
      </c>
      <c r="K58" s="46">
        <f>J58+'18'!K58</f>
        <v>45898</v>
      </c>
      <c r="L58" s="46">
        <f>J58+'18'!L58</f>
        <v>218190</v>
      </c>
      <c r="M58" s="46">
        <f>F58+G58-J58</f>
        <v>482865</v>
      </c>
      <c r="N58" s="46"/>
      <c r="O58" s="46">
        <v>50000</v>
      </c>
      <c r="P58" s="46">
        <v>150000</v>
      </c>
      <c r="Q58" s="56">
        <f>SUM(M58+N58)-O58</f>
        <v>432865</v>
      </c>
    </row>
    <row r="59" spans="2:17" x14ac:dyDescent="0.25">
      <c r="B59" s="288"/>
      <c r="C59" s="281" t="s">
        <v>162</v>
      </c>
      <c r="D59" s="282"/>
      <c r="E59" s="283"/>
      <c r="F59" s="46">
        <f>'Packing bag '!O21</f>
        <v>150311</v>
      </c>
      <c r="G59" s="46">
        <f>'Packing bag '!P21</f>
        <v>0</v>
      </c>
      <c r="H59" s="46">
        <f>G59+'18'!H59</f>
        <v>85612</v>
      </c>
      <c r="I59" s="46">
        <f>G59+'18'!I59</f>
        <v>85000</v>
      </c>
      <c r="J59" s="46">
        <f>'Packing bag '!Q21</f>
        <v>0</v>
      </c>
      <c r="K59" s="46">
        <f>J59+'18'!K59</f>
        <v>3621</v>
      </c>
      <c r="L59" s="46">
        <f>J59+'18'!L59</f>
        <v>18390</v>
      </c>
      <c r="M59" s="46">
        <f>F59+G59-J59</f>
        <v>150311</v>
      </c>
      <c r="N59" s="46"/>
      <c r="O59" s="46"/>
      <c r="P59" s="46"/>
      <c r="Q59" s="56"/>
    </row>
    <row r="60" spans="2:17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G60+'18'!H60</f>
        <v>0</v>
      </c>
      <c r="I60" s="46">
        <f>G60+'18'!I60</f>
        <v>0</v>
      </c>
      <c r="J60" s="46">
        <v>0</v>
      </c>
      <c r="K60" s="46">
        <f>J60+'18'!K60</f>
        <v>0</v>
      </c>
      <c r="L60" s="46">
        <f>J60+'18'!L60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G61+'18'!H61</f>
        <v>0</v>
      </c>
      <c r="I61" s="46">
        <f>G61+'18'!I61</f>
        <v>0</v>
      </c>
      <c r="J61" s="46">
        <v>0</v>
      </c>
      <c r="K61" s="46">
        <f>J61+'18'!K61</f>
        <v>0</v>
      </c>
      <c r="L61" s="46">
        <f>J61+'18'!L61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89"/>
      <c r="C62" s="284" t="s">
        <v>165</v>
      </c>
      <c r="D62" s="285"/>
      <c r="E62" s="286"/>
      <c r="F62" s="59">
        <f>SUM(F56:F61)</f>
        <v>3638163</v>
      </c>
      <c r="G62" s="59">
        <f>SUM(G56:G61)</f>
        <v>0</v>
      </c>
      <c r="H62" s="59">
        <f t="shared" ref="H62:Q62" si="4">SUM(H56:H61)</f>
        <v>642112</v>
      </c>
      <c r="I62" s="59">
        <f t="shared" si="4"/>
        <v>4380500</v>
      </c>
      <c r="J62" s="59">
        <f>SUM(J56:J61)</f>
        <v>25700</v>
      </c>
      <c r="K62" s="59">
        <f t="shared" si="4"/>
        <v>856128</v>
      </c>
      <c r="L62" s="59">
        <f t="shared" si="4"/>
        <v>2709644</v>
      </c>
      <c r="M62" s="59">
        <f t="shared" si="4"/>
        <v>3612463</v>
      </c>
      <c r="N62" s="59">
        <v>0</v>
      </c>
      <c r="O62" s="59">
        <f t="shared" si="4"/>
        <v>551500</v>
      </c>
      <c r="P62" s="59">
        <f t="shared" si="4"/>
        <v>1207000</v>
      </c>
      <c r="Q62" s="59">
        <f t="shared" si="4"/>
        <v>2910652</v>
      </c>
    </row>
    <row r="63" spans="2:17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7" x14ac:dyDescent="0.25">
      <c r="B64" s="288"/>
      <c r="C64" s="281" t="s">
        <v>48</v>
      </c>
      <c r="D64" s="282"/>
      <c r="E64" s="283"/>
      <c r="F64" s="46">
        <f>Cement!G21</f>
        <v>0</v>
      </c>
      <c r="G64" s="46">
        <f>Cement!H21</f>
        <v>0</v>
      </c>
      <c r="H64" s="46">
        <f>G64+'18'!H64</f>
        <v>0</v>
      </c>
      <c r="I64" s="46">
        <f>G64+'18'!I64</f>
        <v>0</v>
      </c>
      <c r="J64" s="46">
        <v>0</v>
      </c>
      <c r="K64" s="46">
        <f>J64+'18'!K64</f>
        <v>0</v>
      </c>
      <c r="L64" s="46">
        <f>J64+'18'!L64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Cement!K21</f>
        <v>0</v>
      </c>
      <c r="G65" s="46">
        <f>Cement!L21</f>
        <v>0</v>
      </c>
      <c r="H65" s="46">
        <f>G65+'18'!H65</f>
        <v>0</v>
      </c>
      <c r="I65" s="46">
        <f>G65+'18'!I65</f>
        <v>0</v>
      </c>
      <c r="J65" s="46">
        <f>Cement!M21</f>
        <v>0</v>
      </c>
      <c r="K65" s="46">
        <f>J65+'18'!K65</f>
        <v>0</v>
      </c>
      <c r="L65" s="46">
        <f>J65+'18'!L65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Diesel!B21</f>
        <v>29029</v>
      </c>
      <c r="G68" s="46">
        <f>Diesel!C21</f>
        <v>0</v>
      </c>
      <c r="H68" s="46">
        <f>G68+'18'!H68</f>
        <v>32000</v>
      </c>
      <c r="I68" s="46">
        <f>G68+'18'!I68</f>
        <v>122000</v>
      </c>
      <c r="J68" s="46">
        <v>0</v>
      </c>
      <c r="K68" s="46">
        <f>J68+'18'!K68</f>
        <v>0</v>
      </c>
      <c r="L68" s="46">
        <f>J68+'18'!L68</f>
        <v>0</v>
      </c>
      <c r="M68" s="46">
        <f>F68+G68-G69-J71-J72</f>
        <v>28521</v>
      </c>
      <c r="N68" s="46"/>
      <c r="O68" s="46">
        <v>30000</v>
      </c>
      <c r="P68" s="46">
        <v>60000</v>
      </c>
      <c r="Q68" s="56">
        <f>SUM(M68+N68)-O68</f>
        <v>-1479</v>
      </c>
    </row>
    <row r="69" spans="2:17" x14ac:dyDescent="0.25">
      <c r="B69" s="297"/>
      <c r="C69" s="281" t="s">
        <v>171</v>
      </c>
      <c r="D69" s="282"/>
      <c r="E69" s="283"/>
      <c r="F69" s="46">
        <f>Diesel!Y21</f>
        <v>0</v>
      </c>
      <c r="G69" s="46">
        <f>Diesel!Z21</f>
        <v>0</v>
      </c>
      <c r="H69" s="46">
        <f>G69+'18'!H69</f>
        <v>0</v>
      </c>
      <c r="I69" s="46">
        <f>G69+'18'!I69</f>
        <v>0</v>
      </c>
      <c r="J69" s="46">
        <f>Diesel!AA21</f>
        <v>0</v>
      </c>
      <c r="K69" s="46">
        <f>J69+'18'!K69</f>
        <v>0</v>
      </c>
      <c r="L69" s="46">
        <f>J69+'18'!L69</f>
        <v>15000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G70+'18'!H70</f>
        <v>0</v>
      </c>
      <c r="I70" s="46">
        <f>G70+'18'!I70</f>
        <v>0</v>
      </c>
      <c r="J70" s="46">
        <f>Diesel!P21</f>
        <v>0</v>
      </c>
      <c r="K70" s="46">
        <f>J70+'18'!K70</f>
        <v>75</v>
      </c>
      <c r="L70" s="46">
        <f>J70+'18'!L70</f>
        <v>678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G71+'18'!H71</f>
        <v>0</v>
      </c>
      <c r="I71" s="46">
        <f>G71+'18'!I71</f>
        <v>0</v>
      </c>
      <c r="J71" s="46">
        <f>Diesel!Q21</f>
        <v>0</v>
      </c>
      <c r="K71" s="46">
        <f>J71+'18'!K71</f>
        <v>16871</v>
      </c>
      <c r="L71" s="46">
        <f>J71+'18'!L71</f>
        <v>71506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G72+'18'!H72</f>
        <v>0</v>
      </c>
      <c r="I72" s="46">
        <f>G72+'18'!I72</f>
        <v>0</v>
      </c>
      <c r="J72" s="46">
        <f>Diesel!R21</f>
        <v>508</v>
      </c>
      <c r="K72" s="46">
        <f>J72+'18'!K72</f>
        <v>12678</v>
      </c>
      <c r="L72" s="46">
        <f>J72+'18'!L72</f>
        <v>55386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G73+'18'!H73</f>
        <v>0</v>
      </c>
      <c r="I73" s="46">
        <f>G73+'18'!I73</f>
        <v>0</v>
      </c>
      <c r="J73" s="46">
        <f>Diesel!S21</f>
        <v>0</v>
      </c>
      <c r="K73" s="46">
        <f>J73+'18'!K73</f>
        <v>0</v>
      </c>
      <c r="L73" s="46">
        <f>J73+'18'!L73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G74+'18'!H74</f>
        <v>0</v>
      </c>
      <c r="I74" s="46">
        <f>G74+'18'!I74</f>
        <v>0</v>
      </c>
      <c r="J74" s="46">
        <f>Diesel!T21</f>
        <v>0</v>
      </c>
      <c r="K74" s="46">
        <f>J74+'18'!K74</f>
        <v>0</v>
      </c>
      <c r="L74" s="46">
        <f>J74+'18'!L74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G75+'18'!H75</f>
        <v>0</v>
      </c>
      <c r="I75" s="46">
        <f>G75+'18'!I75</f>
        <v>0</v>
      </c>
      <c r="J75" s="61">
        <f>Diesel!U21</f>
        <v>0</v>
      </c>
      <c r="K75" s="46">
        <f>J75+'18'!K75</f>
        <v>0</v>
      </c>
      <c r="L75" s="46">
        <f>J75+'18'!L75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29029</v>
      </c>
      <c r="G76" s="62">
        <f t="shared" ref="G76:M76" si="6">SUM(G68:G75)</f>
        <v>0</v>
      </c>
      <c r="H76" s="62">
        <f t="shared" si="6"/>
        <v>32000</v>
      </c>
      <c r="I76" s="62">
        <f t="shared" si="6"/>
        <v>122000</v>
      </c>
      <c r="J76" s="62">
        <f t="shared" si="6"/>
        <v>508</v>
      </c>
      <c r="K76" s="62">
        <f t="shared" si="6"/>
        <v>29624</v>
      </c>
      <c r="L76" s="62">
        <f t="shared" si="6"/>
        <v>142570</v>
      </c>
      <c r="M76" s="62">
        <f t="shared" si="6"/>
        <v>28521</v>
      </c>
      <c r="N76" s="63"/>
      <c r="O76" s="64"/>
      <c r="P76" s="62"/>
      <c r="Q76" s="65"/>
    </row>
  </sheetData>
  <mergeCells count="70">
    <mergeCell ref="C76:E76"/>
    <mergeCell ref="B63:B66"/>
    <mergeCell ref="C63:Q63"/>
    <mergeCell ref="C64:E64"/>
    <mergeCell ref="C65:E65"/>
    <mergeCell ref="C66:E6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55:B62"/>
    <mergeCell ref="C55:Q55"/>
    <mergeCell ref="C56:E56"/>
    <mergeCell ref="C57:E57"/>
    <mergeCell ref="C58:E58"/>
    <mergeCell ref="C60:E60"/>
    <mergeCell ref="C61:E61"/>
    <mergeCell ref="C62:E62"/>
    <mergeCell ref="C59:E59"/>
    <mergeCell ref="C6:E6"/>
    <mergeCell ref="C7:E7"/>
    <mergeCell ref="C54:E54"/>
    <mergeCell ref="C28:E28"/>
    <mergeCell ref="C29:E29"/>
    <mergeCell ref="C30:E30"/>
    <mergeCell ref="C31:E31"/>
    <mergeCell ref="C32:E32"/>
    <mergeCell ref="C33:E33"/>
    <mergeCell ref="C34:E34"/>
    <mergeCell ref="C35:E35"/>
    <mergeCell ref="C51:E51"/>
    <mergeCell ref="C52:E52"/>
    <mergeCell ref="C53:E53"/>
    <mergeCell ref="C14:D14"/>
    <mergeCell ref="C18:E18"/>
    <mergeCell ref="B9:B54"/>
    <mergeCell ref="C9:E9"/>
    <mergeCell ref="C10:E10"/>
    <mergeCell ref="C11:E11"/>
    <mergeCell ref="C27:E27"/>
    <mergeCell ref="C13:D13"/>
    <mergeCell ref="C12:E12"/>
    <mergeCell ref="C36:D36"/>
    <mergeCell ref="C37:D37"/>
    <mergeCell ref="C15:D15"/>
    <mergeCell ref="C38:D38"/>
    <mergeCell ref="C17:E17"/>
    <mergeCell ref="C20:D20"/>
    <mergeCell ref="C40:E40"/>
    <mergeCell ref="C50:D50"/>
    <mergeCell ref="C47:D4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</mergeCells>
  <pageMargins left="0.7" right="0.7" top="0.75" bottom="0.75" header="0.3" footer="0.3"/>
  <pageSetup paperSize="9" scale="41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B1:S76"/>
  <sheetViews>
    <sheetView zoomScale="90" zoomScaleNormal="90" workbookViewId="0">
      <pane xSplit="4" ySplit="1" topLeftCell="E51" activePane="bottomRight" state="frozen"/>
      <selection pane="topRight" activeCell="E1" sqref="E1"/>
      <selection pane="bottomLeft" activeCell="A6" sqref="A6"/>
      <selection pane="bottomRight" activeCell="N3" sqref="N3:O3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9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5" t="s">
        <v>228</v>
      </c>
      <c r="Q3" s="316"/>
    </row>
    <row r="4" spans="2:19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9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9" x14ac:dyDescent="0.25">
      <c r="B6" s="54">
        <v>1</v>
      </c>
      <c r="C6" s="308" t="s">
        <v>135</v>
      </c>
      <c r="D6" s="309"/>
      <c r="E6" s="310"/>
      <c r="F6" s="45">
        <f>Clinker!C22</f>
        <v>1390.92</v>
      </c>
      <c r="G6" s="45">
        <f>Clinker!D22</f>
        <v>0</v>
      </c>
      <c r="H6" s="45">
        <f>G6+'19'!H6</f>
        <v>0</v>
      </c>
      <c r="I6" s="45">
        <f>G6+'19'!I6</f>
        <v>417.28000000000003</v>
      </c>
      <c r="J6" s="45">
        <f>Clinker!E22</f>
        <v>68</v>
      </c>
      <c r="K6" s="45">
        <f>J6+'19'!K6</f>
        <v>1325</v>
      </c>
      <c r="L6" s="45">
        <f>J6+'19'!L6</f>
        <v>4460</v>
      </c>
      <c r="M6" s="45">
        <f>F6+G6-J6</f>
        <v>1322.92</v>
      </c>
      <c r="N6" s="45">
        <v>0</v>
      </c>
      <c r="O6" s="45">
        <v>3000</v>
      </c>
      <c r="P6" s="45">
        <v>6000</v>
      </c>
      <c r="Q6" s="55">
        <f>SUM(M6+N6)-O6</f>
        <v>-1677.08</v>
      </c>
      <c r="S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Cement!C22</f>
        <v>2893.5588979857007</v>
      </c>
      <c r="G7" s="46">
        <f>Cement!D22</f>
        <v>0</v>
      </c>
      <c r="H7" s="45">
        <f>G7+'19'!H7</f>
        <v>1157.02</v>
      </c>
      <c r="I7" s="45">
        <f>G7+'19'!I7</f>
        <v>3283.6399999999994</v>
      </c>
      <c r="J7" s="46">
        <f>Cement!I22</f>
        <v>158.07157747368424</v>
      </c>
      <c r="K7" s="45">
        <f>J7+'19'!K7</f>
        <v>2629.8385376441602</v>
      </c>
      <c r="L7" s="45">
        <f>J7+'19'!L7</f>
        <v>7856.0685279716608</v>
      </c>
      <c r="M7" s="45">
        <f>F7+G7-J7</f>
        <v>2735.4873205120166</v>
      </c>
      <c r="N7" s="46">
        <v>0</v>
      </c>
      <c r="O7" s="46">
        <v>3000</v>
      </c>
      <c r="P7" s="46">
        <v>6000</v>
      </c>
      <c r="Q7" s="56">
        <f>SUM(M7+N7)-O7</f>
        <v>-264.51267948798341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Clinker!EI22</f>
        <v>22883.104569538642</v>
      </c>
      <c r="G8" s="46">
        <f>Clinker!EJ22</f>
        <v>1270</v>
      </c>
      <c r="H8" s="45">
        <f>G8+'19'!H8</f>
        <v>29517</v>
      </c>
      <c r="I8" s="45">
        <f>G8+'19'!I8</f>
        <v>128433.66</v>
      </c>
      <c r="J8" s="46">
        <f>Clinker!EK22</f>
        <v>2446.5670030946003</v>
      </c>
      <c r="K8" s="45">
        <f>J8+'19'!K8</f>
        <v>39062.364521362921</v>
      </c>
      <c r="L8" s="45">
        <f>J8+'19'!L8</f>
        <v>118858.21154118284</v>
      </c>
      <c r="M8" s="45">
        <f>F8+G8-J8</f>
        <v>21706.537566444043</v>
      </c>
      <c r="N8" s="46">
        <v>0</v>
      </c>
      <c r="O8" s="46"/>
      <c r="P8" s="46"/>
      <c r="Q8" s="56"/>
      <c r="S8" s="90"/>
    </row>
    <row r="9" spans="2:19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9"/>
      <c r="N9" s="68"/>
      <c r="O9" s="49"/>
      <c r="P9" s="49"/>
      <c r="Q9" s="57"/>
    </row>
    <row r="10" spans="2:19" x14ac:dyDescent="0.25">
      <c r="B10" s="288"/>
      <c r="C10" s="281" t="s">
        <v>138</v>
      </c>
      <c r="D10" s="282"/>
      <c r="E10" s="283"/>
      <c r="F10" s="46">
        <f>Clinker!K22</f>
        <v>0</v>
      </c>
      <c r="G10" s="46">
        <f>Clinker!L22</f>
        <v>0</v>
      </c>
      <c r="H10" s="46">
        <f>G10+'19'!H10</f>
        <v>0</v>
      </c>
      <c r="I10" s="46">
        <f>G10+'19'!I10</f>
        <v>0</v>
      </c>
      <c r="J10" s="46">
        <f>Clinker!N22</f>
        <v>0</v>
      </c>
      <c r="K10" s="46">
        <f>J10+'19'!K10</f>
        <v>0</v>
      </c>
      <c r="L10" s="46">
        <f>J10+'19'!L10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88"/>
      <c r="C11" s="281" t="s">
        <v>139</v>
      </c>
      <c r="D11" s="282"/>
      <c r="E11" s="283"/>
      <c r="F11" s="46">
        <f>Clinker!W22</f>
        <v>3.9999999998087787E-2</v>
      </c>
      <c r="G11" s="46">
        <f>Clinker!X22</f>
        <v>0</v>
      </c>
      <c r="H11" s="46">
        <f>G11+'19'!H11</f>
        <v>0</v>
      </c>
      <c r="I11" s="46">
        <f>G11+'19'!I11</f>
        <v>0</v>
      </c>
      <c r="J11" s="46">
        <f>Clinker!Z22</f>
        <v>0</v>
      </c>
      <c r="K11" s="46">
        <f>J11+'19'!K11</f>
        <v>1063</v>
      </c>
      <c r="L11" s="46">
        <f>J11+'19'!L11</f>
        <v>8686.84</v>
      </c>
      <c r="M11" s="45">
        <f>F11+G11-J11-J34</f>
        <v>3.9999999998087787E-2</v>
      </c>
      <c r="N11" s="46">
        <v>0</v>
      </c>
      <c r="O11" s="46"/>
      <c r="P11" s="46"/>
      <c r="Q11" s="56">
        <f>SUM(M11+N11)-O11</f>
        <v>3.9999999998087787E-2</v>
      </c>
    </row>
    <row r="12" spans="2:19" ht="15" customHeight="1" x14ac:dyDescent="0.25">
      <c r="B12" s="288"/>
      <c r="C12" s="281" t="s">
        <v>140</v>
      </c>
      <c r="D12" s="282"/>
      <c r="E12" s="283"/>
      <c r="F12" s="46">
        <f>Clinker!AT22</f>
        <v>1.0000000002058584E-2</v>
      </c>
      <c r="G12" s="46">
        <f>Clinker!AU22</f>
        <v>0</v>
      </c>
      <c r="H12" s="46">
        <f>G12+'19'!H12</f>
        <v>0</v>
      </c>
      <c r="I12" s="46">
        <f>G12+'19'!I12</f>
        <v>181.5</v>
      </c>
      <c r="J12" s="46">
        <f>Clinker!AV22</f>
        <v>0</v>
      </c>
      <c r="K12" s="46">
        <f>J12+'19'!K12</f>
        <v>2933.89</v>
      </c>
      <c r="L12" s="46">
        <f>J12+'19'!L12</f>
        <v>5675.5900000000011</v>
      </c>
      <c r="M12" s="45">
        <f>F12+G12-J12-J37</f>
        <v>1.0000000002058584E-2</v>
      </c>
      <c r="N12" s="46">
        <v>0</v>
      </c>
      <c r="O12" s="46"/>
      <c r="P12" s="46"/>
      <c r="Q12" s="70"/>
    </row>
    <row r="13" spans="2:19" x14ac:dyDescent="0.25">
      <c r="B13" s="288"/>
      <c r="C13" s="281" t="s">
        <v>9</v>
      </c>
      <c r="D13" s="282"/>
      <c r="E13" s="69"/>
      <c r="F13" s="46">
        <f>Clinker!AO22</f>
        <v>0</v>
      </c>
      <c r="G13" s="46">
        <f>Clinker!AP22</f>
        <v>0</v>
      </c>
      <c r="H13" s="46">
        <f>G13+'19'!H13</f>
        <v>0</v>
      </c>
      <c r="I13" s="46">
        <f>G13+'19'!I13</f>
        <v>0</v>
      </c>
      <c r="J13" s="46">
        <f>Clinker!AQ22</f>
        <v>0</v>
      </c>
      <c r="K13" s="46">
        <f>J13+'19'!K13</f>
        <v>0</v>
      </c>
      <c r="L13" s="46">
        <f>J13+'19'!L13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88"/>
      <c r="C14" s="281" t="s">
        <v>8</v>
      </c>
      <c r="D14" s="282"/>
      <c r="E14" s="69"/>
      <c r="F14" s="46">
        <f>Clinker!AK22</f>
        <v>0</v>
      </c>
      <c r="G14" s="46">
        <f>Clinker!AL22</f>
        <v>0</v>
      </c>
      <c r="H14" s="46">
        <f>G14+'19'!H14</f>
        <v>0</v>
      </c>
      <c r="I14" s="46">
        <f>G14+'19'!I14</f>
        <v>0</v>
      </c>
      <c r="J14" s="46">
        <f>Clinker!AM22</f>
        <v>0</v>
      </c>
      <c r="K14" s="46">
        <f>J14+'19'!K14</f>
        <v>0</v>
      </c>
      <c r="L14" s="46">
        <f>J14+'19'!L14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88"/>
      <c r="C15" s="281" t="s">
        <v>11</v>
      </c>
      <c r="D15" s="282"/>
      <c r="E15" s="69"/>
      <c r="F15" s="46">
        <f>Clinker!AY22</f>
        <v>2270.5169999999898</v>
      </c>
      <c r="G15" s="46">
        <f>Clinker!AZ22</f>
        <v>0</v>
      </c>
      <c r="H15" s="46">
        <f>G15+'19'!H15</f>
        <v>2720.7200000000003</v>
      </c>
      <c r="I15" s="46">
        <f>G15+'19'!I15</f>
        <v>3132.46</v>
      </c>
      <c r="J15" s="46">
        <f>Clinker!BA22</f>
        <v>227.78</v>
      </c>
      <c r="K15" s="46">
        <f>J15+'19'!K15</f>
        <v>1090.01</v>
      </c>
      <c r="L15" s="46">
        <f>J15+'19'!L15</f>
        <v>1090.01</v>
      </c>
      <c r="M15" s="45">
        <f>F15+G15-J15-J38</f>
        <v>2042.7369999999898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88"/>
      <c r="C16" s="76" t="s">
        <v>141</v>
      </c>
      <c r="D16" s="77"/>
      <c r="E16" s="69"/>
      <c r="F16" s="46">
        <f>Clinker!BD22</f>
        <v>0</v>
      </c>
      <c r="G16" s="46">
        <f>Clinker!BE22</f>
        <v>0</v>
      </c>
      <c r="H16" s="46">
        <f>G16+'19'!H16</f>
        <v>0</v>
      </c>
      <c r="I16" s="46">
        <f>G16+'19'!I16</f>
        <v>0</v>
      </c>
      <c r="J16" s="46">
        <f>Clinker!BF22</f>
        <v>0</v>
      </c>
      <c r="K16" s="46">
        <f>J16+'19'!K16</f>
        <v>0</v>
      </c>
      <c r="L16" s="46">
        <f>J16+'19'!L16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182</v>
      </c>
      <c r="D17" s="282"/>
      <c r="E17" s="283"/>
      <c r="F17" s="46">
        <f>Clinker!BI22</f>
        <v>0</v>
      </c>
      <c r="G17" s="46">
        <f>Clinker!BJ22</f>
        <v>0</v>
      </c>
      <c r="H17" s="46">
        <f>G17+'19'!H17</f>
        <v>0</v>
      </c>
      <c r="I17" s="46">
        <f>G17+'19'!I17</f>
        <v>0</v>
      </c>
      <c r="J17" s="46">
        <f>Clinker!BK22</f>
        <v>0</v>
      </c>
      <c r="K17" s="46">
        <f>J17+'19'!K17</f>
        <v>0</v>
      </c>
      <c r="L17" s="46">
        <f>J17+'19'!L17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Clinker!BN22</f>
        <v>0</v>
      </c>
      <c r="G18" s="46">
        <f>Clinker!BO22</f>
        <v>0</v>
      </c>
      <c r="H18" s="46">
        <f>G18+'19'!H18</f>
        <v>0</v>
      </c>
      <c r="I18" s="46">
        <f>G18+'19'!I18</f>
        <v>0</v>
      </c>
      <c r="J18" s="46">
        <f>Clinker!BP22</f>
        <v>0</v>
      </c>
      <c r="K18" s="46">
        <f>J18+'19'!K18</f>
        <v>0</v>
      </c>
      <c r="L18" s="46">
        <f>J18+'19'!L18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Clinker!BS22</f>
        <v>0</v>
      </c>
      <c r="G19" s="46">
        <f>Clinker!BT22</f>
        <v>0</v>
      </c>
      <c r="H19" s="46">
        <f>G19+'19'!H19</f>
        <v>0</v>
      </c>
      <c r="I19" s="46">
        <f>G19+'19'!I19</f>
        <v>0</v>
      </c>
      <c r="J19" s="46">
        <f>Clinker!BU22</f>
        <v>0</v>
      </c>
      <c r="K19" s="46">
        <f>J19+'19'!K19</f>
        <v>0</v>
      </c>
      <c r="L19" s="46">
        <f>J19+'19'!L19</f>
        <v>0</v>
      </c>
      <c r="M19" s="45">
        <f>F19+G19-J19-J43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Clinker!BX22</f>
        <v>0</v>
      </c>
      <c r="G20" s="46">
        <f>Clinker!BY22</f>
        <v>0</v>
      </c>
      <c r="H20" s="46">
        <f>G20+'19'!H20</f>
        <v>0</v>
      </c>
      <c r="I20" s="46">
        <f>G20+'19'!I20</f>
        <v>0</v>
      </c>
      <c r="J20" s="46">
        <f>Clinker!AH22</f>
        <v>0</v>
      </c>
      <c r="K20" s="46">
        <f>J20+'19'!K20</f>
        <v>0</v>
      </c>
      <c r="L20" s="46">
        <f>J20+'19'!L20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Clinker!CR22</f>
        <v>0</v>
      </c>
      <c r="G21" s="46">
        <f>Clinker!CS22</f>
        <v>0</v>
      </c>
      <c r="H21" s="46">
        <f>G21+'19'!H21</f>
        <v>0</v>
      </c>
      <c r="I21" s="46">
        <f>G21+'19'!I21</f>
        <v>0</v>
      </c>
      <c r="J21" s="46">
        <f>Clinker!CT22</f>
        <v>0</v>
      </c>
      <c r="K21" s="46">
        <f>J21+'19'!K21</f>
        <v>0</v>
      </c>
      <c r="L21" s="46">
        <f>J21+'19'!L21</f>
        <v>0</v>
      </c>
      <c r="M21" s="45">
        <f>F21+G21-J42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184</v>
      </c>
      <c r="D22" s="77"/>
      <c r="E22" s="69"/>
      <c r="F22" s="46">
        <f>Clinker!CW22</f>
        <v>0</v>
      </c>
      <c r="G22" s="46">
        <f>Clinker!CX22</f>
        <v>0</v>
      </c>
      <c r="H22" s="46">
        <f>G22+'19'!H22</f>
        <v>0</v>
      </c>
      <c r="I22" s="46">
        <f>G22+'19'!I22</f>
        <v>0</v>
      </c>
      <c r="J22" s="46">
        <f>Clinker!CY22</f>
        <v>0</v>
      </c>
      <c r="K22" s="46">
        <f>J22+'19'!K22</f>
        <v>0</v>
      </c>
      <c r="L22" s="46">
        <f>J22+'19'!L22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Clinker!DB22</f>
        <v>1.0000000000013998E-2</v>
      </c>
      <c r="G23" s="46">
        <f>Clinker!DC22</f>
        <v>0</v>
      </c>
      <c r="H23" s="46">
        <f>G23+'19'!H23</f>
        <v>0</v>
      </c>
      <c r="I23" s="46">
        <f>G23+'19'!I23</f>
        <v>0</v>
      </c>
      <c r="J23" s="46">
        <f>Clinker!DD22</f>
        <v>0</v>
      </c>
      <c r="K23" s="46">
        <f>J23+'19'!K23</f>
        <v>7.1</v>
      </c>
      <c r="L23" s="46">
        <f>J23+'19'!L23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Clinker!DG22</f>
        <v>0</v>
      </c>
      <c r="G24" s="46">
        <f>Clinker!DH22</f>
        <v>0</v>
      </c>
      <c r="H24" s="46">
        <f>G24+'19'!H24</f>
        <v>0</v>
      </c>
      <c r="I24" s="46">
        <f>G24+'19'!I24</f>
        <v>0</v>
      </c>
      <c r="J24" s="46">
        <f>Clinker!DI22</f>
        <v>0</v>
      </c>
      <c r="K24" s="46">
        <f>J24+'19'!K24</f>
        <v>0</v>
      </c>
      <c r="L24" s="46">
        <f>J24+'19'!L24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Clinker!DL22</f>
        <v>304</v>
      </c>
      <c r="G25" s="46">
        <f>Clinker!DM22</f>
        <v>0</v>
      </c>
      <c r="H25" s="46">
        <f>G25+'19'!H25</f>
        <v>92</v>
      </c>
      <c r="I25" s="46">
        <f>G25+'19'!I25</f>
        <v>304</v>
      </c>
      <c r="J25" s="46">
        <f>Clinker!DN22</f>
        <v>0</v>
      </c>
      <c r="K25" s="46">
        <f>J25+'19'!K25</f>
        <v>0</v>
      </c>
      <c r="L25" s="46">
        <f>J25+'19'!L25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Clinker!DV22</f>
        <v>0</v>
      </c>
      <c r="G26" s="46">
        <f>Clinker!DW22</f>
        <v>0</v>
      </c>
      <c r="H26" s="46">
        <f>G26+'19'!H26</f>
        <v>0</v>
      </c>
      <c r="I26" s="46">
        <f>G26+'19'!I26</f>
        <v>0</v>
      </c>
      <c r="J26" s="46">
        <f>Clinker!DX22</f>
        <v>0</v>
      </c>
      <c r="K26" s="46">
        <f>J26+'19'!K26</f>
        <v>0</v>
      </c>
      <c r="L26" s="46">
        <f>J26+'19'!L26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2574.5769999999902</v>
      </c>
      <c r="G27" s="46">
        <f t="shared" ref="G27:Q27" si="0">SUM(G10:G26)</f>
        <v>0</v>
      </c>
      <c r="H27" s="46">
        <f>SUM(H10:H26)</f>
        <v>2812.7200000000003</v>
      </c>
      <c r="I27" s="46">
        <f t="shared" si="0"/>
        <v>3617.96</v>
      </c>
      <c r="J27" s="46">
        <f>SUM(J10:J26)</f>
        <v>227.78</v>
      </c>
      <c r="K27" s="46">
        <f t="shared" si="0"/>
        <v>5094</v>
      </c>
      <c r="L27" s="46">
        <f t="shared" si="0"/>
        <v>19811.310000000001</v>
      </c>
      <c r="M27" s="46">
        <f t="shared" si="0"/>
        <v>2346.79699999999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3.9999999998087787E-2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Clinker!Q22</f>
        <v>0</v>
      </c>
      <c r="G29" s="46">
        <f>Clinker!R22</f>
        <v>0</v>
      </c>
      <c r="H29" s="46">
        <f>G29+'19'!H29</f>
        <v>0</v>
      </c>
      <c r="I29" s="46">
        <f>G29+'19'!I29</f>
        <v>0</v>
      </c>
      <c r="J29" s="46">
        <f>Clinker!S22</f>
        <v>0</v>
      </c>
      <c r="K29" s="46">
        <f>J29+'19'!K29</f>
        <v>0</v>
      </c>
      <c r="L29" s="46">
        <f>J29+'19'!L29</f>
        <v>0</v>
      </c>
      <c r="M29" s="46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G30+'19'!H30</f>
        <v>0</v>
      </c>
      <c r="I30" s="46">
        <f>G30+'19'!I30</f>
        <v>0</v>
      </c>
      <c r="J30" s="46">
        <v>0</v>
      </c>
      <c r="K30" s="46">
        <f>J30+'19'!K30</f>
        <v>0</v>
      </c>
      <c r="L30" s="46">
        <f>J30+'19'!L30</f>
        <v>0</v>
      </c>
      <c r="M30" s="46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G31+'19'!H31</f>
        <v>0</v>
      </c>
      <c r="I31" s="46">
        <f>G31+'19'!I31</f>
        <v>0</v>
      </c>
      <c r="J31" s="46">
        <v>0</v>
      </c>
      <c r="K31" s="46">
        <f>J31+'19'!K31</f>
        <v>0</v>
      </c>
      <c r="L31" s="46">
        <f>J31+'19'!L31</f>
        <v>0</v>
      </c>
      <c r="M31" s="46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v>0</v>
      </c>
      <c r="G32" s="46">
        <f>Clinker!DR22</f>
        <v>0</v>
      </c>
      <c r="H32" s="46">
        <f>G32+'19'!H32</f>
        <v>0</v>
      </c>
      <c r="I32" s="46">
        <f>G32+'19'!I32</f>
        <v>0</v>
      </c>
      <c r="J32" s="46">
        <v>0</v>
      </c>
      <c r="K32" s="46">
        <f>J32+'19'!K32</f>
        <v>0</v>
      </c>
      <c r="L32" s="46">
        <f>J32+'19'!L32</f>
        <v>0</v>
      </c>
      <c r="M32" s="46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G33+'19'!H33</f>
        <v>0</v>
      </c>
      <c r="I33" s="46">
        <f>G33+'19'!I33</f>
        <v>0</v>
      </c>
      <c r="J33" s="46">
        <v>0</v>
      </c>
      <c r="K33" s="46">
        <f>J33+'19'!K33</f>
        <v>0</v>
      </c>
      <c r="L33" s="46">
        <f>J33+'19'!L33</f>
        <v>0</v>
      </c>
      <c r="M33" s="46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Clinker!Y22</f>
        <v>0</v>
      </c>
      <c r="K34" s="46">
        <f>J34+'19'!K34</f>
        <v>0</v>
      </c>
      <c r="L34" s="46">
        <f>J34+'19'!L34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Clinker!M22</f>
        <v>0</v>
      </c>
      <c r="K35" s="46">
        <f>J35+'19'!K35</f>
        <v>0</v>
      </c>
      <c r="L35" s="46">
        <f>J35+'19'!L35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Clinker!AR22</f>
        <v>0</v>
      </c>
      <c r="K36" s="46">
        <f>J36+'19'!K36</f>
        <v>0</v>
      </c>
      <c r="L36" s="46">
        <f>J36+'19'!L36</f>
        <v>0</v>
      </c>
      <c r="M36" s="45"/>
      <c r="N36" s="46"/>
      <c r="O36" s="46"/>
      <c r="P36" s="46"/>
      <c r="Q36" s="56"/>
    </row>
    <row r="37" spans="2:17" ht="15" customHeight="1" x14ac:dyDescent="0.25">
      <c r="B37" s="288"/>
      <c r="C37" s="281" t="s">
        <v>140</v>
      </c>
      <c r="D37" s="282"/>
      <c r="E37" s="69"/>
      <c r="F37" s="46"/>
      <c r="G37" s="46"/>
      <c r="H37" s="46"/>
      <c r="I37" s="46"/>
      <c r="J37" s="46">
        <f>Clinker!DT22</f>
        <v>0</v>
      </c>
      <c r="K37" s="46">
        <f>J37+'19'!K37</f>
        <v>0</v>
      </c>
      <c r="L37" s="46">
        <f>J37+'19'!L37</f>
        <v>20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Clinker!BB22</f>
        <v>0</v>
      </c>
      <c r="K38" s="46">
        <f>J38+'19'!K38</f>
        <v>0</v>
      </c>
      <c r="L38" s="46">
        <f>J38+'19'!L38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Clinker!BG22</f>
        <v>0</v>
      </c>
      <c r="K39" s="46">
        <f>J39+'19'!K39</f>
        <v>0</v>
      </c>
      <c r="L39" s="46">
        <f>J39+'19'!L39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180</v>
      </c>
      <c r="D40" s="282"/>
      <c r="E40" s="283"/>
      <c r="F40" s="46"/>
      <c r="G40" s="46"/>
      <c r="H40" s="46"/>
      <c r="I40" s="46"/>
      <c r="J40" s="46">
        <f>Clinker!BL22</f>
        <v>0</v>
      </c>
      <c r="K40" s="46">
        <f>J40+'19'!K40</f>
        <v>0</v>
      </c>
      <c r="L40" s="46">
        <f>J40+'19'!L40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Clinker!BQ22</f>
        <v>0</v>
      </c>
      <c r="K41" s="46">
        <f>J41+'19'!K41</f>
        <v>0</v>
      </c>
      <c r="L41" s="46">
        <f>J41+'19'!L41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20</v>
      </c>
      <c r="D42" s="77"/>
      <c r="E42" s="69"/>
      <c r="F42" s="46"/>
      <c r="G42" s="46"/>
      <c r="H42" s="46"/>
      <c r="I42" s="46"/>
      <c r="J42" s="46">
        <f>Clinker!CU22</f>
        <v>0</v>
      </c>
      <c r="K42" s="46">
        <f>J42+'19'!K42</f>
        <v>0</v>
      </c>
      <c r="L42" s="46">
        <f>J42+'19'!L42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142</v>
      </c>
      <c r="D43" s="77"/>
      <c r="E43" s="69"/>
      <c r="F43" s="46"/>
      <c r="G43" s="46"/>
      <c r="H43" s="46"/>
      <c r="I43" s="46"/>
      <c r="J43" s="46">
        <f>Clinker!BV22</f>
        <v>0</v>
      </c>
      <c r="K43" s="46">
        <f>J43+'19'!K43</f>
        <v>0</v>
      </c>
      <c r="L43" s="46">
        <f>J43+'19'!L43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Clinker!CZ22</f>
        <v>0</v>
      </c>
      <c r="K44" s="46">
        <f>J44+'19'!K44</f>
        <v>0</v>
      </c>
      <c r="L44" s="46">
        <f>J44+'19'!L44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Clinker!DE22</f>
        <v>0</v>
      </c>
      <c r="K45" s="46">
        <f>J45+'19'!K45</f>
        <v>0</v>
      </c>
      <c r="L45" s="46">
        <f>J45+'19'!L45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104</v>
      </c>
      <c r="D46" s="77"/>
      <c r="E46" s="69"/>
      <c r="F46" s="46"/>
      <c r="G46" s="46"/>
      <c r="H46" s="46"/>
      <c r="I46" s="46"/>
      <c r="J46" s="46">
        <f>Clinker!DJ22</f>
        <v>0</v>
      </c>
      <c r="K46" s="46">
        <f>J46+'19'!K46</f>
        <v>0</v>
      </c>
      <c r="L46" s="46">
        <f>J46+'19'!L46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Clinker!DO22</f>
        <v>0</v>
      </c>
      <c r="K47" s="46">
        <f>J47+'19'!K47</f>
        <v>0</v>
      </c>
      <c r="L47" s="46">
        <f>J47+'19'!L47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Clinker!CM22</f>
        <v>5.0000000000181899E-2</v>
      </c>
      <c r="G48" s="46">
        <f>Clinker!CN22</f>
        <v>0</v>
      </c>
      <c r="H48" s="46">
        <f>G48+'19'!H48</f>
        <v>0</v>
      </c>
      <c r="I48" s="46">
        <f>G48+'19'!I48</f>
        <v>0</v>
      </c>
      <c r="J48" s="46">
        <f>Clinker!CP22</f>
        <v>0</v>
      </c>
      <c r="K48" s="46">
        <f>J48+'19'!K48</f>
        <v>0</v>
      </c>
      <c r="L48" s="46">
        <f>J48+'19'!L48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Clinker!CC22</f>
        <v>0</v>
      </c>
      <c r="G49" s="46">
        <f>Clinker!CD22</f>
        <v>0</v>
      </c>
      <c r="H49" s="46">
        <f>G49+'19'!H49</f>
        <v>0</v>
      </c>
      <c r="I49" s="46">
        <f>G49+'19'!I49</f>
        <v>0</v>
      </c>
      <c r="J49" s="46">
        <f>Clinker!CF22</f>
        <v>0</v>
      </c>
      <c r="K49" s="46">
        <f>J49+'19'!K49</f>
        <v>0</v>
      </c>
      <c r="L49" s="46">
        <f>J49+'19'!L49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Clinker!CH22</f>
        <v>0</v>
      </c>
      <c r="G50" s="46">
        <f>Clinker!CI22</f>
        <v>0</v>
      </c>
      <c r="H50" s="46">
        <f>G50+'19'!H50</f>
        <v>0</v>
      </c>
      <c r="I50" s="46">
        <f>G50+'19'!I50</f>
        <v>0</v>
      </c>
      <c r="J50" s="46">
        <f>Clinker!CK22</f>
        <v>0</v>
      </c>
      <c r="K50" s="46">
        <f>J50+'19'!K50</f>
        <v>0</v>
      </c>
      <c r="L50" s="46">
        <f>J50+'19'!L50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Clinker!AF22</f>
        <v>4203.0199999999932</v>
      </c>
      <c r="G51" s="46">
        <f>Clinker!AG22</f>
        <v>0</v>
      </c>
      <c r="H51" s="46">
        <f>G51+'19'!H51</f>
        <v>2892.3500000000004</v>
      </c>
      <c r="I51" s="46">
        <f>G51+'19'!I51</f>
        <v>5033.2999999999993</v>
      </c>
      <c r="J51" s="46">
        <f>Clinker!AI22</f>
        <v>171</v>
      </c>
      <c r="K51" s="46">
        <f>J51+'19'!K51</f>
        <v>2909</v>
      </c>
      <c r="L51" s="46">
        <f>J51+'19'!L51</f>
        <v>9734</v>
      </c>
      <c r="M51" s="45">
        <f>F51+G51-J51-J20</f>
        <v>4032.0199999999932</v>
      </c>
      <c r="N51" s="46">
        <v>0</v>
      </c>
      <c r="O51" s="46">
        <v>1500</v>
      </c>
      <c r="P51" s="46">
        <v>3000</v>
      </c>
      <c r="Q51" s="56">
        <f>SUM(M51+N51)-O51</f>
        <v>2532.0199999999932</v>
      </c>
    </row>
    <row r="52" spans="2:19" x14ac:dyDescent="0.25">
      <c r="B52" s="288"/>
      <c r="C52" s="281" t="s">
        <v>156</v>
      </c>
      <c r="D52" s="282"/>
      <c r="E52" s="283"/>
      <c r="F52" s="46">
        <f>Clinker!AB22</f>
        <v>0</v>
      </c>
      <c r="G52" s="46">
        <f>Clinker!AC22</f>
        <v>0</v>
      </c>
      <c r="H52" s="46">
        <f>G52+'19'!H52</f>
        <v>0</v>
      </c>
      <c r="I52" s="46">
        <f>G52+'19'!I52</f>
        <v>0</v>
      </c>
      <c r="J52" s="46">
        <f>Clinker!AD22</f>
        <v>0</v>
      </c>
      <c r="K52" s="46">
        <f>J52+'19'!K52</f>
        <v>0</v>
      </c>
      <c r="L52" s="46">
        <f>J52+'19'!L52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 t="shared" ref="F53:Q53" si="1">SUM(F29:F52)</f>
        <v>4203.0699999999933</v>
      </c>
      <c r="G53" s="46">
        <f t="shared" si="1"/>
        <v>0</v>
      </c>
      <c r="H53" s="46">
        <f>SUM(H29:H52)</f>
        <v>2892.3500000000004</v>
      </c>
      <c r="I53" s="46">
        <f t="shared" si="1"/>
        <v>5033.2999999999993</v>
      </c>
      <c r="J53" s="46">
        <f t="shared" si="1"/>
        <v>171</v>
      </c>
      <c r="K53" s="46">
        <f t="shared" si="1"/>
        <v>2909</v>
      </c>
      <c r="L53" s="46">
        <f t="shared" si="1"/>
        <v>11081</v>
      </c>
      <c r="M53" s="46">
        <f t="shared" si="1"/>
        <v>4032.0699999999933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1"/>
        <v>2532.0199999999932</v>
      </c>
    </row>
    <row r="54" spans="2:19" x14ac:dyDescent="0.25">
      <c r="B54" s="289"/>
      <c r="C54" s="284" t="s">
        <v>157</v>
      </c>
      <c r="D54" s="285"/>
      <c r="E54" s="286"/>
      <c r="F54" s="59">
        <f t="shared" ref="F54:M54" si="2">SUM(F27+F53)</f>
        <v>6777.6469999999836</v>
      </c>
      <c r="G54" s="128">
        <f t="shared" si="2"/>
        <v>0</v>
      </c>
      <c r="H54" s="59">
        <f t="shared" si="2"/>
        <v>5705.0700000000006</v>
      </c>
      <c r="I54" s="59">
        <f t="shared" si="2"/>
        <v>8651.2599999999984</v>
      </c>
      <c r="J54" s="59">
        <f>SUM(J27+J53)</f>
        <v>398.78</v>
      </c>
      <c r="K54" s="59">
        <f t="shared" si="2"/>
        <v>8003</v>
      </c>
      <c r="L54" s="59">
        <f t="shared" si="2"/>
        <v>30892.31</v>
      </c>
      <c r="M54" s="59">
        <f t="shared" si="2"/>
        <v>6378.8669999999838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2532.0599999999913</v>
      </c>
      <c r="R54" s="90"/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'!C22</f>
        <v>2375483</v>
      </c>
      <c r="G56" s="46">
        <f>'Packing bag '!D22</f>
        <v>0</v>
      </c>
      <c r="H56" s="46">
        <f>G56+'19'!H56</f>
        <v>516000</v>
      </c>
      <c r="I56" s="46">
        <f>G56+'19'!I56</f>
        <v>3668500</v>
      </c>
      <c r="J56" s="46">
        <f>'Packing bag '!E22</f>
        <v>10382</v>
      </c>
      <c r="K56" s="46">
        <f>J56+'19'!K56</f>
        <v>778134</v>
      </c>
      <c r="L56" s="46">
        <f>J56+'19'!L56</f>
        <v>2354968</v>
      </c>
      <c r="M56" s="46">
        <f>F56+G56-J56</f>
        <v>2365101</v>
      </c>
      <c r="N56" s="46"/>
      <c r="O56" s="46">
        <v>400000</v>
      </c>
      <c r="P56" s="46">
        <v>800000</v>
      </c>
      <c r="Q56" s="56">
        <f>SUM(M56+N56)-O56</f>
        <v>1965101</v>
      </c>
    </row>
    <row r="57" spans="2:19" x14ac:dyDescent="0.25">
      <c r="B57" s="288"/>
      <c r="C57" s="281" t="s">
        <v>160</v>
      </c>
      <c r="D57" s="282"/>
      <c r="E57" s="283"/>
      <c r="F57" s="46">
        <f>'Packing bag '!G22</f>
        <v>603804</v>
      </c>
      <c r="G57" s="46">
        <f>'Packing bag '!H22</f>
        <v>0</v>
      </c>
      <c r="H57" s="46">
        <f>G57+'19'!H57</f>
        <v>40500</v>
      </c>
      <c r="I57" s="46">
        <f>G57+'19'!I57</f>
        <v>332000</v>
      </c>
      <c r="J57" s="46">
        <f>'Packing bag '!I22</f>
        <v>412</v>
      </c>
      <c r="K57" s="46">
        <f>J57+'19'!K57</f>
        <v>39269</v>
      </c>
      <c r="L57" s="46">
        <f>J57+'19'!L57</f>
        <v>128890</v>
      </c>
      <c r="M57" s="46">
        <f>F57+G57-J57</f>
        <v>603392</v>
      </c>
      <c r="N57" s="46"/>
      <c r="O57" s="46">
        <v>100000</v>
      </c>
      <c r="P57" s="46">
        <v>250000</v>
      </c>
      <c r="Q57" s="56">
        <f>SUM(M57+N57)-O57</f>
        <v>503392</v>
      </c>
    </row>
    <row r="58" spans="2:19" x14ac:dyDescent="0.25">
      <c r="B58" s="288"/>
      <c r="C58" s="281" t="s">
        <v>161</v>
      </c>
      <c r="D58" s="282"/>
      <c r="E58" s="283"/>
      <c r="F58" s="46">
        <f>'Packing bag '!K22</f>
        <v>482865</v>
      </c>
      <c r="G58" s="46">
        <f>'Packing bag '!L22</f>
        <v>0</v>
      </c>
      <c r="H58" s="46">
        <f>G58+'19'!H58</f>
        <v>0</v>
      </c>
      <c r="I58" s="46">
        <f>G58+'19'!I58</f>
        <v>295000</v>
      </c>
      <c r="J58" s="46">
        <f>'Packing bag '!M22</f>
        <v>1208</v>
      </c>
      <c r="K58" s="46">
        <f>J58+'19'!K58</f>
        <v>47106</v>
      </c>
      <c r="L58" s="46">
        <f>J58+'19'!L58</f>
        <v>219398</v>
      </c>
      <c r="M58" s="46">
        <f>F58+G58-J58</f>
        <v>481657</v>
      </c>
      <c r="N58" s="46"/>
      <c r="O58" s="46">
        <v>50000</v>
      </c>
      <c r="P58" s="46">
        <v>150000</v>
      </c>
      <c r="Q58" s="56">
        <f>SUM(M58+N58)-O58</f>
        <v>431657</v>
      </c>
    </row>
    <row r="59" spans="2:19" x14ac:dyDescent="0.25">
      <c r="B59" s="288"/>
      <c r="C59" s="281" t="s">
        <v>162</v>
      </c>
      <c r="D59" s="282"/>
      <c r="E59" s="283"/>
      <c r="F59" s="46">
        <f>'Packing bag '!O22</f>
        <v>150311</v>
      </c>
      <c r="G59" s="46">
        <f>'Packing bag '!P22</f>
        <v>0</v>
      </c>
      <c r="H59" s="46">
        <f>G59+'19'!H59</f>
        <v>85612</v>
      </c>
      <c r="I59" s="46">
        <f>G59+'19'!I59</f>
        <v>85000</v>
      </c>
      <c r="J59" s="46">
        <f>'Packing bag '!Q22</f>
        <v>623</v>
      </c>
      <c r="K59" s="46">
        <f>J59+'19'!K59</f>
        <v>4244</v>
      </c>
      <c r="L59" s="46">
        <f>J59+'19'!L59</f>
        <v>19013</v>
      </c>
      <c r="M59" s="46">
        <f>F59+G59-J59</f>
        <v>149688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G60+'19'!H60</f>
        <v>0</v>
      </c>
      <c r="I60" s="46">
        <f>G60+'19'!I60</f>
        <v>0</v>
      </c>
      <c r="J60" s="46">
        <v>0</v>
      </c>
      <c r="K60" s="46">
        <f>J60+'19'!K60</f>
        <v>0</v>
      </c>
      <c r="L60" s="46">
        <f>J60+'19'!L60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G61+'19'!H61</f>
        <v>0</v>
      </c>
      <c r="I61" s="46">
        <f>G61+'19'!I61</f>
        <v>0</v>
      </c>
      <c r="J61" s="46">
        <v>0</v>
      </c>
      <c r="K61" s="46">
        <f>J61+'19'!K61</f>
        <v>0</v>
      </c>
      <c r="L61" s="46">
        <f>J61+'19'!L61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3612463</v>
      </c>
      <c r="G62" s="59">
        <f t="shared" ref="G62:Q62" si="3">SUM(G56:G61)</f>
        <v>0</v>
      </c>
      <c r="H62" s="59">
        <f t="shared" si="3"/>
        <v>642112</v>
      </c>
      <c r="I62" s="59">
        <f t="shared" si="3"/>
        <v>4380500</v>
      </c>
      <c r="J62" s="59">
        <f t="shared" si="3"/>
        <v>12625</v>
      </c>
      <c r="K62" s="59">
        <f t="shared" si="3"/>
        <v>868753</v>
      </c>
      <c r="L62" s="59">
        <f t="shared" si="3"/>
        <v>2722269</v>
      </c>
      <c r="M62" s="59">
        <f t="shared" si="3"/>
        <v>3599838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2898650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Cement!G22</f>
        <v>0</v>
      </c>
      <c r="G64" s="46">
        <f>Cement!H22</f>
        <v>0</v>
      </c>
      <c r="H64" s="46">
        <f>G64+'19'!H64</f>
        <v>0</v>
      </c>
      <c r="I64" s="46">
        <f>G64+'19'!I64</f>
        <v>0</v>
      </c>
      <c r="J64" s="46">
        <v>0</v>
      </c>
      <c r="K64" s="46">
        <f>J64+'19'!K64</f>
        <v>0</v>
      </c>
      <c r="L64" s="46">
        <f>J64+'19'!L64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Cement!K22</f>
        <v>0</v>
      </c>
      <c r="G65" s="46">
        <f>Cement!L22</f>
        <v>0</v>
      </c>
      <c r="H65" s="46">
        <f>G65+'19'!H65</f>
        <v>0</v>
      </c>
      <c r="I65" s="46">
        <f>G65+'19'!I65</f>
        <v>0</v>
      </c>
      <c r="J65" s="46">
        <f>Cement!M22</f>
        <v>0</v>
      </c>
      <c r="K65" s="46">
        <f>J65+'19'!K65</f>
        <v>0</v>
      </c>
      <c r="L65" s="46">
        <f>J65+'19'!L65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 t="shared" ref="G66:M66" si="4">SUM(G64:G65)</f>
        <v>0</v>
      </c>
      <c r="H66" s="59">
        <f t="shared" si="4"/>
        <v>0</v>
      </c>
      <c r="I66" s="59">
        <f t="shared" si="4"/>
        <v>0</v>
      </c>
      <c r="J66" s="59">
        <f t="shared" si="4"/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Diesel!B22</f>
        <v>28521</v>
      </c>
      <c r="G68" s="46">
        <f>Diesel!C22</f>
        <v>0</v>
      </c>
      <c r="H68" s="46">
        <f>G68+'19'!H68</f>
        <v>32000</v>
      </c>
      <c r="I68" s="46">
        <f>G68+'19'!I68</f>
        <v>122000</v>
      </c>
      <c r="J68" s="46">
        <v>0</v>
      </c>
      <c r="K68" s="46">
        <v>0</v>
      </c>
      <c r="L68" s="46">
        <v>0</v>
      </c>
      <c r="M68" s="46">
        <f>F68+G68-J76</f>
        <v>24060</v>
      </c>
      <c r="N68" s="46"/>
      <c r="O68" s="46">
        <v>30000</v>
      </c>
      <c r="P68" s="46">
        <v>60000</v>
      </c>
      <c r="Q68" s="56">
        <f>SUM(M68+N68)-O68</f>
        <v>-5940</v>
      </c>
    </row>
    <row r="69" spans="2:17" x14ac:dyDescent="0.25">
      <c r="B69" s="297"/>
      <c r="C69" s="281" t="s">
        <v>171</v>
      </c>
      <c r="D69" s="282"/>
      <c r="E69" s="283"/>
      <c r="F69" s="46">
        <f>Diesel!Y22</f>
        <v>0</v>
      </c>
      <c r="G69" s="46">
        <f>Diesel!Z22</f>
        <v>0</v>
      </c>
      <c r="H69" s="46">
        <f>G69+'19'!H69</f>
        <v>0</v>
      </c>
      <c r="I69" s="46">
        <f>G69+'19'!I69</f>
        <v>0</v>
      </c>
      <c r="J69" s="46">
        <f>Diesel!AA22</f>
        <v>0</v>
      </c>
      <c r="K69" s="46">
        <f>J69+'19'!K69</f>
        <v>0</v>
      </c>
      <c r="L69" s="46">
        <f>J69+'19'!L69</f>
        <v>15000</v>
      </c>
      <c r="M69" s="46">
        <f t="shared" ref="M69:M75" si="5"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v>0</v>
      </c>
      <c r="I70" s="46">
        <v>0</v>
      </c>
      <c r="J70" s="46">
        <f>Diesel!P22</f>
        <v>30</v>
      </c>
      <c r="K70" s="46">
        <f>J70+'19'!K70</f>
        <v>105</v>
      </c>
      <c r="L70" s="46">
        <f>J70+'19'!L70</f>
        <v>708</v>
      </c>
      <c r="M70" s="46">
        <f t="shared" si="5"/>
        <v>-30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v>0</v>
      </c>
      <c r="I71" s="46">
        <v>0</v>
      </c>
      <c r="J71" s="46">
        <f>Diesel!Q22</f>
        <v>3030</v>
      </c>
      <c r="K71" s="46">
        <f>J71+'19'!K71</f>
        <v>19901</v>
      </c>
      <c r="L71" s="46">
        <f>J71+'19'!L71</f>
        <v>74536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v>0</v>
      </c>
      <c r="I72" s="46">
        <v>0</v>
      </c>
      <c r="J72" s="46">
        <f>Diesel!R22</f>
        <v>1401</v>
      </c>
      <c r="K72" s="46">
        <f>J72+'19'!K72</f>
        <v>14079</v>
      </c>
      <c r="L72" s="46">
        <f>J72+'19'!L72</f>
        <v>56787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v>0</v>
      </c>
      <c r="I73" s="46">
        <v>0</v>
      </c>
      <c r="J73" s="46">
        <f>Diesel!S22</f>
        <v>0</v>
      </c>
      <c r="K73" s="46">
        <f>J73+'19'!K73</f>
        <v>0</v>
      </c>
      <c r="L73" s="46">
        <f>J73+'19'!L73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v>0</v>
      </c>
      <c r="I74" s="46">
        <v>0</v>
      </c>
      <c r="J74" s="46">
        <f>Diesel!T22</f>
        <v>0</v>
      </c>
      <c r="K74" s="46">
        <f>J74+'19'!K74</f>
        <v>0</v>
      </c>
      <c r="L74" s="46">
        <f>J74+'19'!L74</f>
        <v>0</v>
      </c>
      <c r="M74" s="46">
        <f t="shared" si="5"/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61">
        <v>0</v>
      </c>
      <c r="I75" s="61">
        <v>0</v>
      </c>
      <c r="J75" s="61">
        <f>Diesel!U22</f>
        <v>0</v>
      </c>
      <c r="K75" s="46">
        <f>J75+'19'!K75</f>
        <v>0</v>
      </c>
      <c r="L75" s="46">
        <f>J75+'19'!L75</f>
        <v>0</v>
      </c>
      <c r="M75" s="46">
        <f t="shared" si="5"/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28521</v>
      </c>
      <c r="G76" s="62">
        <f t="shared" ref="G76:M76" si="6">SUM(G68:G75)</f>
        <v>0</v>
      </c>
      <c r="H76" s="62">
        <f t="shared" si="6"/>
        <v>32000</v>
      </c>
      <c r="I76" s="62">
        <f t="shared" si="6"/>
        <v>122000</v>
      </c>
      <c r="J76" s="62">
        <f t="shared" si="6"/>
        <v>4461</v>
      </c>
      <c r="K76" s="62">
        <f t="shared" si="6"/>
        <v>34085</v>
      </c>
      <c r="L76" s="62">
        <f t="shared" si="6"/>
        <v>147031</v>
      </c>
      <c r="M76" s="62">
        <f t="shared" si="6"/>
        <v>24030</v>
      </c>
      <c r="N76" s="63"/>
      <c r="O76" s="64"/>
      <c r="P76" s="62"/>
      <c r="Q76" s="65"/>
    </row>
  </sheetData>
  <mergeCells count="70">
    <mergeCell ref="C59:E59"/>
    <mergeCell ref="B63:B66"/>
    <mergeCell ref="C63:Q63"/>
    <mergeCell ref="C64:E64"/>
    <mergeCell ref="C65:E65"/>
    <mergeCell ref="C66:E6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6:E6"/>
    <mergeCell ref="C7:E7"/>
    <mergeCell ref="B55:B62"/>
    <mergeCell ref="C55:Q55"/>
    <mergeCell ref="C56:E56"/>
    <mergeCell ref="C57:E57"/>
    <mergeCell ref="C58:E58"/>
    <mergeCell ref="C60:E60"/>
    <mergeCell ref="C61:E61"/>
    <mergeCell ref="C62:E62"/>
    <mergeCell ref="B9:B54"/>
    <mergeCell ref="C9:E9"/>
    <mergeCell ref="C10:E10"/>
    <mergeCell ref="C11:E11"/>
    <mergeCell ref="C27:E27"/>
    <mergeCell ref="C28:E28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53:E53"/>
    <mergeCell ref="C54:E54"/>
    <mergeCell ref="C29:E29"/>
    <mergeCell ref="C30:E30"/>
    <mergeCell ref="C31:E31"/>
    <mergeCell ref="C32:E32"/>
    <mergeCell ref="C33:E33"/>
    <mergeCell ref="C34:E34"/>
    <mergeCell ref="C35:E35"/>
    <mergeCell ref="C37:D37"/>
    <mergeCell ref="C38:D38"/>
    <mergeCell ref="C40:E40"/>
    <mergeCell ref="C50:D50"/>
    <mergeCell ref="C47:D47"/>
    <mergeCell ref="C12:E12"/>
    <mergeCell ref="C13:D13"/>
    <mergeCell ref="C14:D14"/>
    <mergeCell ref="C51:E51"/>
    <mergeCell ref="C52:E52"/>
    <mergeCell ref="C36:D36"/>
    <mergeCell ref="C15:D15"/>
    <mergeCell ref="C17:E17"/>
    <mergeCell ref="C18:E18"/>
    <mergeCell ref="C20:D20"/>
  </mergeCells>
  <pageMargins left="0" right="0" top="0.75" bottom="0.75" header="0.3" footer="0.3"/>
  <pageSetup paperSize="9" scale="55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>
    <pageSetUpPr fitToPage="1"/>
  </sheetPr>
  <dimension ref="B1:S76"/>
  <sheetViews>
    <sheetView zoomScale="90" zoomScaleNormal="90" workbookViewId="0">
      <pane xSplit="4" ySplit="1" topLeftCell="E55" activePane="bottomRight" state="frozen"/>
      <selection pane="topRight" activeCell="E1" sqref="E1"/>
      <selection pane="bottomLeft" activeCell="A6" sqref="A6"/>
      <selection pane="bottomRight" activeCell="M16" sqref="M16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3" max="13" width="10.8554687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9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5" t="s">
        <v>229</v>
      </c>
      <c r="Q3" s="316"/>
    </row>
    <row r="4" spans="2:19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9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9" x14ac:dyDescent="0.25">
      <c r="B6" s="54">
        <v>1</v>
      </c>
      <c r="C6" s="308" t="s">
        <v>135</v>
      </c>
      <c r="D6" s="309"/>
      <c r="E6" s="310"/>
      <c r="F6" s="45">
        <f>Clinker!C23</f>
        <v>1322.92</v>
      </c>
      <c r="G6" s="45">
        <f>Clinker!D23</f>
        <v>0</v>
      </c>
      <c r="H6" s="45">
        <f>G6+'20'!H6</f>
        <v>0</v>
      </c>
      <c r="I6" s="45">
        <f>G6+'20'!I6</f>
        <v>417.28000000000003</v>
      </c>
      <c r="J6" s="45">
        <f>Clinker!E23</f>
        <v>42</v>
      </c>
      <c r="K6" s="45">
        <f>J6+'20'!K6</f>
        <v>1367</v>
      </c>
      <c r="L6" s="45">
        <f>J6+'20'!L6</f>
        <v>4502</v>
      </c>
      <c r="M6" s="45">
        <f>F6+G6-J6</f>
        <v>1280.92</v>
      </c>
      <c r="N6" s="45">
        <v>0</v>
      </c>
      <c r="O6" s="45">
        <v>3000</v>
      </c>
      <c r="P6" s="45">
        <v>6000</v>
      </c>
      <c r="Q6" s="55">
        <f>SUM(M6+N6)-O6</f>
        <v>-1719.08</v>
      </c>
    </row>
    <row r="7" spans="2:19" x14ac:dyDescent="0.25">
      <c r="B7" s="50">
        <v>2</v>
      </c>
      <c r="C7" s="305" t="s">
        <v>136</v>
      </c>
      <c r="D7" s="306"/>
      <c r="E7" s="307"/>
      <c r="F7" s="46">
        <f>Cement!C23</f>
        <v>2735.4873205120166</v>
      </c>
      <c r="G7" s="46">
        <f>Cement!D23</f>
        <v>0</v>
      </c>
      <c r="H7" s="45">
        <f>G7+'20'!H7</f>
        <v>1157.02</v>
      </c>
      <c r="I7" s="45">
        <f>G7+'20'!I7</f>
        <v>3283.6399999999994</v>
      </c>
      <c r="J7" s="46">
        <f>Cement!I23</f>
        <v>158.42105263157896</v>
      </c>
      <c r="K7" s="45">
        <f>J7+'20'!K7</f>
        <v>2788.2595902757394</v>
      </c>
      <c r="L7" s="45">
        <f>J7+'20'!L7</f>
        <v>8014.48958060324</v>
      </c>
      <c r="M7" s="45">
        <f>F7+G7-J7</f>
        <v>2577.0662678804374</v>
      </c>
      <c r="N7" s="46">
        <v>0</v>
      </c>
      <c r="O7" s="46">
        <v>3000</v>
      </c>
      <c r="P7" s="46">
        <v>6000</v>
      </c>
      <c r="Q7" s="56">
        <f>SUM(M7+N7)-O7</f>
        <v>-422.93373211956259</v>
      </c>
      <c r="R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Clinker!EI23</f>
        <v>21706.537566444043</v>
      </c>
      <c r="G8" s="46">
        <f>Clinker!EJ23</f>
        <v>1160</v>
      </c>
      <c r="H8" s="45">
        <f>G8+'20'!H8</f>
        <v>30677</v>
      </c>
      <c r="I8" s="45">
        <f>G8+'20'!I8</f>
        <v>129593.66</v>
      </c>
      <c r="J8" s="46">
        <f>Clinker!EK23</f>
        <v>2484.0400000000009</v>
      </c>
      <c r="K8" s="45">
        <f>J8+'20'!K8</f>
        <v>41546.404521362922</v>
      </c>
      <c r="L8" s="45">
        <f>J8+'20'!L8</f>
        <v>121342.25154118284</v>
      </c>
      <c r="M8" s="45">
        <f>F8+G8-J8</f>
        <v>20382.497566444043</v>
      </c>
      <c r="N8" s="46">
        <v>0</v>
      </c>
      <c r="O8" s="46"/>
      <c r="P8" s="46"/>
      <c r="Q8" s="56"/>
      <c r="S8" s="90"/>
    </row>
    <row r="9" spans="2:19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88"/>
      <c r="C10" s="281" t="s">
        <v>138</v>
      </c>
      <c r="D10" s="282"/>
      <c r="E10" s="283"/>
      <c r="F10" s="46">
        <f>Clinker!K23</f>
        <v>0</v>
      </c>
      <c r="G10" s="46">
        <f>Clinker!L23</f>
        <v>0</v>
      </c>
      <c r="H10" s="46">
        <f>G10+'20'!H10</f>
        <v>0</v>
      </c>
      <c r="I10" s="46">
        <f>G10+'20'!I10</f>
        <v>0</v>
      </c>
      <c r="J10" s="46">
        <f>Clinker!N23</f>
        <v>0</v>
      </c>
      <c r="K10" s="46">
        <f>J10+'20'!K10</f>
        <v>0</v>
      </c>
      <c r="L10" s="46">
        <f>J10+'20'!L10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88"/>
      <c r="C11" s="281" t="s">
        <v>139</v>
      </c>
      <c r="D11" s="282"/>
      <c r="E11" s="283"/>
      <c r="F11" s="46">
        <f>Clinker!W23</f>
        <v>3.9999999998087787E-2</v>
      </c>
      <c r="G11" s="46">
        <f>Clinker!X23</f>
        <v>0</v>
      </c>
      <c r="H11" s="46">
        <f>G11+'20'!H11</f>
        <v>0</v>
      </c>
      <c r="I11" s="46">
        <f>G11+'20'!I11</f>
        <v>0</v>
      </c>
      <c r="J11" s="46">
        <f>Clinker!Z23</f>
        <v>0</v>
      </c>
      <c r="K11" s="46">
        <f>J11+'20'!K11</f>
        <v>1063</v>
      </c>
      <c r="L11" s="46">
        <f>J11+'20'!L11</f>
        <v>8686.84</v>
      </c>
      <c r="M11" s="45">
        <f>F11+G11-J11-J34</f>
        <v>3.9999999998087787E-2</v>
      </c>
      <c r="N11" s="46">
        <v>0</v>
      </c>
      <c r="O11" s="46"/>
      <c r="P11" s="46"/>
      <c r="Q11" s="56">
        <f>SUM(M11+N11)-O11</f>
        <v>3.9999999998087787E-2</v>
      </c>
    </row>
    <row r="12" spans="2:19" ht="15" customHeight="1" x14ac:dyDescent="0.25">
      <c r="B12" s="288"/>
      <c r="C12" s="281" t="s">
        <v>140</v>
      </c>
      <c r="D12" s="282"/>
      <c r="E12" s="283"/>
      <c r="F12" s="46">
        <f>Clinker!AT23</f>
        <v>1.0000000002058584E-2</v>
      </c>
      <c r="G12" s="46">
        <f>Clinker!AU23</f>
        <v>0</v>
      </c>
      <c r="H12" s="46">
        <f>G12+'20'!H12</f>
        <v>0</v>
      </c>
      <c r="I12" s="46">
        <f>G12+'20'!I12</f>
        <v>181.5</v>
      </c>
      <c r="J12" s="46">
        <f>Clinker!AV23</f>
        <v>0</v>
      </c>
      <c r="K12" s="46">
        <f>J12+'20'!K12</f>
        <v>2933.89</v>
      </c>
      <c r="L12" s="46">
        <f>J12+'20'!L12</f>
        <v>5675.5900000000011</v>
      </c>
      <c r="M12" s="45">
        <f>F12+G12-J12-J37</f>
        <v>1.0000000002058584E-2</v>
      </c>
      <c r="N12" s="46">
        <v>0</v>
      </c>
      <c r="O12" s="46"/>
      <c r="P12" s="46"/>
      <c r="Q12" s="70"/>
    </row>
    <row r="13" spans="2:19" x14ac:dyDescent="0.25">
      <c r="B13" s="288"/>
      <c r="C13" s="281" t="s">
        <v>9</v>
      </c>
      <c r="D13" s="282"/>
      <c r="E13" s="69"/>
      <c r="F13" s="46">
        <f>Clinker!AO23</f>
        <v>0</v>
      </c>
      <c r="G13" s="46">
        <f>Clinker!AP23</f>
        <v>0</v>
      </c>
      <c r="H13" s="46">
        <f>G13+'20'!H13</f>
        <v>0</v>
      </c>
      <c r="I13" s="46">
        <f>G13+'20'!I13</f>
        <v>0</v>
      </c>
      <c r="J13" s="46">
        <f>Clinker!AQ23</f>
        <v>0</v>
      </c>
      <c r="K13" s="46">
        <f>J13+'20'!K13</f>
        <v>0</v>
      </c>
      <c r="L13" s="46">
        <f>J13+'20'!L13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88"/>
      <c r="C14" s="281" t="s">
        <v>8</v>
      </c>
      <c r="D14" s="282"/>
      <c r="E14" s="69"/>
      <c r="F14" s="46">
        <f>Clinker!AK23</f>
        <v>0</v>
      </c>
      <c r="G14" s="46">
        <f>Clinker!AL23</f>
        <v>0</v>
      </c>
      <c r="H14" s="46">
        <f>G14+'20'!H14</f>
        <v>0</v>
      </c>
      <c r="I14" s="46">
        <f>G14+'20'!I14</f>
        <v>0</v>
      </c>
      <c r="J14" s="46">
        <f>Clinker!AM23</f>
        <v>0</v>
      </c>
      <c r="K14" s="46">
        <f>J14+'20'!K14</f>
        <v>0</v>
      </c>
      <c r="L14" s="46">
        <f>J14+'20'!L14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88"/>
      <c r="C15" s="281" t="s">
        <v>11</v>
      </c>
      <c r="D15" s="282"/>
      <c r="E15" s="69"/>
      <c r="F15" s="46">
        <f>Clinker!AY23</f>
        <v>2042.7369999999898</v>
      </c>
      <c r="G15" s="46">
        <f>Clinker!AZ23</f>
        <v>0</v>
      </c>
      <c r="H15" s="46">
        <f>G15+'20'!H15</f>
        <v>2720.7200000000003</v>
      </c>
      <c r="I15" s="46">
        <f>G15+'20'!I15</f>
        <v>3132.46</v>
      </c>
      <c r="J15" s="46">
        <f>Clinker!BA23</f>
        <v>211.11</v>
      </c>
      <c r="K15" s="46">
        <f>J15+'20'!K15</f>
        <v>1301.1199999999999</v>
      </c>
      <c r="L15" s="46">
        <f>J15+'20'!L15</f>
        <v>1301.1199999999999</v>
      </c>
      <c r="M15" s="45">
        <f>F15+G15-J15-J38</f>
        <v>1831.6269999999899</v>
      </c>
      <c r="N15" s="46">
        <v>0</v>
      </c>
      <c r="O15" s="46">
        <v>5000</v>
      </c>
      <c r="P15" s="46">
        <v>9000</v>
      </c>
      <c r="Q15" s="70"/>
    </row>
    <row r="16" spans="2:19" x14ac:dyDescent="0.25">
      <c r="B16" s="288"/>
      <c r="C16" s="76" t="s">
        <v>141</v>
      </c>
      <c r="D16" s="77"/>
      <c r="E16" s="69"/>
      <c r="F16" s="46">
        <f>Clinker!BD23</f>
        <v>0</v>
      </c>
      <c r="G16" s="46">
        <f>Clinker!BE23</f>
        <v>0</v>
      </c>
      <c r="H16" s="46">
        <f>G16+'20'!H16</f>
        <v>0</v>
      </c>
      <c r="I16" s="46">
        <f>G16+'20'!I16</f>
        <v>0</v>
      </c>
      <c r="J16" s="46">
        <f>Clinker!BF23</f>
        <v>0</v>
      </c>
      <c r="K16" s="46">
        <f>J16+'20'!K16</f>
        <v>0</v>
      </c>
      <c r="L16" s="46">
        <f>J16+'20'!L16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180</v>
      </c>
      <c r="D17" s="282"/>
      <c r="E17" s="283"/>
      <c r="F17" s="46">
        <f>Clinker!BI23</f>
        <v>0</v>
      </c>
      <c r="G17" s="46">
        <f>Clinker!BJ23</f>
        <v>0</v>
      </c>
      <c r="H17" s="46">
        <f>G17+'20'!H17</f>
        <v>0</v>
      </c>
      <c r="I17" s="46">
        <f>G17+'20'!I17</f>
        <v>0</v>
      </c>
      <c r="J17" s="46">
        <f>Clinker!BK23</f>
        <v>0</v>
      </c>
      <c r="K17" s="46">
        <f>J17+'20'!K17</f>
        <v>0</v>
      </c>
      <c r="L17" s="46">
        <f>J17+'20'!L17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Clinker!BN23</f>
        <v>0</v>
      </c>
      <c r="G18" s="46">
        <f>Clinker!BO23</f>
        <v>0</v>
      </c>
      <c r="H18" s="46">
        <f>G18+'20'!H18</f>
        <v>0</v>
      </c>
      <c r="I18" s="46">
        <f>G18+'20'!I18</f>
        <v>0</v>
      </c>
      <c r="J18" s="46">
        <f>Clinker!BP23</f>
        <v>0</v>
      </c>
      <c r="K18" s="46">
        <f>J18+'20'!K18</f>
        <v>0</v>
      </c>
      <c r="L18" s="46">
        <f>J18+'20'!L18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Clinker!BS23</f>
        <v>0</v>
      </c>
      <c r="G19" s="46">
        <f>Clinker!BT23</f>
        <v>0</v>
      </c>
      <c r="H19" s="46">
        <f>G19+'20'!H19</f>
        <v>0</v>
      </c>
      <c r="I19" s="46">
        <f>G19+'20'!I19</f>
        <v>0</v>
      </c>
      <c r="J19" s="46">
        <f>Clinker!BU23</f>
        <v>0</v>
      </c>
      <c r="K19" s="46">
        <f>J19+'20'!K19</f>
        <v>0</v>
      </c>
      <c r="L19" s="46">
        <f>J19+'20'!L19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Clinker!BX23</f>
        <v>0</v>
      </c>
      <c r="G20" s="46">
        <f>Clinker!BY23</f>
        <v>0</v>
      </c>
      <c r="H20" s="46">
        <f>G20+'20'!H20</f>
        <v>0</v>
      </c>
      <c r="I20" s="46">
        <f>G20+'20'!I20</f>
        <v>0</v>
      </c>
      <c r="J20" s="46">
        <f>Clinker!AH23</f>
        <v>0</v>
      </c>
      <c r="K20" s="46">
        <f>J20+'20'!K20</f>
        <v>0</v>
      </c>
      <c r="L20" s="46">
        <f>J20+'20'!L20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Clinker!CR23</f>
        <v>0</v>
      </c>
      <c r="G21" s="46">
        <f>Clinker!CS23</f>
        <v>0</v>
      </c>
      <c r="H21" s="46">
        <f>G21+'20'!H21</f>
        <v>0</v>
      </c>
      <c r="I21" s="46">
        <f>G21+'20'!I21</f>
        <v>0</v>
      </c>
      <c r="J21" s="46">
        <f>Clinker!CT23</f>
        <v>0</v>
      </c>
      <c r="K21" s="46">
        <f>J21+'20'!K21</f>
        <v>0</v>
      </c>
      <c r="L21" s="46">
        <f>J21+'20'!L21</f>
        <v>0</v>
      </c>
      <c r="M21" s="45">
        <f>F21+G21-J43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184</v>
      </c>
      <c r="D22" s="77"/>
      <c r="E22" s="69"/>
      <c r="F22" s="46">
        <f>Clinker!CW23</f>
        <v>0</v>
      </c>
      <c r="G22" s="46">
        <f>Clinker!CX23</f>
        <v>0</v>
      </c>
      <c r="H22" s="46">
        <f>G22+'20'!H22</f>
        <v>0</v>
      </c>
      <c r="I22" s="46">
        <f>G22+'20'!I22</f>
        <v>0</v>
      </c>
      <c r="J22" s="46">
        <f>Clinker!CY23</f>
        <v>0</v>
      </c>
      <c r="K22" s="46">
        <f>J22+'20'!K22</f>
        <v>0</v>
      </c>
      <c r="L22" s="46">
        <f>J22+'20'!L22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Clinker!DB23</f>
        <v>1.0000000000013998E-2</v>
      </c>
      <c r="G23" s="46">
        <f>Clinker!DC23</f>
        <v>0</v>
      </c>
      <c r="H23" s="46">
        <f>G23+'20'!H23</f>
        <v>0</v>
      </c>
      <c r="I23" s="46">
        <f>G23+'20'!I23</f>
        <v>0</v>
      </c>
      <c r="J23" s="46">
        <f>Clinker!DD23</f>
        <v>0</v>
      </c>
      <c r="K23" s="46">
        <f>J23+'20'!K23</f>
        <v>7.1</v>
      </c>
      <c r="L23" s="46">
        <f>J23+'20'!L23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Clinker!DG23</f>
        <v>0</v>
      </c>
      <c r="G24" s="46">
        <f>Clinker!DH23</f>
        <v>0</v>
      </c>
      <c r="H24" s="46">
        <f>G24+'20'!H24</f>
        <v>0</v>
      </c>
      <c r="I24" s="46">
        <f>G24+'20'!I24</f>
        <v>0</v>
      </c>
      <c r="J24" s="46">
        <f>Clinker!DI23</f>
        <v>0</v>
      </c>
      <c r="K24" s="46">
        <f>J24+'20'!K24</f>
        <v>0</v>
      </c>
      <c r="L24" s="46">
        <f>J24+'20'!L24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Clinker!DL23</f>
        <v>304</v>
      </c>
      <c r="G25" s="46">
        <f>Clinker!DM23</f>
        <v>0</v>
      </c>
      <c r="H25" s="46">
        <f>G25+'20'!H25</f>
        <v>92</v>
      </c>
      <c r="I25" s="46">
        <f>G25+'20'!I25</f>
        <v>304</v>
      </c>
      <c r="J25" s="46">
        <f>Clinker!DN23</f>
        <v>0</v>
      </c>
      <c r="K25" s="46">
        <f>J25+'20'!K25</f>
        <v>0</v>
      </c>
      <c r="L25" s="46">
        <f>J25+'20'!L25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Clinker!DV23</f>
        <v>0</v>
      </c>
      <c r="G26" s="46">
        <f>Clinker!DW23</f>
        <v>0</v>
      </c>
      <c r="H26" s="46">
        <f>G26+'20'!H26</f>
        <v>0</v>
      </c>
      <c r="I26" s="46">
        <f>G26+'20'!I26</f>
        <v>0</v>
      </c>
      <c r="J26" s="46">
        <f>Clinker!DX23</f>
        <v>0</v>
      </c>
      <c r="K26" s="46">
        <f>J26+'20'!K26</f>
        <v>0</v>
      </c>
      <c r="L26" s="46">
        <f>J26+'20'!L26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2346.79699999999</v>
      </c>
      <c r="G27" s="46">
        <f t="shared" ref="G27:Q27" si="0">SUM(G10:G26)</f>
        <v>0</v>
      </c>
      <c r="H27" s="46">
        <f t="shared" si="0"/>
        <v>2812.7200000000003</v>
      </c>
      <c r="I27" s="46">
        <f t="shared" si="0"/>
        <v>3617.96</v>
      </c>
      <c r="J27" s="46">
        <f t="shared" si="0"/>
        <v>211.11</v>
      </c>
      <c r="K27" s="46">
        <f t="shared" si="0"/>
        <v>5305.1100000000006</v>
      </c>
      <c r="L27" s="46">
        <f t="shared" si="0"/>
        <v>20022.420000000002</v>
      </c>
      <c r="M27" s="46">
        <f t="shared" si="0"/>
        <v>2135.6869999999899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3.9999999998087787E-2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Clinker!Q22</f>
        <v>0</v>
      </c>
      <c r="G29" s="46">
        <f>Clinker!R23</f>
        <v>0</v>
      </c>
      <c r="H29" s="46">
        <f>G29+'20'!H29</f>
        <v>0</v>
      </c>
      <c r="I29" s="46">
        <f>G29+'20'!I29</f>
        <v>0</v>
      </c>
      <c r="J29" s="46">
        <f>Clinker!S23</f>
        <v>0</v>
      </c>
      <c r="K29" s="46">
        <f>J29+'20'!K29</f>
        <v>0</v>
      </c>
      <c r="L29" s="46">
        <f>J29+'20'!L29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G30+'20'!H30</f>
        <v>0</v>
      </c>
      <c r="I30" s="46">
        <f>G30+'20'!I30</f>
        <v>0</v>
      </c>
      <c r="J30" s="46">
        <v>0</v>
      </c>
      <c r="K30" s="46">
        <f>J30+'20'!K30</f>
        <v>0</v>
      </c>
      <c r="L30" s="46">
        <f>J30+'20'!L30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G31+'20'!H31</f>
        <v>0</v>
      </c>
      <c r="I31" s="46">
        <f>G31+'20'!I31</f>
        <v>0</v>
      </c>
      <c r="J31" s="46">
        <v>0</v>
      </c>
      <c r="K31" s="46">
        <f>J31+'20'!K31</f>
        <v>0</v>
      </c>
      <c r="L31" s="46">
        <f>J31+'20'!L31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140</v>
      </c>
      <c r="D32" s="282"/>
      <c r="E32" s="283"/>
      <c r="F32" s="46">
        <f>Clinker!DQ23</f>
        <v>0</v>
      </c>
      <c r="G32" s="46">
        <f>Clinker!DR23</f>
        <v>0</v>
      </c>
      <c r="H32" s="46">
        <f>G32+'20'!H32</f>
        <v>0</v>
      </c>
      <c r="I32" s="46">
        <f>G32+'20'!I32</f>
        <v>0</v>
      </c>
      <c r="J32" s="46">
        <v>0</v>
      </c>
      <c r="K32" s="46">
        <f>J32+'20'!K32</f>
        <v>0</v>
      </c>
      <c r="L32" s="46">
        <f>J32+'20'!L32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G33+'20'!H33</f>
        <v>0</v>
      </c>
      <c r="I33" s="46">
        <f>G33+'20'!I33</f>
        <v>0</v>
      </c>
      <c r="J33" s="46">
        <v>0</v>
      </c>
      <c r="K33" s="46">
        <f>J33+'20'!K33</f>
        <v>0</v>
      </c>
      <c r="L33" s="46">
        <f>J33+'20'!L33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Clinker!Y23</f>
        <v>0</v>
      </c>
      <c r="K34" s="46">
        <f>J34+'20'!K34</f>
        <v>0</v>
      </c>
      <c r="L34" s="46">
        <f>J34+'20'!L34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Clinker!M23</f>
        <v>0</v>
      </c>
      <c r="K35" s="46">
        <f>J35+'20'!K35</f>
        <v>0</v>
      </c>
      <c r="L35" s="46">
        <f>J35+'20'!L35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Clinker!AR23</f>
        <v>0</v>
      </c>
      <c r="K36" s="46">
        <f>J36+'20'!K36</f>
        <v>0</v>
      </c>
      <c r="L36" s="46">
        <f>J36+'20'!L36</f>
        <v>0</v>
      </c>
      <c r="M36" s="45"/>
      <c r="N36" s="46"/>
      <c r="O36" s="46"/>
      <c r="P36" s="46"/>
      <c r="Q36" s="56"/>
    </row>
    <row r="37" spans="2:17" ht="15" customHeight="1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Clinker!AW23</f>
        <v>0</v>
      </c>
      <c r="K37" s="46">
        <f>J37+'20'!K37</f>
        <v>0</v>
      </c>
      <c r="L37" s="46">
        <f>J37+'20'!L37</f>
        <v>20</v>
      </c>
      <c r="M37" s="45"/>
      <c r="N37" s="46"/>
      <c r="O37" s="46"/>
      <c r="P37" s="46"/>
      <c r="Q37" s="56"/>
    </row>
    <row r="38" spans="2:17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Clinker!BB23</f>
        <v>0</v>
      </c>
      <c r="K38" s="46">
        <f>J38+'20'!K38</f>
        <v>0</v>
      </c>
      <c r="L38" s="46">
        <f>J38+'20'!L38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Clinker!BG23</f>
        <v>0</v>
      </c>
      <c r="K39" s="46">
        <f>J39+'20'!K39</f>
        <v>0</v>
      </c>
      <c r="L39" s="46">
        <f>J39+'20'!L39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180</v>
      </c>
      <c r="D40" s="282"/>
      <c r="E40" s="283"/>
      <c r="F40" s="46"/>
      <c r="G40" s="46"/>
      <c r="H40" s="46"/>
      <c r="I40" s="46"/>
      <c r="J40" s="46">
        <f>Clinker!BL23</f>
        <v>0</v>
      </c>
      <c r="K40" s="46">
        <f>J40+'20'!K40</f>
        <v>0</v>
      </c>
      <c r="L40" s="46">
        <f>J40+'20'!L40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Clinker!BQ23</f>
        <v>0</v>
      </c>
      <c r="K41" s="46">
        <f>J41+'20'!K41</f>
        <v>0</v>
      </c>
      <c r="L41" s="46">
        <f>J41+'20'!L41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Clinker!BV23</f>
        <v>0</v>
      </c>
      <c r="K42" s="46">
        <f>J42+'20'!K42</f>
        <v>0</v>
      </c>
      <c r="L42" s="46">
        <f>J42+'20'!L42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Clinker!CU23</f>
        <v>0</v>
      </c>
      <c r="K43" s="46">
        <f>J43+'20'!K43</f>
        <v>0</v>
      </c>
      <c r="L43" s="46">
        <f>J43+'20'!L43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Clinker!CZ23</f>
        <v>0</v>
      </c>
      <c r="K44" s="46">
        <f>J44+'20'!K44</f>
        <v>0</v>
      </c>
      <c r="L44" s="46">
        <f>J44+'20'!L44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Clinker!DE23</f>
        <v>0</v>
      </c>
      <c r="K45" s="46">
        <f>J45+'20'!K45</f>
        <v>0</v>
      </c>
      <c r="L45" s="46">
        <f>J45+'20'!L45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104</v>
      </c>
      <c r="D46" s="77"/>
      <c r="E46" s="69"/>
      <c r="F46" s="46"/>
      <c r="G46" s="46"/>
      <c r="H46" s="46"/>
      <c r="I46" s="46"/>
      <c r="J46" s="46">
        <f>Clinker!DJ23</f>
        <v>0</v>
      </c>
      <c r="K46" s="46">
        <f>J46+'20'!K46</f>
        <v>0</v>
      </c>
      <c r="L46" s="46">
        <f>J46+'20'!L46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Clinker!DO23</f>
        <v>0</v>
      </c>
      <c r="K47" s="46">
        <f>J47+'20'!K47</f>
        <v>0</v>
      </c>
      <c r="L47" s="46">
        <f>J47+'20'!L47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181</v>
      </c>
      <c r="D48" s="77"/>
      <c r="E48" s="69"/>
      <c r="F48" s="46">
        <f>Clinker!CM23</f>
        <v>5.0000000000181899E-2</v>
      </c>
      <c r="G48" s="46">
        <f>Clinker!CN23</f>
        <v>0</v>
      </c>
      <c r="H48" s="46">
        <f>G48+'20'!H48</f>
        <v>0</v>
      </c>
      <c r="I48" s="46">
        <f>G48+'20'!I48</f>
        <v>0</v>
      </c>
      <c r="J48" s="46">
        <f>Clinker!CP23</f>
        <v>0</v>
      </c>
      <c r="K48" s="46">
        <f>J48+'20'!K48</f>
        <v>0</v>
      </c>
      <c r="L48" s="46">
        <f>J48+'20'!L48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Clinker!CC23</f>
        <v>0</v>
      </c>
      <c r="G49" s="46">
        <f>Clinker!CD23</f>
        <v>0</v>
      </c>
      <c r="H49" s="46">
        <f>G49+'20'!H49</f>
        <v>0</v>
      </c>
      <c r="I49" s="46">
        <f>G49+'20'!I49</f>
        <v>0</v>
      </c>
      <c r="J49" s="46">
        <f>Clinker!CF23</f>
        <v>0</v>
      </c>
      <c r="K49" s="46">
        <f>J49+'20'!K49</f>
        <v>0</v>
      </c>
      <c r="L49" s="46">
        <f>J49+'20'!L49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Clinker!CH23</f>
        <v>0</v>
      </c>
      <c r="G50" s="46">
        <f>Clinker!CI23</f>
        <v>0</v>
      </c>
      <c r="H50" s="46">
        <f>G50+'20'!H50</f>
        <v>0</v>
      </c>
      <c r="I50" s="46">
        <f>G50+'20'!I50</f>
        <v>0</v>
      </c>
      <c r="J50" s="46">
        <f>Clinker!CK23</f>
        <v>0</v>
      </c>
      <c r="K50" s="46">
        <f>J50+'20'!K50</f>
        <v>0</v>
      </c>
      <c r="L50" s="46">
        <f>J50+'20'!L50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Clinker!AF23</f>
        <v>4032.0199999999932</v>
      </c>
      <c r="G51" s="46">
        <f>Clinker!AG23</f>
        <v>0</v>
      </c>
      <c r="H51" s="46">
        <f>G51+'20'!H51</f>
        <v>2892.3500000000004</v>
      </c>
      <c r="I51" s="46">
        <f>G51+'20'!I51</f>
        <v>5033.2999999999993</v>
      </c>
      <c r="J51" s="46">
        <f>Clinker!AI23</f>
        <v>144</v>
      </c>
      <c r="K51" s="46">
        <f>J51+'20'!K51</f>
        <v>3053</v>
      </c>
      <c r="L51" s="46">
        <f>J51+'20'!L51</f>
        <v>9878</v>
      </c>
      <c r="M51" s="45">
        <f>F51+G51-J51-J20</f>
        <v>3888.0199999999932</v>
      </c>
      <c r="N51" s="46">
        <v>0</v>
      </c>
      <c r="O51" s="46">
        <v>1500</v>
      </c>
      <c r="P51" s="46">
        <v>3000</v>
      </c>
      <c r="Q51" s="56">
        <f>SUM(M51+N51)-O51</f>
        <v>2388.0199999999932</v>
      </c>
    </row>
    <row r="52" spans="2:19" x14ac:dyDescent="0.25">
      <c r="B52" s="288"/>
      <c r="C52" s="281" t="s">
        <v>156</v>
      </c>
      <c r="D52" s="282"/>
      <c r="E52" s="283"/>
      <c r="F52" s="46">
        <f>Clinker!AB23</f>
        <v>0</v>
      </c>
      <c r="G52" s="46">
        <f>Clinker!AC23</f>
        <v>0</v>
      </c>
      <c r="H52" s="46">
        <f>G52+'20'!H52</f>
        <v>0</v>
      </c>
      <c r="I52" s="46">
        <f>G52+'20'!I52</f>
        <v>0</v>
      </c>
      <c r="J52" s="46">
        <f>Clinker!AD23</f>
        <v>0</v>
      </c>
      <c r="K52" s="46">
        <f>J52+'20'!K52</f>
        <v>0</v>
      </c>
      <c r="L52" s="46">
        <f>J52+'20'!L52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 t="shared" ref="F53:Q53" si="1">SUM(F29:F52)</f>
        <v>4032.0699999999933</v>
      </c>
      <c r="G53" s="46">
        <f t="shared" si="1"/>
        <v>0</v>
      </c>
      <c r="H53" s="46">
        <f t="shared" si="1"/>
        <v>2892.3500000000004</v>
      </c>
      <c r="I53" s="46">
        <f t="shared" si="1"/>
        <v>5033.2999999999993</v>
      </c>
      <c r="J53" s="46">
        <f>SUM(J29:J52)</f>
        <v>144</v>
      </c>
      <c r="K53" s="46">
        <f t="shared" si="1"/>
        <v>3053</v>
      </c>
      <c r="L53" s="46">
        <f t="shared" si="1"/>
        <v>11225</v>
      </c>
      <c r="M53" s="45">
        <f t="shared" si="1"/>
        <v>3888.0699999999933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1"/>
        <v>2388.0199999999932</v>
      </c>
    </row>
    <row r="54" spans="2:19" x14ac:dyDescent="0.25">
      <c r="B54" s="289"/>
      <c r="C54" s="284" t="s">
        <v>157</v>
      </c>
      <c r="D54" s="285"/>
      <c r="E54" s="286"/>
      <c r="F54" s="59">
        <f>SUM(F27+F53)</f>
        <v>6378.8669999999838</v>
      </c>
      <c r="G54" s="59">
        <f t="shared" ref="G54:M54" si="2">SUM(G27+G53)</f>
        <v>0</v>
      </c>
      <c r="H54" s="59">
        <f t="shared" si="2"/>
        <v>5705.0700000000006</v>
      </c>
      <c r="I54" s="59">
        <f t="shared" si="2"/>
        <v>8651.2599999999984</v>
      </c>
      <c r="J54" s="59">
        <f t="shared" si="2"/>
        <v>355.11</v>
      </c>
      <c r="K54" s="59">
        <f t="shared" si="2"/>
        <v>8358.11</v>
      </c>
      <c r="L54" s="59">
        <f t="shared" si="2"/>
        <v>31247.420000000002</v>
      </c>
      <c r="M54" s="59">
        <f t="shared" si="2"/>
        <v>6023.7569999999832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2388.0599999999913</v>
      </c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'!C23</f>
        <v>2365101</v>
      </c>
      <c r="G56" s="46">
        <f>'Packing bag '!D23</f>
        <v>0</v>
      </c>
      <c r="H56" s="46">
        <f>G56+'20'!H56</f>
        <v>516000</v>
      </c>
      <c r="I56" s="46">
        <f>G56+'20'!I56</f>
        <v>3668500</v>
      </c>
      <c r="J56" s="46">
        <f>'Packing bag '!E23</f>
        <v>7629</v>
      </c>
      <c r="K56" s="46">
        <f>J56+'20'!K56</f>
        <v>785763</v>
      </c>
      <c r="L56" s="46">
        <f>J56+'20'!L56</f>
        <v>2362597</v>
      </c>
      <c r="M56" s="46">
        <f>F56+G56-J56</f>
        <v>2357472</v>
      </c>
      <c r="N56" s="46"/>
      <c r="O56" s="46">
        <v>400000</v>
      </c>
      <c r="P56" s="46">
        <v>800000</v>
      </c>
      <c r="Q56" s="56">
        <f>SUM(M56+N56)-O56</f>
        <v>1957472</v>
      </c>
    </row>
    <row r="57" spans="2:19" x14ac:dyDescent="0.25">
      <c r="B57" s="288"/>
      <c r="C57" s="281" t="s">
        <v>160</v>
      </c>
      <c r="D57" s="282"/>
      <c r="E57" s="283"/>
      <c r="F57" s="46">
        <f>'Packing bag '!G23</f>
        <v>603392</v>
      </c>
      <c r="G57" s="46">
        <f>'Packing bag '!H23</f>
        <v>0</v>
      </c>
      <c r="H57" s="46">
        <f>G57+'20'!H57</f>
        <v>40500</v>
      </c>
      <c r="I57" s="46">
        <f>G57+'20'!I57</f>
        <v>332000</v>
      </c>
      <c r="J57" s="46">
        <f>'Packing bag '!I23</f>
        <v>0</v>
      </c>
      <c r="K57" s="46">
        <f>J57+'20'!K57</f>
        <v>39269</v>
      </c>
      <c r="L57" s="46">
        <f>J57+'20'!L57</f>
        <v>128890</v>
      </c>
      <c r="M57" s="46">
        <f>F57+G57-J57</f>
        <v>603392</v>
      </c>
      <c r="N57" s="46"/>
      <c r="O57" s="46">
        <v>100000</v>
      </c>
      <c r="P57" s="46">
        <v>250000</v>
      </c>
      <c r="Q57" s="56">
        <f>SUM(M57+N57)-O57</f>
        <v>503392</v>
      </c>
    </row>
    <row r="58" spans="2:19" x14ac:dyDescent="0.25">
      <c r="B58" s="288"/>
      <c r="C58" s="281" t="s">
        <v>161</v>
      </c>
      <c r="D58" s="282"/>
      <c r="E58" s="283"/>
      <c r="F58" s="46">
        <f>'Packing bag '!K23</f>
        <v>481657</v>
      </c>
      <c r="G58" s="46">
        <f>'Packing bag '!L23</f>
        <v>0</v>
      </c>
      <c r="H58" s="46">
        <f>G58+'20'!H58</f>
        <v>0</v>
      </c>
      <c r="I58" s="46">
        <f>G58+'20'!I58</f>
        <v>295000</v>
      </c>
      <c r="J58" s="46">
        <f>'Packing bag '!M23</f>
        <v>606</v>
      </c>
      <c r="K58" s="46">
        <f>J58+'20'!K58</f>
        <v>47712</v>
      </c>
      <c r="L58" s="46">
        <f>J58+'20'!L58</f>
        <v>220004</v>
      </c>
      <c r="M58" s="46">
        <f>F58+G58-J58</f>
        <v>481051</v>
      </c>
      <c r="N58" s="46"/>
      <c r="O58" s="46">
        <v>50000</v>
      </c>
      <c r="P58" s="46">
        <v>150000</v>
      </c>
      <c r="Q58" s="56">
        <f>SUM(M58+N58)-O58</f>
        <v>431051</v>
      </c>
    </row>
    <row r="59" spans="2:19" x14ac:dyDescent="0.25">
      <c r="B59" s="288"/>
      <c r="C59" s="281" t="s">
        <v>162</v>
      </c>
      <c r="D59" s="282"/>
      <c r="E59" s="283"/>
      <c r="F59" s="46">
        <f>'Packing bag '!O23</f>
        <v>149688</v>
      </c>
      <c r="G59" s="46">
        <f>'Packing bag '!P23</f>
        <v>0</v>
      </c>
      <c r="H59" s="46">
        <f>G59+'20'!H59</f>
        <v>85612</v>
      </c>
      <c r="I59" s="46">
        <f>G59+'20'!I59</f>
        <v>85000</v>
      </c>
      <c r="J59" s="46">
        <f>'Packing bag '!Q23</f>
        <v>0</v>
      </c>
      <c r="K59" s="46">
        <f>J59+'20'!K59</f>
        <v>4244</v>
      </c>
      <c r="L59" s="46">
        <f>J59+'20'!L59</f>
        <v>19013</v>
      </c>
      <c r="M59" s="46">
        <f>F59+G59-J59</f>
        <v>149688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G60+'20'!H60</f>
        <v>0</v>
      </c>
      <c r="I60" s="46">
        <f>G60+'20'!I60</f>
        <v>0</v>
      </c>
      <c r="J60" s="46">
        <v>0</v>
      </c>
      <c r="K60" s="46">
        <v>0</v>
      </c>
      <c r="L60" s="46"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G61+'20'!H61</f>
        <v>0</v>
      </c>
      <c r="I61" s="46">
        <f>G61+'20'!I61</f>
        <v>0</v>
      </c>
      <c r="J61" s="46">
        <v>0</v>
      </c>
      <c r="K61" s="46">
        <v>0</v>
      </c>
      <c r="L61" s="46"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3599838</v>
      </c>
      <c r="G62" s="59">
        <f t="shared" ref="G62:Q62" si="3">SUM(G56:G61)</f>
        <v>0</v>
      </c>
      <c r="H62" s="59">
        <f t="shared" si="3"/>
        <v>642112</v>
      </c>
      <c r="I62" s="59">
        <f t="shared" si="3"/>
        <v>4380500</v>
      </c>
      <c r="J62" s="59">
        <f t="shared" si="3"/>
        <v>8235</v>
      </c>
      <c r="K62" s="59">
        <f t="shared" si="3"/>
        <v>876988</v>
      </c>
      <c r="L62" s="59">
        <f t="shared" si="3"/>
        <v>2730504</v>
      </c>
      <c r="M62" s="59">
        <f t="shared" si="3"/>
        <v>3591603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2890415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Cement!G23</f>
        <v>0</v>
      </c>
      <c r="G64" s="46">
        <f>Cement!H23</f>
        <v>0</v>
      </c>
      <c r="H64" s="46">
        <f>G64+'20'!H64</f>
        <v>0</v>
      </c>
      <c r="I64" s="46">
        <f>G64+'20'!I64</f>
        <v>0</v>
      </c>
      <c r="J64" s="46">
        <v>0</v>
      </c>
      <c r="K64" s="46">
        <v>0</v>
      </c>
      <c r="L64" s="46"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Cement!K22</f>
        <v>0</v>
      </c>
      <c r="G65" s="46">
        <f>Cement!L23</f>
        <v>0</v>
      </c>
      <c r="H65" s="46">
        <f>G65+'20'!H65</f>
        <v>0</v>
      </c>
      <c r="I65" s="46">
        <f>G65+'20'!I65</f>
        <v>0</v>
      </c>
      <c r="J65" s="46">
        <f>Cement!M22</f>
        <v>0</v>
      </c>
      <c r="K65" s="46">
        <f>J65+'20'!K65</f>
        <v>0</v>
      </c>
      <c r="L65" s="46">
        <f>J65+'20'!L65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 t="shared" ref="G66:M66" si="4">SUM(G64:G65)</f>
        <v>0</v>
      </c>
      <c r="H66" s="59">
        <f t="shared" si="4"/>
        <v>0</v>
      </c>
      <c r="I66" s="59">
        <f t="shared" si="4"/>
        <v>0</v>
      </c>
      <c r="J66" s="59">
        <f t="shared" si="4"/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Diesel!B23</f>
        <v>24060</v>
      </c>
      <c r="G68" s="46">
        <f>Diesel!C23</f>
        <v>0</v>
      </c>
      <c r="H68" s="46">
        <f>G68+'20'!H68</f>
        <v>32000</v>
      </c>
      <c r="I68" s="46">
        <f>G68+'20'!I68</f>
        <v>122000</v>
      </c>
      <c r="J68" s="46">
        <v>0</v>
      </c>
      <c r="K68" s="46">
        <f>J68+'20'!K68</f>
        <v>0</v>
      </c>
      <c r="L68" s="46">
        <f>J68+'20'!L68</f>
        <v>0</v>
      </c>
      <c r="M68" s="46">
        <f>F68+G68-J68-J76</f>
        <v>24060</v>
      </c>
      <c r="N68" s="46"/>
      <c r="O68" s="46">
        <v>30000</v>
      </c>
      <c r="P68" s="46">
        <v>60000</v>
      </c>
      <c r="Q68" s="56">
        <f>SUM(M68+N68)-O68</f>
        <v>-5940</v>
      </c>
    </row>
    <row r="69" spans="2:17" x14ac:dyDescent="0.25">
      <c r="B69" s="297"/>
      <c r="C69" s="281" t="s">
        <v>171</v>
      </c>
      <c r="D69" s="282"/>
      <c r="E69" s="283"/>
      <c r="F69" s="46">
        <f>Diesel!Y23</f>
        <v>0</v>
      </c>
      <c r="G69" s="46">
        <f>Diesel!Z23</f>
        <v>0</v>
      </c>
      <c r="H69" s="46">
        <f>G69+'20'!H69</f>
        <v>0</v>
      </c>
      <c r="I69" s="46">
        <f>G69+'20'!I69</f>
        <v>0</v>
      </c>
      <c r="J69" s="46">
        <f>Diesel!AA23</f>
        <v>0</v>
      </c>
      <c r="K69" s="46">
        <f>J69+'20'!K69</f>
        <v>0</v>
      </c>
      <c r="L69" s="46">
        <f>J69+'20'!L69</f>
        <v>15000</v>
      </c>
      <c r="M69" s="46">
        <f t="shared" ref="M69:M75" si="5"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G70+'20'!H70</f>
        <v>0</v>
      </c>
      <c r="I70" s="46">
        <f>G70+'20'!I70</f>
        <v>0</v>
      </c>
      <c r="J70" s="46">
        <f>Diesel!P23</f>
        <v>0</v>
      </c>
      <c r="K70" s="46">
        <f>J70+'20'!K70</f>
        <v>105</v>
      </c>
      <c r="L70" s="46">
        <f>J70+'20'!L70</f>
        <v>708</v>
      </c>
      <c r="M70" s="46">
        <f t="shared" si="5"/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G71+'20'!H71</f>
        <v>0</v>
      </c>
      <c r="I71" s="46">
        <f>G71+'20'!I71</f>
        <v>0</v>
      </c>
      <c r="J71" s="46">
        <f>Diesel!Q23</f>
        <v>0</v>
      </c>
      <c r="K71" s="46">
        <f>J71+'20'!K71</f>
        <v>19901</v>
      </c>
      <c r="L71" s="46">
        <f>J71+'20'!L71</f>
        <v>74536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G72+'20'!H72</f>
        <v>0</v>
      </c>
      <c r="I72" s="46">
        <f>G72+'20'!I72</f>
        <v>0</v>
      </c>
      <c r="J72" s="46">
        <f>Diesel!R23</f>
        <v>0</v>
      </c>
      <c r="K72" s="46">
        <f>J72+'20'!K72</f>
        <v>14079</v>
      </c>
      <c r="L72" s="46">
        <f>J72+'20'!L72</f>
        <v>56787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G73+'20'!H73</f>
        <v>0</v>
      </c>
      <c r="I73" s="46">
        <f>G73+'20'!I73</f>
        <v>0</v>
      </c>
      <c r="J73" s="46">
        <f>Diesel!S23</f>
        <v>0</v>
      </c>
      <c r="K73" s="46">
        <f>J73+'20'!K73</f>
        <v>0</v>
      </c>
      <c r="L73" s="46">
        <f>J73+'20'!L73</f>
        <v>0</v>
      </c>
      <c r="M73" s="46">
        <f t="shared" si="5"/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G74+'20'!H74</f>
        <v>0</v>
      </c>
      <c r="I74" s="46">
        <f>G74+'20'!I74</f>
        <v>0</v>
      </c>
      <c r="J74" s="46">
        <f>Diesel!T23</f>
        <v>0</v>
      </c>
      <c r="K74" s="46">
        <f>J74+'20'!K74</f>
        <v>0</v>
      </c>
      <c r="L74" s="46">
        <f>J74+'20'!L74</f>
        <v>0</v>
      </c>
      <c r="M74" s="46">
        <f t="shared" si="5"/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G75+'20'!H75</f>
        <v>0</v>
      </c>
      <c r="I75" s="46">
        <f>G75+'20'!I75</f>
        <v>0</v>
      </c>
      <c r="J75" s="61">
        <f>Diesel!U23</f>
        <v>0</v>
      </c>
      <c r="K75" s="46">
        <f>J75+'20'!K75</f>
        <v>0</v>
      </c>
      <c r="L75" s="46">
        <f>J75+'20'!L75</f>
        <v>0</v>
      </c>
      <c r="M75" s="46">
        <f t="shared" si="5"/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24060</v>
      </c>
      <c r="G76" s="62">
        <f t="shared" ref="G76:M76" si="6">SUM(G68:G75)</f>
        <v>0</v>
      </c>
      <c r="H76" s="62">
        <f t="shared" si="6"/>
        <v>32000</v>
      </c>
      <c r="I76" s="62">
        <f t="shared" si="6"/>
        <v>122000</v>
      </c>
      <c r="J76" s="62">
        <f t="shared" si="6"/>
        <v>0</v>
      </c>
      <c r="K76" s="62">
        <f t="shared" si="6"/>
        <v>34085</v>
      </c>
      <c r="L76" s="62">
        <f t="shared" si="6"/>
        <v>147031</v>
      </c>
      <c r="M76" s="62">
        <f t="shared" si="6"/>
        <v>24060</v>
      </c>
      <c r="N76" s="63"/>
      <c r="O76" s="64"/>
      <c r="P76" s="62"/>
      <c r="Q76" s="65"/>
    </row>
  </sheetData>
  <mergeCells count="70">
    <mergeCell ref="B9:B54"/>
    <mergeCell ref="C61:E61"/>
    <mergeCell ref="B55:B62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64:E64"/>
    <mergeCell ref="C65:E65"/>
    <mergeCell ref="C66:E66"/>
    <mergeCell ref="C35:E35"/>
    <mergeCell ref="C62:E62"/>
    <mergeCell ref="C52:E52"/>
    <mergeCell ref="C53:E53"/>
    <mergeCell ref="C54:E54"/>
    <mergeCell ref="C55:Q55"/>
    <mergeCell ref="C56:E56"/>
    <mergeCell ref="C57:E57"/>
    <mergeCell ref="C58:E58"/>
    <mergeCell ref="C60:E60"/>
    <mergeCell ref="C50:D50"/>
    <mergeCell ref="C47:D47"/>
    <mergeCell ref="C59:E59"/>
    <mergeCell ref="C33:E33"/>
    <mergeCell ref="C34:E34"/>
    <mergeCell ref="C37:D37"/>
    <mergeCell ref="C36:D36"/>
    <mergeCell ref="C51:E51"/>
    <mergeCell ref="C40:E40"/>
    <mergeCell ref="C38:D38"/>
    <mergeCell ref="C31:E31"/>
    <mergeCell ref="C32:E32"/>
    <mergeCell ref="C11:E11"/>
    <mergeCell ref="C14:D14"/>
    <mergeCell ref="C17:E17"/>
    <mergeCell ref="C15:D15"/>
    <mergeCell ref="C13:D13"/>
    <mergeCell ref="C18:E18"/>
    <mergeCell ref="C12:E12"/>
    <mergeCell ref="C27:E2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C9:E9"/>
    <mergeCell ref="C10:E10"/>
    <mergeCell ref="C30:E30"/>
    <mergeCell ref="Q4:Q5"/>
    <mergeCell ref="C28:E28"/>
    <mergeCell ref="C29:E29"/>
    <mergeCell ref="C6:E6"/>
    <mergeCell ref="C7:E7"/>
    <mergeCell ref="C20:D20"/>
  </mergeCells>
  <pageMargins left="0.7" right="0.7" top="0.75" bottom="0.75" header="0.3" footer="0.3"/>
  <pageSetup paperSize="9" scale="41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J14" sqref="J14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8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5" t="s">
        <v>230</v>
      </c>
      <c r="Q3" s="316"/>
    </row>
    <row r="4" spans="2:18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8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8" x14ac:dyDescent="0.25">
      <c r="B6" s="54">
        <v>1</v>
      </c>
      <c r="C6" s="308" t="s">
        <v>135</v>
      </c>
      <c r="D6" s="309"/>
      <c r="E6" s="310"/>
      <c r="F6" s="45">
        <f>Clinker!C24</f>
        <v>1280.92</v>
      </c>
      <c r="G6" s="45">
        <f>Clinker!D24</f>
        <v>29.72</v>
      </c>
      <c r="H6" s="45">
        <f>G6+'21'!H6</f>
        <v>29.72</v>
      </c>
      <c r="I6" s="45">
        <f>G6+'21'!I6</f>
        <v>447</v>
      </c>
      <c r="J6" s="45">
        <f>Clinker!E24</f>
        <v>55</v>
      </c>
      <c r="K6" s="45">
        <f>J6+'21'!K6</f>
        <v>1422</v>
      </c>
      <c r="L6" s="45">
        <f>J6+'21'!L6</f>
        <v>4557</v>
      </c>
      <c r="M6" s="45">
        <f>F6+G6-J6</f>
        <v>1255.6400000000001</v>
      </c>
      <c r="N6" s="45">
        <v>0</v>
      </c>
      <c r="O6" s="45">
        <v>3000</v>
      </c>
      <c r="P6" s="45">
        <v>6000</v>
      </c>
      <c r="Q6" s="55">
        <f>SUM(M6+N6)-O6</f>
        <v>-1744.36</v>
      </c>
    </row>
    <row r="7" spans="2:18" x14ac:dyDescent="0.25">
      <c r="B7" s="50">
        <v>2</v>
      </c>
      <c r="C7" s="305" t="s">
        <v>136</v>
      </c>
      <c r="D7" s="306"/>
      <c r="E7" s="307"/>
      <c r="F7" s="46">
        <f>Cement!C24</f>
        <v>2577.0662678804374</v>
      </c>
      <c r="G7" s="46">
        <f>Cement!D24</f>
        <v>453.74</v>
      </c>
      <c r="H7" s="45">
        <f>G7+'21'!H7</f>
        <v>1610.76</v>
      </c>
      <c r="I7" s="45">
        <f>G7+'21'!I7</f>
        <v>3737.3799999999992</v>
      </c>
      <c r="J7" s="46">
        <f>Cement!I24</f>
        <v>157.60421053347369</v>
      </c>
      <c r="K7" s="45">
        <f>J7+'21'!K7</f>
        <v>2945.863800809213</v>
      </c>
      <c r="L7" s="45">
        <f>J7+'21'!L7</f>
        <v>8172.0937911367137</v>
      </c>
      <c r="M7" s="45">
        <f>F7+G7-J7</f>
        <v>2873.2020573469636</v>
      </c>
      <c r="N7" s="46">
        <v>269</v>
      </c>
      <c r="O7" s="46">
        <v>3000</v>
      </c>
      <c r="P7" s="46">
        <v>6000</v>
      </c>
      <c r="Q7" s="56">
        <f>SUM(M7+N7)-O7</f>
        <v>142.20205734696356</v>
      </c>
    </row>
    <row r="8" spans="2:18" x14ac:dyDescent="0.25">
      <c r="B8" s="124">
        <v>3</v>
      </c>
      <c r="C8" s="121" t="s">
        <v>29</v>
      </c>
      <c r="D8" s="122"/>
      <c r="E8" s="123"/>
      <c r="F8" s="46">
        <f>Clinker!EI24</f>
        <v>20382.497566444043</v>
      </c>
      <c r="G8" s="46">
        <f>Clinker!EJ24</f>
        <v>1005</v>
      </c>
      <c r="H8" s="45">
        <f>G8+'21'!H8</f>
        <v>31682</v>
      </c>
      <c r="I8" s="45">
        <f>G8+'21'!I8</f>
        <v>130598.66</v>
      </c>
      <c r="J8" s="46">
        <f>Clinker!EK24</f>
        <v>2456.1979999759005</v>
      </c>
      <c r="K8" s="45">
        <f>J8+'21'!K8</f>
        <v>44002.60252133882</v>
      </c>
      <c r="L8" s="45">
        <f>J8+'21'!L8</f>
        <v>123798.44954115874</v>
      </c>
      <c r="M8" s="45">
        <f>F8+G8-J8</f>
        <v>18931.299566468144</v>
      </c>
      <c r="N8" s="46">
        <v>0</v>
      </c>
      <c r="O8" s="46"/>
      <c r="P8" s="46"/>
      <c r="Q8" s="56"/>
      <c r="R8" s="90"/>
    </row>
    <row r="9" spans="2:18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88"/>
      <c r="C10" s="281" t="s">
        <v>138</v>
      </c>
      <c r="D10" s="282"/>
      <c r="E10" s="283"/>
      <c r="F10" s="46">
        <f>Clinker!K24</f>
        <v>0</v>
      </c>
      <c r="G10" s="46">
        <f>Clinker!L24</f>
        <v>0</v>
      </c>
      <c r="H10" s="46">
        <f>G10+'21'!H10</f>
        <v>0</v>
      </c>
      <c r="I10" s="46">
        <f>G10+'21'!I10</f>
        <v>0</v>
      </c>
      <c r="J10" s="46">
        <f>Clinker!N24</f>
        <v>0</v>
      </c>
      <c r="K10" s="46">
        <f>J10+'21'!K10</f>
        <v>0</v>
      </c>
      <c r="L10" s="46">
        <f>J10+'21'!L10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88"/>
      <c r="C11" s="281" t="s">
        <v>139</v>
      </c>
      <c r="D11" s="282"/>
      <c r="E11" s="283"/>
      <c r="F11" s="46">
        <f>Clinker!W24</f>
        <v>3.9999999998087787E-2</v>
      </c>
      <c r="G11" s="46">
        <f>Clinker!X24</f>
        <v>0</v>
      </c>
      <c r="H11" s="46">
        <f>G11+'21'!H11</f>
        <v>0</v>
      </c>
      <c r="I11" s="46">
        <f>G11+'21'!I11</f>
        <v>0</v>
      </c>
      <c r="J11" s="46">
        <f>Clinker!Z24</f>
        <v>0</v>
      </c>
      <c r="K11" s="46">
        <f>J11+'21'!K11</f>
        <v>1063</v>
      </c>
      <c r="L11" s="46">
        <f>J11+'21'!L11</f>
        <v>8686.84</v>
      </c>
      <c r="M11" s="45">
        <f>F11+G11-J11-J34</f>
        <v>3.9999999998087787E-2</v>
      </c>
      <c r="N11" s="46">
        <v>0</v>
      </c>
      <c r="O11" s="46"/>
      <c r="P11" s="46"/>
      <c r="Q11" s="56">
        <f>SUM(M11+N11)-O11</f>
        <v>3.9999999998087787E-2</v>
      </c>
    </row>
    <row r="12" spans="2:18" ht="15" customHeight="1" x14ac:dyDescent="0.25">
      <c r="B12" s="288"/>
      <c r="C12" s="281" t="s">
        <v>140</v>
      </c>
      <c r="D12" s="282"/>
      <c r="E12" s="283"/>
      <c r="F12" s="46">
        <f>Clinker!AT24</f>
        <v>1.0000000002058584E-2</v>
      </c>
      <c r="G12" s="46">
        <f>Clinker!AU24</f>
        <v>0</v>
      </c>
      <c r="H12" s="46">
        <f>G12+'21'!H12</f>
        <v>0</v>
      </c>
      <c r="I12" s="46">
        <f>G12+'21'!I12</f>
        <v>181.5</v>
      </c>
      <c r="J12" s="46">
        <f>Clinker!AV24</f>
        <v>0</v>
      </c>
      <c r="K12" s="46">
        <f>J12+'21'!K12</f>
        <v>2933.89</v>
      </c>
      <c r="L12" s="46">
        <f>J12+'21'!L12</f>
        <v>5675.5900000000011</v>
      </c>
      <c r="M12" s="45">
        <f>F12+G12-J12-J37</f>
        <v>1.0000000002058584E-2</v>
      </c>
      <c r="N12" s="46">
        <v>0</v>
      </c>
      <c r="O12" s="46"/>
      <c r="P12" s="46"/>
      <c r="Q12" s="70"/>
    </row>
    <row r="13" spans="2:18" x14ac:dyDescent="0.25">
      <c r="B13" s="288"/>
      <c r="C13" s="281" t="s">
        <v>9</v>
      </c>
      <c r="D13" s="282"/>
      <c r="E13" s="69"/>
      <c r="F13" s="46">
        <f>Clinker!AO24</f>
        <v>0</v>
      </c>
      <c r="G13" s="46">
        <f>Clinker!AP24</f>
        <v>0</v>
      </c>
      <c r="H13" s="46">
        <f>G13+'21'!H13</f>
        <v>0</v>
      </c>
      <c r="I13" s="46">
        <f>G13+'21'!I13</f>
        <v>0</v>
      </c>
      <c r="J13" s="46">
        <f>Clinker!AQ24</f>
        <v>0</v>
      </c>
      <c r="K13" s="46">
        <f>J13+'21'!K13</f>
        <v>0</v>
      </c>
      <c r="L13" s="46">
        <f>J13+'21'!L13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8" x14ac:dyDescent="0.25">
      <c r="B14" s="288"/>
      <c r="C14" s="281" t="s">
        <v>8</v>
      </c>
      <c r="D14" s="282"/>
      <c r="E14" s="69"/>
      <c r="F14" s="46">
        <f>Clinker!AK24</f>
        <v>0</v>
      </c>
      <c r="G14" s="46">
        <f>Clinker!AL24</f>
        <v>0</v>
      </c>
      <c r="H14" s="46">
        <f>G14+'21'!H14</f>
        <v>0</v>
      </c>
      <c r="I14" s="46">
        <f>G14+'21'!I14</f>
        <v>0</v>
      </c>
      <c r="J14" s="46">
        <f>Clinker!AM24</f>
        <v>0</v>
      </c>
      <c r="K14" s="46">
        <f>J14+'21'!K14</f>
        <v>0</v>
      </c>
      <c r="L14" s="46">
        <f>J14+'21'!L14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8" x14ac:dyDescent="0.25">
      <c r="B15" s="288"/>
      <c r="C15" s="281" t="s">
        <v>11</v>
      </c>
      <c r="D15" s="282"/>
      <c r="E15" s="69"/>
      <c r="F15" s="46">
        <f>Clinker!AY24</f>
        <v>1831.6269999999899</v>
      </c>
      <c r="G15" s="46">
        <f>Clinker!AZ24</f>
        <v>1009.82</v>
      </c>
      <c r="H15" s="46">
        <f>G15+'21'!H15</f>
        <v>3730.5400000000004</v>
      </c>
      <c r="I15" s="46">
        <f>G15+'21'!I15</f>
        <v>4142.28</v>
      </c>
      <c r="J15" s="46">
        <f>Clinker!BA24</f>
        <v>169</v>
      </c>
      <c r="K15" s="46">
        <f>J15+'21'!K15</f>
        <v>1470.12</v>
      </c>
      <c r="L15" s="46">
        <f>J15+'21'!L15</f>
        <v>1470.12</v>
      </c>
      <c r="M15" s="45">
        <f>F15+G15-J15-J38</f>
        <v>2672.4469999999901</v>
      </c>
      <c r="N15" s="46">
        <v>155.32</v>
      </c>
      <c r="O15" s="46">
        <v>5000</v>
      </c>
      <c r="P15" s="46">
        <v>9000</v>
      </c>
      <c r="Q15" s="70"/>
    </row>
    <row r="16" spans="2:18" x14ac:dyDescent="0.25">
      <c r="B16" s="288"/>
      <c r="C16" s="76" t="s">
        <v>141</v>
      </c>
      <c r="D16" s="77"/>
      <c r="E16" s="69"/>
      <c r="F16" s="46">
        <f>Clinker!BD24</f>
        <v>0</v>
      </c>
      <c r="G16" s="46">
        <f>Clinker!BE24</f>
        <v>0</v>
      </c>
      <c r="H16" s="46">
        <f>G16+'21'!H16</f>
        <v>0</v>
      </c>
      <c r="I16" s="46">
        <f>G16+'21'!I16</f>
        <v>0</v>
      </c>
      <c r="J16" s="46">
        <f>Clinker!BF24</f>
        <v>0</v>
      </c>
      <c r="K16" s="46">
        <f>J16+'21'!K16</f>
        <v>0</v>
      </c>
      <c r="L16" s="46">
        <f>J16+'21'!L16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186</v>
      </c>
      <c r="D17" s="282"/>
      <c r="E17" s="283"/>
      <c r="F17" s="46">
        <f>Clinker!BI24</f>
        <v>0</v>
      </c>
      <c r="G17" s="46">
        <f>Clinker!BJ24</f>
        <v>0</v>
      </c>
      <c r="H17" s="46">
        <f>G17+'21'!H17</f>
        <v>0</v>
      </c>
      <c r="I17" s="46">
        <f>G17+'21'!I17</f>
        <v>0</v>
      </c>
      <c r="J17" s="46">
        <f>Clinker!BK24</f>
        <v>0</v>
      </c>
      <c r="K17" s="46">
        <f>J17+'21'!K17</f>
        <v>0</v>
      </c>
      <c r="L17" s="46">
        <f>J17+'21'!L17</f>
        <v>0</v>
      </c>
      <c r="M17" s="45">
        <f>F17+G17-J43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Clinker!BN24</f>
        <v>0</v>
      </c>
      <c r="G18" s="46">
        <f>Clinker!BO24</f>
        <v>0</v>
      </c>
      <c r="H18" s="46">
        <f>G18+'21'!H18</f>
        <v>0</v>
      </c>
      <c r="I18" s="46">
        <f>G18+'21'!I18</f>
        <v>0</v>
      </c>
      <c r="J18" s="46">
        <f>Clinker!BP24</f>
        <v>0</v>
      </c>
      <c r="K18" s="46">
        <f>J18+'21'!K18</f>
        <v>0</v>
      </c>
      <c r="L18" s="46">
        <f>J18+'21'!L18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Clinker!BS24</f>
        <v>0</v>
      </c>
      <c r="G19" s="46">
        <f>Clinker!BT24</f>
        <v>0</v>
      </c>
      <c r="H19" s="46">
        <f>G19+'21'!H19</f>
        <v>0</v>
      </c>
      <c r="I19" s="46">
        <f>G19+'21'!I19</f>
        <v>0</v>
      </c>
      <c r="J19" s="46">
        <f>Clinker!BU24</f>
        <v>0</v>
      </c>
      <c r="K19" s="46">
        <f>J19+'21'!K19</f>
        <v>0</v>
      </c>
      <c r="L19" s="46">
        <f>J19+'21'!L19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Clinker!BX24</f>
        <v>0</v>
      </c>
      <c r="G20" s="46">
        <f>Clinker!BY24</f>
        <v>0</v>
      </c>
      <c r="H20" s="46">
        <f>G20+'21'!H20</f>
        <v>0</v>
      </c>
      <c r="I20" s="46">
        <f>G20+'21'!I20</f>
        <v>0</v>
      </c>
      <c r="J20" s="46">
        <f>Clinker!AH24</f>
        <v>0</v>
      </c>
      <c r="K20" s="46">
        <f>J20+'21'!K20</f>
        <v>0</v>
      </c>
      <c r="L20" s="46">
        <f>J20+'21'!L20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Clinker!CR24</f>
        <v>0</v>
      </c>
      <c r="G21" s="46">
        <f>Clinker!CS24</f>
        <v>0</v>
      </c>
      <c r="H21" s="46">
        <f>G21+'21'!H21</f>
        <v>0</v>
      </c>
      <c r="I21" s="46">
        <f>G21+'21'!I21</f>
        <v>0</v>
      </c>
      <c r="J21" s="46">
        <f>Clinker!CT24</f>
        <v>0</v>
      </c>
      <c r="K21" s="46">
        <f>J21+'21'!K21</f>
        <v>0</v>
      </c>
      <c r="L21" s="46">
        <f>J21+'21'!L21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184</v>
      </c>
      <c r="D22" s="77"/>
      <c r="E22" s="69"/>
      <c r="F22" s="46">
        <f>Clinker!CW24</f>
        <v>0</v>
      </c>
      <c r="G22" s="46">
        <f>Clinker!CX24</f>
        <v>0</v>
      </c>
      <c r="H22" s="46">
        <f>G22+'21'!H22</f>
        <v>0</v>
      </c>
      <c r="I22" s="46">
        <f>G22+'21'!I22</f>
        <v>0</v>
      </c>
      <c r="J22" s="46">
        <f>Clinker!CY24</f>
        <v>0</v>
      </c>
      <c r="K22" s="46">
        <f>J22+'21'!K22</f>
        <v>0</v>
      </c>
      <c r="L22" s="46">
        <f>J22+'21'!L22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Clinker!DB24</f>
        <v>1.0000000000013998E-2</v>
      </c>
      <c r="G23" s="46">
        <f>Clinker!DC24</f>
        <v>0</v>
      </c>
      <c r="H23" s="46">
        <f>G23+'21'!H23</f>
        <v>0</v>
      </c>
      <c r="I23" s="46">
        <f>G23+'21'!I23</f>
        <v>0</v>
      </c>
      <c r="J23" s="46">
        <f>Clinker!DD24</f>
        <v>0</v>
      </c>
      <c r="K23" s="46">
        <f>J23+'21'!K23</f>
        <v>7.1</v>
      </c>
      <c r="L23" s="46">
        <f>J23+'21'!L23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Clinker!DG24</f>
        <v>0</v>
      </c>
      <c r="G24" s="46">
        <f>Clinker!DH24</f>
        <v>0</v>
      </c>
      <c r="H24" s="46">
        <f>G24+'21'!H24</f>
        <v>0</v>
      </c>
      <c r="I24" s="46">
        <f>G24+'21'!I24</f>
        <v>0</v>
      </c>
      <c r="J24" s="46">
        <f>Clinker!DI24</f>
        <v>0</v>
      </c>
      <c r="K24" s="46">
        <f>J24+'21'!K24</f>
        <v>0</v>
      </c>
      <c r="L24" s="46">
        <f>J24+'21'!L24</f>
        <v>0</v>
      </c>
      <c r="M24" s="45">
        <f>F24+G24-J46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Clinker!DL24</f>
        <v>304</v>
      </c>
      <c r="G25" s="46">
        <f>Clinker!DM24</f>
        <v>0</v>
      </c>
      <c r="H25" s="46">
        <f>G25+'21'!H25</f>
        <v>92</v>
      </c>
      <c r="I25" s="46">
        <f>G25+'21'!I25</f>
        <v>304</v>
      </c>
      <c r="J25" s="46">
        <f>Clinker!DN24</f>
        <v>0</v>
      </c>
      <c r="K25" s="46">
        <f>J25+'21'!K25</f>
        <v>0</v>
      </c>
      <c r="L25" s="46">
        <f>J25+'21'!L25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Clinker!DV24</f>
        <v>0</v>
      </c>
      <c r="G26" s="46">
        <f>Clinker!DW24</f>
        <v>0</v>
      </c>
      <c r="H26" s="46">
        <f>G26+'21'!H26</f>
        <v>0</v>
      </c>
      <c r="I26" s="46">
        <f>G26+'21'!I26</f>
        <v>0</v>
      </c>
      <c r="J26" s="46">
        <f>Clinker!DX24</f>
        <v>0</v>
      </c>
      <c r="K26" s="46">
        <f>J26+'21'!K26</f>
        <v>0</v>
      </c>
      <c r="L26" s="46">
        <f>J26+'21'!L26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2135.6869999999899</v>
      </c>
      <c r="G27" s="46">
        <f t="shared" ref="G27:Q27" si="0">SUM(G10:G26)</f>
        <v>1009.82</v>
      </c>
      <c r="H27" s="46">
        <f t="shared" si="0"/>
        <v>3822.5400000000004</v>
      </c>
      <c r="I27" s="46">
        <f t="shared" si="0"/>
        <v>4627.78</v>
      </c>
      <c r="J27" s="46">
        <f t="shared" si="0"/>
        <v>169</v>
      </c>
      <c r="K27" s="46">
        <f t="shared" si="0"/>
        <v>5474.1100000000006</v>
      </c>
      <c r="L27" s="46">
        <f t="shared" si="0"/>
        <v>20191.420000000002</v>
      </c>
      <c r="M27" s="46">
        <f t="shared" si="0"/>
        <v>2976.5069999999905</v>
      </c>
      <c r="N27" s="46">
        <f t="shared" si="0"/>
        <v>155.32</v>
      </c>
      <c r="O27" s="46">
        <f t="shared" si="0"/>
        <v>10000</v>
      </c>
      <c r="P27" s="46">
        <f t="shared" si="0"/>
        <v>18000</v>
      </c>
      <c r="Q27" s="46">
        <f t="shared" si="0"/>
        <v>3.9999999998087787E-2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Clinker!Q22</f>
        <v>0</v>
      </c>
      <c r="G29" s="46">
        <f>Clinker!R24</f>
        <v>0</v>
      </c>
      <c r="H29" s="46">
        <f>G29+'21'!H29</f>
        <v>0</v>
      </c>
      <c r="I29" s="46">
        <f>G29+'21'!I29</f>
        <v>0</v>
      </c>
      <c r="J29" s="46">
        <f>Clinker!S24</f>
        <v>0</v>
      </c>
      <c r="K29" s="46">
        <f>J29+'21'!K29</f>
        <v>0</v>
      </c>
      <c r="L29" s="46">
        <f>J29+'21'!L29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f>Clinker!Q23</f>
        <v>0</v>
      </c>
      <c r="G30" s="46">
        <v>0</v>
      </c>
      <c r="H30" s="46">
        <f>G30+'21'!H30</f>
        <v>0</v>
      </c>
      <c r="I30" s="46">
        <f>G30+'21'!I30</f>
        <v>0</v>
      </c>
      <c r="J30" s="46">
        <v>0</v>
      </c>
      <c r="K30" s="46">
        <f>J30+'21'!K30</f>
        <v>0</v>
      </c>
      <c r="L30" s="46">
        <f>J30+'21'!L30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f>Clinker!Q24</f>
        <v>0</v>
      </c>
      <c r="G31" s="46">
        <v>0</v>
      </c>
      <c r="H31" s="46">
        <f>G31+'21'!H31</f>
        <v>0</v>
      </c>
      <c r="I31" s="46">
        <f>G31+'21'!I31</f>
        <v>0</v>
      </c>
      <c r="J31" s="46">
        <v>0</v>
      </c>
      <c r="K31" s="46">
        <f>J31+'21'!K31</f>
        <v>0</v>
      </c>
      <c r="L31" s="46">
        <f>J31+'21'!L31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140</v>
      </c>
      <c r="D32" s="282"/>
      <c r="E32" s="283"/>
      <c r="F32" s="46">
        <f>Clinker!Q25</f>
        <v>0</v>
      </c>
      <c r="G32" s="46">
        <f>Clinker!DR24</f>
        <v>0</v>
      </c>
      <c r="H32" s="46">
        <f>G32+'21'!H32</f>
        <v>0</v>
      </c>
      <c r="I32" s="46">
        <f>G32+'21'!I32</f>
        <v>0</v>
      </c>
      <c r="J32" s="46">
        <v>0</v>
      </c>
      <c r="K32" s="46">
        <f>J32+'21'!K32</f>
        <v>0</v>
      </c>
      <c r="L32" s="46">
        <f>J32+'21'!L32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f>Clinker!Q26</f>
        <v>0</v>
      </c>
      <c r="G33" s="46">
        <v>0</v>
      </c>
      <c r="H33" s="46">
        <f>G33+'21'!H33</f>
        <v>0</v>
      </c>
      <c r="I33" s="46">
        <f>G33+'21'!I33</f>
        <v>0</v>
      </c>
      <c r="J33" s="46">
        <v>0</v>
      </c>
      <c r="K33" s="46">
        <f>J33+'21'!K33</f>
        <v>0</v>
      </c>
      <c r="L33" s="46">
        <f>J33+'21'!L33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Clinker!Y24</f>
        <v>0</v>
      </c>
      <c r="K34" s="46">
        <f>J34+'21'!K34</f>
        <v>0</v>
      </c>
      <c r="L34" s="46">
        <f>J34+'21'!L34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Clinker!M24</f>
        <v>0</v>
      </c>
      <c r="K35" s="46">
        <f>J35+'21'!K35</f>
        <v>0</v>
      </c>
      <c r="L35" s="46">
        <f>J35+'21'!L35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Clinker!AR24</f>
        <v>0</v>
      </c>
      <c r="K36" s="46">
        <f>J36+'21'!K36</f>
        <v>0</v>
      </c>
      <c r="L36" s="46">
        <f>J36+'21'!L36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Clinker!AW24</f>
        <v>0</v>
      </c>
      <c r="K37" s="46">
        <f>J37+'21'!K37</f>
        <v>0</v>
      </c>
      <c r="L37" s="46">
        <f>J37+'21'!L37</f>
        <v>20</v>
      </c>
      <c r="M37" s="45"/>
      <c r="N37" s="46"/>
      <c r="O37" s="46"/>
      <c r="P37" s="46"/>
      <c r="Q37" s="56"/>
    </row>
    <row r="38" spans="2:17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Clinker!BB24</f>
        <v>0</v>
      </c>
      <c r="K38" s="46">
        <f>J38+'21'!K38</f>
        <v>0</v>
      </c>
      <c r="L38" s="46">
        <f>J38+'21'!L38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Clinker!BG24</f>
        <v>0</v>
      </c>
      <c r="K39" s="46">
        <f>J39+'21'!K39</f>
        <v>0</v>
      </c>
      <c r="L39" s="46">
        <f>J39+'21'!L39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180</v>
      </c>
      <c r="D40" s="282"/>
      <c r="E40" s="283"/>
      <c r="F40" s="46"/>
      <c r="G40" s="46"/>
      <c r="H40" s="46"/>
      <c r="I40" s="46"/>
      <c r="J40" s="46">
        <f>Clinker!BL24</f>
        <v>0</v>
      </c>
      <c r="K40" s="46">
        <f>J40+'21'!K40</f>
        <v>0</v>
      </c>
      <c r="L40" s="46">
        <f>J40+'21'!L40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Clinker!BQ24</f>
        <v>0</v>
      </c>
      <c r="K41" s="46">
        <f>J41+'21'!K41</f>
        <v>0</v>
      </c>
      <c r="L41" s="46">
        <f>J41+'21'!L41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Clinker!BV24</f>
        <v>0</v>
      </c>
      <c r="K42" s="46">
        <f>J42+'21'!K42</f>
        <v>0</v>
      </c>
      <c r="L42" s="46">
        <f>J42+'21'!L42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Clinker!CU24</f>
        <v>0</v>
      </c>
      <c r="K43" s="46">
        <f>J43+'21'!K43</f>
        <v>0</v>
      </c>
      <c r="L43" s="46">
        <f>J43+'21'!L43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Clinker!CZ24</f>
        <v>0</v>
      </c>
      <c r="K44" s="46">
        <f>J44+'21'!K44</f>
        <v>0</v>
      </c>
      <c r="L44" s="46">
        <f>J44+'21'!L44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Clinker!DE24</f>
        <v>0</v>
      </c>
      <c r="K45" s="46">
        <f>J45+'21'!K45</f>
        <v>0</v>
      </c>
      <c r="L45" s="46">
        <f>J45+'21'!L45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104</v>
      </c>
      <c r="D46" s="77"/>
      <c r="E46" s="69"/>
      <c r="F46" s="46"/>
      <c r="G46" s="46"/>
      <c r="H46" s="46"/>
      <c r="I46" s="46"/>
      <c r="J46" s="46">
        <f>Clinker!DJ24</f>
        <v>0</v>
      </c>
      <c r="K46" s="46">
        <f>J46+'21'!K46</f>
        <v>0</v>
      </c>
      <c r="L46" s="46">
        <f>J46+'21'!L46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Clinker!DO24</f>
        <v>0</v>
      </c>
      <c r="K47" s="46">
        <f>J47+'21'!K47</f>
        <v>0</v>
      </c>
      <c r="L47" s="46">
        <f>J47+'21'!L47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Clinker!CM24</f>
        <v>5.0000000000181899E-2</v>
      </c>
      <c r="G48" s="46">
        <f>Clinker!CN24</f>
        <v>0</v>
      </c>
      <c r="H48" s="46">
        <f>G48+'21'!H48</f>
        <v>0</v>
      </c>
      <c r="I48" s="46">
        <f>G48+'21'!I48</f>
        <v>0</v>
      </c>
      <c r="J48" s="46">
        <f>Clinker!CP24</f>
        <v>0</v>
      </c>
      <c r="K48" s="46">
        <f>J48+'21'!K48</f>
        <v>0</v>
      </c>
      <c r="L48" s="46">
        <f>J48+'21'!L48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88"/>
      <c r="C49" s="76" t="s">
        <v>102</v>
      </c>
      <c r="D49" s="77"/>
      <c r="E49" s="69"/>
      <c r="F49" s="46">
        <f>Clinker!CC24</f>
        <v>0</v>
      </c>
      <c r="G49" s="46">
        <f>Clinker!CD24</f>
        <v>0</v>
      </c>
      <c r="H49" s="46">
        <f>G49+'21'!H49</f>
        <v>0</v>
      </c>
      <c r="I49" s="46">
        <f>G49+'21'!I49</f>
        <v>0</v>
      </c>
      <c r="J49" s="46">
        <f>Clinker!CF24</f>
        <v>0</v>
      </c>
      <c r="K49" s="46">
        <f>J49+'21'!K49</f>
        <v>0</v>
      </c>
      <c r="L49" s="46">
        <f>J49+'21'!L49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88"/>
      <c r="C50" s="281" t="s">
        <v>154</v>
      </c>
      <c r="D50" s="282"/>
      <c r="E50" s="69"/>
      <c r="F50" s="46">
        <f>Clinker!CH24</f>
        <v>0</v>
      </c>
      <c r="G50" s="46">
        <f>Clinker!CI24</f>
        <v>0</v>
      </c>
      <c r="H50" s="46">
        <f>G50+'21'!H50</f>
        <v>0</v>
      </c>
      <c r="I50" s="46">
        <f>G50+'21'!I50</f>
        <v>0</v>
      </c>
      <c r="J50" s="46">
        <f>Clinker!CK24</f>
        <v>0</v>
      </c>
      <c r="K50" s="46">
        <f>J50+'21'!K50</f>
        <v>0</v>
      </c>
      <c r="L50" s="46">
        <f>J50+'21'!L50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88"/>
      <c r="C51" s="281" t="s">
        <v>155</v>
      </c>
      <c r="D51" s="282"/>
      <c r="E51" s="283"/>
      <c r="F51" s="46">
        <f>Clinker!AF24</f>
        <v>3888.0199999999932</v>
      </c>
      <c r="G51" s="46">
        <f>Clinker!AG24</f>
        <v>330.25</v>
      </c>
      <c r="H51" s="46">
        <f>G51+'21'!H51</f>
        <v>3222.6000000000004</v>
      </c>
      <c r="I51" s="46">
        <f>G51+'21'!I51</f>
        <v>5363.5499999999993</v>
      </c>
      <c r="J51" s="46">
        <f>Clinker!AI24</f>
        <v>161</v>
      </c>
      <c r="K51" s="46">
        <f>J51+'21'!K51</f>
        <v>3214</v>
      </c>
      <c r="L51" s="46">
        <f>J51+'21'!L51</f>
        <v>10039</v>
      </c>
      <c r="M51" s="45">
        <f>F51+G51-J51-J20</f>
        <v>4057.2699999999932</v>
      </c>
      <c r="N51" s="46">
        <v>60</v>
      </c>
      <c r="O51" s="46">
        <v>1500</v>
      </c>
      <c r="P51" s="46">
        <v>3000</v>
      </c>
      <c r="Q51" s="56">
        <f>SUM(M51+N51)-O51</f>
        <v>2617.2699999999932</v>
      </c>
    </row>
    <row r="52" spans="2:17" x14ac:dyDescent="0.25">
      <c r="B52" s="288"/>
      <c r="C52" s="281" t="s">
        <v>156</v>
      </c>
      <c r="D52" s="282"/>
      <c r="E52" s="283"/>
      <c r="F52" s="46">
        <f>Clinker!AB24</f>
        <v>0</v>
      </c>
      <c r="G52" s="46">
        <f>Clinker!AC24</f>
        <v>0</v>
      </c>
      <c r="H52" s="46">
        <f>G52+'21'!H52</f>
        <v>0</v>
      </c>
      <c r="I52" s="46">
        <f>G52+'21'!I52</f>
        <v>0</v>
      </c>
      <c r="J52" s="46">
        <f>Clinker!AD24</f>
        <v>0</v>
      </c>
      <c r="K52" s="46">
        <f>J52+'21'!K52</f>
        <v>0</v>
      </c>
      <c r="L52" s="46">
        <f>J52+'21'!L52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88"/>
      <c r="C53" s="281" t="s">
        <v>146</v>
      </c>
      <c r="D53" s="282"/>
      <c r="E53" s="283"/>
      <c r="F53" s="46">
        <f t="shared" ref="F53:Q53" si="1">SUM(F29:F52)</f>
        <v>3888.0699999999933</v>
      </c>
      <c r="G53" s="46">
        <f t="shared" si="1"/>
        <v>330.25</v>
      </c>
      <c r="H53" s="46">
        <f t="shared" si="1"/>
        <v>3222.6000000000004</v>
      </c>
      <c r="I53" s="46">
        <f t="shared" si="1"/>
        <v>5363.5499999999993</v>
      </c>
      <c r="J53" s="46">
        <f t="shared" si="1"/>
        <v>161</v>
      </c>
      <c r="K53" s="46">
        <f t="shared" si="1"/>
        <v>3214</v>
      </c>
      <c r="L53" s="46">
        <f t="shared" si="1"/>
        <v>11386</v>
      </c>
      <c r="M53" s="46">
        <f t="shared" si="1"/>
        <v>4057.3199999999933</v>
      </c>
      <c r="N53" s="46">
        <f>SUM(N29:N52)</f>
        <v>60</v>
      </c>
      <c r="O53" s="46">
        <f>SUM(O29:O52)</f>
        <v>3000</v>
      </c>
      <c r="P53" s="46">
        <f>SUM(P29:P52)</f>
        <v>6000</v>
      </c>
      <c r="Q53" s="46">
        <f t="shared" si="1"/>
        <v>2617.2699999999932</v>
      </c>
    </row>
    <row r="54" spans="2:17" x14ac:dyDescent="0.25">
      <c r="B54" s="289"/>
      <c r="C54" s="284" t="s">
        <v>157</v>
      </c>
      <c r="D54" s="285"/>
      <c r="E54" s="286"/>
      <c r="F54" s="59">
        <f t="shared" ref="F54:M54" si="2">SUM(F27+F53)</f>
        <v>6023.7569999999832</v>
      </c>
      <c r="G54" s="59">
        <f t="shared" si="2"/>
        <v>1340.0700000000002</v>
      </c>
      <c r="H54" s="59">
        <f t="shared" si="2"/>
        <v>7045.1400000000012</v>
      </c>
      <c r="I54" s="59">
        <f t="shared" si="2"/>
        <v>9991.3299999999981</v>
      </c>
      <c r="J54" s="59">
        <f t="shared" si="2"/>
        <v>330</v>
      </c>
      <c r="K54" s="59">
        <f t="shared" si="2"/>
        <v>8688.11</v>
      </c>
      <c r="L54" s="59">
        <f t="shared" si="2"/>
        <v>31577.420000000002</v>
      </c>
      <c r="M54" s="59">
        <f t="shared" si="2"/>
        <v>7033.8269999999839</v>
      </c>
      <c r="N54" s="59">
        <f>SUM(N27+N53)</f>
        <v>215.32</v>
      </c>
      <c r="O54" s="59">
        <f>SUM(O27+O53)</f>
        <v>13000</v>
      </c>
      <c r="P54" s="59">
        <f>SUM(P27+P53)</f>
        <v>24000</v>
      </c>
      <c r="Q54" s="59">
        <f>SUM(Q27+Q53)</f>
        <v>2617.3099999999913</v>
      </c>
    </row>
    <row r="55" spans="2:17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7" x14ac:dyDescent="0.25">
      <c r="B56" s="288"/>
      <c r="C56" s="281" t="s">
        <v>159</v>
      </c>
      <c r="D56" s="282"/>
      <c r="E56" s="283"/>
      <c r="F56" s="46">
        <f>'Packing bag '!C24</f>
        <v>2357472</v>
      </c>
      <c r="G56" s="46">
        <f>'Packing bag '!D24</f>
        <v>195000</v>
      </c>
      <c r="H56" s="46">
        <f>G56+'21'!H56</f>
        <v>711000</v>
      </c>
      <c r="I56" s="46">
        <f>G56+'21'!I56</f>
        <v>3863500</v>
      </c>
      <c r="J56" s="46">
        <f>'Packing bag '!E24</f>
        <v>12865</v>
      </c>
      <c r="K56" s="46">
        <f>J56+'21'!K56</f>
        <v>798628</v>
      </c>
      <c r="L56" s="46">
        <f>J56+'21'!L56</f>
        <v>2375462</v>
      </c>
      <c r="M56" s="46">
        <f>F56+G56-J56</f>
        <v>2539607</v>
      </c>
      <c r="N56" s="46"/>
      <c r="O56" s="46">
        <v>400000</v>
      </c>
      <c r="P56" s="46">
        <v>800000</v>
      </c>
      <c r="Q56" s="56">
        <f>SUM(M56+N56)-O56</f>
        <v>2139607</v>
      </c>
    </row>
    <row r="57" spans="2:17" x14ac:dyDescent="0.25">
      <c r="B57" s="288"/>
      <c r="C57" s="281" t="s">
        <v>160</v>
      </c>
      <c r="D57" s="282"/>
      <c r="E57" s="283"/>
      <c r="F57" s="46">
        <f>'Packing bag '!G24</f>
        <v>603392</v>
      </c>
      <c r="G57" s="46">
        <f>'Packing bag '!H24</f>
        <v>0</v>
      </c>
      <c r="H57" s="46">
        <f>G57+'21'!H57</f>
        <v>40500</v>
      </c>
      <c r="I57" s="46">
        <f>G57+'21'!I57</f>
        <v>332000</v>
      </c>
      <c r="J57" s="46">
        <f>'Packing bag '!I24</f>
        <v>0</v>
      </c>
      <c r="K57" s="46">
        <f>J57+'21'!K57</f>
        <v>39269</v>
      </c>
      <c r="L57" s="46">
        <f>J57+'21'!L57</f>
        <v>128890</v>
      </c>
      <c r="M57" s="46">
        <f>F57+G57-J57</f>
        <v>603392</v>
      </c>
      <c r="N57" s="46"/>
      <c r="O57" s="46">
        <v>100000</v>
      </c>
      <c r="P57" s="46">
        <v>250000</v>
      </c>
      <c r="Q57" s="56">
        <f>SUM(M57+N57)-O57</f>
        <v>503392</v>
      </c>
    </row>
    <row r="58" spans="2:17" x14ac:dyDescent="0.25">
      <c r="B58" s="288"/>
      <c r="C58" s="281" t="s">
        <v>161</v>
      </c>
      <c r="D58" s="282"/>
      <c r="E58" s="283"/>
      <c r="F58" s="46">
        <f>'Packing bag '!K24</f>
        <v>481051</v>
      </c>
      <c r="G58" s="46">
        <f>'Packing bag '!L24</f>
        <v>0</v>
      </c>
      <c r="H58" s="46">
        <f>G58+'21'!H58</f>
        <v>0</v>
      </c>
      <c r="I58" s="46">
        <f>G58+'21'!I58</f>
        <v>295000</v>
      </c>
      <c r="J58" s="46">
        <f>'Packing bag '!M24</f>
        <v>1815</v>
      </c>
      <c r="K58" s="46">
        <f>J58+'21'!K58</f>
        <v>49527</v>
      </c>
      <c r="L58" s="46">
        <f>J58+'21'!L58</f>
        <v>221819</v>
      </c>
      <c r="M58" s="46">
        <f>F58+G58-J58</f>
        <v>479236</v>
      </c>
      <c r="N58" s="46"/>
      <c r="O58" s="46">
        <v>50000</v>
      </c>
      <c r="P58" s="46">
        <v>150000</v>
      </c>
      <c r="Q58" s="56">
        <f>SUM(M58+N58)-O58</f>
        <v>429236</v>
      </c>
    </row>
    <row r="59" spans="2:17" x14ac:dyDescent="0.25">
      <c r="B59" s="288"/>
      <c r="C59" s="281" t="s">
        <v>162</v>
      </c>
      <c r="D59" s="282"/>
      <c r="E59" s="283"/>
      <c r="F59" s="46">
        <f>'Packing bag '!O24</f>
        <v>149688</v>
      </c>
      <c r="G59" s="46">
        <f>'Packing bag '!P24</f>
        <v>0</v>
      </c>
      <c r="H59" s="46">
        <f>G59+'21'!H59</f>
        <v>85612</v>
      </c>
      <c r="I59" s="46">
        <f>G59+'21'!I59</f>
        <v>85000</v>
      </c>
      <c r="J59" s="46">
        <f>'Packing bag '!Q24</f>
        <v>0</v>
      </c>
      <c r="K59" s="46">
        <f>J59+'21'!K59</f>
        <v>4244</v>
      </c>
      <c r="L59" s="46">
        <f>J59+'21'!L59</f>
        <v>19013</v>
      </c>
      <c r="M59" s="46">
        <f>F59+G59-J59</f>
        <v>149688</v>
      </c>
      <c r="N59" s="46"/>
      <c r="O59" s="46"/>
      <c r="P59" s="46"/>
      <c r="Q59" s="56"/>
    </row>
    <row r="60" spans="2:17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G60+'21'!H60</f>
        <v>0</v>
      </c>
      <c r="I60" s="46">
        <f>G60+'21'!I60</f>
        <v>0</v>
      </c>
      <c r="J60" s="46">
        <v>0</v>
      </c>
      <c r="K60" s="46">
        <f>J60+'21'!K60</f>
        <v>0</v>
      </c>
      <c r="L60" s="46">
        <f>J60+'21'!L60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G61+'20'!H61</f>
        <v>0</v>
      </c>
      <c r="I61" s="46">
        <f>G61+'20'!I61</f>
        <v>0</v>
      </c>
      <c r="J61" s="46">
        <v>0</v>
      </c>
      <c r="K61" s="46">
        <v>0</v>
      </c>
      <c r="L61" s="46"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89"/>
      <c r="C62" s="284" t="s">
        <v>165</v>
      </c>
      <c r="D62" s="285"/>
      <c r="E62" s="286"/>
      <c r="F62" s="59">
        <f>SUM(F56:F61)</f>
        <v>3591603</v>
      </c>
      <c r="G62" s="59">
        <f t="shared" ref="G62:Q62" si="3">SUM(G56:G61)</f>
        <v>195000</v>
      </c>
      <c r="H62" s="59">
        <f t="shared" si="3"/>
        <v>837112</v>
      </c>
      <c r="I62" s="59">
        <f t="shared" si="3"/>
        <v>4575500</v>
      </c>
      <c r="J62" s="59">
        <f t="shared" si="3"/>
        <v>14680</v>
      </c>
      <c r="K62" s="59">
        <f t="shared" si="3"/>
        <v>891668</v>
      </c>
      <c r="L62" s="59">
        <f t="shared" si="3"/>
        <v>2745184</v>
      </c>
      <c r="M62" s="59">
        <f t="shared" si="3"/>
        <v>3771923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3070735</v>
      </c>
    </row>
    <row r="63" spans="2:17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7" x14ac:dyDescent="0.25">
      <c r="B64" s="288"/>
      <c r="C64" s="281" t="s">
        <v>48</v>
      </c>
      <c r="D64" s="282"/>
      <c r="E64" s="283"/>
      <c r="F64" s="46">
        <f>Cement!G24</f>
        <v>0</v>
      </c>
      <c r="G64" s="46">
        <f>Cement!H24</f>
        <v>0</v>
      </c>
      <c r="H64" s="46">
        <f>G64+'21'!H64</f>
        <v>0</v>
      </c>
      <c r="I64" s="46">
        <f>G64+'21'!I64</f>
        <v>0</v>
      </c>
      <c r="J64" s="46">
        <v>0</v>
      </c>
      <c r="K64" s="46">
        <v>0</v>
      </c>
      <c r="L64" s="46">
        <v>0</v>
      </c>
      <c r="M64" s="46"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Cement!K24</f>
        <v>0</v>
      </c>
      <c r="G65" s="46">
        <f>Cement!L23</f>
        <v>0</v>
      </c>
      <c r="H65" s="46">
        <f>G65+'21'!H65</f>
        <v>0</v>
      </c>
      <c r="I65" s="46">
        <f>G65+'21'!I65</f>
        <v>0</v>
      </c>
      <c r="J65" s="46">
        <v>0</v>
      </c>
      <c r="K65" s="46">
        <v>0</v>
      </c>
      <c r="L65" s="46">
        <v>0</v>
      </c>
      <c r="M65" s="46"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 t="shared" ref="G66:J66" si="4">SUM(G64:G65)</f>
        <v>0</v>
      </c>
      <c r="H66" s="59">
        <f t="shared" si="4"/>
        <v>0</v>
      </c>
      <c r="I66" s="59">
        <f t="shared" si="4"/>
        <v>0</v>
      </c>
      <c r="J66" s="59">
        <f t="shared" si="4"/>
        <v>0</v>
      </c>
      <c r="K66" s="59">
        <f>SUM(K64:K65)</f>
        <v>0</v>
      </c>
      <c r="L66" s="59">
        <f>SUM(L64:L65)</f>
        <v>0</v>
      </c>
      <c r="M66" s="59">
        <f>SUM(M64:M65)</f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Diesel!B24</f>
        <v>24060</v>
      </c>
      <c r="G68" s="46">
        <f>Diesel!C24</f>
        <v>33000</v>
      </c>
      <c r="H68" s="46">
        <f>G68+'21'!H68</f>
        <v>65000</v>
      </c>
      <c r="I68" s="46">
        <f>G68+'21'!I68</f>
        <v>155000</v>
      </c>
      <c r="J68" s="46">
        <v>0</v>
      </c>
      <c r="K68" s="46">
        <f>J68+'21'!K68</f>
        <v>0</v>
      </c>
      <c r="L68" s="46">
        <f>J68+'21'!L68</f>
        <v>0</v>
      </c>
      <c r="M68" s="46">
        <f>F68+G68-J68-J76</f>
        <v>56059</v>
      </c>
      <c r="N68" s="46"/>
      <c r="O68" s="46">
        <v>30000</v>
      </c>
      <c r="P68" s="46">
        <v>60000</v>
      </c>
      <c r="Q68" s="56">
        <f>SUM(M68+N68)-O68</f>
        <v>26059</v>
      </c>
    </row>
    <row r="69" spans="2:17" x14ac:dyDescent="0.25">
      <c r="B69" s="297"/>
      <c r="C69" s="281" t="s">
        <v>171</v>
      </c>
      <c r="D69" s="282"/>
      <c r="E69" s="283"/>
      <c r="F69" s="46">
        <f>Diesel!Y24</f>
        <v>0</v>
      </c>
      <c r="G69" s="46">
        <f>Diesel!Z24</f>
        <v>0</v>
      </c>
      <c r="H69" s="46">
        <f>G69+'21'!H69</f>
        <v>0</v>
      </c>
      <c r="I69" s="46">
        <f>G69+'21'!I69</f>
        <v>0</v>
      </c>
      <c r="J69" s="46">
        <f>Diesel!AA24</f>
        <v>0</v>
      </c>
      <c r="K69" s="46">
        <f>J69+'21'!K69</f>
        <v>0</v>
      </c>
      <c r="L69" s="46">
        <f>J69+'21'!L69</f>
        <v>15000</v>
      </c>
      <c r="M69" s="46">
        <f t="shared" ref="M69:M75" si="5"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G70+'20'!H70</f>
        <v>0</v>
      </c>
      <c r="I70" s="46">
        <f>G70+'21'!I70</f>
        <v>0</v>
      </c>
      <c r="J70" s="46">
        <f>Diesel!P24</f>
        <v>0</v>
      </c>
      <c r="K70" s="46">
        <f>J70+'21'!K70</f>
        <v>105</v>
      </c>
      <c r="L70" s="46">
        <f>J70+'21'!L70</f>
        <v>708</v>
      </c>
      <c r="M70" s="46">
        <f t="shared" si="5"/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G71+'20'!H71</f>
        <v>0</v>
      </c>
      <c r="I71" s="46">
        <f>G71+'21'!I71</f>
        <v>0</v>
      </c>
      <c r="J71" s="46">
        <f>Diesel!Q24</f>
        <v>0</v>
      </c>
      <c r="K71" s="46">
        <f>J71+'21'!K71</f>
        <v>19901</v>
      </c>
      <c r="L71" s="46">
        <f>J71+'21'!L71</f>
        <v>74536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G72+'20'!H72</f>
        <v>0</v>
      </c>
      <c r="I72" s="46">
        <f>G72+'21'!I72</f>
        <v>0</v>
      </c>
      <c r="J72" s="46">
        <f>Diesel!R24</f>
        <v>1001</v>
      </c>
      <c r="K72" s="46">
        <f>J72+'21'!K72</f>
        <v>15080</v>
      </c>
      <c r="L72" s="46">
        <f>J72+'21'!L72</f>
        <v>57788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G73+'20'!H73</f>
        <v>0</v>
      </c>
      <c r="I73" s="46">
        <f>G73+'21'!I73</f>
        <v>0</v>
      </c>
      <c r="J73" s="46">
        <f>Diesel!S24</f>
        <v>0</v>
      </c>
      <c r="K73" s="46">
        <f>J73+'21'!K73</f>
        <v>0</v>
      </c>
      <c r="L73" s="46">
        <f>J73+'21'!L73</f>
        <v>0</v>
      </c>
      <c r="M73" s="46">
        <f t="shared" si="5"/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G74+'20'!H74</f>
        <v>0</v>
      </c>
      <c r="I74" s="46">
        <f>G74+'21'!I74</f>
        <v>0</v>
      </c>
      <c r="J74" s="46">
        <f>Diesel!T24</f>
        <v>0</v>
      </c>
      <c r="K74" s="46">
        <f>J74+'21'!K74</f>
        <v>0</v>
      </c>
      <c r="L74" s="46">
        <f>J74+'21'!L74</f>
        <v>0</v>
      </c>
      <c r="M74" s="46">
        <f t="shared" si="5"/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G75+'20'!H75</f>
        <v>0</v>
      </c>
      <c r="I75" s="46">
        <f>G75+'20'!I75</f>
        <v>0</v>
      </c>
      <c r="J75" s="61">
        <f>Diesel!U24</f>
        <v>0</v>
      </c>
      <c r="K75" s="46">
        <f>J75+'21'!K75</f>
        <v>0</v>
      </c>
      <c r="L75" s="46">
        <f>J75+'21'!L75</f>
        <v>0</v>
      </c>
      <c r="M75" s="46">
        <f t="shared" si="5"/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24060</v>
      </c>
      <c r="G76" s="62">
        <f t="shared" ref="G76:M76" si="6">SUM(G68:G75)</f>
        <v>33000</v>
      </c>
      <c r="H76" s="62">
        <f t="shared" si="6"/>
        <v>65000</v>
      </c>
      <c r="I76" s="62">
        <f t="shared" si="6"/>
        <v>155000</v>
      </c>
      <c r="J76" s="62">
        <f t="shared" si="6"/>
        <v>1001</v>
      </c>
      <c r="K76" s="62">
        <f t="shared" si="6"/>
        <v>35086</v>
      </c>
      <c r="L76" s="62">
        <f t="shared" si="6"/>
        <v>148032</v>
      </c>
      <c r="M76" s="62">
        <f t="shared" si="6"/>
        <v>56059</v>
      </c>
      <c r="N76" s="63"/>
      <c r="O76" s="64"/>
      <c r="P76" s="62"/>
      <c r="Q76" s="65"/>
    </row>
  </sheetData>
  <mergeCells count="70">
    <mergeCell ref="C47:D47"/>
    <mergeCell ref="C38:D38"/>
    <mergeCell ref="C40:E40"/>
    <mergeCell ref="C50:D50"/>
    <mergeCell ref="C76:E76"/>
    <mergeCell ref="C59:E59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66:E66"/>
    <mergeCell ref="C51:E51"/>
    <mergeCell ref="C52:E52"/>
    <mergeCell ref="C53:E53"/>
    <mergeCell ref="C54:E54"/>
    <mergeCell ref="C55:Q55"/>
    <mergeCell ref="C56:E56"/>
    <mergeCell ref="C57:E57"/>
    <mergeCell ref="C58:E58"/>
    <mergeCell ref="C60:E60"/>
    <mergeCell ref="C64:E64"/>
    <mergeCell ref="C65:E65"/>
    <mergeCell ref="C7:E7"/>
    <mergeCell ref="B9:B54"/>
    <mergeCell ref="C61:E61"/>
    <mergeCell ref="B55:B62"/>
    <mergeCell ref="C15:D15"/>
    <mergeCell ref="C62:E62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C12:E12"/>
    <mergeCell ref="C13:D13"/>
    <mergeCell ref="C35:E35"/>
    <mergeCell ref="C37:D37"/>
    <mergeCell ref="C36:D36"/>
    <mergeCell ref="C17:E17"/>
    <mergeCell ref="C18:E18"/>
    <mergeCell ref="C20:D20"/>
    <mergeCell ref="C14:D14"/>
    <mergeCell ref="C34:E34"/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</mergeCells>
  <pageMargins left="0.7" right="0.7" top="0.75" bottom="0.75" header="0.3" footer="0.3"/>
  <pageSetup paperSize="9" scale="60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B1:S76"/>
  <sheetViews>
    <sheetView zoomScale="90" zoomScaleNormal="90" workbookViewId="0">
      <pane xSplit="4" ySplit="1" topLeftCell="E55" activePane="bottomRight" state="frozen"/>
      <selection pane="topRight" activeCell="E1" sqref="E1"/>
      <selection pane="bottomLeft" activeCell="A6" sqref="A6"/>
      <selection pane="bottomRight" activeCell="J69" sqref="J69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9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5" t="s">
        <v>231</v>
      </c>
      <c r="Q3" s="316"/>
    </row>
    <row r="4" spans="2:19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9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9" x14ac:dyDescent="0.25">
      <c r="B6" s="54">
        <v>1</v>
      </c>
      <c r="C6" s="308" t="s">
        <v>135</v>
      </c>
      <c r="D6" s="309"/>
      <c r="E6" s="310"/>
      <c r="F6" s="45">
        <f>Clinker!C25</f>
        <v>1255.6400000000001</v>
      </c>
      <c r="G6" s="45">
        <f>Clinker!D25</f>
        <v>0</v>
      </c>
      <c r="H6" s="45">
        <f>G6+'22'!H6</f>
        <v>29.72</v>
      </c>
      <c r="I6" s="45">
        <f>G6+'22'!I6</f>
        <v>447</v>
      </c>
      <c r="J6" s="45">
        <f>Clinker!E25</f>
        <v>0</v>
      </c>
      <c r="K6" s="45">
        <f>J6+'22'!K6</f>
        <v>1422</v>
      </c>
      <c r="L6" s="45">
        <f>J6+'22'!L6</f>
        <v>4557</v>
      </c>
      <c r="M6" s="45">
        <f>F6+G6-J6</f>
        <v>1255.6400000000001</v>
      </c>
      <c r="N6" s="45">
        <v>30.9</v>
      </c>
      <c r="O6" s="45">
        <v>3000</v>
      </c>
      <c r="P6" s="45">
        <v>6000</v>
      </c>
      <c r="Q6" s="55">
        <f>SUM(M6+N6)-O6</f>
        <v>-1713.4599999999998</v>
      </c>
      <c r="R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Cement!C25</f>
        <v>2873.2020573469636</v>
      </c>
      <c r="G7" s="46">
        <f>Cement!D25</f>
        <v>269</v>
      </c>
      <c r="H7" s="45">
        <f>G7+'22'!H7</f>
        <v>1879.76</v>
      </c>
      <c r="I7" s="45">
        <f>G7+'22'!I7</f>
        <v>4006.3799999999992</v>
      </c>
      <c r="J7" s="46">
        <f>Cement!I25</f>
        <v>148.17894737389474</v>
      </c>
      <c r="K7" s="45">
        <f>J7+'22'!K7</f>
        <v>3094.0427481831075</v>
      </c>
      <c r="L7" s="45">
        <f>J7+'22'!L7</f>
        <v>8320.2727385106082</v>
      </c>
      <c r="M7" s="45">
        <f>F7+G7-J7</f>
        <v>2994.023109973069</v>
      </c>
      <c r="N7" s="46">
        <v>270.60000000000002</v>
      </c>
      <c r="O7" s="46">
        <v>3000</v>
      </c>
      <c r="P7" s="46">
        <v>6000</v>
      </c>
      <c r="Q7" s="56">
        <f>SUM(M7+N7)-O7</f>
        <v>264.62310997306895</v>
      </c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Clinker!EI25</f>
        <v>18931.299566468144</v>
      </c>
      <c r="G8" s="46">
        <f>Clinker!EJ25</f>
        <v>75</v>
      </c>
      <c r="H8" s="45">
        <f>G8+'22'!H8</f>
        <v>31757</v>
      </c>
      <c r="I8" s="45">
        <f>G8+'22'!I8</f>
        <v>130673.66</v>
      </c>
      <c r="J8" s="46">
        <f>Clinker!EK25</f>
        <v>2314.6789999956709</v>
      </c>
      <c r="K8" s="45">
        <f>J8+'22'!K8</f>
        <v>46317.281521334487</v>
      </c>
      <c r="L8" s="45">
        <f>J8+'22'!L8</f>
        <v>126113.12854115441</v>
      </c>
      <c r="M8" s="45">
        <f>F8+G8-J8</f>
        <v>16691.620566472473</v>
      </c>
      <c r="N8" s="46">
        <v>0</v>
      </c>
      <c r="O8" s="46"/>
      <c r="P8" s="46"/>
      <c r="Q8" s="56"/>
      <c r="S8" s="90"/>
    </row>
    <row r="9" spans="2:19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88"/>
      <c r="C10" s="281" t="s">
        <v>138</v>
      </c>
      <c r="D10" s="282"/>
      <c r="E10" s="283"/>
      <c r="F10" s="46">
        <f>Clinker!K25</f>
        <v>0</v>
      </c>
      <c r="G10" s="46">
        <f>Clinker!L25</f>
        <v>0</v>
      </c>
      <c r="H10" s="46">
        <f>G10+'22'!H10</f>
        <v>0</v>
      </c>
      <c r="I10" s="46">
        <f>G10+'22'!I10</f>
        <v>0</v>
      </c>
      <c r="J10" s="46">
        <f>Clinker!N25</f>
        <v>0</v>
      </c>
      <c r="K10" s="46">
        <f>J10+'22'!K10</f>
        <v>0</v>
      </c>
      <c r="L10" s="46">
        <f>J10+'22'!L10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88"/>
      <c r="C11" s="281" t="s">
        <v>139</v>
      </c>
      <c r="D11" s="282"/>
      <c r="E11" s="283"/>
      <c r="F11" s="46">
        <f>Clinker!W25</f>
        <v>3.9999999998087787E-2</v>
      </c>
      <c r="G11" s="46">
        <f>Clinker!X25</f>
        <v>0</v>
      </c>
      <c r="H11" s="46">
        <f>G11+'22'!H11</f>
        <v>0</v>
      </c>
      <c r="I11" s="46">
        <f>G11+'22'!I11</f>
        <v>0</v>
      </c>
      <c r="J11" s="46">
        <f>Clinker!Z25</f>
        <v>0</v>
      </c>
      <c r="K11" s="46">
        <f>J11+'22'!K11</f>
        <v>1063</v>
      </c>
      <c r="L11" s="46">
        <f>J11+'22'!L11</f>
        <v>8686.84</v>
      </c>
      <c r="M11" s="45">
        <f>F11+G11-J11-J34</f>
        <v>3.9999999998087787E-2</v>
      </c>
      <c r="N11" s="46">
        <v>0</v>
      </c>
      <c r="O11" s="46"/>
      <c r="P11" s="46"/>
      <c r="Q11" s="56">
        <f>SUM(M11+N11)-O11</f>
        <v>3.9999999998087787E-2</v>
      </c>
    </row>
    <row r="12" spans="2:19" ht="15" customHeight="1" x14ac:dyDescent="0.25">
      <c r="B12" s="288"/>
      <c r="C12" s="281" t="s">
        <v>140</v>
      </c>
      <c r="D12" s="282"/>
      <c r="E12" s="283"/>
      <c r="F12" s="46">
        <f>Clinker!AT25</f>
        <v>1.0000000002058584E-2</v>
      </c>
      <c r="G12" s="46">
        <f>Clinker!AU25</f>
        <v>0</v>
      </c>
      <c r="H12" s="46">
        <f>G12+'22'!H12</f>
        <v>0</v>
      </c>
      <c r="I12" s="46">
        <f>G12+'22'!I12</f>
        <v>181.5</v>
      </c>
      <c r="J12" s="46">
        <f>Clinker!AV25</f>
        <v>0</v>
      </c>
      <c r="K12" s="46">
        <f>J12+'22'!K12</f>
        <v>2933.89</v>
      </c>
      <c r="L12" s="46">
        <f>J12+'22'!L12</f>
        <v>5675.5900000000011</v>
      </c>
      <c r="M12" s="45">
        <f>F12+G12-J12-J37</f>
        <v>1.0000000002058584E-2</v>
      </c>
      <c r="N12" s="46">
        <v>0</v>
      </c>
      <c r="O12" s="46"/>
      <c r="P12" s="46"/>
      <c r="Q12" s="70"/>
    </row>
    <row r="13" spans="2:19" x14ac:dyDescent="0.25">
      <c r="B13" s="288"/>
      <c r="C13" s="281" t="s">
        <v>9</v>
      </c>
      <c r="D13" s="282"/>
      <c r="E13" s="69"/>
      <c r="F13" s="46">
        <f>Clinker!AO25</f>
        <v>0</v>
      </c>
      <c r="G13" s="46">
        <f>Clinker!AP25</f>
        <v>0</v>
      </c>
      <c r="H13" s="46">
        <f>G13+'22'!H13</f>
        <v>0</v>
      </c>
      <c r="I13" s="46">
        <f>G13+'22'!I13</f>
        <v>0</v>
      </c>
      <c r="J13" s="46">
        <f>Clinker!AQ25</f>
        <v>0</v>
      </c>
      <c r="K13" s="46">
        <f>J13+'22'!K13</f>
        <v>0</v>
      </c>
      <c r="L13" s="46">
        <f>J13+'22'!L13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88"/>
      <c r="C14" s="281" t="s">
        <v>8</v>
      </c>
      <c r="D14" s="282"/>
      <c r="E14" s="69"/>
      <c r="F14" s="46">
        <f>Clinker!AK25</f>
        <v>0</v>
      </c>
      <c r="G14" s="46">
        <f>Clinker!AL25</f>
        <v>0</v>
      </c>
      <c r="H14" s="46">
        <f>G14+'22'!H14</f>
        <v>0</v>
      </c>
      <c r="I14" s="46">
        <f>G14+'22'!I14</f>
        <v>0</v>
      </c>
      <c r="J14" s="46">
        <f>Clinker!AM25</f>
        <v>0</v>
      </c>
      <c r="K14" s="46">
        <f>J14+'22'!K14</f>
        <v>0</v>
      </c>
      <c r="L14" s="46">
        <f>J14+'22'!L14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88"/>
      <c r="C15" s="281" t="s">
        <v>11</v>
      </c>
      <c r="D15" s="282"/>
      <c r="E15" s="69"/>
      <c r="F15" s="46">
        <f>Clinker!AY25</f>
        <v>2672.4469999999901</v>
      </c>
      <c r="G15" s="46">
        <f>Clinker!AZ25</f>
        <v>155.32</v>
      </c>
      <c r="H15" s="46">
        <f>G15+'22'!H15</f>
        <v>3885.8600000000006</v>
      </c>
      <c r="I15" s="46">
        <f>G15+'22'!I15</f>
        <v>4297.5999999999995</v>
      </c>
      <c r="J15" s="46">
        <f>Clinker!BA25</f>
        <v>14</v>
      </c>
      <c r="K15" s="46">
        <f>J15+'22'!K15</f>
        <v>1484.12</v>
      </c>
      <c r="L15" s="46">
        <f>J15+'22'!L15</f>
        <v>1484.12</v>
      </c>
      <c r="M15" s="45">
        <f>F15+G15-J15-J38</f>
        <v>2813.7669999999903</v>
      </c>
      <c r="N15" s="46">
        <v>243.06</v>
      </c>
      <c r="O15" s="46">
        <v>5000</v>
      </c>
      <c r="P15" s="46">
        <v>9000</v>
      </c>
      <c r="Q15" s="70"/>
    </row>
    <row r="16" spans="2:19" x14ac:dyDescent="0.25">
      <c r="B16" s="288"/>
      <c r="C16" s="76" t="s">
        <v>141</v>
      </c>
      <c r="D16" s="77"/>
      <c r="E16" s="69"/>
      <c r="F16" s="46">
        <f>Clinker!BD25</f>
        <v>0</v>
      </c>
      <c r="G16" s="46">
        <f>Clinker!BE25</f>
        <v>0</v>
      </c>
      <c r="H16" s="46">
        <f>G16+'22'!H16</f>
        <v>0</v>
      </c>
      <c r="I16" s="46">
        <f>G16+'22'!I16</f>
        <v>0</v>
      </c>
      <c r="J16" s="46">
        <f>Clinker!BF25</f>
        <v>0</v>
      </c>
      <c r="K16" s="46">
        <f>J16+'22'!K16</f>
        <v>0</v>
      </c>
      <c r="L16" s="46">
        <f>J16+'22'!L16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9" ht="14.25" customHeight="1" x14ac:dyDescent="0.25">
      <c r="B17" s="288"/>
      <c r="C17" s="281" t="s">
        <v>13</v>
      </c>
      <c r="D17" s="282"/>
      <c r="E17" s="283"/>
      <c r="F17" s="46">
        <f>Clinker!BI25</f>
        <v>0</v>
      </c>
      <c r="G17" s="46">
        <f>Clinker!BJ25</f>
        <v>0</v>
      </c>
      <c r="H17" s="46">
        <f>G17+'22'!H17</f>
        <v>0</v>
      </c>
      <c r="I17" s="46">
        <f>G17+'22'!I17</f>
        <v>0</v>
      </c>
      <c r="J17" s="46">
        <f>Clinker!BK25</f>
        <v>0</v>
      </c>
      <c r="K17" s="46">
        <f>J17+'22'!K17</f>
        <v>0</v>
      </c>
      <c r="L17" s="46">
        <f>J17+'22'!L17</f>
        <v>0</v>
      </c>
      <c r="M17" s="45">
        <f>F17+G17-J17</f>
        <v>0</v>
      </c>
      <c r="N17" s="46">
        <v>0</v>
      </c>
      <c r="O17" s="46"/>
      <c r="P17" s="46"/>
      <c r="Q17" s="70"/>
      <c r="S17" s="90"/>
    </row>
    <row r="18" spans="2:19" ht="14.25" customHeight="1" x14ac:dyDescent="0.25">
      <c r="B18" s="288"/>
      <c r="C18" s="281" t="s">
        <v>14</v>
      </c>
      <c r="D18" s="282"/>
      <c r="E18" s="283"/>
      <c r="F18" s="46">
        <f>Clinker!BN25</f>
        <v>0</v>
      </c>
      <c r="G18" s="46">
        <f>Clinker!BO25</f>
        <v>0</v>
      </c>
      <c r="H18" s="46">
        <f>G18+'22'!H18</f>
        <v>0</v>
      </c>
      <c r="I18" s="46">
        <f>G18+'22'!I18</f>
        <v>0</v>
      </c>
      <c r="J18" s="46">
        <f>Clinker!BP25</f>
        <v>0</v>
      </c>
      <c r="K18" s="46">
        <f>J18+'22'!K18</f>
        <v>0</v>
      </c>
      <c r="L18" s="46">
        <f>J18+'22'!L18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9" ht="14.25" customHeight="1" x14ac:dyDescent="0.25">
      <c r="B19" s="288"/>
      <c r="C19" s="76" t="s">
        <v>142</v>
      </c>
      <c r="D19" s="77"/>
      <c r="E19" s="69"/>
      <c r="F19" s="46">
        <f>Clinker!BS25</f>
        <v>0</v>
      </c>
      <c r="G19" s="46">
        <f>Clinker!BT25</f>
        <v>0</v>
      </c>
      <c r="H19" s="46">
        <f>G19+'22'!H19</f>
        <v>0</v>
      </c>
      <c r="I19" s="46">
        <f>G19+'22'!I19</f>
        <v>0</v>
      </c>
      <c r="J19" s="46">
        <f>Clinker!BU25</f>
        <v>0</v>
      </c>
      <c r="K19" s="46">
        <f>J19+'22'!K19</f>
        <v>0</v>
      </c>
      <c r="L19" s="46">
        <f>J19+'22'!L19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9" ht="14.25" customHeight="1" x14ac:dyDescent="0.25">
      <c r="B20" s="288"/>
      <c r="C20" s="281" t="s">
        <v>155</v>
      </c>
      <c r="D20" s="282"/>
      <c r="E20" s="69"/>
      <c r="F20" s="46">
        <f>Clinker!BX25</f>
        <v>0</v>
      </c>
      <c r="G20" s="46">
        <f>Clinker!BY25</f>
        <v>0</v>
      </c>
      <c r="H20" s="46">
        <f>G20+'22'!H20</f>
        <v>0</v>
      </c>
      <c r="I20" s="46">
        <f>G20+'22'!I20</f>
        <v>0</v>
      </c>
      <c r="J20" s="46">
        <f>Clinker!AH25</f>
        <v>0</v>
      </c>
      <c r="K20" s="46">
        <f>J20+'22'!K20</f>
        <v>0</v>
      </c>
      <c r="L20" s="46">
        <f>J20+'22'!L20</f>
        <v>4052.88</v>
      </c>
      <c r="M20" s="45">
        <v>0</v>
      </c>
      <c r="N20" s="46">
        <v>0</v>
      </c>
      <c r="O20" s="46"/>
      <c r="P20" s="46"/>
      <c r="Q20" s="70"/>
    </row>
    <row r="21" spans="2:19" ht="14.25" customHeight="1" x14ac:dyDescent="0.25">
      <c r="B21" s="288"/>
      <c r="C21" s="76" t="s">
        <v>20</v>
      </c>
      <c r="D21" s="77"/>
      <c r="E21" s="69"/>
      <c r="F21" s="46">
        <f>Clinker!CR25</f>
        <v>0</v>
      </c>
      <c r="G21" s="46">
        <f>Clinker!CS25</f>
        <v>0</v>
      </c>
      <c r="H21" s="46">
        <f>G21+'22'!H21</f>
        <v>0</v>
      </c>
      <c r="I21" s="46">
        <f>G21+'22'!I21</f>
        <v>0</v>
      </c>
      <c r="J21" s="46">
        <f>Clinker!CT25</f>
        <v>0</v>
      </c>
      <c r="K21" s="46">
        <f>J21+'22'!K21</f>
        <v>0</v>
      </c>
      <c r="L21" s="46">
        <f>J21+'22'!L21</f>
        <v>0</v>
      </c>
      <c r="M21" s="45">
        <f>F21+G21-J43</f>
        <v>0</v>
      </c>
      <c r="N21" s="46">
        <v>0</v>
      </c>
      <c r="O21" s="46"/>
      <c r="P21" s="46"/>
      <c r="Q21" s="70"/>
    </row>
    <row r="22" spans="2:19" ht="14.25" customHeight="1" x14ac:dyDescent="0.25">
      <c r="B22" s="288"/>
      <c r="C22" s="76" t="s">
        <v>184</v>
      </c>
      <c r="D22" s="77"/>
      <c r="E22" s="69"/>
      <c r="F22" s="46">
        <f>Clinker!CW25</f>
        <v>0</v>
      </c>
      <c r="G22" s="46">
        <f>Clinker!CX25</f>
        <v>0</v>
      </c>
      <c r="H22" s="46">
        <f>G22+'22'!H22</f>
        <v>0</v>
      </c>
      <c r="I22" s="46">
        <f>G22+'22'!I22</f>
        <v>0</v>
      </c>
      <c r="J22" s="46">
        <f>Clinker!CY25</f>
        <v>0</v>
      </c>
      <c r="K22" s="46">
        <f>J22+'22'!K22</f>
        <v>0</v>
      </c>
      <c r="L22" s="46">
        <f>J22+'22'!L22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9" ht="14.25" customHeight="1" x14ac:dyDescent="0.25">
      <c r="B23" s="288"/>
      <c r="C23" s="76" t="s">
        <v>22</v>
      </c>
      <c r="D23" s="77"/>
      <c r="E23" s="69"/>
      <c r="F23" s="46">
        <f>Clinker!DB25</f>
        <v>1.0000000000013998E-2</v>
      </c>
      <c r="G23" s="46">
        <f>Clinker!DC25</f>
        <v>0</v>
      </c>
      <c r="H23" s="46">
        <f>G23+'22'!H23</f>
        <v>0</v>
      </c>
      <c r="I23" s="46">
        <f>G23+'22'!I23</f>
        <v>0</v>
      </c>
      <c r="J23" s="46">
        <f>Clinker!DD25</f>
        <v>0</v>
      </c>
      <c r="K23" s="46">
        <f>J23+'22'!K23</f>
        <v>7.1</v>
      </c>
      <c r="L23" s="46">
        <f>J23+'22'!L23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9" ht="14.25" customHeight="1" x14ac:dyDescent="0.25">
      <c r="B24" s="288"/>
      <c r="C24" s="76" t="s">
        <v>144</v>
      </c>
      <c r="D24" s="77"/>
      <c r="E24" s="69"/>
      <c r="F24" s="46">
        <f>Clinker!DG25</f>
        <v>0</v>
      </c>
      <c r="G24" s="46">
        <f>Clinker!DH25</f>
        <v>0</v>
      </c>
      <c r="H24" s="46">
        <f>G24+'22'!H24</f>
        <v>0</v>
      </c>
      <c r="I24" s="46">
        <f>G24+'22'!I24</f>
        <v>0</v>
      </c>
      <c r="J24" s="46">
        <f>Clinker!DI25</f>
        <v>0</v>
      </c>
      <c r="K24" s="46">
        <f>J24+'22'!K24</f>
        <v>0</v>
      </c>
      <c r="L24" s="46">
        <f>J24+'22'!L24</f>
        <v>0</v>
      </c>
      <c r="M24" s="45">
        <f>F24+G24-J24</f>
        <v>0</v>
      </c>
      <c r="N24" s="46">
        <v>0</v>
      </c>
      <c r="O24" s="46"/>
      <c r="P24" s="46"/>
      <c r="Q24" s="70"/>
    </row>
    <row r="25" spans="2:19" ht="14.25" customHeight="1" x14ac:dyDescent="0.25">
      <c r="B25" s="288"/>
      <c r="C25" s="76" t="s">
        <v>145</v>
      </c>
      <c r="D25" s="77"/>
      <c r="E25" s="69"/>
      <c r="F25" s="46">
        <f>Clinker!DL25</f>
        <v>304</v>
      </c>
      <c r="G25" s="46">
        <f>Clinker!DM25</f>
        <v>0</v>
      </c>
      <c r="H25" s="46">
        <f>G25+'22'!H25</f>
        <v>92</v>
      </c>
      <c r="I25" s="46">
        <f>G25+'22'!I25</f>
        <v>304</v>
      </c>
      <c r="J25" s="46">
        <f>Clinker!DN25</f>
        <v>0</v>
      </c>
      <c r="K25" s="46">
        <f>J25+'22'!K25</f>
        <v>0</v>
      </c>
      <c r="L25" s="46">
        <f>J25+'22'!L25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9" ht="14.25" customHeight="1" x14ac:dyDescent="0.25">
      <c r="B26" s="288"/>
      <c r="C26" s="76" t="s">
        <v>26</v>
      </c>
      <c r="D26" s="77"/>
      <c r="E26" s="69"/>
      <c r="F26" s="46">
        <f>Clinker!DV25</f>
        <v>0</v>
      </c>
      <c r="G26" s="46">
        <f>Clinker!DW25</f>
        <v>0</v>
      </c>
      <c r="H26" s="46">
        <f>G26+'22'!H26</f>
        <v>0</v>
      </c>
      <c r="I26" s="46">
        <f>G26+'22'!I26</f>
        <v>0</v>
      </c>
      <c r="J26" s="46">
        <f>Clinker!DX25</f>
        <v>0</v>
      </c>
      <c r="K26" s="46">
        <f>J26+'22'!K26</f>
        <v>0</v>
      </c>
      <c r="L26" s="46">
        <f>J26+'22'!L26</f>
        <v>0</v>
      </c>
      <c r="M26" s="45">
        <f>F26+G26-J26-J46</f>
        <v>0</v>
      </c>
      <c r="N26" s="46">
        <v>0</v>
      </c>
      <c r="O26" s="46"/>
      <c r="P26" s="46"/>
      <c r="Q26" s="70"/>
    </row>
    <row r="27" spans="2:19" s="67" customFormat="1" x14ac:dyDescent="0.25">
      <c r="B27" s="288"/>
      <c r="C27" s="281" t="s">
        <v>146</v>
      </c>
      <c r="D27" s="282"/>
      <c r="E27" s="283"/>
      <c r="F27" s="46">
        <f>SUM(F10:F26)</f>
        <v>2976.5069999999905</v>
      </c>
      <c r="G27" s="46">
        <f t="shared" ref="G27:Q27" si="0">SUM(G10:G26)</f>
        <v>155.32</v>
      </c>
      <c r="H27" s="46">
        <f t="shared" si="0"/>
        <v>3977.8600000000006</v>
      </c>
      <c r="I27" s="46">
        <f t="shared" si="0"/>
        <v>4783.0999999999995</v>
      </c>
      <c r="J27" s="46">
        <f>SUM(J10:J26)</f>
        <v>14</v>
      </c>
      <c r="K27" s="46">
        <f t="shared" si="0"/>
        <v>5488.1100000000006</v>
      </c>
      <c r="L27" s="46">
        <f t="shared" si="0"/>
        <v>20205.420000000002</v>
      </c>
      <c r="M27" s="46">
        <f t="shared" si="0"/>
        <v>3117.8269999999907</v>
      </c>
      <c r="N27" s="46">
        <f t="shared" si="0"/>
        <v>243.06</v>
      </c>
      <c r="O27" s="46">
        <f t="shared" si="0"/>
        <v>10000</v>
      </c>
      <c r="P27" s="46">
        <f t="shared" si="0"/>
        <v>18000</v>
      </c>
      <c r="Q27" s="46">
        <f t="shared" si="0"/>
        <v>3.9999999998087787E-2</v>
      </c>
    </row>
    <row r="28" spans="2:19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9" x14ac:dyDescent="0.25">
      <c r="B29" s="288"/>
      <c r="C29" s="281" t="s">
        <v>148</v>
      </c>
      <c r="D29" s="282"/>
      <c r="E29" s="283"/>
      <c r="F29" s="46">
        <f>Clinker!Q22</f>
        <v>0</v>
      </c>
      <c r="G29" s="46">
        <f>Clinker!R25</f>
        <v>0</v>
      </c>
      <c r="H29" s="46">
        <f>G29+'22'!H29</f>
        <v>0</v>
      </c>
      <c r="I29" s="46">
        <f>G29+'22'!I29</f>
        <v>0</v>
      </c>
      <c r="J29" s="46">
        <f>Clinker!S25</f>
        <v>0</v>
      </c>
      <c r="K29" s="46">
        <f>J29+'22'!K29</f>
        <v>0</v>
      </c>
      <c r="L29" s="46">
        <f>J29+'22'!L29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9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G30+'22'!H30</f>
        <v>0</v>
      </c>
      <c r="I30" s="46">
        <f>G30+'22'!I30</f>
        <v>0</v>
      </c>
      <c r="J30" s="46">
        <v>0</v>
      </c>
      <c r="K30" s="46">
        <f>J30+'22'!K30</f>
        <v>0</v>
      </c>
      <c r="L30" s="46">
        <f>J30+'22'!L30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9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G31+'22'!H31</f>
        <v>0</v>
      </c>
      <c r="I31" s="46">
        <f>G31+'22'!I31</f>
        <v>0</v>
      </c>
      <c r="J31" s="46">
        <v>0</v>
      </c>
      <c r="K31" s="46">
        <f>J31+'22'!K31</f>
        <v>0</v>
      </c>
      <c r="L31" s="46">
        <f>J31+'22'!L31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9" ht="15" customHeight="1" x14ac:dyDescent="0.25">
      <c r="B32" s="288"/>
      <c r="C32" s="281" t="s">
        <v>25</v>
      </c>
      <c r="D32" s="282"/>
      <c r="E32" s="283"/>
      <c r="F32" s="46">
        <f>Clinker!DQ25</f>
        <v>0</v>
      </c>
      <c r="G32" s="46">
        <f>Clinker!DR25</f>
        <v>0</v>
      </c>
      <c r="H32" s="46">
        <f>G32+'22'!H32</f>
        <v>0</v>
      </c>
      <c r="I32" s="46">
        <f>G32+'22'!I32</f>
        <v>0</v>
      </c>
      <c r="J32" s="46">
        <v>0</v>
      </c>
      <c r="K32" s="46">
        <f>J32+'22'!K32</f>
        <v>0</v>
      </c>
      <c r="L32" s="46">
        <f>J32+'22'!L32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G33+'22'!H33</f>
        <v>0</v>
      </c>
      <c r="I33" s="46">
        <f>G33+'22'!I33</f>
        <v>0</v>
      </c>
      <c r="J33" s="46">
        <v>0</v>
      </c>
      <c r="K33" s="46">
        <f>J33+'22'!K33</f>
        <v>0</v>
      </c>
      <c r="L33" s="46">
        <f>J33+'22'!L33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Clinker!Y25</f>
        <v>0</v>
      </c>
      <c r="K34" s="46">
        <f>J34+'22'!K34</f>
        <v>0</v>
      </c>
      <c r="L34" s="46">
        <f>J34+'22'!L34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Clinker!M25</f>
        <v>0</v>
      </c>
      <c r="K35" s="46">
        <f>J35+'22'!K35</f>
        <v>0</v>
      </c>
      <c r="L35" s="46">
        <f>J35+'22'!L35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Clinker!AR25</f>
        <v>0</v>
      </c>
      <c r="K36" s="46">
        <f>J36+'22'!K36</f>
        <v>0</v>
      </c>
      <c r="L36" s="46">
        <f>J36+'22'!L36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Clinker!AW25</f>
        <v>0</v>
      </c>
      <c r="K37" s="46">
        <f>J37+'22'!K37</f>
        <v>0</v>
      </c>
      <c r="L37" s="46">
        <f>J37+'22'!L37</f>
        <v>20</v>
      </c>
      <c r="M37" s="45"/>
      <c r="N37" s="46"/>
      <c r="O37" s="46"/>
      <c r="P37" s="46"/>
      <c r="Q37" s="56"/>
    </row>
    <row r="38" spans="2:17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Clinker!BB25</f>
        <v>0</v>
      </c>
      <c r="K38" s="46">
        <f>J38+'22'!K38</f>
        <v>0</v>
      </c>
      <c r="L38" s="46">
        <f>J38+'22'!L38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281" t="s">
        <v>13</v>
      </c>
      <c r="D39" s="282"/>
      <c r="E39" s="283"/>
      <c r="F39" s="46"/>
      <c r="G39" s="46"/>
      <c r="H39" s="46"/>
      <c r="I39" s="46"/>
      <c r="J39" s="46">
        <f>Clinker!BL25</f>
        <v>0</v>
      </c>
      <c r="K39" s="46">
        <f>J39+'22'!K39</f>
        <v>0</v>
      </c>
      <c r="L39" s="46">
        <f>J39+'22'!L39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76" t="s">
        <v>141</v>
      </c>
      <c r="D40" s="77"/>
      <c r="E40" s="69"/>
      <c r="F40" s="46"/>
      <c r="G40" s="46"/>
      <c r="H40" s="46"/>
      <c r="I40" s="46"/>
      <c r="J40" s="46">
        <f>Clinker!BG25</f>
        <v>0</v>
      </c>
      <c r="K40" s="46">
        <f>J40+'22'!K40</f>
        <v>0</v>
      </c>
      <c r="L40" s="46">
        <f>J40+'22'!L40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Clinker!BQ25</f>
        <v>0</v>
      </c>
      <c r="K41" s="46">
        <f>J41+'22'!K41</f>
        <v>0</v>
      </c>
      <c r="L41" s="46">
        <f>J41+'22'!L41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Clinker!BV25</f>
        <v>0</v>
      </c>
      <c r="K42" s="46">
        <f>J42+'22'!K42</f>
        <v>0</v>
      </c>
      <c r="L42" s="46">
        <f>J42+'22'!L42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Clinker!CU25</f>
        <v>0</v>
      </c>
      <c r="K43" s="46">
        <f>J43+'22'!K43</f>
        <v>0</v>
      </c>
      <c r="L43" s="46">
        <f>J43+'22'!L43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Clinker!CZ25</f>
        <v>0</v>
      </c>
      <c r="K44" s="46">
        <f>J44+'22'!K44</f>
        <v>0</v>
      </c>
      <c r="L44" s="46">
        <f>J44+'22'!L44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Clinker!DE25</f>
        <v>0</v>
      </c>
      <c r="K45" s="46">
        <f>J45+'22'!K45</f>
        <v>0</v>
      </c>
      <c r="L45" s="46">
        <f>J45+'22'!L45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26</v>
      </c>
      <c r="D46" s="77"/>
      <c r="E46" s="69"/>
      <c r="F46" s="46"/>
      <c r="G46" s="46"/>
      <c r="H46" s="46"/>
      <c r="I46" s="46"/>
      <c r="J46" s="46">
        <f>CPP!Y25</f>
        <v>0</v>
      </c>
      <c r="K46" s="46">
        <f>J46+'22'!K46</f>
        <v>0</v>
      </c>
      <c r="L46" s="46">
        <f>J46+'22'!L46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Clinker!DO25</f>
        <v>0</v>
      </c>
      <c r="K47" s="46">
        <f>J47+'22'!K47</f>
        <v>0</v>
      </c>
      <c r="L47" s="46">
        <f>J47+'22'!L47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Clinker!CM25</f>
        <v>5.0000000000181899E-2</v>
      </c>
      <c r="G48" s="46">
        <f>Clinker!CN25</f>
        <v>0</v>
      </c>
      <c r="H48" s="46">
        <f>G48+'22'!H48</f>
        <v>0</v>
      </c>
      <c r="I48" s="46">
        <f>G48+'22'!I48</f>
        <v>0</v>
      </c>
      <c r="J48" s="46">
        <f>Clinker!CP25</f>
        <v>0</v>
      </c>
      <c r="K48" s="46">
        <f>J48+'22'!K48</f>
        <v>0</v>
      </c>
      <c r="L48" s="46">
        <f>J48+'22'!L48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26</v>
      </c>
      <c r="D49" s="77"/>
      <c r="E49" s="69"/>
      <c r="F49" s="46">
        <f>Clinker!CC25</f>
        <v>0</v>
      </c>
      <c r="G49" s="46">
        <f>Clinker!CD25</f>
        <v>0</v>
      </c>
      <c r="H49" s="46">
        <f>G49+'22'!H49</f>
        <v>0</v>
      </c>
      <c r="I49" s="46">
        <f>G49+'22'!I49</f>
        <v>0</v>
      </c>
      <c r="J49" s="46">
        <f>Clinker!CF25</f>
        <v>0</v>
      </c>
      <c r="K49" s="46">
        <f>J49+'22'!K49</f>
        <v>0</v>
      </c>
      <c r="L49" s="46">
        <f>J49+'22'!L49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Clinker!CH25</f>
        <v>0</v>
      </c>
      <c r="G50" s="46">
        <f>Clinker!CI25</f>
        <v>0</v>
      </c>
      <c r="H50" s="46">
        <f>G50+'22'!H50</f>
        <v>0</v>
      </c>
      <c r="I50" s="46">
        <f>G50+'22'!I50</f>
        <v>0</v>
      </c>
      <c r="J50" s="46">
        <f>Clinker!CK25</f>
        <v>0</v>
      </c>
      <c r="K50" s="46">
        <f>J50+'22'!K50</f>
        <v>0</v>
      </c>
      <c r="L50" s="46">
        <f>J50+'22'!L50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Clinker!AF25</f>
        <v>4057.2699999999932</v>
      </c>
      <c r="G51" s="46">
        <f>Clinker!AG25</f>
        <v>60</v>
      </c>
      <c r="H51" s="46">
        <f>G51+'22'!H51</f>
        <v>3282.6000000000004</v>
      </c>
      <c r="I51" s="46">
        <f>G51+'22'!I51</f>
        <v>5423.5499999999993</v>
      </c>
      <c r="J51" s="46">
        <f>Clinker!AI25</f>
        <v>94</v>
      </c>
      <c r="K51" s="46">
        <f>J51+'22'!K51</f>
        <v>3308</v>
      </c>
      <c r="L51" s="46">
        <f>J51+'22'!L51</f>
        <v>10133</v>
      </c>
      <c r="M51" s="45">
        <f>F51+G51-J51-J20</f>
        <v>4023.2699999999932</v>
      </c>
      <c r="N51" s="46">
        <v>61</v>
      </c>
      <c r="O51" s="46">
        <v>1500</v>
      </c>
      <c r="P51" s="46">
        <v>3000</v>
      </c>
      <c r="Q51" s="56">
        <f>SUM(M51+N51)-O51</f>
        <v>2584.2699999999932</v>
      </c>
    </row>
    <row r="52" spans="2:19" x14ac:dyDescent="0.25">
      <c r="B52" s="288"/>
      <c r="C52" s="281" t="s">
        <v>156</v>
      </c>
      <c r="D52" s="282"/>
      <c r="E52" s="283"/>
      <c r="F52" s="46">
        <f>Clinker!AB25</f>
        <v>0</v>
      </c>
      <c r="G52" s="46">
        <f>Clinker!AC25</f>
        <v>0</v>
      </c>
      <c r="H52" s="46">
        <f>G52+'22'!H52</f>
        <v>0</v>
      </c>
      <c r="I52" s="46">
        <f>G52+'22'!I52</f>
        <v>0</v>
      </c>
      <c r="J52" s="46">
        <f>Clinker!AD25</f>
        <v>0</v>
      </c>
      <c r="K52" s="46">
        <f>J52+'22'!K52</f>
        <v>0</v>
      </c>
      <c r="L52" s="46">
        <f>J52+'22'!L52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>SUM(F29:F52)</f>
        <v>4057.3199999999933</v>
      </c>
      <c r="G53" s="46">
        <f t="shared" ref="G53:L53" si="1">SUM(G29:G52)</f>
        <v>60</v>
      </c>
      <c r="H53" s="46">
        <f t="shared" si="1"/>
        <v>3282.6000000000004</v>
      </c>
      <c r="I53" s="46">
        <f t="shared" si="1"/>
        <v>5423.5499999999993</v>
      </c>
      <c r="J53" s="46">
        <f>SUM(J29:J52)</f>
        <v>94</v>
      </c>
      <c r="K53" s="46">
        <f>SUM(K29:K52)</f>
        <v>3308</v>
      </c>
      <c r="L53" s="46">
        <f t="shared" si="1"/>
        <v>11480</v>
      </c>
      <c r="M53" s="46">
        <f>SUM(M29:M52)</f>
        <v>4023.3199999999933</v>
      </c>
      <c r="N53" s="46">
        <f>SUM(N29:N52)</f>
        <v>61</v>
      </c>
      <c r="O53" s="46">
        <f>SUM(O29:O52)</f>
        <v>3000</v>
      </c>
      <c r="P53" s="46">
        <f>SUM(P29:P52)</f>
        <v>6000</v>
      </c>
      <c r="Q53" s="46">
        <f>SUM(Q29:Q52)</f>
        <v>2584.2699999999932</v>
      </c>
    </row>
    <row r="54" spans="2:19" x14ac:dyDescent="0.25">
      <c r="B54" s="289"/>
      <c r="C54" s="284" t="s">
        <v>157</v>
      </c>
      <c r="D54" s="285"/>
      <c r="E54" s="286"/>
      <c r="F54" s="59">
        <f t="shared" ref="F54:Q54" si="2">SUM(F27+F53)</f>
        <v>7033.8269999999839</v>
      </c>
      <c r="G54" s="59">
        <f>SUM(G27+G53)</f>
        <v>215.32</v>
      </c>
      <c r="H54" s="59">
        <f t="shared" si="2"/>
        <v>7260.4600000000009</v>
      </c>
      <c r="I54" s="59">
        <f t="shared" si="2"/>
        <v>10206.649999999998</v>
      </c>
      <c r="J54" s="59">
        <f t="shared" si="2"/>
        <v>108</v>
      </c>
      <c r="K54" s="59">
        <f t="shared" si="2"/>
        <v>8796.11</v>
      </c>
      <c r="L54" s="59">
        <f t="shared" si="2"/>
        <v>31685.420000000002</v>
      </c>
      <c r="M54" s="59">
        <f t="shared" si="2"/>
        <v>7141.1469999999845</v>
      </c>
      <c r="N54" s="59">
        <f>SUM(N27+N53)</f>
        <v>304.06</v>
      </c>
      <c r="O54" s="59">
        <f>SUM(O27+O53)</f>
        <v>13000</v>
      </c>
      <c r="P54" s="59">
        <f>SUM(P27+P53)</f>
        <v>24000</v>
      </c>
      <c r="Q54" s="59">
        <f t="shared" si="2"/>
        <v>2584.3099999999913</v>
      </c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'!C25</f>
        <v>2539607</v>
      </c>
      <c r="G56" s="46">
        <f>'Packing bag '!D25</f>
        <v>100000</v>
      </c>
      <c r="H56" s="46">
        <f>G56+'22'!H56</f>
        <v>811000</v>
      </c>
      <c r="I56" s="46">
        <f>G56+'22'!I56</f>
        <v>3963500</v>
      </c>
      <c r="J56" s="46">
        <f>'Packing bag '!E25</f>
        <v>10654</v>
      </c>
      <c r="K56" s="46">
        <f>J56+'22'!K56</f>
        <v>809282</v>
      </c>
      <c r="L56" s="46">
        <f>J56+'22'!L56</f>
        <v>2386116</v>
      </c>
      <c r="M56" s="46">
        <f>F56+G56-J56</f>
        <v>2628953</v>
      </c>
      <c r="N56" s="46"/>
      <c r="O56" s="46">
        <v>400000</v>
      </c>
      <c r="P56" s="46">
        <v>800000</v>
      </c>
      <c r="Q56" s="56">
        <f>SUM(M56+N56)-O56</f>
        <v>2228953</v>
      </c>
    </row>
    <row r="57" spans="2:19" x14ac:dyDescent="0.25">
      <c r="B57" s="288"/>
      <c r="C57" s="281" t="s">
        <v>160</v>
      </c>
      <c r="D57" s="282"/>
      <c r="E57" s="283"/>
      <c r="F57" s="46">
        <f>'Packing bag '!G25</f>
        <v>603392</v>
      </c>
      <c r="G57" s="46">
        <f>'Packing bag '!H25</f>
        <v>0</v>
      </c>
      <c r="H57" s="46">
        <f>G57+'22'!H57</f>
        <v>40500</v>
      </c>
      <c r="I57" s="46">
        <f>G57+'22'!I57</f>
        <v>332000</v>
      </c>
      <c r="J57" s="46">
        <f>'Packing bag '!I25</f>
        <v>0</v>
      </c>
      <c r="K57" s="46">
        <f>J57+'22'!K57</f>
        <v>39269</v>
      </c>
      <c r="L57" s="46">
        <f>J57+'22'!L57</f>
        <v>128890</v>
      </c>
      <c r="M57" s="46">
        <f>F57+G57-J57</f>
        <v>603392</v>
      </c>
      <c r="N57" s="46"/>
      <c r="O57" s="46">
        <v>100000</v>
      </c>
      <c r="P57" s="46">
        <v>250000</v>
      </c>
      <c r="Q57" s="56">
        <f>SUM(M57+N57)-O57</f>
        <v>503392</v>
      </c>
    </row>
    <row r="58" spans="2:19" x14ac:dyDescent="0.25">
      <c r="B58" s="288"/>
      <c r="C58" s="281" t="s">
        <v>161</v>
      </c>
      <c r="D58" s="282"/>
      <c r="E58" s="283"/>
      <c r="F58" s="46">
        <f>'Packing bag '!K25</f>
        <v>479236</v>
      </c>
      <c r="G58" s="46">
        <f>'Packing bag '!L25</f>
        <v>0</v>
      </c>
      <c r="H58" s="46">
        <f>G58+'22'!H58</f>
        <v>0</v>
      </c>
      <c r="I58" s="46">
        <f>G58+'22'!I58</f>
        <v>295000</v>
      </c>
      <c r="J58" s="46">
        <f>'Packing bag '!M25</f>
        <v>605</v>
      </c>
      <c r="K58" s="46">
        <f>J58+'22'!K58</f>
        <v>50132</v>
      </c>
      <c r="L58" s="46">
        <f>J58+'22'!L58</f>
        <v>222424</v>
      </c>
      <c r="M58" s="46">
        <f>F58+G58-J58</f>
        <v>478631</v>
      </c>
      <c r="N58" s="46"/>
      <c r="O58" s="46">
        <v>50000</v>
      </c>
      <c r="P58" s="46">
        <v>150000</v>
      </c>
      <c r="Q58" s="56">
        <f>SUM(M58+N58)-O58</f>
        <v>428631</v>
      </c>
    </row>
    <row r="59" spans="2:19" x14ac:dyDescent="0.25">
      <c r="B59" s="288"/>
      <c r="C59" s="281" t="s">
        <v>162</v>
      </c>
      <c r="D59" s="282"/>
      <c r="E59" s="283"/>
      <c r="F59" s="46">
        <f>'Packing bag '!O25</f>
        <v>149688</v>
      </c>
      <c r="G59" s="46">
        <f>'Packing bag '!P25</f>
        <v>0</v>
      </c>
      <c r="H59" s="46">
        <f>G59+'22'!H59</f>
        <v>85612</v>
      </c>
      <c r="I59" s="46">
        <f>G59+'22'!I59</f>
        <v>85000</v>
      </c>
      <c r="J59" s="46">
        <f>'Packing bag '!Q25</f>
        <v>0</v>
      </c>
      <c r="K59" s="46">
        <f>J59+'22'!K59</f>
        <v>4244</v>
      </c>
      <c r="L59" s="46">
        <f>J59+'22'!L59</f>
        <v>19013</v>
      </c>
      <c r="M59" s="46">
        <f>F59+G59-J59</f>
        <v>149688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G60+'22'!H60</f>
        <v>0</v>
      </c>
      <c r="I60" s="46">
        <f>G60+'22'!I60</f>
        <v>0</v>
      </c>
      <c r="J60" s="46">
        <v>0</v>
      </c>
      <c r="K60" s="46">
        <f>J60+'22'!K60</f>
        <v>0</v>
      </c>
      <c r="L60" s="46">
        <f>J60+'22'!L60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G61+'22'!H61</f>
        <v>0</v>
      </c>
      <c r="I61" s="46">
        <f>G61+'22'!I61</f>
        <v>0</v>
      </c>
      <c r="J61" s="46">
        <v>0</v>
      </c>
      <c r="K61" s="46">
        <f>J61+'22'!K61</f>
        <v>0</v>
      </c>
      <c r="L61" s="46">
        <f>J61+'22'!L61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3771923</v>
      </c>
      <c r="G62" s="59">
        <f t="shared" ref="G62:Q62" si="3">SUM(G56:G61)</f>
        <v>100000</v>
      </c>
      <c r="H62" s="59">
        <f t="shared" si="3"/>
        <v>937112</v>
      </c>
      <c r="I62" s="59">
        <f t="shared" si="3"/>
        <v>4675500</v>
      </c>
      <c r="J62" s="59">
        <f t="shared" si="3"/>
        <v>11259</v>
      </c>
      <c r="K62" s="59">
        <f t="shared" si="3"/>
        <v>902927</v>
      </c>
      <c r="L62" s="59">
        <f t="shared" si="3"/>
        <v>2756443</v>
      </c>
      <c r="M62" s="59">
        <f t="shared" si="3"/>
        <v>3860664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3159476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Cement!G25</f>
        <v>0</v>
      </c>
      <c r="G64" s="46">
        <f>Cement!H25</f>
        <v>0</v>
      </c>
      <c r="H64" s="46">
        <f>G64+'22'!H64</f>
        <v>0</v>
      </c>
      <c r="I64" s="46">
        <f>G64+'22'!I64</f>
        <v>0</v>
      </c>
      <c r="J64" s="46">
        <v>0</v>
      </c>
      <c r="K64" s="46">
        <v>0</v>
      </c>
      <c r="L64" s="46"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Cement!K25</f>
        <v>0</v>
      </c>
      <c r="G65" s="46">
        <f>Cement!L25</f>
        <v>0</v>
      </c>
      <c r="H65" s="46">
        <f>G65+'22'!H65</f>
        <v>0</v>
      </c>
      <c r="I65" s="46">
        <f>G65+'22'!I65</f>
        <v>0</v>
      </c>
      <c r="J65" s="46">
        <v>0</v>
      </c>
      <c r="K65" s="46">
        <v>0</v>
      </c>
      <c r="L65" s="46"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 t="shared" ref="G66:M66" si="4">SUM(G64:G65)</f>
        <v>0</v>
      </c>
      <c r="H66" s="59">
        <f t="shared" si="4"/>
        <v>0</v>
      </c>
      <c r="I66" s="59">
        <f t="shared" si="4"/>
        <v>0</v>
      </c>
      <c r="J66" s="59">
        <f t="shared" si="4"/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Diesel!B25</f>
        <v>56059</v>
      </c>
      <c r="G68" s="46">
        <f>Diesel!C25</f>
        <v>0</v>
      </c>
      <c r="H68" s="46">
        <f>G68+'22'!H68</f>
        <v>65000</v>
      </c>
      <c r="I68" s="46">
        <f>G68+'22'!I68</f>
        <v>155000</v>
      </c>
      <c r="J68" s="46">
        <v>0</v>
      </c>
      <c r="K68" s="46">
        <f>J68+'22'!K68</f>
        <v>0</v>
      </c>
      <c r="L68" s="46">
        <f>J68+'22'!L68</f>
        <v>0</v>
      </c>
      <c r="M68" s="46">
        <f>F68+G68-J68-J76</f>
        <v>51529</v>
      </c>
      <c r="N68" s="46"/>
      <c r="O68" s="46">
        <v>30000</v>
      </c>
      <c r="P68" s="46">
        <v>60000</v>
      </c>
      <c r="Q68" s="56">
        <f>SUM(M68+N68)-O68</f>
        <v>21529</v>
      </c>
    </row>
    <row r="69" spans="2:17" x14ac:dyDescent="0.25">
      <c r="B69" s="297"/>
      <c r="C69" s="281" t="s">
        <v>171</v>
      </c>
      <c r="D69" s="282"/>
      <c r="E69" s="283"/>
      <c r="F69" s="46">
        <f>Diesel!Y25</f>
        <v>0</v>
      </c>
      <c r="G69" s="46">
        <f>Diesel!Z25</f>
        <v>0</v>
      </c>
      <c r="H69" s="46">
        <f>G69+'22'!H69</f>
        <v>0</v>
      </c>
      <c r="I69" s="46">
        <f>G69+'22'!I69</f>
        <v>0</v>
      </c>
      <c r="J69" s="46">
        <f>Diesel!O25</f>
        <v>3000</v>
      </c>
      <c r="K69" s="46">
        <f>J69+'22'!K69</f>
        <v>3000</v>
      </c>
      <c r="L69" s="46">
        <f>J69+'22'!L69</f>
        <v>18000</v>
      </c>
      <c r="M69" s="46"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G70+'22'!H70</f>
        <v>0</v>
      </c>
      <c r="I70" s="46">
        <f>G70+'22'!I70</f>
        <v>0</v>
      </c>
      <c r="J70" s="46">
        <f>Diesel!P25</f>
        <v>0</v>
      </c>
      <c r="K70" s="46">
        <f>J70+'22'!K70</f>
        <v>105</v>
      </c>
      <c r="L70" s="46">
        <f>J70+'22'!L70</f>
        <v>708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G71+'22'!H71</f>
        <v>0</v>
      </c>
      <c r="I71" s="46">
        <f>G71+'22'!I71</f>
        <v>0</v>
      </c>
      <c r="J71" s="46">
        <f>Diesel!Q25</f>
        <v>1000</v>
      </c>
      <c r="K71" s="46">
        <f>J71+'22'!K71</f>
        <v>20901</v>
      </c>
      <c r="L71" s="46">
        <f>J71+'22'!L71</f>
        <v>75536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G72+'22'!H72</f>
        <v>0</v>
      </c>
      <c r="I72" s="46">
        <f>G72+'22'!I72</f>
        <v>0</v>
      </c>
      <c r="J72" s="46">
        <f>Diesel!R25</f>
        <v>530</v>
      </c>
      <c r="K72" s="46">
        <f>J72+'22'!K72</f>
        <v>15610</v>
      </c>
      <c r="L72" s="46">
        <f>J72+'22'!L72</f>
        <v>58318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G73+'22'!H73</f>
        <v>0</v>
      </c>
      <c r="I73" s="46">
        <f>G73+'22'!I73</f>
        <v>0</v>
      </c>
      <c r="J73" s="46">
        <f>Diesel!S25</f>
        <v>0</v>
      </c>
      <c r="K73" s="46">
        <f>J73+'22'!K73</f>
        <v>0</v>
      </c>
      <c r="L73" s="46">
        <f>J73+'22'!L73</f>
        <v>0</v>
      </c>
      <c r="M73" s="46">
        <f t="shared" ref="M73:M75" si="5">F73+G73-J73</f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G74+'22'!H74</f>
        <v>0</v>
      </c>
      <c r="I74" s="46">
        <f>G74+'22'!I74</f>
        <v>0</v>
      </c>
      <c r="J74" s="46">
        <f>Diesel!T25</f>
        <v>0</v>
      </c>
      <c r="K74" s="46">
        <f>J74+'22'!K74</f>
        <v>0</v>
      </c>
      <c r="L74" s="46">
        <f>J74+'22'!L74</f>
        <v>0</v>
      </c>
      <c r="M74" s="46">
        <f t="shared" si="5"/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G75+'22'!H75</f>
        <v>0</v>
      </c>
      <c r="I75" s="46">
        <f>G75+'22'!I75</f>
        <v>0</v>
      </c>
      <c r="J75" s="61">
        <f>Diesel!U25</f>
        <v>0</v>
      </c>
      <c r="K75" s="46">
        <f>J75+'22'!K75</f>
        <v>0</v>
      </c>
      <c r="L75" s="46">
        <f>J75+'22'!L75</f>
        <v>0</v>
      </c>
      <c r="M75" s="46">
        <f t="shared" si="5"/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56059</v>
      </c>
      <c r="G76" s="62">
        <f t="shared" ref="G76:M76" si="6">SUM(G68:G75)</f>
        <v>0</v>
      </c>
      <c r="H76" s="62">
        <f t="shared" si="6"/>
        <v>65000</v>
      </c>
      <c r="I76" s="62">
        <f t="shared" si="6"/>
        <v>155000</v>
      </c>
      <c r="J76" s="62">
        <f t="shared" si="6"/>
        <v>4530</v>
      </c>
      <c r="K76" s="62">
        <f t="shared" si="6"/>
        <v>39616</v>
      </c>
      <c r="L76" s="62">
        <f t="shared" si="6"/>
        <v>152562</v>
      </c>
      <c r="M76" s="62">
        <f t="shared" si="6"/>
        <v>51529</v>
      </c>
      <c r="N76" s="63"/>
      <c r="O76" s="64"/>
      <c r="P76" s="62"/>
      <c r="Q76" s="65"/>
    </row>
  </sheetData>
  <mergeCells count="70">
    <mergeCell ref="C47:D47"/>
    <mergeCell ref="C38:D38"/>
    <mergeCell ref="C39:E39"/>
    <mergeCell ref="C50:D50"/>
    <mergeCell ref="C76:E76"/>
    <mergeCell ref="C59:E59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66:E66"/>
    <mergeCell ref="C51:E51"/>
    <mergeCell ref="C52:E52"/>
    <mergeCell ref="C53:E53"/>
    <mergeCell ref="C54:E54"/>
    <mergeCell ref="C55:Q55"/>
    <mergeCell ref="C56:E56"/>
    <mergeCell ref="C57:E57"/>
    <mergeCell ref="C58:E58"/>
    <mergeCell ref="C60:E60"/>
    <mergeCell ref="C64:E64"/>
    <mergeCell ref="C65:E65"/>
    <mergeCell ref="C7:E7"/>
    <mergeCell ref="B9:B54"/>
    <mergeCell ref="C61:E61"/>
    <mergeCell ref="B55:B62"/>
    <mergeCell ref="C15:D15"/>
    <mergeCell ref="C62:E62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C12:E12"/>
    <mergeCell ref="C13:D13"/>
    <mergeCell ref="C35:E35"/>
    <mergeCell ref="C37:D37"/>
    <mergeCell ref="C36:D36"/>
    <mergeCell ref="C17:E17"/>
    <mergeCell ref="C18:E18"/>
    <mergeCell ref="C20:D20"/>
    <mergeCell ref="C14:D14"/>
    <mergeCell ref="C34:E34"/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</mergeCells>
  <pageMargins left="0.7" right="0.7" top="0.75" bottom="0.75" header="0.3" footer="0.3"/>
  <pageSetup paperSize="9" scale="55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O9" sqref="O9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9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5" t="s">
        <v>232</v>
      </c>
      <c r="Q3" s="316"/>
    </row>
    <row r="4" spans="2:19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9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9" x14ac:dyDescent="0.25">
      <c r="B6" s="54">
        <v>1</v>
      </c>
      <c r="C6" s="308" t="s">
        <v>135</v>
      </c>
      <c r="D6" s="309"/>
      <c r="E6" s="310"/>
      <c r="F6" s="45">
        <f>Clinker!C26</f>
        <v>1255.6400000000001</v>
      </c>
      <c r="G6" s="45">
        <f>Clinker!D26</f>
        <v>30.9</v>
      </c>
      <c r="H6" s="45">
        <f>G6+'23'!H6</f>
        <v>60.62</v>
      </c>
      <c r="I6" s="45">
        <f>G6+'23'!I6</f>
        <v>477.9</v>
      </c>
      <c r="J6" s="45">
        <f>Clinker!E26</f>
        <v>37</v>
      </c>
      <c r="K6" s="45">
        <f>J6+'23'!K6</f>
        <v>1459</v>
      </c>
      <c r="L6" s="45">
        <f>J6+'23'!L6</f>
        <v>4594</v>
      </c>
      <c r="M6" s="45">
        <f>F6+G6-J6</f>
        <v>1249.5400000000002</v>
      </c>
      <c r="N6" s="45">
        <v>0</v>
      </c>
      <c r="O6" s="45">
        <v>3000</v>
      </c>
      <c r="P6" s="45">
        <v>6000</v>
      </c>
      <c r="Q6" s="55">
        <f>SUM(M6+N6)-O6</f>
        <v>-1750.4599999999998</v>
      </c>
      <c r="S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Cement!C26</f>
        <v>2994.023109973069</v>
      </c>
      <c r="G7" s="46">
        <f>Cement!D26</f>
        <v>270.60000000000002</v>
      </c>
      <c r="H7" s="45">
        <f>G7+'23'!H7</f>
        <v>2150.36</v>
      </c>
      <c r="I7" s="45">
        <f>G7+'23'!I7</f>
        <v>4276.9799999999996</v>
      </c>
      <c r="J7" s="46">
        <f>Cement!I26</f>
        <v>150.50210525263159</v>
      </c>
      <c r="K7" s="45">
        <f>J7+'23'!K7</f>
        <v>3244.5448534357392</v>
      </c>
      <c r="L7" s="45">
        <f>J7+'23'!L7</f>
        <v>8470.7748437632399</v>
      </c>
      <c r="M7" s="45">
        <f>F7+G7-J7</f>
        <v>3114.1210047204372</v>
      </c>
      <c r="N7" s="46">
        <v>0</v>
      </c>
      <c r="O7" s="46">
        <v>3000</v>
      </c>
      <c r="P7" s="46">
        <v>6000</v>
      </c>
      <c r="Q7" s="56">
        <f>SUM(M7+N7)-O7</f>
        <v>114.12100472043721</v>
      </c>
      <c r="R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Clinker!EI26</f>
        <v>16691.620566472473</v>
      </c>
      <c r="G8" s="46">
        <f>Clinker!EJ26</f>
        <v>750</v>
      </c>
      <c r="H8" s="45">
        <f>G8+'23'!H8</f>
        <v>32507</v>
      </c>
      <c r="I8" s="45">
        <f>G8+'23'!I8</f>
        <v>131423.66</v>
      </c>
      <c r="J8" s="46">
        <f>Clinker!EK26</f>
        <v>2352.7730000100019</v>
      </c>
      <c r="K8" s="45">
        <f>J8+'23'!K8</f>
        <v>48670.054521344486</v>
      </c>
      <c r="L8" s="45">
        <f>J8+'23'!L8</f>
        <v>128465.90154116441</v>
      </c>
      <c r="M8" s="45">
        <f>F8+G8-J8</f>
        <v>15088.847566462471</v>
      </c>
      <c r="N8" s="46">
        <v>0</v>
      </c>
      <c r="O8" s="46"/>
      <c r="P8" s="46"/>
      <c r="Q8" s="56"/>
    </row>
    <row r="9" spans="2:19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88"/>
      <c r="C10" s="281" t="s">
        <v>138</v>
      </c>
      <c r="D10" s="282"/>
      <c r="E10" s="283"/>
      <c r="F10" s="46">
        <f>Clinker!K26</f>
        <v>0</v>
      </c>
      <c r="G10" s="46">
        <f>Clinker!L26</f>
        <v>0</v>
      </c>
      <c r="H10" s="46">
        <f>G10+'23'!H10</f>
        <v>0</v>
      </c>
      <c r="I10" s="46">
        <f>G10+'23'!I10</f>
        <v>0</v>
      </c>
      <c r="J10" s="46">
        <f>Clinker!N26</f>
        <v>0</v>
      </c>
      <c r="K10" s="46">
        <f>J10+'23'!K10</f>
        <v>0</v>
      </c>
      <c r="L10" s="46">
        <f>J10+'23'!L10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88"/>
      <c r="C11" s="281" t="s">
        <v>139</v>
      </c>
      <c r="D11" s="282"/>
      <c r="E11" s="283"/>
      <c r="F11" s="46">
        <f>Clinker!W26</f>
        <v>3.9999999998087787E-2</v>
      </c>
      <c r="G11" s="46">
        <f>Clinker!X26</f>
        <v>0</v>
      </c>
      <c r="H11" s="46">
        <f>G11+'23'!H11</f>
        <v>0</v>
      </c>
      <c r="I11" s="46">
        <f>G11+'23'!I11</f>
        <v>0</v>
      </c>
      <c r="J11" s="46">
        <f>Clinker!Z26</f>
        <v>0</v>
      </c>
      <c r="K11" s="46">
        <f>J11+'23'!K11</f>
        <v>1063</v>
      </c>
      <c r="L11" s="46">
        <f>J11+'23'!L11</f>
        <v>8686.84</v>
      </c>
      <c r="M11" s="45">
        <f>F11+G11-J11-J34</f>
        <v>3.9999999998087787E-2</v>
      </c>
      <c r="N11" s="46">
        <v>0</v>
      </c>
      <c r="O11" s="46"/>
      <c r="P11" s="46"/>
      <c r="Q11" s="56">
        <f>SUM(M11+N11)-O11</f>
        <v>3.9999999998087787E-2</v>
      </c>
    </row>
    <row r="12" spans="2:19" ht="15" customHeight="1" x14ac:dyDescent="0.25">
      <c r="B12" s="288"/>
      <c r="C12" s="281" t="s">
        <v>140</v>
      </c>
      <c r="D12" s="282"/>
      <c r="E12" s="283"/>
      <c r="F12" s="46">
        <f>Clinker!AT26</f>
        <v>1.0000000002058584E-2</v>
      </c>
      <c r="G12" s="46">
        <f>Clinker!AU26</f>
        <v>0</v>
      </c>
      <c r="H12" s="46">
        <f>G12+'23'!H12</f>
        <v>0</v>
      </c>
      <c r="I12" s="46">
        <f>G12+'23'!I12</f>
        <v>181.5</v>
      </c>
      <c r="J12" s="46">
        <f>Clinker!AV26</f>
        <v>0</v>
      </c>
      <c r="K12" s="46">
        <f>J12+'23'!K12</f>
        <v>2933.89</v>
      </c>
      <c r="L12" s="46">
        <f>J12+'23'!L12</f>
        <v>5675.5900000000011</v>
      </c>
      <c r="M12" s="45">
        <f>F12+G12-J12-J37</f>
        <v>1.0000000002058584E-2</v>
      </c>
      <c r="N12" s="46">
        <v>0</v>
      </c>
      <c r="O12" s="46"/>
      <c r="P12" s="46"/>
      <c r="Q12" s="70"/>
    </row>
    <row r="13" spans="2:19" x14ac:dyDescent="0.25">
      <c r="B13" s="288"/>
      <c r="C13" s="281" t="s">
        <v>9</v>
      </c>
      <c r="D13" s="282"/>
      <c r="E13" s="69"/>
      <c r="F13" s="46">
        <f>Clinker!AO26</f>
        <v>0</v>
      </c>
      <c r="G13" s="46">
        <f>Clinker!AP26</f>
        <v>0</v>
      </c>
      <c r="H13" s="46">
        <f>G13+'23'!H13</f>
        <v>0</v>
      </c>
      <c r="I13" s="46">
        <f>G13+'23'!I13</f>
        <v>0</v>
      </c>
      <c r="J13" s="46">
        <f>Clinker!AQ26</f>
        <v>0</v>
      </c>
      <c r="K13" s="46">
        <f>J13+'23'!K13</f>
        <v>0</v>
      </c>
      <c r="L13" s="46">
        <f>J13+'23'!L13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88"/>
      <c r="C14" s="281" t="s">
        <v>8</v>
      </c>
      <c r="D14" s="282"/>
      <c r="E14" s="69"/>
      <c r="F14" s="46">
        <f>Clinker!AK26</f>
        <v>0</v>
      </c>
      <c r="G14" s="46">
        <f>Clinker!AL26</f>
        <v>0</v>
      </c>
      <c r="H14" s="46">
        <f>G14+'23'!H14</f>
        <v>0</v>
      </c>
      <c r="I14" s="46">
        <f>G14+'23'!I14</f>
        <v>0</v>
      </c>
      <c r="J14" s="46">
        <f>Clinker!AM26</f>
        <v>0</v>
      </c>
      <c r="K14" s="46">
        <f>J14+'23'!K14</f>
        <v>0</v>
      </c>
      <c r="L14" s="46">
        <f>J14+'23'!L14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88"/>
      <c r="C15" s="281" t="s">
        <v>11</v>
      </c>
      <c r="D15" s="282"/>
      <c r="E15" s="69"/>
      <c r="F15" s="46">
        <f>Clinker!AY26</f>
        <v>2813.7669999999903</v>
      </c>
      <c r="G15" s="46">
        <f>Clinker!AZ26</f>
        <v>243.06</v>
      </c>
      <c r="H15" s="46">
        <f>G15+'23'!H15</f>
        <v>4128.920000000001</v>
      </c>
      <c r="I15" s="46">
        <f>G15+'23'!I15</f>
        <v>4540.66</v>
      </c>
      <c r="J15" s="46">
        <f>Clinker!BA26</f>
        <v>175</v>
      </c>
      <c r="K15" s="46">
        <f>J15+'23'!K15</f>
        <v>1659.12</v>
      </c>
      <c r="L15" s="46">
        <f>J15+'23'!L15</f>
        <v>1659.12</v>
      </c>
      <c r="M15" s="45">
        <f>F15+G15-J15-J38</f>
        <v>2871.8269999999902</v>
      </c>
      <c r="N15" s="46">
        <v>0</v>
      </c>
      <c r="O15" s="46">
        <v>5000</v>
      </c>
      <c r="P15" s="46">
        <v>9000</v>
      </c>
      <c r="Q15" s="70"/>
    </row>
    <row r="16" spans="2:19" x14ac:dyDescent="0.25">
      <c r="B16" s="288"/>
      <c r="C16" s="76" t="s">
        <v>141</v>
      </c>
      <c r="D16" s="77"/>
      <c r="E16" s="69"/>
      <c r="F16" s="46">
        <f>Clinker!BD26</f>
        <v>0</v>
      </c>
      <c r="G16" s="46">
        <f>Clinker!BE26</f>
        <v>0</v>
      </c>
      <c r="H16" s="46">
        <f>G16+'23'!H16</f>
        <v>0</v>
      </c>
      <c r="I16" s="46">
        <f>G16+'23'!I16</f>
        <v>0</v>
      </c>
      <c r="J16" s="46">
        <f>Clinker!BF26</f>
        <v>0</v>
      </c>
      <c r="K16" s="46">
        <f>J16+'23'!K16</f>
        <v>0</v>
      </c>
      <c r="L16" s="46">
        <f>J16+'23'!L16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13</v>
      </c>
      <c r="D17" s="282"/>
      <c r="E17" s="283"/>
      <c r="F17" s="46">
        <f>Clinker!BI26</f>
        <v>0</v>
      </c>
      <c r="G17" s="46">
        <f>Clinker!BJ26</f>
        <v>0</v>
      </c>
      <c r="H17" s="46">
        <f>G17+'23'!H17</f>
        <v>0</v>
      </c>
      <c r="I17" s="46">
        <f>G17+'23'!I17</f>
        <v>0</v>
      </c>
      <c r="J17" s="46">
        <f>Clinker!BK26</f>
        <v>0</v>
      </c>
      <c r="K17" s="46">
        <f>J17+'23'!K17</f>
        <v>0</v>
      </c>
      <c r="L17" s="46">
        <f>J17+'23'!L17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Clinker!BN26</f>
        <v>0</v>
      </c>
      <c r="G18" s="46">
        <f>Clinker!BO26</f>
        <v>0</v>
      </c>
      <c r="H18" s="46">
        <f>G18+'23'!H18</f>
        <v>0</v>
      </c>
      <c r="I18" s="46">
        <f>G18+'23'!I18</f>
        <v>0</v>
      </c>
      <c r="J18" s="46">
        <f>Clinker!BP26</f>
        <v>0</v>
      </c>
      <c r="K18" s="46">
        <f>J18+'23'!K18</f>
        <v>0</v>
      </c>
      <c r="L18" s="46">
        <f>J18+'23'!L18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Clinker!BS26</f>
        <v>0</v>
      </c>
      <c r="G19" s="46">
        <f>Clinker!BT26</f>
        <v>0</v>
      </c>
      <c r="H19" s="46">
        <f>G19+'23'!H19</f>
        <v>0</v>
      </c>
      <c r="I19" s="46">
        <f>G19+'23'!I19</f>
        <v>0</v>
      </c>
      <c r="J19" s="46">
        <f>Clinker!BU26</f>
        <v>0</v>
      </c>
      <c r="K19" s="46">
        <f>J19+'23'!K19</f>
        <v>0</v>
      </c>
      <c r="L19" s="46">
        <f>J19+'23'!L19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Clinker!BX26</f>
        <v>0</v>
      </c>
      <c r="G20" s="46">
        <f>Clinker!BY26</f>
        <v>0</v>
      </c>
      <c r="H20" s="46">
        <f>G20+'23'!H20</f>
        <v>0</v>
      </c>
      <c r="I20" s="46">
        <f>G20+'23'!I20</f>
        <v>0</v>
      </c>
      <c r="J20" s="46">
        <f>Clinker!AH26</f>
        <v>0</v>
      </c>
      <c r="K20" s="46">
        <f>J20+'23'!K20</f>
        <v>0</v>
      </c>
      <c r="L20" s="46">
        <f>J20+'23'!L20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Clinker!CR26</f>
        <v>0</v>
      </c>
      <c r="G21" s="46">
        <f>Clinker!CS26</f>
        <v>0</v>
      </c>
      <c r="H21" s="46">
        <f>G21+'23'!H21</f>
        <v>0</v>
      </c>
      <c r="I21" s="46">
        <f>G21+'23'!I21</f>
        <v>0</v>
      </c>
      <c r="J21" s="46">
        <f>Clinker!CT26</f>
        <v>0</v>
      </c>
      <c r="K21" s="46">
        <f>J21+'23'!K21</f>
        <v>0</v>
      </c>
      <c r="L21" s="46">
        <f>J21+'23'!L21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184</v>
      </c>
      <c r="D22" s="77"/>
      <c r="E22" s="69"/>
      <c r="F22" s="46">
        <f>Clinker!CW26</f>
        <v>0</v>
      </c>
      <c r="G22" s="46">
        <f>Clinker!CX26</f>
        <v>0</v>
      </c>
      <c r="H22" s="46">
        <f>G22+'23'!H22</f>
        <v>0</v>
      </c>
      <c r="I22" s="46">
        <f>G22+'23'!I22</f>
        <v>0</v>
      </c>
      <c r="J22" s="46">
        <f>Clinker!CY26</f>
        <v>0</v>
      </c>
      <c r="K22" s="46">
        <f>J22+'23'!K22</f>
        <v>0</v>
      </c>
      <c r="L22" s="46">
        <f>J22+'23'!L22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Clinker!DB26</f>
        <v>1.0000000000013998E-2</v>
      </c>
      <c r="G23" s="46">
        <f>Clinker!DC26</f>
        <v>0</v>
      </c>
      <c r="H23" s="46">
        <f>G23+'23'!H23</f>
        <v>0</v>
      </c>
      <c r="I23" s="46">
        <f>G23+'23'!I23</f>
        <v>0</v>
      </c>
      <c r="J23" s="46">
        <f>Clinker!DD26</f>
        <v>0</v>
      </c>
      <c r="K23" s="46">
        <f>J23+'23'!K23</f>
        <v>7.1</v>
      </c>
      <c r="L23" s="46">
        <f>J23+'23'!L23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Clinker!DG26</f>
        <v>0</v>
      </c>
      <c r="G24" s="46">
        <f>Clinker!DH26</f>
        <v>0</v>
      </c>
      <c r="H24" s="46">
        <f>G24+'23'!H24</f>
        <v>0</v>
      </c>
      <c r="I24" s="46">
        <f>G24+'23'!I24</f>
        <v>0</v>
      </c>
      <c r="J24" s="46">
        <f>Clinker!DI26</f>
        <v>0</v>
      </c>
      <c r="K24" s="46">
        <f>J24+'23'!K24</f>
        <v>0</v>
      </c>
      <c r="L24" s="46">
        <f>J24+'23'!L24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Clinker!DL26</f>
        <v>304</v>
      </c>
      <c r="G25" s="46">
        <f>Clinker!DM26</f>
        <v>0</v>
      </c>
      <c r="H25" s="46">
        <f>G25+'23'!H25</f>
        <v>92</v>
      </c>
      <c r="I25" s="46">
        <f>G25+'23'!I25</f>
        <v>304</v>
      </c>
      <c r="J25" s="46">
        <f>Clinker!DN26</f>
        <v>0</v>
      </c>
      <c r="K25" s="46">
        <f>J25+'23'!K25</f>
        <v>0</v>
      </c>
      <c r="L25" s="46">
        <f>J25+'23'!L25</f>
        <v>0</v>
      </c>
      <c r="M25" s="45">
        <f>F25+G25-J25-J47</f>
        <v>304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Clinker!DV26</f>
        <v>0</v>
      </c>
      <c r="G26" s="46">
        <f>Clinker!DW26</f>
        <v>0</v>
      </c>
      <c r="H26" s="46">
        <f>G26+'23'!H26</f>
        <v>0</v>
      </c>
      <c r="I26" s="46">
        <f>G26+'23'!I26</f>
        <v>0</v>
      </c>
      <c r="J26" s="46">
        <f>Clinker!DX26</f>
        <v>0</v>
      </c>
      <c r="K26" s="46">
        <f>J26+'23'!K26</f>
        <v>0</v>
      </c>
      <c r="L26" s="46">
        <f>J26+'23'!L26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3117.8269999999907</v>
      </c>
      <c r="G27" s="46">
        <f t="shared" ref="G27:Q27" si="0">SUM(G10:G26)</f>
        <v>243.06</v>
      </c>
      <c r="H27" s="46">
        <f t="shared" si="0"/>
        <v>4220.920000000001</v>
      </c>
      <c r="I27" s="46">
        <f t="shared" si="0"/>
        <v>5026.16</v>
      </c>
      <c r="J27" s="46">
        <f t="shared" si="0"/>
        <v>175</v>
      </c>
      <c r="K27" s="46">
        <f t="shared" si="0"/>
        <v>5663.1100000000006</v>
      </c>
      <c r="L27" s="46">
        <f t="shared" si="0"/>
        <v>20380.420000000002</v>
      </c>
      <c r="M27" s="46">
        <f t="shared" si="0"/>
        <v>3175.8869999999906</v>
      </c>
      <c r="N27" s="46">
        <f t="shared" si="0"/>
        <v>0</v>
      </c>
      <c r="O27" s="46">
        <f>SUM(O10:O26)</f>
        <v>10000</v>
      </c>
      <c r="P27" s="46">
        <f>SUM(P10:P26)</f>
        <v>18000</v>
      </c>
      <c r="Q27" s="46">
        <f t="shared" si="0"/>
        <v>3.9999999998087787E-2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Clinker!Q22</f>
        <v>0</v>
      </c>
      <c r="G29" s="46">
        <f>Clinker!R26</f>
        <v>0</v>
      </c>
      <c r="H29" s="46">
        <f>G29+'23'!H29</f>
        <v>0</v>
      </c>
      <c r="I29" s="46">
        <f>G29+'23'!I29</f>
        <v>0</v>
      </c>
      <c r="J29" s="46">
        <f>Clinker!S26</f>
        <v>0</v>
      </c>
      <c r="K29" s="46">
        <f>J29+'23'!K29</f>
        <v>0</v>
      </c>
      <c r="L29" s="46">
        <f>J29+'23'!L29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G30+'23'!H30</f>
        <v>0</v>
      </c>
      <c r="I30" s="46">
        <f>G30+'23'!I30</f>
        <v>0</v>
      </c>
      <c r="J30" s="46">
        <v>0</v>
      </c>
      <c r="K30" s="46">
        <f>J30+'23'!K30</f>
        <v>0</v>
      </c>
      <c r="L30" s="46">
        <f>J30+'23'!L30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G31+'23'!H31</f>
        <v>0</v>
      </c>
      <c r="I31" s="46">
        <f>G31+'23'!I31</f>
        <v>0</v>
      </c>
      <c r="J31" s="46">
        <v>0</v>
      </c>
      <c r="K31" s="46">
        <f>J31+'23'!K31</f>
        <v>0</v>
      </c>
      <c r="L31" s="46">
        <f>J31+'23'!L31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f>Clinker!DQ26</f>
        <v>0</v>
      </c>
      <c r="G32" s="46">
        <f>Clinker!DR26</f>
        <v>0</v>
      </c>
      <c r="H32" s="46">
        <f>G32+'23'!H32</f>
        <v>0</v>
      </c>
      <c r="I32" s="46">
        <f>G32+'23'!I32</f>
        <v>0</v>
      </c>
      <c r="J32" s="46">
        <v>0</v>
      </c>
      <c r="K32" s="46">
        <f>J32+'23'!K32</f>
        <v>0</v>
      </c>
      <c r="L32" s="46">
        <f>J32+'23'!L32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G33+'23'!H33</f>
        <v>0</v>
      </c>
      <c r="I33" s="46">
        <f>G33+'23'!I33</f>
        <v>0</v>
      </c>
      <c r="J33" s="46">
        <v>0</v>
      </c>
      <c r="K33" s="46">
        <f>J33+'23'!K33</f>
        <v>0</v>
      </c>
      <c r="L33" s="46">
        <f>J33+'23'!L33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Clinker!Y26</f>
        <v>0</v>
      </c>
      <c r="K34" s="46">
        <f>J34+'23'!K34</f>
        <v>0</v>
      </c>
      <c r="L34" s="46">
        <f>J34+'23'!L34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Clinker!M26</f>
        <v>0</v>
      </c>
      <c r="K35" s="46">
        <f>J35+'23'!K35</f>
        <v>0</v>
      </c>
      <c r="L35" s="46">
        <f>J35+'23'!L35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Clinker!AR26</f>
        <v>0</v>
      </c>
      <c r="K36" s="46">
        <f>J36+'23'!K36</f>
        <v>0</v>
      </c>
      <c r="L36" s="46">
        <f>J36+'23'!L36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Clinker!AW26</f>
        <v>0</v>
      </c>
      <c r="K37" s="46">
        <f>J37+'23'!K37</f>
        <v>0</v>
      </c>
      <c r="L37" s="46">
        <f>J37+'23'!L37</f>
        <v>20</v>
      </c>
      <c r="M37" s="45"/>
      <c r="N37" s="46"/>
      <c r="O37" s="46"/>
      <c r="P37" s="46"/>
      <c r="Q37" s="56"/>
    </row>
    <row r="38" spans="2:17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Clinker!BB26</f>
        <v>10</v>
      </c>
      <c r="K38" s="46">
        <f>J38+'23'!K38</f>
        <v>10</v>
      </c>
      <c r="L38" s="46">
        <f>J38+'23'!L38</f>
        <v>10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Clinker!BG26</f>
        <v>0</v>
      </c>
      <c r="K39" s="46">
        <f>J39+'23'!K39</f>
        <v>0</v>
      </c>
      <c r="L39" s="46">
        <f>J39+'23'!L39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13</v>
      </c>
      <c r="D40" s="282"/>
      <c r="E40" s="283"/>
      <c r="F40" s="46"/>
      <c r="G40" s="46"/>
      <c r="H40" s="46"/>
      <c r="I40" s="46"/>
      <c r="J40" s="46">
        <f>Clinker!BL26</f>
        <v>0</v>
      </c>
      <c r="K40" s="46">
        <f>J40+'23'!K40</f>
        <v>0</v>
      </c>
      <c r="L40" s="46">
        <f>J40+'23'!L40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Clinker!BQ26</f>
        <v>0</v>
      </c>
      <c r="K41" s="46">
        <f>J41+'23'!K41</f>
        <v>0</v>
      </c>
      <c r="L41" s="46">
        <f>J41+'23'!L41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Clinker!BV26</f>
        <v>0</v>
      </c>
      <c r="K42" s="46">
        <f>J42+'23'!K42</f>
        <v>0</v>
      </c>
      <c r="L42" s="46">
        <f>J42+'23'!L42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Clinker!CU26</f>
        <v>0</v>
      </c>
      <c r="K43" s="46">
        <f>J43+'23'!K43</f>
        <v>0</v>
      </c>
      <c r="L43" s="46">
        <f>J43+'23'!L43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Clinker!CZ26</f>
        <v>0</v>
      </c>
      <c r="K44" s="46">
        <f>J44+'23'!K44</f>
        <v>0</v>
      </c>
      <c r="L44" s="46">
        <f>J44+'23'!L44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Clinker!DE26</f>
        <v>0</v>
      </c>
      <c r="K45" s="46">
        <f>J45+'23'!K45</f>
        <v>0</v>
      </c>
      <c r="L45" s="46">
        <f>J45+'23'!L45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104</v>
      </c>
      <c r="D46" s="77"/>
      <c r="E46" s="69"/>
      <c r="F46" s="46"/>
      <c r="G46" s="46"/>
      <c r="H46" s="46"/>
      <c r="I46" s="46"/>
      <c r="J46" s="46">
        <f>Clinker!DJ26</f>
        <v>0</v>
      </c>
      <c r="K46" s="46">
        <f>J46+'23'!K46</f>
        <v>0</v>
      </c>
      <c r="L46" s="46">
        <f>J46+'23'!L46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Clinker!DO26</f>
        <v>0</v>
      </c>
      <c r="K47" s="46">
        <f>J47+'23'!K47</f>
        <v>0</v>
      </c>
      <c r="L47" s="46">
        <f>J47+'23'!L47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Clinker!CM26</f>
        <v>5.0000000000181899E-2</v>
      </c>
      <c r="G48" s="46">
        <f>Clinker!CN26</f>
        <v>0</v>
      </c>
      <c r="H48" s="46">
        <f>G48+'23'!H48</f>
        <v>0</v>
      </c>
      <c r="I48" s="46">
        <f>G48+'23'!I48</f>
        <v>0</v>
      </c>
      <c r="J48" s="46">
        <f>Clinker!CP26</f>
        <v>0</v>
      </c>
      <c r="K48" s="46">
        <f>J48+'23'!K48</f>
        <v>0</v>
      </c>
      <c r="L48" s="46">
        <f>J48+'23'!L48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Clinker!CC26</f>
        <v>0</v>
      </c>
      <c r="G49" s="46">
        <f>Clinker!CD26</f>
        <v>0</v>
      </c>
      <c r="H49" s="46">
        <f>G49+'23'!H49</f>
        <v>0</v>
      </c>
      <c r="I49" s="46">
        <f>G49+'23'!I49</f>
        <v>0</v>
      </c>
      <c r="J49" s="46">
        <f>Clinker!CF26</f>
        <v>0</v>
      </c>
      <c r="K49" s="46">
        <f>J49+'23'!K49</f>
        <v>0</v>
      </c>
      <c r="L49" s="46">
        <f>J49+'23'!L49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Clinker!CH26</f>
        <v>0</v>
      </c>
      <c r="G50" s="46">
        <f>Clinker!CI26</f>
        <v>0</v>
      </c>
      <c r="H50" s="46">
        <f>G50+'23'!H50</f>
        <v>0</v>
      </c>
      <c r="I50" s="46">
        <f>G50+'23'!I50</f>
        <v>0</v>
      </c>
      <c r="J50" s="46">
        <f>Clinker!CK26</f>
        <v>0</v>
      </c>
      <c r="K50" s="46">
        <f>J50+'23'!K50</f>
        <v>0</v>
      </c>
      <c r="L50" s="46">
        <f>J50+'23'!L50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Clinker!AF26</f>
        <v>4023.2699999999932</v>
      </c>
      <c r="G51" s="46">
        <f>Clinker!AG26</f>
        <v>61</v>
      </c>
      <c r="H51" s="46">
        <f>G51+'23'!H51</f>
        <v>3343.6000000000004</v>
      </c>
      <c r="I51" s="46">
        <f>G51+'23'!I51</f>
        <v>5484.5499999999993</v>
      </c>
      <c r="J51" s="46">
        <f>Clinker!AI26</f>
        <v>122</v>
      </c>
      <c r="K51" s="46">
        <f>J51+'23'!K51</f>
        <v>3430</v>
      </c>
      <c r="L51" s="46">
        <f>J51+'23'!L51</f>
        <v>10255</v>
      </c>
      <c r="M51" s="45">
        <f>F51+G51-J51-J20</f>
        <v>3962.2699999999932</v>
      </c>
      <c r="N51" s="46">
        <v>0</v>
      </c>
      <c r="O51" s="46">
        <v>1500</v>
      </c>
      <c r="P51" s="46">
        <v>3000</v>
      </c>
      <c r="Q51" s="56">
        <f>SUM(M51+N51)-O51</f>
        <v>2462.2699999999932</v>
      </c>
    </row>
    <row r="52" spans="2:19" x14ac:dyDescent="0.25">
      <c r="B52" s="288"/>
      <c r="C52" s="281" t="s">
        <v>156</v>
      </c>
      <c r="D52" s="282"/>
      <c r="E52" s="283"/>
      <c r="F52" s="46">
        <f>Clinker!AB26</f>
        <v>0</v>
      </c>
      <c r="G52" s="46">
        <f>Clinker!AC26</f>
        <v>0</v>
      </c>
      <c r="H52" s="46">
        <f>G52+'23'!H52</f>
        <v>0</v>
      </c>
      <c r="I52" s="46">
        <f>G52+'23'!I52</f>
        <v>0</v>
      </c>
      <c r="J52" s="46">
        <f>Clinker!AD26</f>
        <v>0</v>
      </c>
      <c r="K52" s="46">
        <f>J52+'23'!K52</f>
        <v>0</v>
      </c>
      <c r="L52" s="46">
        <f>J52+'23'!L52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>SUM(F29:F52)</f>
        <v>4023.3199999999933</v>
      </c>
      <c r="G53" s="46">
        <f>SUM(G29:G52)</f>
        <v>61</v>
      </c>
      <c r="H53" s="46">
        <f>SUM(H29:H52)</f>
        <v>3343.6000000000004</v>
      </c>
      <c r="I53" s="46">
        <f>SUM(I29:I52)</f>
        <v>5484.5499999999993</v>
      </c>
      <c r="J53" s="46">
        <f>SUM(J29:J52)</f>
        <v>132</v>
      </c>
      <c r="K53" s="46">
        <f>J53+'23'!K53</f>
        <v>3440</v>
      </c>
      <c r="L53" s="46">
        <f>J53+'23'!L53</f>
        <v>11612</v>
      </c>
      <c r="M53" s="46">
        <f>SUM(M29:M52)</f>
        <v>3962.3199999999933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2462.2699999999932</v>
      </c>
    </row>
    <row r="54" spans="2:19" x14ac:dyDescent="0.25">
      <c r="B54" s="289"/>
      <c r="C54" s="284" t="s">
        <v>157</v>
      </c>
      <c r="D54" s="285"/>
      <c r="E54" s="286"/>
      <c r="F54" s="59">
        <f>SUM(F27+F53)</f>
        <v>7141.1469999999845</v>
      </c>
      <c r="G54" s="59">
        <f>SUM(G27+G53)</f>
        <v>304.06</v>
      </c>
      <c r="H54" s="59">
        <f>SUM(H27+H53)</f>
        <v>7564.5200000000013</v>
      </c>
      <c r="I54" s="59">
        <f t="shared" ref="I54:Q54" si="1">SUM(I27+I53)</f>
        <v>10510.71</v>
      </c>
      <c r="J54" s="59">
        <f t="shared" si="1"/>
        <v>307</v>
      </c>
      <c r="K54" s="59">
        <f t="shared" si="1"/>
        <v>9103.11</v>
      </c>
      <c r="L54" s="59">
        <f t="shared" si="1"/>
        <v>31992.420000000002</v>
      </c>
      <c r="M54" s="59">
        <f t="shared" si="1"/>
        <v>7138.206999999984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1"/>
        <v>2462.3099999999913</v>
      </c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'!C26</f>
        <v>2628953</v>
      </c>
      <c r="G56" s="46">
        <f>'Packing bag '!D26</f>
        <v>0</v>
      </c>
      <c r="H56" s="46">
        <f>G56+'23'!H56</f>
        <v>811000</v>
      </c>
      <c r="I56" s="46">
        <f>G56+'23'!I56</f>
        <v>3963500</v>
      </c>
      <c r="J56" s="46">
        <f>'Packing bag '!E26</f>
        <v>16671</v>
      </c>
      <c r="K56" s="46">
        <f>J56+'23'!K56</f>
        <v>825953</v>
      </c>
      <c r="L56" s="46">
        <f>J56+'23'!L56</f>
        <v>2402787</v>
      </c>
      <c r="M56" s="46">
        <f>F56+G56-J56</f>
        <v>2612282</v>
      </c>
      <c r="N56" s="46"/>
      <c r="O56" s="46">
        <v>400000</v>
      </c>
      <c r="P56" s="46">
        <v>800000</v>
      </c>
      <c r="Q56" s="56">
        <f>SUM(M56+N56)-O56</f>
        <v>2212282</v>
      </c>
    </row>
    <row r="57" spans="2:19" x14ac:dyDescent="0.25">
      <c r="B57" s="288"/>
      <c r="C57" s="281" t="s">
        <v>160</v>
      </c>
      <c r="D57" s="282"/>
      <c r="E57" s="283"/>
      <c r="F57" s="46">
        <f>'Packing bag '!G26</f>
        <v>603392</v>
      </c>
      <c r="G57" s="46">
        <f>'Packing bag '!H26</f>
        <v>0</v>
      </c>
      <c r="H57" s="46">
        <f>G57+'23'!H57</f>
        <v>40500</v>
      </c>
      <c r="I57" s="46">
        <f>G57+'23'!I57</f>
        <v>332000</v>
      </c>
      <c r="J57" s="46">
        <f>'Packing bag '!I26</f>
        <v>1222</v>
      </c>
      <c r="K57" s="46">
        <f>J57+'23'!K57</f>
        <v>40491</v>
      </c>
      <c r="L57" s="46">
        <f>J57+'23'!L57</f>
        <v>130112</v>
      </c>
      <c r="M57" s="46">
        <f>F57+G57-J57</f>
        <v>602170</v>
      </c>
      <c r="N57" s="46"/>
      <c r="O57" s="46">
        <v>100000</v>
      </c>
      <c r="P57" s="46">
        <v>250000</v>
      </c>
      <c r="Q57" s="56">
        <f>SUM(M57+N57)-O57</f>
        <v>502170</v>
      </c>
    </row>
    <row r="58" spans="2:19" x14ac:dyDescent="0.25">
      <c r="B58" s="288"/>
      <c r="C58" s="281" t="s">
        <v>161</v>
      </c>
      <c r="D58" s="282"/>
      <c r="E58" s="283"/>
      <c r="F58" s="46">
        <f>'Packing bag '!K26</f>
        <v>478631</v>
      </c>
      <c r="G58" s="46">
        <f>'Packing bag '!L26</f>
        <v>0</v>
      </c>
      <c r="H58" s="46">
        <f>G58+'23'!H58</f>
        <v>0</v>
      </c>
      <c r="I58" s="46">
        <f>G58+'23'!I58</f>
        <v>295000</v>
      </c>
      <c r="J58" s="46">
        <f>'Packing bag '!M26</f>
        <v>600</v>
      </c>
      <c r="K58" s="46">
        <f>J58+'23'!K58</f>
        <v>50732</v>
      </c>
      <c r="L58" s="46">
        <f>J58+'23'!L58</f>
        <v>223024</v>
      </c>
      <c r="M58" s="46">
        <f>F58+G58-J58</f>
        <v>478031</v>
      </c>
      <c r="N58" s="46"/>
      <c r="O58" s="46">
        <v>50000</v>
      </c>
      <c r="P58" s="46">
        <v>150000</v>
      </c>
      <c r="Q58" s="56">
        <f>SUM(M58+N58)-O58</f>
        <v>428031</v>
      </c>
    </row>
    <row r="59" spans="2:19" x14ac:dyDescent="0.25">
      <c r="B59" s="288"/>
      <c r="C59" s="281" t="s">
        <v>162</v>
      </c>
      <c r="D59" s="282"/>
      <c r="E59" s="283"/>
      <c r="F59" s="46">
        <f>'Packing bag '!O26</f>
        <v>149688</v>
      </c>
      <c r="G59" s="46">
        <f>'Packing bag '!P26</f>
        <v>0</v>
      </c>
      <c r="H59" s="46">
        <f>G59+'23'!H59</f>
        <v>85612</v>
      </c>
      <c r="I59" s="46">
        <f>G59+'23'!I59</f>
        <v>85000</v>
      </c>
      <c r="J59" s="46">
        <f>'Packing bag '!Q26</f>
        <v>0</v>
      </c>
      <c r="K59" s="46">
        <f>J59+'23'!K59</f>
        <v>4244</v>
      </c>
      <c r="L59" s="46">
        <f>J59+'23'!L59</f>
        <v>19013</v>
      </c>
      <c r="M59" s="46">
        <f>F59+G59-J59</f>
        <v>149688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G60+'23'!H60</f>
        <v>0</v>
      </c>
      <c r="I60" s="46">
        <f>G60+'23'!I60</f>
        <v>0</v>
      </c>
      <c r="J60" s="46">
        <v>0</v>
      </c>
      <c r="K60" s="46">
        <f>J60+'23'!K60</f>
        <v>0</v>
      </c>
      <c r="L60" s="46">
        <f>J60+'23'!L60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G61+'23'!H61</f>
        <v>0</v>
      </c>
      <c r="I61" s="46">
        <f>G61+'23'!I61</f>
        <v>0</v>
      </c>
      <c r="J61" s="46">
        <v>0</v>
      </c>
      <c r="K61" s="46">
        <f>J61+'23'!K61</f>
        <v>0</v>
      </c>
      <c r="L61" s="46">
        <f>J61+'23'!L61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F56+F57+F58+F60+F61</f>
        <v>3710976</v>
      </c>
      <c r="G62" s="59">
        <f t="shared" ref="G62:Q62" si="2">G56+G57+G58+G60+G61</f>
        <v>0</v>
      </c>
      <c r="H62" s="59">
        <f t="shared" si="2"/>
        <v>851500</v>
      </c>
      <c r="I62" s="59">
        <f t="shared" si="2"/>
        <v>4590500</v>
      </c>
      <c r="J62" s="59">
        <f t="shared" si="2"/>
        <v>18493</v>
      </c>
      <c r="K62" s="59">
        <f t="shared" si="2"/>
        <v>917176</v>
      </c>
      <c r="L62" s="59">
        <f t="shared" si="2"/>
        <v>2755923</v>
      </c>
      <c r="M62" s="59">
        <f t="shared" si="2"/>
        <v>3692483</v>
      </c>
      <c r="N62" s="59">
        <v>0</v>
      </c>
      <c r="O62" s="59">
        <f>SUM(O56:O61)</f>
        <v>551500</v>
      </c>
      <c r="P62" s="59">
        <f>SUM(P56:P61)</f>
        <v>1207000</v>
      </c>
      <c r="Q62" s="59">
        <f t="shared" si="2"/>
        <v>3140983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Cement!G26</f>
        <v>0</v>
      </c>
      <c r="G64" s="46">
        <f>Cement!H26</f>
        <v>0</v>
      </c>
      <c r="H64" s="46">
        <f>G64+'23'!H64</f>
        <v>0</v>
      </c>
      <c r="I64" s="46">
        <f>G64+'23'!I64</f>
        <v>0</v>
      </c>
      <c r="J64" s="46">
        <v>0</v>
      </c>
      <c r="K64" s="46">
        <f>J64+'23'!K64</f>
        <v>0</v>
      </c>
      <c r="L64" s="46">
        <f>J64+'23'!L64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Cement!K26</f>
        <v>0</v>
      </c>
      <c r="G65" s="46">
        <f>Cement!L26</f>
        <v>0</v>
      </c>
      <c r="H65" s="46">
        <f>G65+'23'!H65</f>
        <v>0</v>
      </c>
      <c r="I65" s="46">
        <f>G65+'23'!I65</f>
        <v>0</v>
      </c>
      <c r="J65" s="46">
        <f>Cement!M26</f>
        <v>0</v>
      </c>
      <c r="K65" s="46">
        <f>J65+'23'!K65</f>
        <v>0</v>
      </c>
      <c r="L65" s="46">
        <f>J65+'23'!L65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F64+F65</f>
        <v>0</v>
      </c>
      <c r="G66" s="59">
        <f t="shared" ref="G66:M66" si="3">G64+G65</f>
        <v>0</v>
      </c>
      <c r="H66" s="59">
        <f t="shared" si="3"/>
        <v>0</v>
      </c>
      <c r="I66" s="59">
        <f t="shared" si="3"/>
        <v>0</v>
      </c>
      <c r="J66" s="59">
        <f t="shared" si="3"/>
        <v>0</v>
      </c>
      <c r="K66" s="59">
        <f t="shared" si="3"/>
        <v>0</v>
      </c>
      <c r="L66" s="59">
        <f t="shared" si="3"/>
        <v>0</v>
      </c>
      <c r="M66" s="59">
        <f t="shared" si="3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Diesel!B26</f>
        <v>51529</v>
      </c>
      <c r="G68" s="46">
        <f>Diesel!C26</f>
        <v>0</v>
      </c>
      <c r="H68" s="46">
        <f>G68+'23'!H68</f>
        <v>65000</v>
      </c>
      <c r="I68" s="46">
        <f>G68+'23'!I68</f>
        <v>155000</v>
      </c>
      <c r="J68" s="46">
        <v>0</v>
      </c>
      <c r="K68" s="46">
        <f>J68+'23'!K68</f>
        <v>0</v>
      </c>
      <c r="L68" s="46">
        <f>J68+'23'!L68</f>
        <v>0</v>
      </c>
      <c r="M68" s="46">
        <f>F68+G68-J68-J76</f>
        <v>48683</v>
      </c>
      <c r="N68" s="46"/>
      <c r="O68" s="46">
        <v>30000</v>
      </c>
      <c r="P68" s="46">
        <v>60000</v>
      </c>
      <c r="Q68" s="56">
        <f>SUM(M68+N68)-O68</f>
        <v>18683</v>
      </c>
    </row>
    <row r="69" spans="2:17" x14ac:dyDescent="0.25">
      <c r="B69" s="297"/>
      <c r="C69" s="281" t="s">
        <v>171</v>
      </c>
      <c r="D69" s="282"/>
      <c r="E69" s="283"/>
      <c r="F69" s="46">
        <f>Diesel!Y26</f>
        <v>0</v>
      </c>
      <c r="G69" s="46">
        <f>Diesel!Z26</f>
        <v>0</v>
      </c>
      <c r="H69" s="46">
        <f>G69+'23'!H69</f>
        <v>0</v>
      </c>
      <c r="I69" s="46">
        <f>G69+'23'!I69</f>
        <v>0</v>
      </c>
      <c r="J69" s="46">
        <f>Diesel!O26</f>
        <v>2000</v>
      </c>
      <c r="K69" s="46">
        <f>J69+'23'!K69</f>
        <v>5000</v>
      </c>
      <c r="L69" s="46">
        <f>J69+'23'!L69</f>
        <v>20000</v>
      </c>
      <c r="M69" s="46"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G70+'23'!H70</f>
        <v>0</v>
      </c>
      <c r="I70" s="46">
        <f>G70+'23'!I70</f>
        <v>0</v>
      </c>
      <c r="J70" s="46">
        <f>Diesel!P26</f>
        <v>0</v>
      </c>
      <c r="K70" s="46">
        <f>J70+'23'!K70</f>
        <v>105</v>
      </c>
      <c r="L70" s="46">
        <f>J70+'23'!L70</f>
        <v>708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G71+'23'!H71</f>
        <v>0</v>
      </c>
      <c r="I71" s="46">
        <f>G71+'23'!I71</f>
        <v>0</v>
      </c>
      <c r="J71" s="46">
        <f>Diesel!Q26</f>
        <v>27</v>
      </c>
      <c r="K71" s="46">
        <f>J71+'23'!K71</f>
        <v>20928</v>
      </c>
      <c r="L71" s="46">
        <f>J71+'23'!L71</f>
        <v>75563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G72+'23'!H72</f>
        <v>0</v>
      </c>
      <c r="I72" s="46">
        <f>G72+'23'!I72</f>
        <v>0</v>
      </c>
      <c r="J72" s="46">
        <f>Diesel!R26</f>
        <v>819</v>
      </c>
      <c r="K72" s="46">
        <f>J72+'23'!K72</f>
        <v>16429</v>
      </c>
      <c r="L72" s="46">
        <f>J72+'23'!L72</f>
        <v>59137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G73+'23'!H73</f>
        <v>0</v>
      </c>
      <c r="I73" s="46">
        <f>G73+'23'!I73</f>
        <v>0</v>
      </c>
      <c r="J73" s="46">
        <f>Diesel!S26</f>
        <v>0</v>
      </c>
      <c r="K73" s="46">
        <f>J73+'23'!K73</f>
        <v>0</v>
      </c>
      <c r="L73" s="46">
        <f>J73+'23'!L73</f>
        <v>0</v>
      </c>
      <c r="M73" s="46">
        <f t="shared" ref="M73:M75" si="4">F73+G73-J73</f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G74+'23'!H74</f>
        <v>0</v>
      </c>
      <c r="I74" s="46">
        <f>G74+'23'!I74</f>
        <v>0</v>
      </c>
      <c r="J74" s="46">
        <f>Diesel!T26</f>
        <v>0</v>
      </c>
      <c r="K74" s="46">
        <f>J74+'23'!K74</f>
        <v>0</v>
      </c>
      <c r="L74" s="46">
        <f>J74+'23'!L74</f>
        <v>0</v>
      </c>
      <c r="M74" s="46">
        <f t="shared" si="4"/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G75+'23'!H75</f>
        <v>0</v>
      </c>
      <c r="I75" s="46">
        <f>G75+'23'!I75</f>
        <v>0</v>
      </c>
      <c r="J75" s="61">
        <f>Diesel!U26</f>
        <v>0</v>
      </c>
      <c r="K75" s="46">
        <f>J75+'23'!K75</f>
        <v>0</v>
      </c>
      <c r="L75" s="46">
        <f>J75+'23'!L75</f>
        <v>0</v>
      </c>
      <c r="M75" s="46">
        <f t="shared" si="4"/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51529</v>
      </c>
      <c r="G76" s="62">
        <f t="shared" ref="G76:M76" si="5">SUM(G68:G75)</f>
        <v>0</v>
      </c>
      <c r="H76" s="62">
        <f t="shared" si="5"/>
        <v>65000</v>
      </c>
      <c r="I76" s="62">
        <f t="shared" si="5"/>
        <v>155000</v>
      </c>
      <c r="J76" s="62">
        <f t="shared" si="5"/>
        <v>2846</v>
      </c>
      <c r="K76" s="62">
        <f t="shared" si="5"/>
        <v>42462</v>
      </c>
      <c r="L76" s="62">
        <f t="shared" si="5"/>
        <v>155408</v>
      </c>
      <c r="M76" s="62">
        <f t="shared" si="5"/>
        <v>48683</v>
      </c>
      <c r="N76" s="63"/>
      <c r="O76" s="64"/>
      <c r="P76" s="62"/>
      <c r="Q76" s="65"/>
    </row>
  </sheetData>
  <mergeCells count="70">
    <mergeCell ref="C65:E65"/>
    <mergeCell ref="C34:E34"/>
    <mergeCell ref="C66:E66"/>
    <mergeCell ref="C51:E51"/>
    <mergeCell ref="C52:E52"/>
    <mergeCell ref="C53:E53"/>
    <mergeCell ref="C54:E54"/>
    <mergeCell ref="C55:Q55"/>
    <mergeCell ref="C56:E56"/>
    <mergeCell ref="C57:E57"/>
    <mergeCell ref="C58:E58"/>
    <mergeCell ref="C60:E60"/>
    <mergeCell ref="C38:D38"/>
    <mergeCell ref="C40:E40"/>
    <mergeCell ref="C50:D50"/>
    <mergeCell ref="C64:E64"/>
    <mergeCell ref="B9:B5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15:D15"/>
    <mergeCell ref="B63:B66"/>
    <mergeCell ref="C63:Q63"/>
    <mergeCell ref="C59:E59"/>
    <mergeCell ref="C29:E29"/>
    <mergeCell ref="C35:E35"/>
    <mergeCell ref="C36:D36"/>
    <mergeCell ref="C37:D37"/>
    <mergeCell ref="C47:D4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C27:E27"/>
    <mergeCell ref="C7:E7"/>
    <mergeCell ref="C17:E17"/>
    <mergeCell ref="C18:E18"/>
    <mergeCell ref="C20:D20"/>
    <mergeCell ref="C28:E28"/>
    <mergeCell ref="Q4:Q5"/>
    <mergeCell ref="C6:E6"/>
    <mergeCell ref="B55:B62"/>
    <mergeCell ref="C14:D14"/>
    <mergeCell ref="C12:E12"/>
    <mergeCell ref="C13:D13"/>
    <mergeCell ref="C61:E61"/>
    <mergeCell ref="C62:E62"/>
    <mergeCell ref="C33:E33"/>
    <mergeCell ref="C9:E9"/>
    <mergeCell ref="C10:E10"/>
    <mergeCell ref="C30:E30"/>
    <mergeCell ref="C31:E31"/>
    <mergeCell ref="C32:E32"/>
    <mergeCell ref="C11:E11"/>
  </mergeCells>
  <pageMargins left="0.7" right="0.7" top="0.75" bottom="0.75" header="0.3" footer="0.3"/>
  <pageSetup paperSize="9" scale="41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T10" sqref="T10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9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5" t="s">
        <v>233</v>
      </c>
      <c r="Q3" s="316"/>
    </row>
    <row r="4" spans="2:19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9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9" x14ac:dyDescent="0.25">
      <c r="B6" s="54">
        <v>1</v>
      </c>
      <c r="C6" s="308" t="s">
        <v>135</v>
      </c>
      <c r="D6" s="309"/>
      <c r="E6" s="310"/>
      <c r="F6" s="45">
        <f>Clinker!C27</f>
        <v>1249.5400000000002</v>
      </c>
      <c r="G6" s="45">
        <f>Clinker!D27</f>
        <v>38.200000000000003</v>
      </c>
      <c r="H6" s="45">
        <f>G6+'24'!H6</f>
        <v>98.82</v>
      </c>
      <c r="I6" s="45">
        <f>G6+'24'!I6</f>
        <v>516.1</v>
      </c>
      <c r="J6" s="45">
        <f>Clinker!E27</f>
        <v>51</v>
      </c>
      <c r="K6" s="45">
        <f>J6+'24'!K6</f>
        <v>1510</v>
      </c>
      <c r="L6" s="45">
        <f>J6+'24'!L6</f>
        <v>4645</v>
      </c>
      <c r="M6" s="45">
        <f>F6+G6-J6</f>
        <v>1236.7400000000002</v>
      </c>
      <c r="N6" s="45">
        <v>0</v>
      </c>
      <c r="O6" s="45">
        <v>3000</v>
      </c>
      <c r="P6" s="45">
        <v>6000</v>
      </c>
      <c r="Q6" s="55">
        <f>SUM(M6+N6)-O6</f>
        <v>-1763.2599999999998</v>
      </c>
      <c r="S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Cement!C27</f>
        <v>3114.1210047204372</v>
      </c>
      <c r="G7" s="46">
        <f>Cement!D27</f>
        <v>0</v>
      </c>
      <c r="H7" s="45">
        <f>G7+'24'!H7</f>
        <v>2150.36</v>
      </c>
      <c r="I7" s="45">
        <f>G7+'24'!I7</f>
        <v>4276.9799999999996</v>
      </c>
      <c r="J7" s="46">
        <f>Cement!I27</f>
        <v>154.68421052631581</v>
      </c>
      <c r="K7" s="45">
        <f>J7+'24'!K7</f>
        <v>3399.2290639620551</v>
      </c>
      <c r="L7" s="45">
        <f>J7+'24'!L7</f>
        <v>8625.4590542895548</v>
      </c>
      <c r="M7" s="45">
        <f>F7+G7-J7</f>
        <v>2959.4367941941214</v>
      </c>
      <c r="N7" s="46">
        <v>0</v>
      </c>
      <c r="O7" s="46">
        <v>3000</v>
      </c>
      <c r="P7" s="46">
        <v>6000</v>
      </c>
      <c r="Q7" s="56">
        <f>SUM(M7+N7)-O7</f>
        <v>-40.563205805878624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Clinker!EI27</f>
        <v>15088.847566462471</v>
      </c>
      <c r="G8" s="46">
        <f>Clinker!EJ27</f>
        <v>1525</v>
      </c>
      <c r="H8" s="45">
        <f>G8+'24'!H8</f>
        <v>34032</v>
      </c>
      <c r="I8" s="45">
        <f>G8+'24'!I8</f>
        <v>132948.66</v>
      </c>
      <c r="J8" s="46">
        <f>Clinker!EK27</f>
        <v>2398.3320000000003</v>
      </c>
      <c r="K8" s="45">
        <f>J8+'24'!K8</f>
        <v>51068.386521344488</v>
      </c>
      <c r="L8" s="45">
        <f>J8+'24'!L8</f>
        <v>130864.2335411644</v>
      </c>
      <c r="M8" s="45">
        <f>F8+G8-J8</f>
        <v>14215.515566462471</v>
      </c>
      <c r="N8" s="46">
        <v>0</v>
      </c>
      <c r="O8" s="46"/>
      <c r="P8" s="46"/>
      <c r="Q8" s="56"/>
      <c r="S8" s="90"/>
    </row>
    <row r="9" spans="2:19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88"/>
      <c r="C10" s="281" t="s">
        <v>138</v>
      </c>
      <c r="D10" s="282"/>
      <c r="E10" s="283"/>
      <c r="F10" s="46">
        <f>Clinker!K27</f>
        <v>0</v>
      </c>
      <c r="G10" s="46">
        <f>Clinker!L27</f>
        <v>0</v>
      </c>
      <c r="H10" s="46">
        <f>G10+'24'!H10</f>
        <v>0</v>
      </c>
      <c r="I10" s="46">
        <f>G10+'24'!I10</f>
        <v>0</v>
      </c>
      <c r="J10" s="46">
        <f>Clinker!N27</f>
        <v>0</v>
      </c>
      <c r="K10" s="46">
        <f>J10+'24'!K10</f>
        <v>0</v>
      </c>
      <c r="L10" s="46">
        <f>J10+'24'!L10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ht="15" customHeight="1" x14ac:dyDescent="0.25">
      <c r="B11" s="288"/>
      <c r="C11" s="281" t="s">
        <v>139</v>
      </c>
      <c r="D11" s="282"/>
      <c r="E11" s="283"/>
      <c r="F11" s="46">
        <f>Clinker!W27</f>
        <v>3.9999999998087787E-2</v>
      </c>
      <c r="G11" s="46">
        <f>Clinker!X27</f>
        <v>0</v>
      </c>
      <c r="H11" s="46">
        <f>G11+'24'!H11</f>
        <v>0</v>
      </c>
      <c r="I11" s="46">
        <f>G11+'24'!I11</f>
        <v>0</v>
      </c>
      <c r="J11" s="46">
        <f>Clinker!Z27</f>
        <v>0</v>
      </c>
      <c r="K11" s="46">
        <f>J11+'24'!K11</f>
        <v>1063</v>
      </c>
      <c r="L11" s="46">
        <f>J11+'24'!L11</f>
        <v>8686.84</v>
      </c>
      <c r="M11" s="45">
        <f>F11+G11-J11-J34</f>
        <v>3.9999999998087787E-2</v>
      </c>
      <c r="N11" s="46">
        <v>0</v>
      </c>
      <c r="O11" s="46"/>
      <c r="P11" s="46"/>
      <c r="Q11" s="71">
        <f>SUM(M11+N11)-O11</f>
        <v>3.9999999998087787E-2</v>
      </c>
    </row>
    <row r="12" spans="2:19" ht="15" customHeight="1" x14ac:dyDescent="0.25">
      <c r="B12" s="288"/>
      <c r="C12" s="281" t="s">
        <v>140</v>
      </c>
      <c r="D12" s="282"/>
      <c r="E12" s="283"/>
      <c r="F12" s="46">
        <f>Clinker!AT27</f>
        <v>1.0000000002058584E-2</v>
      </c>
      <c r="G12" s="46">
        <f>Clinker!AU27</f>
        <v>0</v>
      </c>
      <c r="H12" s="46">
        <f>G12+'24'!H12</f>
        <v>0</v>
      </c>
      <c r="I12" s="46">
        <f>G12+'24'!I12</f>
        <v>181.5</v>
      </c>
      <c r="J12" s="46">
        <f>Clinker!AV27</f>
        <v>0</v>
      </c>
      <c r="K12" s="46">
        <f>J12+'24'!K12</f>
        <v>2933.89</v>
      </c>
      <c r="L12" s="46">
        <f>J12+'24'!L12</f>
        <v>5675.5900000000011</v>
      </c>
      <c r="M12" s="45">
        <f>F12+G12-J12</f>
        <v>1.0000000002058584E-2</v>
      </c>
      <c r="N12" s="46">
        <v>0</v>
      </c>
      <c r="O12" s="46"/>
      <c r="P12" s="46"/>
      <c r="Q12" s="71"/>
    </row>
    <row r="13" spans="2:19" x14ac:dyDescent="0.25">
      <c r="B13" s="288"/>
      <c r="C13" s="281" t="s">
        <v>9</v>
      </c>
      <c r="D13" s="282"/>
      <c r="E13" s="69"/>
      <c r="F13" s="46">
        <f>Clinker!AO27</f>
        <v>0</v>
      </c>
      <c r="G13" s="46">
        <f>Clinker!AP27</f>
        <v>0</v>
      </c>
      <c r="H13" s="46">
        <f>G13+'24'!H13</f>
        <v>0</v>
      </c>
      <c r="I13" s="46">
        <f>G13+'24'!I13</f>
        <v>0</v>
      </c>
      <c r="J13" s="46">
        <f>Clinker!AQ27</f>
        <v>0</v>
      </c>
      <c r="K13" s="46">
        <f>J13+'24'!K13</f>
        <v>0</v>
      </c>
      <c r="L13" s="46">
        <f>J13+'24'!L13</f>
        <v>0</v>
      </c>
      <c r="M13" s="45">
        <f>F13+G13-J13-J36</f>
        <v>0</v>
      </c>
      <c r="N13" s="46">
        <v>0</v>
      </c>
      <c r="O13" s="46"/>
      <c r="P13" s="46"/>
      <c r="Q13" s="71"/>
    </row>
    <row r="14" spans="2:19" x14ac:dyDescent="0.25">
      <c r="B14" s="288"/>
      <c r="C14" s="281" t="s">
        <v>8</v>
      </c>
      <c r="D14" s="282"/>
      <c r="E14" s="69"/>
      <c r="F14" s="46">
        <f>Clinker!AK27</f>
        <v>0</v>
      </c>
      <c r="G14" s="46">
        <f>Clinker!AL27</f>
        <v>0</v>
      </c>
      <c r="H14" s="46">
        <f>G14+'24'!H14</f>
        <v>0</v>
      </c>
      <c r="I14" s="46">
        <f>G14+'24'!I14</f>
        <v>0</v>
      </c>
      <c r="J14" s="46">
        <f>Clinker!AM27</f>
        <v>0</v>
      </c>
      <c r="K14" s="46">
        <f>J14+'24'!K14</f>
        <v>0</v>
      </c>
      <c r="L14" s="46">
        <f>J14+'24'!L14</f>
        <v>0</v>
      </c>
      <c r="M14" s="45">
        <f>F14+G14-J14</f>
        <v>0</v>
      </c>
      <c r="N14" s="46">
        <v>0</v>
      </c>
      <c r="O14" s="46"/>
      <c r="P14" s="46"/>
      <c r="Q14" s="71"/>
    </row>
    <row r="15" spans="2:19" ht="15" customHeight="1" x14ac:dyDescent="0.25">
      <c r="B15" s="288"/>
      <c r="C15" s="281" t="s">
        <v>11</v>
      </c>
      <c r="D15" s="282"/>
      <c r="E15" s="69"/>
      <c r="F15" s="46">
        <f>Clinker!AY27</f>
        <v>2871.8269999999902</v>
      </c>
      <c r="G15" s="46">
        <f>Clinker!AZ27</f>
        <v>254.56</v>
      </c>
      <c r="H15" s="46">
        <f>G15+'24'!H15</f>
        <v>4383.4800000000014</v>
      </c>
      <c r="I15" s="46">
        <f>G15+'24'!I15</f>
        <v>4795.22</v>
      </c>
      <c r="J15" s="46">
        <f>Clinker!BA27</f>
        <v>272</v>
      </c>
      <c r="K15" s="46">
        <f>J15+'24'!K15</f>
        <v>1931.12</v>
      </c>
      <c r="L15" s="46">
        <f>J15+'24'!L15</f>
        <v>1931.12</v>
      </c>
      <c r="M15" s="45">
        <f>F15+G15-J15-J38</f>
        <v>2854.3869999999902</v>
      </c>
      <c r="N15" s="46">
        <v>187.76</v>
      </c>
      <c r="O15" s="46">
        <v>5000</v>
      </c>
      <c r="P15" s="46">
        <v>9000</v>
      </c>
      <c r="Q15" s="71"/>
    </row>
    <row r="16" spans="2:19" x14ac:dyDescent="0.25">
      <c r="B16" s="288"/>
      <c r="C16" s="76" t="s">
        <v>141</v>
      </c>
      <c r="D16" s="77"/>
      <c r="E16" s="69"/>
      <c r="F16" s="46">
        <f>Clinker!BD27</f>
        <v>0</v>
      </c>
      <c r="G16" s="46">
        <f>Clinker!BE27</f>
        <v>0</v>
      </c>
      <c r="H16" s="46">
        <f>G16+'24'!H16</f>
        <v>0</v>
      </c>
      <c r="I16" s="46">
        <f>G16+'24'!I16</f>
        <v>0</v>
      </c>
      <c r="J16" s="46">
        <f>Clinker!BF27</f>
        <v>0</v>
      </c>
      <c r="K16" s="46">
        <f>J16+'24'!K16</f>
        <v>0</v>
      </c>
      <c r="L16" s="46">
        <f>J16+'24'!L16</f>
        <v>0</v>
      </c>
      <c r="M16" s="45">
        <f>F16+G16-J16</f>
        <v>0</v>
      </c>
      <c r="N16" s="46">
        <v>0</v>
      </c>
      <c r="O16" s="46"/>
      <c r="P16" s="46"/>
      <c r="Q16" s="71"/>
    </row>
    <row r="17" spans="2:17" ht="14.25" customHeight="1" x14ac:dyDescent="0.25">
      <c r="B17" s="288"/>
      <c r="C17" s="281" t="s">
        <v>13</v>
      </c>
      <c r="D17" s="282"/>
      <c r="E17" s="283"/>
      <c r="F17" s="46">
        <f>Clinker!BI27</f>
        <v>0</v>
      </c>
      <c r="G17" s="46">
        <f>Clinker!BJ27</f>
        <v>0</v>
      </c>
      <c r="H17" s="46">
        <f>G17+'24'!H17</f>
        <v>0</v>
      </c>
      <c r="I17" s="46">
        <f>G17+'24'!I17</f>
        <v>0</v>
      </c>
      <c r="J17" s="46">
        <f>Clinker!BK27</f>
        <v>0</v>
      </c>
      <c r="K17" s="46">
        <f>J17+'24'!K17</f>
        <v>0</v>
      </c>
      <c r="L17" s="46">
        <f>J17+'24'!L17</f>
        <v>0</v>
      </c>
      <c r="M17" s="45">
        <f>F17+G17-J17</f>
        <v>0</v>
      </c>
      <c r="N17" s="46">
        <v>0</v>
      </c>
      <c r="O17" s="46"/>
      <c r="P17" s="46"/>
      <c r="Q17" s="71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Clinker!BN27</f>
        <v>0</v>
      </c>
      <c r="G18" s="46">
        <f>Clinker!BO27</f>
        <v>0</v>
      </c>
      <c r="H18" s="46">
        <f>G18+'24'!H18</f>
        <v>0</v>
      </c>
      <c r="I18" s="46">
        <f>G18+'24'!I18</f>
        <v>0</v>
      </c>
      <c r="J18" s="46">
        <f>Clinker!BP27</f>
        <v>0</v>
      </c>
      <c r="K18" s="46">
        <f>J18+'24'!K18</f>
        <v>0</v>
      </c>
      <c r="L18" s="46">
        <f>J18+'24'!L18</f>
        <v>0</v>
      </c>
      <c r="M18" s="45">
        <f>F18+G18-J18-J41</f>
        <v>0</v>
      </c>
      <c r="N18" s="46">
        <v>0</v>
      </c>
      <c r="O18" s="46"/>
      <c r="P18" s="46"/>
      <c r="Q18" s="71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Clinker!BS27</f>
        <v>0</v>
      </c>
      <c r="G19" s="46">
        <f>Clinker!BT27</f>
        <v>0</v>
      </c>
      <c r="H19" s="46">
        <f>G19+'24'!H19</f>
        <v>0</v>
      </c>
      <c r="I19" s="46">
        <f>G19+'24'!I19</f>
        <v>0</v>
      </c>
      <c r="J19" s="46">
        <f>Clinker!BU27</f>
        <v>0</v>
      </c>
      <c r="K19" s="46">
        <f>J19+'24'!K19</f>
        <v>0</v>
      </c>
      <c r="L19" s="46">
        <f>J19+'24'!L19</f>
        <v>0</v>
      </c>
      <c r="M19" s="45">
        <f>F19+G19-J19-J42</f>
        <v>0</v>
      </c>
      <c r="N19" s="46">
        <v>0</v>
      </c>
      <c r="O19" s="46"/>
      <c r="P19" s="46"/>
      <c r="Q19" s="71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Clinker!BX27</f>
        <v>0</v>
      </c>
      <c r="G20" s="46">
        <f>Clinker!BY27</f>
        <v>0</v>
      </c>
      <c r="H20" s="46">
        <f>G20+'24'!H20</f>
        <v>0</v>
      </c>
      <c r="I20" s="46">
        <f>G20+'24'!I20</f>
        <v>0</v>
      </c>
      <c r="J20" s="46">
        <f>Clinker!AH27</f>
        <v>0</v>
      </c>
      <c r="K20" s="46">
        <f>J20+'24'!K20</f>
        <v>0</v>
      </c>
      <c r="L20" s="46">
        <f>J20+'24'!L20</f>
        <v>4052.88</v>
      </c>
      <c r="M20" s="45">
        <v>0</v>
      </c>
      <c r="N20" s="46">
        <v>0</v>
      </c>
      <c r="O20" s="46"/>
      <c r="P20" s="46"/>
      <c r="Q20" s="71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Clinker!CR27</f>
        <v>0</v>
      </c>
      <c r="G21" s="46">
        <f>Clinker!CS27</f>
        <v>0</v>
      </c>
      <c r="H21" s="46">
        <f>G21+'24'!H21</f>
        <v>0</v>
      </c>
      <c r="I21" s="46">
        <f>G21+'24'!I21</f>
        <v>0</v>
      </c>
      <c r="J21" s="46">
        <f>Clinker!CT27</f>
        <v>0</v>
      </c>
      <c r="K21" s="46">
        <f>J21+'24'!K21</f>
        <v>0</v>
      </c>
      <c r="L21" s="46">
        <f>J21+'24'!L21</f>
        <v>0</v>
      </c>
      <c r="M21" s="45">
        <f>F21+G21-J21-J43</f>
        <v>0</v>
      </c>
      <c r="N21" s="46">
        <v>0</v>
      </c>
      <c r="O21" s="46"/>
      <c r="P21" s="46"/>
      <c r="Q21" s="71"/>
    </row>
    <row r="22" spans="2:17" ht="14.25" customHeight="1" x14ac:dyDescent="0.25">
      <c r="B22" s="288"/>
      <c r="C22" s="76" t="s">
        <v>184</v>
      </c>
      <c r="D22" s="77"/>
      <c r="E22" s="69"/>
      <c r="F22" s="46">
        <f>Clinker!CW27</f>
        <v>0</v>
      </c>
      <c r="G22" s="46">
        <f>Clinker!CX27</f>
        <v>0</v>
      </c>
      <c r="H22" s="46">
        <f>G22+'24'!H22</f>
        <v>0</v>
      </c>
      <c r="I22" s="46">
        <f>G22+'24'!I22</f>
        <v>0</v>
      </c>
      <c r="J22" s="46">
        <f>Clinker!CY27</f>
        <v>0</v>
      </c>
      <c r="K22" s="46">
        <f>J22+'24'!K22</f>
        <v>0</v>
      </c>
      <c r="L22" s="46">
        <f>J22+'24'!L22</f>
        <v>0</v>
      </c>
      <c r="M22" s="45">
        <f>F22+G22-J22</f>
        <v>0</v>
      </c>
      <c r="N22" s="46">
        <v>0</v>
      </c>
      <c r="O22" s="46"/>
      <c r="P22" s="46"/>
      <c r="Q22" s="71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Clinker!DB27</f>
        <v>1.0000000000013998E-2</v>
      </c>
      <c r="G23" s="46">
        <f>Clinker!DC27</f>
        <v>0</v>
      </c>
      <c r="H23" s="46">
        <f>G23+'24'!H23</f>
        <v>0</v>
      </c>
      <c r="I23" s="46">
        <f>G23+'24'!I23</f>
        <v>0</v>
      </c>
      <c r="J23" s="46">
        <f>Clinker!DD27</f>
        <v>0</v>
      </c>
      <c r="K23" s="46">
        <f>J23+'24'!K23</f>
        <v>7.1</v>
      </c>
      <c r="L23" s="46">
        <f>J23+'24'!L23</f>
        <v>305.99</v>
      </c>
      <c r="M23" s="45">
        <f>F23+G23-J23-J45</f>
        <v>1.0000000000013998E-2</v>
      </c>
      <c r="N23" s="46">
        <v>0</v>
      </c>
      <c r="O23" s="46"/>
      <c r="P23" s="46"/>
      <c r="Q23" s="71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Clinker!DG27</f>
        <v>0</v>
      </c>
      <c r="G24" s="46">
        <f>Clinker!DH27</f>
        <v>0</v>
      </c>
      <c r="H24" s="46">
        <f>G24+'24'!H24</f>
        <v>0</v>
      </c>
      <c r="I24" s="46">
        <f>G24+'24'!I24</f>
        <v>0</v>
      </c>
      <c r="J24" s="46">
        <f>Clinker!DI27</f>
        <v>0</v>
      </c>
      <c r="K24" s="46">
        <f>J24+'24'!K24</f>
        <v>0</v>
      </c>
      <c r="L24" s="46">
        <f>J24+'24'!L24</f>
        <v>0</v>
      </c>
      <c r="M24" s="45">
        <f>F24+G24-J24-J50</f>
        <v>0</v>
      </c>
      <c r="N24" s="46">
        <v>0</v>
      </c>
      <c r="O24" s="46"/>
      <c r="P24" s="46"/>
      <c r="Q24" s="71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Clinker!DL27</f>
        <v>304</v>
      </c>
      <c r="G25" s="46">
        <f>Clinker!DM27</f>
        <v>0</v>
      </c>
      <c r="H25" s="46">
        <f>G25+'24'!H25</f>
        <v>92</v>
      </c>
      <c r="I25" s="46">
        <f>G25+'24'!I25</f>
        <v>304</v>
      </c>
      <c r="J25" s="46">
        <f>Clinker!DN27</f>
        <v>0</v>
      </c>
      <c r="K25" s="46">
        <f>J25+'24'!K25</f>
        <v>0</v>
      </c>
      <c r="L25" s="46">
        <f>J25+'24'!L25</f>
        <v>0</v>
      </c>
      <c r="M25" s="45">
        <f>F25+G25-J25-J47</f>
        <v>304</v>
      </c>
      <c r="N25" s="46">
        <v>32</v>
      </c>
      <c r="O25" s="46">
        <v>5000</v>
      </c>
      <c r="P25" s="46">
        <v>9000</v>
      </c>
      <c r="Q25" s="71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Clinker!DV27</f>
        <v>0</v>
      </c>
      <c r="G26" s="46">
        <f>Clinker!DW27</f>
        <v>0</v>
      </c>
      <c r="H26" s="46">
        <f>G26+'24'!H26</f>
        <v>0</v>
      </c>
      <c r="I26" s="46">
        <f>G26+'24'!I26</f>
        <v>0</v>
      </c>
      <c r="J26" s="46">
        <f>Clinker!DX27</f>
        <v>0</v>
      </c>
      <c r="K26" s="46">
        <f>J26+'24'!K26</f>
        <v>0</v>
      </c>
      <c r="L26" s="46">
        <f>J26+'24'!L26</f>
        <v>0</v>
      </c>
      <c r="M26" s="45">
        <f>F26+G26-J26</f>
        <v>0</v>
      </c>
      <c r="N26" s="46">
        <v>0</v>
      </c>
      <c r="O26" s="46"/>
      <c r="P26" s="46"/>
      <c r="Q26" s="71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3175.8869999999906</v>
      </c>
      <c r="G27" s="46">
        <f t="shared" ref="G27:Q27" si="0">SUM(G10:G26)</f>
        <v>254.56</v>
      </c>
      <c r="H27" s="46">
        <f t="shared" si="0"/>
        <v>4475.4800000000014</v>
      </c>
      <c r="I27" s="46">
        <f t="shared" si="0"/>
        <v>5280.72</v>
      </c>
      <c r="J27" s="46">
        <f t="shared" si="0"/>
        <v>272</v>
      </c>
      <c r="K27" s="46">
        <f t="shared" si="0"/>
        <v>5935.1100000000006</v>
      </c>
      <c r="L27" s="46">
        <f t="shared" si="0"/>
        <v>20652.420000000002</v>
      </c>
      <c r="M27" s="46">
        <f t="shared" si="0"/>
        <v>3158.4469999999906</v>
      </c>
      <c r="N27" s="46">
        <f t="shared" si="0"/>
        <v>219.76</v>
      </c>
      <c r="O27" s="46">
        <f t="shared" si="0"/>
        <v>10000</v>
      </c>
      <c r="P27" s="46">
        <f t="shared" si="0"/>
        <v>18000</v>
      </c>
      <c r="Q27" s="46">
        <f t="shared" si="0"/>
        <v>3.9999999998087787E-2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Clinker!Q27</f>
        <v>0</v>
      </c>
      <c r="G29" s="46">
        <f>Clinker!R27</f>
        <v>0</v>
      </c>
      <c r="H29" s="46">
        <f>G29+'24'!H29</f>
        <v>0</v>
      </c>
      <c r="I29" s="46">
        <f>G29+'24'!I29</f>
        <v>0</v>
      </c>
      <c r="J29" s="46">
        <f>Clinker!S27</f>
        <v>0</v>
      </c>
      <c r="K29" s="46">
        <f>J29+'24'!K29</f>
        <v>0</v>
      </c>
      <c r="L29" s="46">
        <f>J29+'24'!L29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G30+'24'!H30</f>
        <v>0</v>
      </c>
      <c r="I30" s="46">
        <f>G30+'24'!I30</f>
        <v>0</v>
      </c>
      <c r="J30" s="46">
        <v>0</v>
      </c>
      <c r="K30" s="46">
        <f>J30+'24'!K30</f>
        <v>0</v>
      </c>
      <c r="L30" s="46">
        <f>J30+'24'!L30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G31+'24'!H31</f>
        <v>0</v>
      </c>
      <c r="I31" s="46">
        <f>G31+'24'!I31</f>
        <v>0</v>
      </c>
      <c r="J31" s="46">
        <v>0</v>
      </c>
      <c r="K31" s="46">
        <f>J31+'24'!K31</f>
        <v>0</v>
      </c>
      <c r="L31" s="46">
        <f>J31+'24'!L31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f>Clinker!DQ27</f>
        <v>0</v>
      </c>
      <c r="G32" s="46">
        <f>Clinker!DR27</f>
        <v>0</v>
      </c>
      <c r="H32" s="46">
        <f>G32+'24'!H32</f>
        <v>0</v>
      </c>
      <c r="I32" s="46">
        <f>G32+'24'!I32</f>
        <v>0</v>
      </c>
      <c r="J32" s="46">
        <f>Clinker!DT27</f>
        <v>0</v>
      </c>
      <c r="K32" s="46">
        <f>J32+'24'!K32</f>
        <v>0</v>
      </c>
      <c r="L32" s="46">
        <f>J32+'24'!L32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G33+'24'!H33</f>
        <v>0</v>
      </c>
      <c r="I33" s="46">
        <f>G33+'24'!I33</f>
        <v>0</v>
      </c>
      <c r="J33" s="46">
        <v>0</v>
      </c>
      <c r="K33" s="46">
        <f>J33+'24'!K33</f>
        <v>0</v>
      </c>
      <c r="L33" s="46">
        <f>J33+'24'!L33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Clinker!Y27</f>
        <v>0</v>
      </c>
      <c r="K34" s="46">
        <f>J34+'24'!K34</f>
        <v>0</v>
      </c>
      <c r="L34" s="46">
        <f>J34+'24'!L34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Clinker!M27</f>
        <v>0</v>
      </c>
      <c r="K35" s="46">
        <f>J35+'24'!K35</f>
        <v>0</v>
      </c>
      <c r="L35" s="46">
        <f>J35+'24'!L35</f>
        <v>0</v>
      </c>
      <c r="M35" s="45"/>
      <c r="N35" s="46"/>
      <c r="O35" s="46"/>
      <c r="P35" s="46"/>
      <c r="Q35" s="56"/>
    </row>
    <row r="36" spans="2:17" ht="15" customHeight="1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Clinker!AR27</f>
        <v>0</v>
      </c>
      <c r="K36" s="46">
        <f>J36+'24'!K36</f>
        <v>0</v>
      </c>
      <c r="L36" s="46">
        <f>J36+'24'!L36</f>
        <v>0</v>
      </c>
      <c r="M36" s="45"/>
      <c r="N36" s="46"/>
      <c r="O36" s="46"/>
      <c r="P36" s="46"/>
      <c r="Q36" s="56"/>
    </row>
    <row r="37" spans="2:17" ht="15" customHeight="1" x14ac:dyDescent="0.25">
      <c r="B37" s="288"/>
      <c r="C37" s="281" t="s">
        <v>25</v>
      </c>
      <c r="D37" s="282"/>
      <c r="E37" s="69"/>
      <c r="F37" s="46"/>
      <c r="G37" s="46"/>
      <c r="H37" s="46"/>
      <c r="I37" s="46"/>
      <c r="J37" s="46">
        <f>Clinker!AW27</f>
        <v>0</v>
      </c>
      <c r="K37" s="46">
        <f>J37+'24'!K37</f>
        <v>0</v>
      </c>
      <c r="L37" s="46">
        <f>J37+'24'!L37</f>
        <v>20</v>
      </c>
      <c r="M37" s="45"/>
      <c r="N37" s="46"/>
      <c r="O37" s="46"/>
      <c r="P37" s="46"/>
      <c r="Q37" s="56"/>
    </row>
    <row r="38" spans="2:17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Clinker!BB27</f>
        <v>0</v>
      </c>
      <c r="K38" s="46">
        <f>J38+'24'!K38</f>
        <v>10</v>
      </c>
      <c r="L38" s="46">
        <f>J38+'24'!L38</f>
        <v>10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Clinker!BG27</f>
        <v>0</v>
      </c>
      <c r="K39" s="46">
        <f>J39+'24'!K39</f>
        <v>0</v>
      </c>
      <c r="L39" s="46">
        <f>J39+'24'!L39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13</v>
      </c>
      <c r="D40" s="282"/>
      <c r="E40" s="283"/>
      <c r="F40" s="46"/>
      <c r="G40" s="46"/>
      <c r="H40" s="46"/>
      <c r="I40" s="46"/>
      <c r="J40" s="46">
        <f>Clinker!BL27</f>
        <v>0</v>
      </c>
      <c r="K40" s="46">
        <f>J40+'24'!K40</f>
        <v>0</v>
      </c>
      <c r="L40" s="46">
        <f>J40+'24'!L40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Clinker!BQ27</f>
        <v>0</v>
      </c>
      <c r="K41" s="46">
        <f>J41+'24'!K41</f>
        <v>0</v>
      </c>
      <c r="L41" s="46">
        <f>J41+'24'!L41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Clinker!BV27</f>
        <v>0</v>
      </c>
      <c r="K42" s="46">
        <f>J42+'24'!K42</f>
        <v>0</v>
      </c>
      <c r="L42" s="46">
        <f>J42+'24'!L42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Clinker!CU27</f>
        <v>0</v>
      </c>
      <c r="K43" s="46">
        <f>J43+'24'!K43</f>
        <v>0</v>
      </c>
      <c r="L43" s="46">
        <f>J43+'24'!L43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Clinker!CZ27</f>
        <v>0</v>
      </c>
      <c r="K44" s="46">
        <f>J44+'24'!K44</f>
        <v>0</v>
      </c>
      <c r="L44" s="46">
        <f>J44+'24'!L44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Clinker!DE27</f>
        <v>0</v>
      </c>
      <c r="K45" s="46">
        <f>J45+'24'!K45</f>
        <v>0</v>
      </c>
      <c r="L45" s="46">
        <f>J45+'24'!L45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104</v>
      </c>
      <c r="D46" s="77"/>
      <c r="E46" s="69"/>
      <c r="F46" s="46"/>
      <c r="G46" s="46"/>
      <c r="H46" s="46"/>
      <c r="I46" s="46"/>
      <c r="J46" s="46">
        <f>Clinker!DJ27</f>
        <v>0</v>
      </c>
      <c r="K46" s="46">
        <f>J46+'24'!K46</f>
        <v>0</v>
      </c>
      <c r="L46" s="46">
        <f>J46+'24'!L46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Clinker!DO27</f>
        <v>0</v>
      </c>
      <c r="K47" s="46">
        <f>J47+'24'!K47</f>
        <v>0</v>
      </c>
      <c r="L47" s="46">
        <f>J47+'24'!L47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181</v>
      </c>
      <c r="D48" s="77"/>
      <c r="E48" s="69"/>
      <c r="F48" s="46">
        <f>Clinker!CM27</f>
        <v>5.0000000000181899E-2</v>
      </c>
      <c r="G48" s="46">
        <f>Clinker!CN27</f>
        <v>0</v>
      </c>
      <c r="H48" s="46">
        <f>G48+'24'!H48</f>
        <v>0</v>
      </c>
      <c r="I48" s="46">
        <f>G48+'24'!I48</f>
        <v>0</v>
      </c>
      <c r="J48" s="46">
        <f>Clinker!CP27</f>
        <v>0</v>
      </c>
      <c r="K48" s="46">
        <f>J48+'24'!K48</f>
        <v>0</v>
      </c>
      <c r="L48" s="46">
        <f>J48+'24'!L48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Clinker!CC27</f>
        <v>0</v>
      </c>
      <c r="G49" s="46">
        <f>Clinker!CD27</f>
        <v>0</v>
      </c>
      <c r="H49" s="46">
        <f>G49+'24'!H49</f>
        <v>0</v>
      </c>
      <c r="I49" s="46">
        <f>G49+'24'!I49</f>
        <v>0</v>
      </c>
      <c r="J49" s="46">
        <f>Clinker!CF27</f>
        <v>0</v>
      </c>
      <c r="K49" s="46">
        <f>J49+'24'!K49</f>
        <v>0</v>
      </c>
      <c r="L49" s="46">
        <f>J49+'24'!L49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Clinker!CH27</f>
        <v>0</v>
      </c>
      <c r="G50" s="46">
        <f>Clinker!CI27</f>
        <v>0</v>
      </c>
      <c r="H50" s="46">
        <f>G50+'24'!H50</f>
        <v>0</v>
      </c>
      <c r="I50" s="46">
        <f>G50+'24'!I50</f>
        <v>0</v>
      </c>
      <c r="J50" s="46">
        <f>Clinker!CK5</f>
        <v>0</v>
      </c>
      <c r="K50" s="46">
        <f>J50+'24'!K50</f>
        <v>0</v>
      </c>
      <c r="L50" s="46">
        <f>J50+'24'!L50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Clinker!AF27</f>
        <v>3962.2699999999932</v>
      </c>
      <c r="G51" s="46">
        <f>Clinker!AG27</f>
        <v>180</v>
      </c>
      <c r="H51" s="46">
        <f>G51+'24'!H51</f>
        <v>3523.6000000000004</v>
      </c>
      <c r="I51" s="46">
        <f>G51+'24'!I51</f>
        <v>5664.5499999999993</v>
      </c>
      <c r="J51" s="46">
        <f>Clinker!AI27</f>
        <v>148</v>
      </c>
      <c r="K51" s="46">
        <f>J51+'24'!K51</f>
        <v>3578</v>
      </c>
      <c r="L51" s="46">
        <f>J51+'24'!L51</f>
        <v>10403</v>
      </c>
      <c r="M51" s="45">
        <f>F51+G51-J51-J20</f>
        <v>3994.2699999999932</v>
      </c>
      <c r="N51" s="46">
        <v>120.05</v>
      </c>
      <c r="O51" s="46">
        <v>1500</v>
      </c>
      <c r="P51" s="46">
        <v>3000</v>
      </c>
      <c r="Q51" s="56">
        <f>SUM(M51+N51)-O51</f>
        <v>2614.3199999999933</v>
      </c>
    </row>
    <row r="52" spans="2:19" x14ac:dyDescent="0.25">
      <c r="B52" s="288"/>
      <c r="C52" s="281" t="s">
        <v>156</v>
      </c>
      <c r="D52" s="282"/>
      <c r="E52" s="283"/>
      <c r="F52" s="46">
        <f>Clinker!AB27</f>
        <v>0</v>
      </c>
      <c r="G52" s="46">
        <f>Clinker!AC27</f>
        <v>0</v>
      </c>
      <c r="H52" s="46">
        <f>G52+'24'!H52</f>
        <v>0</v>
      </c>
      <c r="I52" s="46">
        <f>G52+'24'!I52</f>
        <v>0</v>
      </c>
      <c r="J52" s="46">
        <f>Clinker!AD27</f>
        <v>0</v>
      </c>
      <c r="K52" s="46">
        <f>J52+'24'!K52</f>
        <v>0</v>
      </c>
      <c r="L52" s="46">
        <f>J52+'24'!L52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>SUM(F29:F52)</f>
        <v>3962.3199999999933</v>
      </c>
      <c r="G53" s="46">
        <f>SUM(G29:G52)</f>
        <v>180</v>
      </c>
      <c r="H53" s="46">
        <f>SUM(H29:H52)</f>
        <v>3523.6000000000004</v>
      </c>
      <c r="I53" s="46">
        <f>SUM(I29:I52)</f>
        <v>5664.5499999999993</v>
      </c>
      <c r="J53" s="46">
        <f>SUM(J29:J52)</f>
        <v>148</v>
      </c>
      <c r="K53" s="46">
        <f>J53+'24'!K53</f>
        <v>3588</v>
      </c>
      <c r="L53" s="46">
        <f>J53+'24'!L53</f>
        <v>11760</v>
      </c>
      <c r="M53" s="46">
        <f>SUM(M29:M52)</f>
        <v>3994.3199999999933</v>
      </c>
      <c r="N53" s="46">
        <f>SUM(N29:N52)</f>
        <v>120.05</v>
      </c>
      <c r="O53" s="46">
        <f>SUM(O29:O52)</f>
        <v>3000</v>
      </c>
      <c r="P53" s="46">
        <f>SUM(P29:P52)</f>
        <v>6000</v>
      </c>
      <c r="Q53" s="46">
        <f>SUM(Q29:Q52)</f>
        <v>2614.3199999999933</v>
      </c>
    </row>
    <row r="54" spans="2:19" x14ac:dyDescent="0.25">
      <c r="B54" s="289"/>
      <c r="C54" s="284" t="s">
        <v>157</v>
      </c>
      <c r="D54" s="285"/>
      <c r="E54" s="286"/>
      <c r="F54" s="59">
        <f t="shared" ref="F54:Q54" si="1">SUM(F27+F53)</f>
        <v>7138.206999999984</v>
      </c>
      <c r="G54" s="59">
        <f t="shared" si="1"/>
        <v>434.56</v>
      </c>
      <c r="H54" s="59">
        <f t="shared" si="1"/>
        <v>7999.0800000000017</v>
      </c>
      <c r="I54" s="59">
        <f t="shared" si="1"/>
        <v>10945.27</v>
      </c>
      <c r="J54" s="59">
        <f t="shared" si="1"/>
        <v>420</v>
      </c>
      <c r="K54" s="59">
        <f t="shared" si="1"/>
        <v>9523.11</v>
      </c>
      <c r="L54" s="59">
        <f t="shared" si="1"/>
        <v>32412.420000000002</v>
      </c>
      <c r="M54" s="59">
        <f t="shared" si="1"/>
        <v>7152.7669999999835</v>
      </c>
      <c r="N54" s="59">
        <f>SUM(N27+N53)</f>
        <v>339.81</v>
      </c>
      <c r="O54" s="59">
        <f>SUM(O27+O53)</f>
        <v>13000</v>
      </c>
      <c r="P54" s="59">
        <f>SUM(P27+P53)</f>
        <v>24000</v>
      </c>
      <c r="Q54" s="59">
        <f t="shared" si="1"/>
        <v>2614.3599999999915</v>
      </c>
      <c r="R54" s="90"/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'!C27</f>
        <v>2612282</v>
      </c>
      <c r="G56" s="46">
        <f>'Packing bag '!D27</f>
        <v>150000</v>
      </c>
      <c r="H56" s="46">
        <f>G56+'24'!H56</f>
        <v>961000</v>
      </c>
      <c r="I56" s="46">
        <f>G56+'24'!I56</f>
        <v>4113500</v>
      </c>
      <c r="J56" s="46">
        <f>'Packing bag '!E27</f>
        <v>17337</v>
      </c>
      <c r="K56" s="46">
        <f>J56+'24'!K56</f>
        <v>843290</v>
      </c>
      <c r="L56" s="46">
        <f>J56+'24'!L56</f>
        <v>2420124</v>
      </c>
      <c r="M56" s="46">
        <f>F56+G56-J56</f>
        <v>2744945</v>
      </c>
      <c r="N56" s="46"/>
      <c r="O56" s="46">
        <v>400000</v>
      </c>
      <c r="P56" s="46">
        <v>800000</v>
      </c>
      <c r="Q56" s="56">
        <f>SUM(M56+N56)-O56</f>
        <v>2344945</v>
      </c>
    </row>
    <row r="57" spans="2:19" x14ac:dyDescent="0.25">
      <c r="B57" s="288"/>
      <c r="C57" s="281" t="s">
        <v>160</v>
      </c>
      <c r="D57" s="282"/>
      <c r="E57" s="283"/>
      <c r="F57" s="46">
        <f>'Packing bag '!G27</f>
        <v>602170</v>
      </c>
      <c r="G57" s="46">
        <f>'Packing bag '!H27</f>
        <v>0</v>
      </c>
      <c r="H57" s="46">
        <f>G57+'24'!H57</f>
        <v>40500</v>
      </c>
      <c r="I57" s="46">
        <f>G57+'24'!I57</f>
        <v>332000</v>
      </c>
      <c r="J57" s="46">
        <f>'Packing bag '!I27</f>
        <v>1858</v>
      </c>
      <c r="K57" s="46">
        <f>J57+'24'!K57</f>
        <v>42349</v>
      </c>
      <c r="L57" s="46">
        <f>J57+'24'!L57</f>
        <v>131970</v>
      </c>
      <c r="M57" s="46">
        <f>F57+G57-J57</f>
        <v>600312</v>
      </c>
      <c r="N57" s="46"/>
      <c r="O57" s="46">
        <v>100000</v>
      </c>
      <c r="P57" s="46">
        <v>250000</v>
      </c>
      <c r="Q57" s="56">
        <f>SUM(M57+N57)-O57</f>
        <v>500312</v>
      </c>
    </row>
    <row r="58" spans="2:19" x14ac:dyDescent="0.25">
      <c r="B58" s="288"/>
      <c r="C58" s="281" t="s">
        <v>161</v>
      </c>
      <c r="D58" s="282"/>
      <c r="E58" s="283"/>
      <c r="F58" s="46">
        <f>'Packing bag '!K27</f>
        <v>478031</v>
      </c>
      <c r="G58" s="46">
        <f>'Packing bag '!L27</f>
        <v>150000</v>
      </c>
      <c r="H58" s="46">
        <f>G58+'24'!H58</f>
        <v>150000</v>
      </c>
      <c r="I58" s="46">
        <f>G58+'24'!I58</f>
        <v>445000</v>
      </c>
      <c r="J58" s="46">
        <f>'Packing bag '!M27</f>
        <v>1217</v>
      </c>
      <c r="K58" s="46">
        <f>J58+'24'!K58</f>
        <v>51949</v>
      </c>
      <c r="L58" s="46">
        <f>J58+'24'!L58</f>
        <v>224241</v>
      </c>
      <c r="M58" s="46">
        <f>F58+G58-J58</f>
        <v>626814</v>
      </c>
      <c r="N58" s="46"/>
      <c r="O58" s="46">
        <v>50000</v>
      </c>
      <c r="P58" s="46">
        <v>150000</v>
      </c>
      <c r="Q58" s="56">
        <f>SUM(M58+N58)-O58</f>
        <v>576814</v>
      </c>
    </row>
    <row r="59" spans="2:19" x14ac:dyDescent="0.25">
      <c r="B59" s="288"/>
      <c r="C59" s="281" t="s">
        <v>162</v>
      </c>
      <c r="D59" s="282"/>
      <c r="E59" s="283"/>
      <c r="F59" s="46">
        <f>'Packing bag '!O27</f>
        <v>149688</v>
      </c>
      <c r="G59" s="46">
        <f>'Packing bag '!P27</f>
        <v>0</v>
      </c>
      <c r="H59" s="46">
        <f>G59+'24'!H59</f>
        <v>85612</v>
      </c>
      <c r="I59" s="46">
        <f>G59+'24'!I59</f>
        <v>85000</v>
      </c>
      <c r="J59" s="46">
        <f>'Packing bag '!Q27</f>
        <v>609</v>
      </c>
      <c r="K59" s="46">
        <f>J59+'24'!K59</f>
        <v>4853</v>
      </c>
      <c r="L59" s="46">
        <f>J59+'24'!L59</f>
        <v>19622</v>
      </c>
      <c r="M59" s="46">
        <f>F59+G59-J59</f>
        <v>149079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G60+'24'!H60</f>
        <v>0</v>
      </c>
      <c r="I60" s="46">
        <f>G60+'24'!I60</f>
        <v>0</v>
      </c>
      <c r="J60" s="46">
        <v>0</v>
      </c>
      <c r="K60" s="46">
        <f>J60+'24'!K60</f>
        <v>0</v>
      </c>
      <c r="L60" s="46">
        <f>J60+'24'!L60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G61+'24'!H61</f>
        <v>0</v>
      </c>
      <c r="I61" s="46">
        <f>G61+'24'!I61</f>
        <v>0</v>
      </c>
      <c r="J61" s="46">
        <v>0</v>
      </c>
      <c r="K61" s="46">
        <f>J61+'24'!K61</f>
        <v>0</v>
      </c>
      <c r="L61" s="46">
        <f>J61+'24'!L61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3842171</v>
      </c>
      <c r="G62" s="59">
        <f t="shared" ref="G62:Q62" si="2">SUM(G56:G61)</f>
        <v>300000</v>
      </c>
      <c r="H62" s="59">
        <f t="shared" si="2"/>
        <v>1237112</v>
      </c>
      <c r="I62" s="59">
        <f t="shared" si="2"/>
        <v>4975500</v>
      </c>
      <c r="J62" s="59">
        <f t="shared" si="2"/>
        <v>21021</v>
      </c>
      <c r="K62" s="59">
        <f t="shared" si="2"/>
        <v>942441</v>
      </c>
      <c r="L62" s="59">
        <f t="shared" si="2"/>
        <v>2795957</v>
      </c>
      <c r="M62" s="59">
        <f t="shared" si="2"/>
        <v>4121150</v>
      </c>
      <c r="N62" s="59">
        <v>0</v>
      </c>
      <c r="O62" s="59">
        <f>SUM(O56:O61)</f>
        <v>551500</v>
      </c>
      <c r="P62" s="59">
        <f>SUM(P56:P61)</f>
        <v>1207000</v>
      </c>
      <c r="Q62" s="59">
        <f t="shared" si="2"/>
        <v>3420571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Cement!G27</f>
        <v>0</v>
      </c>
      <c r="G64" s="46">
        <f>Cement!H27</f>
        <v>0</v>
      </c>
      <c r="H64" s="46">
        <f>G64+'24'!H64</f>
        <v>0</v>
      </c>
      <c r="I64" s="46">
        <f>G64+'24'!I64</f>
        <v>0</v>
      </c>
      <c r="J64" s="46">
        <v>0</v>
      </c>
      <c r="K64" s="46">
        <f>J64+'24'!K64</f>
        <v>0</v>
      </c>
      <c r="L64" s="46">
        <f>J64+'24'!L64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Cement!K27</f>
        <v>0</v>
      </c>
      <c r="G65" s="46">
        <f>Cement!L27</f>
        <v>0</v>
      </c>
      <c r="H65" s="46">
        <f>G65+'24'!H65</f>
        <v>0</v>
      </c>
      <c r="I65" s="46">
        <f>G65+'24'!I65</f>
        <v>0</v>
      </c>
      <c r="J65" s="46">
        <f>Cement!M27</f>
        <v>0</v>
      </c>
      <c r="K65" s="46">
        <f>J65+'24'!K65</f>
        <v>0</v>
      </c>
      <c r="L65" s="46">
        <f>J65+'24'!L65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 t="shared" ref="G66:M66" si="3">SUM(G64:G65)</f>
        <v>0</v>
      </c>
      <c r="H66" s="59">
        <f t="shared" si="3"/>
        <v>0</v>
      </c>
      <c r="I66" s="59">
        <f t="shared" si="3"/>
        <v>0</v>
      </c>
      <c r="J66" s="59">
        <f t="shared" si="3"/>
        <v>0</v>
      </c>
      <c r="K66" s="59">
        <f t="shared" si="3"/>
        <v>0</v>
      </c>
      <c r="L66" s="59">
        <f t="shared" si="3"/>
        <v>0</v>
      </c>
      <c r="M66" s="59">
        <f t="shared" si="3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Diesel!B27</f>
        <v>48683</v>
      </c>
      <c r="G68" s="46">
        <f>Diesel!C27</f>
        <v>0</v>
      </c>
      <c r="H68" s="46">
        <f>G68+'24'!H68</f>
        <v>65000</v>
      </c>
      <c r="I68" s="46">
        <f>G68+'24'!I68</f>
        <v>155000</v>
      </c>
      <c r="J68" s="46">
        <v>0</v>
      </c>
      <c r="K68" s="46">
        <f>J68+'24'!K68</f>
        <v>0</v>
      </c>
      <c r="L68" s="46">
        <f>J68+'24'!L68</f>
        <v>0</v>
      </c>
      <c r="M68" s="46">
        <f>F68+G68-J68-J76</f>
        <v>47328</v>
      </c>
      <c r="N68" s="46"/>
      <c r="O68" s="46">
        <v>30000</v>
      </c>
      <c r="P68" s="46">
        <v>60000</v>
      </c>
      <c r="Q68" s="56">
        <f>SUM(M68+N68)-O68</f>
        <v>17328</v>
      </c>
    </row>
    <row r="69" spans="2:17" x14ac:dyDescent="0.25">
      <c r="B69" s="297"/>
      <c r="C69" s="281" t="s">
        <v>171</v>
      </c>
      <c r="D69" s="282"/>
      <c r="E69" s="283"/>
      <c r="F69" s="46">
        <f>Diesel!Y27</f>
        <v>0</v>
      </c>
      <c r="G69" s="46">
        <f>Diesel!Z27</f>
        <v>0</v>
      </c>
      <c r="H69" s="46">
        <f>G69+'24'!H69</f>
        <v>0</v>
      </c>
      <c r="I69" s="46">
        <f>G69+'24'!I69</f>
        <v>0</v>
      </c>
      <c r="J69" s="46">
        <f>Diesel!AA27</f>
        <v>0</v>
      </c>
      <c r="K69" s="46">
        <f>J69+'24'!K69</f>
        <v>5000</v>
      </c>
      <c r="L69" s="46">
        <f>J69+'24'!L69</f>
        <v>20000</v>
      </c>
      <c r="M69" s="46">
        <f t="shared" ref="M69:M74" si="4"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G70+'24'!H70</f>
        <v>0</v>
      </c>
      <c r="I70" s="46">
        <f>G70+'24'!I70</f>
        <v>0</v>
      </c>
      <c r="J70" s="46">
        <f>Diesel!P27</f>
        <v>0</v>
      </c>
      <c r="K70" s="46">
        <f>J70+'24'!K70</f>
        <v>105</v>
      </c>
      <c r="L70" s="46">
        <f>J70+'24'!L70</f>
        <v>708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G71+'24'!H71</f>
        <v>0</v>
      </c>
      <c r="I71" s="46">
        <f>G71+'24'!I71</f>
        <v>0</v>
      </c>
      <c r="J71" s="46">
        <f>Diesel!Q27</f>
        <v>600</v>
      </c>
      <c r="K71" s="46">
        <f>J71+'24'!K71</f>
        <v>21528</v>
      </c>
      <c r="L71" s="46">
        <f>J71+'24'!L71</f>
        <v>76163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G72+'24'!H72</f>
        <v>0</v>
      </c>
      <c r="I72" s="46">
        <f>G72+'24'!I72</f>
        <v>0</v>
      </c>
      <c r="J72" s="46">
        <f>Diesel!R27</f>
        <v>755</v>
      </c>
      <c r="K72" s="46">
        <f>J72+'24'!K72</f>
        <v>17184</v>
      </c>
      <c r="L72" s="46">
        <f>J72+'24'!L72</f>
        <v>59892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G73+'24'!H73</f>
        <v>0</v>
      </c>
      <c r="I73" s="46">
        <f>G73+'24'!I73</f>
        <v>0</v>
      </c>
      <c r="J73" s="46">
        <f>Diesel!S27</f>
        <v>0</v>
      </c>
      <c r="K73" s="46">
        <f>J73+'24'!K73</f>
        <v>0</v>
      </c>
      <c r="L73" s="46">
        <f>J73+'24'!L73</f>
        <v>0</v>
      </c>
      <c r="M73" s="46">
        <f t="shared" si="4"/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G74+'24'!H74</f>
        <v>0</v>
      </c>
      <c r="I74" s="46">
        <f>G74+'24'!I74</f>
        <v>0</v>
      </c>
      <c r="J74" s="46">
        <f>Diesel!T27</f>
        <v>0</v>
      </c>
      <c r="K74" s="46">
        <f>J74+'24'!K74</f>
        <v>0</v>
      </c>
      <c r="L74" s="46">
        <f>J74+'24'!L74</f>
        <v>0</v>
      </c>
      <c r="M74" s="46">
        <f t="shared" si="4"/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G75+'24'!H75</f>
        <v>0</v>
      </c>
      <c r="I75" s="46">
        <f>G75+'24'!I75</f>
        <v>0</v>
      </c>
      <c r="J75" s="46">
        <f>Diesel!U27</f>
        <v>0</v>
      </c>
      <c r="K75" s="46">
        <f>J75+'24'!K75</f>
        <v>0</v>
      </c>
      <c r="L75" s="46">
        <f>J75+'24'!L75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48683</v>
      </c>
      <c r="G76" s="62">
        <f t="shared" ref="G76:M76" si="5">SUM(G68:G75)</f>
        <v>0</v>
      </c>
      <c r="H76" s="62">
        <f t="shared" si="5"/>
        <v>65000</v>
      </c>
      <c r="I76" s="62">
        <f t="shared" si="5"/>
        <v>155000</v>
      </c>
      <c r="J76" s="62">
        <f t="shared" si="5"/>
        <v>1355</v>
      </c>
      <c r="K76" s="62">
        <f t="shared" si="5"/>
        <v>43817</v>
      </c>
      <c r="L76" s="62">
        <f t="shared" si="5"/>
        <v>156763</v>
      </c>
      <c r="M76" s="62">
        <f t="shared" si="5"/>
        <v>47328</v>
      </c>
      <c r="N76" s="63"/>
      <c r="O76" s="64"/>
      <c r="P76" s="62"/>
      <c r="Q76" s="65"/>
    </row>
  </sheetData>
  <mergeCells count="70">
    <mergeCell ref="C65:E65"/>
    <mergeCell ref="C34:E34"/>
    <mergeCell ref="C66:E66"/>
    <mergeCell ref="C51:E51"/>
    <mergeCell ref="C52:E52"/>
    <mergeCell ref="C53:E53"/>
    <mergeCell ref="C54:E54"/>
    <mergeCell ref="C55:Q55"/>
    <mergeCell ref="C56:E56"/>
    <mergeCell ref="C57:E57"/>
    <mergeCell ref="C58:E58"/>
    <mergeCell ref="C60:E60"/>
    <mergeCell ref="C38:D38"/>
    <mergeCell ref="C40:E40"/>
    <mergeCell ref="C50:D50"/>
    <mergeCell ref="C64:E64"/>
    <mergeCell ref="B9:B5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15:D15"/>
    <mergeCell ref="B63:B66"/>
    <mergeCell ref="C63:Q63"/>
    <mergeCell ref="C59:E59"/>
    <mergeCell ref="C29:E29"/>
    <mergeCell ref="C35:E35"/>
    <mergeCell ref="C36:D36"/>
    <mergeCell ref="C37:D37"/>
    <mergeCell ref="C47:D4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C27:E27"/>
    <mergeCell ref="C7:E7"/>
    <mergeCell ref="C17:E17"/>
    <mergeCell ref="C18:E18"/>
    <mergeCell ref="C20:D20"/>
    <mergeCell ref="C28:E28"/>
    <mergeCell ref="Q4:Q5"/>
    <mergeCell ref="C6:E6"/>
    <mergeCell ref="B55:B62"/>
    <mergeCell ref="C14:D14"/>
    <mergeCell ref="C12:E12"/>
    <mergeCell ref="C13:D13"/>
    <mergeCell ref="C61:E61"/>
    <mergeCell ref="C62:E62"/>
    <mergeCell ref="C33:E33"/>
    <mergeCell ref="C9:E9"/>
    <mergeCell ref="C10:E10"/>
    <mergeCell ref="C30:E30"/>
    <mergeCell ref="C31:E31"/>
    <mergeCell ref="C32:E32"/>
    <mergeCell ref="C11:E11"/>
  </mergeCells>
  <pageMargins left="0.7" right="0.7" top="0.75" bottom="0.75" header="0.3" footer="0.3"/>
  <pageSetup paperSize="9" scale="6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pageSetUpPr fitToPage="1"/>
  </sheetPr>
  <dimension ref="B1:T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9" sqref="S9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7" ht="15.75" thickBot="1" x14ac:dyDescent="0.3"/>
    <row r="2" spans="2:17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7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>
        <v>46199</v>
      </c>
      <c r="Q3" s="316"/>
    </row>
    <row r="4" spans="2:17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7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7" x14ac:dyDescent="0.25">
      <c r="B6" s="54">
        <v>1</v>
      </c>
      <c r="C6" s="308" t="s">
        <v>135</v>
      </c>
      <c r="D6" s="309"/>
      <c r="E6" s="310"/>
      <c r="F6" s="45">
        <f>Clinker!C28</f>
        <v>1236.7400000000002</v>
      </c>
      <c r="G6" s="45">
        <f>Clinker!D28</f>
        <v>0</v>
      </c>
      <c r="H6" s="45">
        <f>G6+'25'!H6</f>
        <v>98.82</v>
      </c>
      <c r="I6" s="45">
        <f>G6+'25'!I6</f>
        <v>516.1</v>
      </c>
      <c r="J6" s="45">
        <f>Clinker!E28</f>
        <v>50</v>
      </c>
      <c r="K6" s="45">
        <f>J6+'25'!K6</f>
        <v>1560</v>
      </c>
      <c r="L6" s="45">
        <f>J6+'25'!L6</f>
        <v>4695</v>
      </c>
      <c r="M6" s="45">
        <f>F6+G6-J6</f>
        <v>1186.7400000000002</v>
      </c>
      <c r="N6" s="45">
        <v>0</v>
      </c>
      <c r="O6" s="45">
        <v>3000</v>
      </c>
      <c r="P6" s="45">
        <v>6000</v>
      </c>
      <c r="Q6" s="55">
        <f>SUM(M6+N6)-O6</f>
        <v>-1813.2599999999998</v>
      </c>
    </row>
    <row r="7" spans="2:17" x14ac:dyDescent="0.25">
      <c r="B7" s="50">
        <v>2</v>
      </c>
      <c r="C7" s="305" t="s">
        <v>136</v>
      </c>
      <c r="D7" s="306"/>
      <c r="E7" s="307"/>
      <c r="F7" s="46">
        <f>Cement!C28</f>
        <v>2959.4367941941214</v>
      </c>
      <c r="G7" s="46">
        <f>Cement!D28</f>
        <v>512.72</v>
      </c>
      <c r="H7" s="45">
        <f>G7+'25'!H7</f>
        <v>2663.08</v>
      </c>
      <c r="I7" s="45">
        <f>G7+'25'!I7</f>
        <v>4789.7</v>
      </c>
      <c r="J7" s="46">
        <f>Cement!I28</f>
        <v>153.15052500631577</v>
      </c>
      <c r="K7" s="45">
        <f>J7+'25'!K7</f>
        <v>3552.3795889683706</v>
      </c>
      <c r="L7" s="45">
        <f>J7+'25'!L7</f>
        <v>8778.6095792958713</v>
      </c>
      <c r="M7" s="45">
        <f>F7+G7-J7</f>
        <v>3319.0062691878056</v>
      </c>
      <c r="N7" s="46">
        <v>0</v>
      </c>
      <c r="O7" s="46">
        <v>3000</v>
      </c>
      <c r="P7" s="46">
        <v>6000</v>
      </c>
      <c r="Q7" s="56">
        <f>SUM(M7+N7)-O7</f>
        <v>319.00626918780563</v>
      </c>
    </row>
    <row r="8" spans="2:17" x14ac:dyDescent="0.25">
      <c r="B8" s="124">
        <v>3</v>
      </c>
      <c r="C8" s="121" t="s">
        <v>29</v>
      </c>
      <c r="D8" s="122"/>
      <c r="E8" s="123"/>
      <c r="F8" s="46">
        <f>Clinker!EI28</f>
        <v>14215.515566462471</v>
      </c>
      <c r="G8" s="46">
        <f>Clinker!EJ28</f>
        <v>1550</v>
      </c>
      <c r="H8" s="45">
        <f>G8+'25'!H8</f>
        <v>35582</v>
      </c>
      <c r="I8" s="45">
        <f>G8+'25'!I8</f>
        <v>134498.66</v>
      </c>
      <c r="J8" s="46">
        <f>Clinker!EK28</f>
        <v>2372.9250020831996</v>
      </c>
      <c r="K8" s="45">
        <f>J8+'25'!K8</f>
        <v>53441.311523427685</v>
      </c>
      <c r="L8" s="45">
        <f>J8+'25'!L8</f>
        <v>133237.15854324761</v>
      </c>
      <c r="M8" s="45">
        <f>F8+G8-J8</f>
        <v>13392.590564379272</v>
      </c>
      <c r="N8" s="46">
        <v>0</v>
      </c>
      <c r="O8" s="46"/>
      <c r="P8" s="46"/>
      <c r="Q8" s="56"/>
    </row>
    <row r="9" spans="2:17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7" x14ac:dyDescent="0.25">
      <c r="B10" s="288"/>
      <c r="C10" s="281" t="s">
        <v>138</v>
      </c>
      <c r="D10" s="282"/>
      <c r="E10" s="283"/>
      <c r="F10" s="46">
        <f>Clinker!K28</f>
        <v>0</v>
      </c>
      <c r="G10" s="46">
        <f>Clinker!L28</f>
        <v>0</v>
      </c>
      <c r="H10" s="46">
        <f>G10+'25'!H10</f>
        <v>0</v>
      </c>
      <c r="I10" s="46">
        <f>G10+'25'!I10</f>
        <v>0</v>
      </c>
      <c r="J10" s="46">
        <f>Clinker!N28</f>
        <v>0</v>
      </c>
      <c r="K10" s="46">
        <f>J10+'25'!K10</f>
        <v>0</v>
      </c>
      <c r="L10" s="46">
        <f>J10+'25'!L10</f>
        <v>0</v>
      </c>
      <c r="M10" s="45">
        <f>F10+G10-J10-J37</f>
        <v>0</v>
      </c>
      <c r="N10" s="46">
        <v>0</v>
      </c>
      <c r="O10" s="46"/>
      <c r="P10" s="46"/>
      <c r="Q10" s="56">
        <f>SUM(M10+N10)-O10</f>
        <v>0</v>
      </c>
    </row>
    <row r="11" spans="2:17" x14ac:dyDescent="0.25">
      <c r="B11" s="288"/>
      <c r="C11" s="281" t="s">
        <v>139</v>
      </c>
      <c r="D11" s="282"/>
      <c r="E11" s="283"/>
      <c r="F11" s="46">
        <f>Clinker!W28</f>
        <v>3.9999999998087787E-2</v>
      </c>
      <c r="G11" s="46">
        <f>Clinker!X28</f>
        <v>0</v>
      </c>
      <c r="H11" s="46">
        <f>G11+'25'!H11</f>
        <v>0</v>
      </c>
      <c r="I11" s="46">
        <f>G11+'25'!I11</f>
        <v>0</v>
      </c>
      <c r="J11" s="46">
        <f>Clinker!Z28</f>
        <v>0</v>
      </c>
      <c r="K11" s="46">
        <f>J11+'25'!K11</f>
        <v>1063</v>
      </c>
      <c r="L11" s="46">
        <f>J11+'25'!L11</f>
        <v>8686.84</v>
      </c>
      <c r="M11" s="45">
        <f>F11+G11-J11-J34</f>
        <v>3.9999999998087787E-2</v>
      </c>
      <c r="N11" s="46">
        <v>0</v>
      </c>
      <c r="O11" s="46"/>
      <c r="P11" s="46"/>
      <c r="Q11" s="56">
        <f>SUM(M11+N11)-O11</f>
        <v>3.9999999998087787E-2</v>
      </c>
    </row>
    <row r="12" spans="2:17" ht="15" customHeight="1" x14ac:dyDescent="0.25">
      <c r="B12" s="288"/>
      <c r="C12" s="281" t="s">
        <v>140</v>
      </c>
      <c r="D12" s="282"/>
      <c r="E12" s="283"/>
      <c r="F12" s="46">
        <f>Clinker!AT28</f>
        <v>1.0000000002058584E-2</v>
      </c>
      <c r="G12" s="46">
        <f>Clinker!AU28</f>
        <v>0</v>
      </c>
      <c r="H12" s="46">
        <f>G12+'25'!H12</f>
        <v>0</v>
      </c>
      <c r="I12" s="46">
        <f>G12+'25'!I12</f>
        <v>181.5</v>
      </c>
      <c r="J12" s="46">
        <f>Clinker!AV28</f>
        <v>0</v>
      </c>
      <c r="K12" s="46">
        <f>J12+'25'!K12</f>
        <v>2933.89</v>
      </c>
      <c r="L12" s="46">
        <f>J12+'25'!L12</f>
        <v>5675.5900000000011</v>
      </c>
      <c r="M12" s="45">
        <f>F12+G12-J12</f>
        <v>1.0000000002058584E-2</v>
      </c>
      <c r="N12" s="46">
        <v>0</v>
      </c>
      <c r="O12" s="46"/>
      <c r="P12" s="46"/>
      <c r="Q12" s="71"/>
    </row>
    <row r="13" spans="2:17" x14ac:dyDescent="0.25">
      <c r="B13" s="288"/>
      <c r="C13" s="281" t="s">
        <v>9</v>
      </c>
      <c r="D13" s="282"/>
      <c r="E13" s="69"/>
      <c r="F13" s="46">
        <f>Clinker!AO28</f>
        <v>0</v>
      </c>
      <c r="G13" s="46">
        <f>Clinker!AP28</f>
        <v>0</v>
      </c>
      <c r="H13" s="46">
        <f>G13+'25'!H13</f>
        <v>0</v>
      </c>
      <c r="I13" s="46">
        <f>G13+'25'!I13</f>
        <v>0</v>
      </c>
      <c r="J13" s="46">
        <f>Clinker!AQ28</f>
        <v>0</v>
      </c>
      <c r="K13" s="46">
        <f>J13+'25'!K13</f>
        <v>0</v>
      </c>
      <c r="L13" s="46">
        <f>J13+'25'!L13</f>
        <v>0</v>
      </c>
      <c r="M13" s="45">
        <f>F13+G13-J13-J36</f>
        <v>0</v>
      </c>
      <c r="N13" s="46">
        <v>0</v>
      </c>
      <c r="O13" s="46"/>
      <c r="P13" s="46"/>
      <c r="Q13" s="71"/>
    </row>
    <row r="14" spans="2:17" x14ac:dyDescent="0.25">
      <c r="B14" s="288"/>
      <c r="C14" s="281" t="s">
        <v>8</v>
      </c>
      <c r="D14" s="282"/>
      <c r="E14" s="69"/>
      <c r="F14" s="46">
        <f>Clinker!AK28</f>
        <v>0</v>
      </c>
      <c r="G14" s="46">
        <f>Clinker!AL28</f>
        <v>0</v>
      </c>
      <c r="H14" s="46">
        <f>G14+'25'!H14</f>
        <v>0</v>
      </c>
      <c r="I14" s="46">
        <f>G14+'25'!I14</f>
        <v>0</v>
      </c>
      <c r="J14" s="46">
        <f>Clinker!AM28</f>
        <v>0</v>
      </c>
      <c r="K14" s="46">
        <f>J14+'25'!K14</f>
        <v>0</v>
      </c>
      <c r="L14" s="46">
        <f>J14+'25'!L14</f>
        <v>0</v>
      </c>
      <c r="M14" s="45">
        <f>F14+G14-J14</f>
        <v>0</v>
      </c>
      <c r="N14" s="46">
        <v>0</v>
      </c>
      <c r="O14" s="46"/>
      <c r="P14" s="46"/>
      <c r="Q14" s="71"/>
    </row>
    <row r="15" spans="2:17" x14ac:dyDescent="0.25">
      <c r="B15" s="288"/>
      <c r="C15" s="281" t="s">
        <v>11</v>
      </c>
      <c r="D15" s="282"/>
      <c r="E15" s="69"/>
      <c r="F15" s="46">
        <f>Clinker!AY28</f>
        <v>2854.3869999999902</v>
      </c>
      <c r="G15" s="46">
        <f>Clinker!AZ28</f>
        <v>187.76</v>
      </c>
      <c r="H15" s="46">
        <f>G15+'25'!H15</f>
        <v>4571.2400000000016</v>
      </c>
      <c r="I15" s="46">
        <f>G15+'25'!I15</f>
        <v>4982.9800000000005</v>
      </c>
      <c r="J15" s="46">
        <f>Clinker!BA28</f>
        <v>266.67</v>
      </c>
      <c r="K15" s="46">
        <f>J15+'25'!K15</f>
        <v>2197.79</v>
      </c>
      <c r="L15" s="46">
        <f>J15+'25'!L15</f>
        <v>2197.79</v>
      </c>
      <c r="M15" s="45">
        <f>F15+G15-J15-J38</f>
        <v>2775.4769999999899</v>
      </c>
      <c r="N15" s="46">
        <v>0</v>
      </c>
      <c r="O15" s="46">
        <v>5000</v>
      </c>
      <c r="P15" s="46">
        <v>9000</v>
      </c>
      <c r="Q15" s="71"/>
    </row>
    <row r="16" spans="2:17" x14ac:dyDescent="0.25">
      <c r="B16" s="288"/>
      <c r="C16" s="76" t="s">
        <v>141</v>
      </c>
      <c r="D16" s="77"/>
      <c r="E16" s="69"/>
      <c r="F16" s="46">
        <f>Clinker!BD28</f>
        <v>0</v>
      </c>
      <c r="G16" s="46">
        <f>Clinker!BE28</f>
        <v>0</v>
      </c>
      <c r="H16" s="46">
        <f>G16+'25'!H16</f>
        <v>0</v>
      </c>
      <c r="I16" s="46">
        <f>G16+'25'!I16</f>
        <v>0</v>
      </c>
      <c r="J16" s="46">
        <f>Clinker!BF28</f>
        <v>0</v>
      </c>
      <c r="K16" s="46">
        <f>J16+'25'!K16</f>
        <v>0</v>
      </c>
      <c r="L16" s="46">
        <f>J16+'25'!L16</f>
        <v>0</v>
      </c>
      <c r="M16" s="45">
        <f>F16+G16-J16</f>
        <v>0</v>
      </c>
      <c r="N16" s="46">
        <v>0</v>
      </c>
      <c r="O16" s="46"/>
      <c r="P16" s="46"/>
      <c r="Q16" s="71"/>
    </row>
    <row r="17" spans="2:17" ht="14.25" customHeight="1" x14ac:dyDescent="0.25">
      <c r="B17" s="288"/>
      <c r="C17" s="281" t="s">
        <v>13</v>
      </c>
      <c r="D17" s="282"/>
      <c r="E17" s="283"/>
      <c r="F17" s="46">
        <f>Clinker!BI28</f>
        <v>0</v>
      </c>
      <c r="G17" s="46">
        <f>Clinker!BJ28</f>
        <v>0</v>
      </c>
      <c r="H17" s="46">
        <f>G17+'25'!H17</f>
        <v>0</v>
      </c>
      <c r="I17" s="46">
        <f>G17+'25'!I17</f>
        <v>0</v>
      </c>
      <c r="J17" s="46">
        <f>Clinker!BK28</f>
        <v>0</v>
      </c>
      <c r="K17" s="46">
        <f>J17+'25'!K17</f>
        <v>0</v>
      </c>
      <c r="L17" s="46">
        <f>J17+'25'!L17</f>
        <v>0</v>
      </c>
      <c r="M17" s="45">
        <f>F17+G17-J17</f>
        <v>0</v>
      </c>
      <c r="N17" s="46">
        <v>0</v>
      </c>
      <c r="O17" s="46"/>
      <c r="P17" s="46"/>
      <c r="Q17" s="71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Clinker!BN28</f>
        <v>0</v>
      </c>
      <c r="G18" s="46">
        <f>Clinker!BO28</f>
        <v>0</v>
      </c>
      <c r="H18" s="46">
        <f>G18+'25'!H18</f>
        <v>0</v>
      </c>
      <c r="I18" s="46">
        <f>G18+'25'!I18</f>
        <v>0</v>
      </c>
      <c r="J18" s="46">
        <f>Clinker!BP28</f>
        <v>0</v>
      </c>
      <c r="K18" s="46">
        <f>J18+'25'!K18</f>
        <v>0</v>
      </c>
      <c r="L18" s="46">
        <f>J18+'25'!L18</f>
        <v>0</v>
      </c>
      <c r="M18" s="45">
        <f>F18+G18-J18-J41</f>
        <v>0</v>
      </c>
      <c r="N18" s="46">
        <v>0</v>
      </c>
      <c r="O18" s="46"/>
      <c r="P18" s="46"/>
      <c r="Q18" s="71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Clinker!BS28</f>
        <v>0</v>
      </c>
      <c r="G19" s="46">
        <f>Clinker!BT28</f>
        <v>0</v>
      </c>
      <c r="H19" s="46">
        <f>G19+'25'!H19</f>
        <v>0</v>
      </c>
      <c r="I19" s="46">
        <f>G19+'25'!I19</f>
        <v>0</v>
      </c>
      <c r="J19" s="46">
        <f>Clinker!BU28</f>
        <v>0</v>
      </c>
      <c r="K19" s="46">
        <f>J19+'25'!K19</f>
        <v>0</v>
      </c>
      <c r="L19" s="46">
        <f>J19+'25'!L19</f>
        <v>0</v>
      </c>
      <c r="M19" s="45">
        <f>F19+G19-J19-J42</f>
        <v>0</v>
      </c>
      <c r="N19" s="46">
        <v>0</v>
      </c>
      <c r="O19" s="46"/>
      <c r="P19" s="46"/>
      <c r="Q19" s="71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Clinker!BX28</f>
        <v>0</v>
      </c>
      <c r="G20" s="46">
        <f>Clinker!BY28</f>
        <v>0</v>
      </c>
      <c r="H20" s="46">
        <f>G20+'25'!H20</f>
        <v>0</v>
      </c>
      <c r="I20" s="46">
        <f>G20+'25'!I20</f>
        <v>0</v>
      </c>
      <c r="J20" s="46">
        <f>Clinker!AH28</f>
        <v>0</v>
      </c>
      <c r="K20" s="46">
        <f>J20+'25'!K20</f>
        <v>0</v>
      </c>
      <c r="L20" s="46">
        <f>J20+'25'!L20</f>
        <v>4052.88</v>
      </c>
      <c r="M20" s="45">
        <v>0</v>
      </c>
      <c r="N20" s="46">
        <v>0</v>
      </c>
      <c r="O20" s="46"/>
      <c r="P20" s="46"/>
      <c r="Q20" s="71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Clinker!CR28</f>
        <v>0</v>
      </c>
      <c r="G21" s="46">
        <f>Clinker!CS28</f>
        <v>0</v>
      </c>
      <c r="H21" s="46">
        <f>G21+'25'!H21</f>
        <v>0</v>
      </c>
      <c r="I21" s="46">
        <f>G21+'25'!I21</f>
        <v>0</v>
      </c>
      <c r="J21" s="46">
        <f>Clinker!CT28</f>
        <v>0</v>
      </c>
      <c r="K21" s="46">
        <f>J21+'25'!K21</f>
        <v>0</v>
      </c>
      <c r="L21" s="46">
        <f>J21+'25'!L21</f>
        <v>0</v>
      </c>
      <c r="M21" s="45">
        <f>F21+G21-J21-J43</f>
        <v>0</v>
      </c>
      <c r="N21" s="46">
        <v>0</v>
      </c>
      <c r="O21" s="46">
        <v>0</v>
      </c>
      <c r="P21" s="46"/>
      <c r="Q21" s="70"/>
    </row>
    <row r="22" spans="2:17" ht="14.25" customHeight="1" x14ac:dyDescent="0.25">
      <c r="B22" s="288"/>
      <c r="C22" s="76" t="s">
        <v>184</v>
      </c>
      <c r="D22" s="77"/>
      <c r="E22" s="69"/>
      <c r="F22" s="46">
        <f>Clinker!CW28</f>
        <v>0</v>
      </c>
      <c r="G22" s="46">
        <f>Clinker!CX28</f>
        <v>0</v>
      </c>
      <c r="H22" s="46">
        <f>G22+'25'!H22</f>
        <v>0</v>
      </c>
      <c r="I22" s="46">
        <f>G22+'25'!I22</f>
        <v>0</v>
      </c>
      <c r="J22" s="46">
        <f>Clinker!CY28</f>
        <v>0</v>
      </c>
      <c r="K22" s="46">
        <f>J22+'25'!K22</f>
        <v>0</v>
      </c>
      <c r="L22" s="46">
        <f>J22+'25'!L22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Clinker!DB28</f>
        <v>1.0000000000013998E-2</v>
      </c>
      <c r="G23" s="46">
        <f>Clinker!DC28</f>
        <v>0</v>
      </c>
      <c r="H23" s="46">
        <f>G23+'25'!H23</f>
        <v>0</v>
      </c>
      <c r="I23" s="46">
        <f>G23+'25'!I23</f>
        <v>0</v>
      </c>
      <c r="J23" s="46">
        <f>Clinker!DD28</f>
        <v>0</v>
      </c>
      <c r="K23" s="46">
        <f>J23+'25'!K23</f>
        <v>7.1</v>
      </c>
      <c r="L23" s="46">
        <f>J23+'25'!L23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Clinker!DG28</f>
        <v>0</v>
      </c>
      <c r="G24" s="46">
        <f>Clinker!DH28</f>
        <v>0</v>
      </c>
      <c r="H24" s="46">
        <f>G24+'25'!H24</f>
        <v>0</v>
      </c>
      <c r="I24" s="46">
        <f>G24+'25'!I24</f>
        <v>0</v>
      </c>
      <c r="J24" s="46">
        <f>Clinker!DI28</f>
        <v>0</v>
      </c>
      <c r="K24" s="46">
        <f>J24+'25'!K24</f>
        <v>0</v>
      </c>
      <c r="L24" s="46">
        <f>J24+'25'!L24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Clinker!DL28</f>
        <v>304</v>
      </c>
      <c r="G25" s="46">
        <f>Clinker!DM28</f>
        <v>32</v>
      </c>
      <c r="H25" s="46">
        <f>G25+'25'!H25</f>
        <v>124</v>
      </c>
      <c r="I25" s="46">
        <f>G25+'25'!I25</f>
        <v>336</v>
      </c>
      <c r="J25" s="46">
        <f>Clinker!DN28</f>
        <v>0</v>
      </c>
      <c r="K25" s="46">
        <f>J25+'25'!K25</f>
        <v>0</v>
      </c>
      <c r="L25" s="46">
        <f>J25+'25'!L25</f>
        <v>0</v>
      </c>
      <c r="M25" s="45">
        <f>F25+G25-J25-J47</f>
        <v>336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Clinker!DV28</f>
        <v>0</v>
      </c>
      <c r="G26" s="46">
        <f>Clinker!DW28</f>
        <v>0</v>
      </c>
      <c r="H26" s="46">
        <f>G26+'25'!H26</f>
        <v>0</v>
      </c>
      <c r="I26" s="46">
        <f>G26+'25'!I26</f>
        <v>0</v>
      </c>
      <c r="J26" s="46">
        <f>Clinker!DX16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3158.4469999999906</v>
      </c>
      <c r="G27" s="46">
        <f t="shared" ref="G27:Q27" si="0">SUM(G10:G26)</f>
        <v>219.76</v>
      </c>
      <c r="H27" s="46">
        <f t="shared" si="0"/>
        <v>4695.2400000000016</v>
      </c>
      <c r="I27" s="46">
        <f t="shared" si="0"/>
        <v>5500.4800000000005</v>
      </c>
      <c r="J27" s="46">
        <f t="shared" si="0"/>
        <v>266.67</v>
      </c>
      <c r="K27" s="46">
        <f t="shared" si="0"/>
        <v>6201.7800000000007</v>
      </c>
      <c r="L27" s="46">
        <f t="shared" si="0"/>
        <v>20919.090000000004</v>
      </c>
      <c r="M27" s="46">
        <f t="shared" si="0"/>
        <v>3111.5369999999903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3.9999999998087787E-2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Clinker!Q28</f>
        <v>0</v>
      </c>
      <c r="G29" s="46">
        <f>Clinker!R28</f>
        <v>0</v>
      </c>
      <c r="H29" s="46">
        <f>G29+'25'!H29</f>
        <v>0</v>
      </c>
      <c r="I29" s="46">
        <f>G29+'25'!I29</f>
        <v>0</v>
      </c>
      <c r="J29" s="46">
        <f>Clinker!S28</f>
        <v>0</v>
      </c>
      <c r="K29" s="46">
        <f>J29+'25'!K29</f>
        <v>0</v>
      </c>
      <c r="L29" s="46">
        <f>J29+'25'!L29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G30+'25'!H30</f>
        <v>0</v>
      </c>
      <c r="I30" s="46">
        <f>G30+'25'!I30</f>
        <v>0</v>
      </c>
      <c r="J30" s="46">
        <v>0</v>
      </c>
      <c r="K30" s="46">
        <f>J30+'25'!K30</f>
        <v>0</v>
      </c>
      <c r="L30" s="46">
        <f>J30+'25'!L30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G31+'25'!H31</f>
        <v>0</v>
      </c>
      <c r="I31" s="46">
        <f>G31+'25'!I31</f>
        <v>0</v>
      </c>
      <c r="J31" s="46">
        <v>0</v>
      </c>
      <c r="K31" s="46">
        <f>J31+'25'!K31</f>
        <v>0</v>
      </c>
      <c r="L31" s="46">
        <f>J31+'25'!L31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f>Clinker!DQ28</f>
        <v>0</v>
      </c>
      <c r="G32" s="46">
        <f>Clinker!DR28</f>
        <v>0</v>
      </c>
      <c r="H32" s="46">
        <f>G32+'25'!H32</f>
        <v>0</v>
      </c>
      <c r="I32" s="46">
        <f>G32+'25'!I32</f>
        <v>0</v>
      </c>
      <c r="J32" s="46">
        <v>0</v>
      </c>
      <c r="K32" s="46">
        <f>J32+'25'!K32</f>
        <v>0</v>
      </c>
      <c r="L32" s="46">
        <f>J32+'25'!L32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G33+'25'!H33</f>
        <v>0</v>
      </c>
      <c r="I33" s="46">
        <f>G33+'25'!I33</f>
        <v>0</v>
      </c>
      <c r="J33" s="46">
        <v>0</v>
      </c>
      <c r="K33" s="46">
        <f>J33+'25'!K33</f>
        <v>0</v>
      </c>
      <c r="L33" s="46">
        <f>J33+'25'!L33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ht="15" customHeight="1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Clinker!Y28</f>
        <v>0</v>
      </c>
      <c r="K34" s="46">
        <f>J34+'25'!K34</f>
        <v>0</v>
      </c>
      <c r="L34" s="46">
        <f>J34+'25'!L34</f>
        <v>1327</v>
      </c>
      <c r="M34" s="45"/>
      <c r="N34" s="46"/>
      <c r="O34" s="46"/>
      <c r="P34" s="46"/>
      <c r="Q34" s="56"/>
    </row>
    <row r="35" spans="2:17" ht="15" customHeight="1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Clinker!M28</f>
        <v>0</v>
      </c>
      <c r="K35" s="46">
        <f>J35+'25'!K35</f>
        <v>0</v>
      </c>
      <c r="L35" s="46">
        <f>J35+'25'!L35</f>
        <v>0</v>
      </c>
      <c r="M35" s="45"/>
      <c r="N35" s="46"/>
      <c r="O35" s="46"/>
      <c r="P35" s="46"/>
      <c r="Q35" s="56"/>
    </row>
    <row r="36" spans="2:17" ht="15" customHeight="1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Clinker!AR28</f>
        <v>0</v>
      </c>
      <c r="K36" s="46">
        <f>J36+'25'!K36</f>
        <v>0</v>
      </c>
      <c r="L36" s="46">
        <f>J36+'25'!L36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283"/>
      <c r="F37" s="46"/>
      <c r="G37" s="46"/>
      <c r="H37" s="46"/>
      <c r="I37" s="46"/>
      <c r="J37" s="46">
        <f>Clinker!M28</f>
        <v>0</v>
      </c>
      <c r="K37" s="46">
        <f>J37+'25'!K37</f>
        <v>0</v>
      </c>
      <c r="L37" s="46">
        <f>J37+'25'!L37</f>
        <v>20</v>
      </c>
      <c r="M37" s="45"/>
      <c r="N37" s="46"/>
      <c r="O37" s="46"/>
      <c r="P37" s="46"/>
      <c r="Q37" s="56"/>
    </row>
    <row r="38" spans="2:17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Clinker!BB28</f>
        <v>0</v>
      </c>
      <c r="K38" s="46">
        <f>J38+'25'!K38</f>
        <v>10</v>
      </c>
      <c r="L38" s="46">
        <f>J38+'25'!L38</f>
        <v>10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Clinker!BG28</f>
        <v>0</v>
      </c>
      <c r="K39" s="46">
        <f>J39+'25'!K39</f>
        <v>0</v>
      </c>
      <c r="L39" s="46">
        <f>J39+'25'!L39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13</v>
      </c>
      <c r="D40" s="282"/>
      <c r="E40" s="283"/>
      <c r="F40" s="46"/>
      <c r="G40" s="46"/>
      <c r="H40" s="46"/>
      <c r="I40" s="46"/>
      <c r="J40" s="46">
        <f>Clinker!BL28</f>
        <v>0</v>
      </c>
      <c r="K40" s="46">
        <f>J40+'25'!K40</f>
        <v>0</v>
      </c>
      <c r="L40" s="46">
        <f>J40+'25'!L40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Clinker!BQ28</f>
        <v>0</v>
      </c>
      <c r="K41" s="46">
        <f>J41+'25'!K41</f>
        <v>0</v>
      </c>
      <c r="L41" s="46">
        <f>J41+'25'!L41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Clinker!BV28</f>
        <v>0</v>
      </c>
      <c r="K42" s="46">
        <f>J42+'25'!K42</f>
        <v>0</v>
      </c>
      <c r="L42" s="46">
        <f>J42+'25'!L42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Clinker!CU28</f>
        <v>0</v>
      </c>
      <c r="K43" s="46">
        <f>J43+'25'!K43</f>
        <v>0</v>
      </c>
      <c r="L43" s="46">
        <f>J43+'25'!L43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Clinker!CZ28</f>
        <v>0</v>
      </c>
      <c r="K44" s="46">
        <f>J44+'25'!K44</f>
        <v>0</v>
      </c>
      <c r="L44" s="46">
        <f>J44+'25'!L44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Clinker!DE28</f>
        <v>0</v>
      </c>
      <c r="K45" s="46">
        <f>J45+'25'!K45</f>
        <v>0</v>
      </c>
      <c r="L45" s="46">
        <f>J45+'25'!L45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104</v>
      </c>
      <c r="D46" s="77"/>
      <c r="E46" s="69"/>
      <c r="F46" s="46"/>
      <c r="G46" s="46"/>
      <c r="H46" s="46"/>
      <c r="I46" s="46"/>
      <c r="J46" s="46">
        <f>Clinker!DJ28</f>
        <v>0</v>
      </c>
      <c r="K46" s="46">
        <f>J46+'25'!K46</f>
        <v>0</v>
      </c>
      <c r="L46" s="46">
        <f>J46+'25'!L46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Clinker!DO28</f>
        <v>0</v>
      </c>
      <c r="K47" s="46">
        <f>J47+'25'!K47</f>
        <v>0</v>
      </c>
      <c r="L47" s="46">
        <f>J47+'25'!L47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181</v>
      </c>
      <c r="D48" s="77"/>
      <c r="E48" s="69"/>
      <c r="F48" s="46">
        <f>Clinker!CM28</f>
        <v>5.0000000000181899E-2</v>
      </c>
      <c r="G48" s="46">
        <f>Clinker!CN28</f>
        <v>0</v>
      </c>
      <c r="H48" s="46">
        <f>G48+'25'!H48</f>
        <v>0</v>
      </c>
      <c r="I48" s="46">
        <f>G48+'25'!I48</f>
        <v>0</v>
      </c>
      <c r="J48" s="46">
        <f>Clinker!CP28</f>
        <v>0</v>
      </c>
      <c r="K48" s="46">
        <f>J48+'25'!K48</f>
        <v>0</v>
      </c>
      <c r="L48" s="46">
        <f>J48+'25'!L48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20" x14ac:dyDescent="0.25">
      <c r="B49" s="288"/>
      <c r="C49" s="76" t="s">
        <v>102</v>
      </c>
      <c r="D49" s="77"/>
      <c r="E49" s="69"/>
      <c r="F49" s="46">
        <f>Clinker!CC28</f>
        <v>0</v>
      </c>
      <c r="G49" s="46">
        <f>Clinker!CD28</f>
        <v>0</v>
      </c>
      <c r="H49" s="46">
        <f>G49+'25'!H49</f>
        <v>0</v>
      </c>
      <c r="I49" s="46">
        <f>G49+'25'!I49</f>
        <v>0</v>
      </c>
      <c r="J49" s="46">
        <f>Clinker!CF28</f>
        <v>0</v>
      </c>
      <c r="K49" s="46">
        <f>J49+'25'!K49</f>
        <v>0</v>
      </c>
      <c r="L49" s="46">
        <f>J49+'25'!L49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20" x14ac:dyDescent="0.25">
      <c r="B50" s="288"/>
      <c r="C50" s="281" t="s">
        <v>154</v>
      </c>
      <c r="D50" s="282"/>
      <c r="E50" s="69"/>
      <c r="F50" s="46">
        <f>Clinker!CH28</f>
        <v>0</v>
      </c>
      <c r="G50" s="46">
        <f>Clinker!CI28</f>
        <v>0</v>
      </c>
      <c r="H50" s="46">
        <f>G50+'25'!H50</f>
        <v>0</v>
      </c>
      <c r="I50" s="46">
        <f>G50+'25'!I50</f>
        <v>0</v>
      </c>
      <c r="J50" s="46">
        <f>Clinker!CK5</f>
        <v>0</v>
      </c>
      <c r="K50" s="46">
        <f>J50+'25'!K50</f>
        <v>0</v>
      </c>
      <c r="L50" s="46">
        <f>J50+'25'!L50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20" ht="15" customHeight="1" x14ac:dyDescent="0.25">
      <c r="B51" s="288"/>
      <c r="C51" s="281" t="s">
        <v>155</v>
      </c>
      <c r="D51" s="282"/>
      <c r="E51" s="283"/>
      <c r="F51" s="46">
        <f>Clinker!AF28</f>
        <v>3994.2699999999932</v>
      </c>
      <c r="G51" s="46">
        <f>Clinker!AG28</f>
        <v>120.05</v>
      </c>
      <c r="H51" s="46">
        <f>G51+'25'!H51</f>
        <v>3643.6500000000005</v>
      </c>
      <c r="I51" s="46">
        <f>G51+'25'!I51</f>
        <v>5784.5999999999995</v>
      </c>
      <c r="J51" s="46">
        <f>Clinker!AI28</f>
        <v>140</v>
      </c>
      <c r="K51" s="46">
        <f>J51+'25'!K51</f>
        <v>3718</v>
      </c>
      <c r="L51" s="46">
        <f>J51+'25'!L51</f>
        <v>10543</v>
      </c>
      <c r="M51" s="45">
        <f>F51+G51-J51-J20</f>
        <v>3974.3199999999933</v>
      </c>
      <c r="N51" s="46">
        <v>0</v>
      </c>
      <c r="O51" s="46">
        <v>1500</v>
      </c>
      <c r="P51" s="46">
        <v>3000</v>
      </c>
      <c r="Q51" s="56">
        <f>SUM(M51+N51)-O51</f>
        <v>2474.3199999999933</v>
      </c>
    </row>
    <row r="52" spans="2:20" x14ac:dyDescent="0.25">
      <c r="B52" s="288"/>
      <c r="C52" s="281" t="s">
        <v>156</v>
      </c>
      <c r="D52" s="282"/>
      <c r="E52" s="283"/>
      <c r="F52" s="46">
        <f>Clinker!AB28</f>
        <v>0</v>
      </c>
      <c r="G52" s="46">
        <f>Clinker!AC28</f>
        <v>0</v>
      </c>
      <c r="H52" s="46">
        <f>G52+'25'!H52</f>
        <v>0</v>
      </c>
      <c r="I52" s="46">
        <f>G52+'25'!I52</f>
        <v>0</v>
      </c>
      <c r="J52" s="46">
        <f>Clinker!AD28</f>
        <v>0</v>
      </c>
      <c r="K52" s="46">
        <f>J52+'25'!K52</f>
        <v>0</v>
      </c>
      <c r="L52" s="46">
        <f>J52+'25'!L52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20" x14ac:dyDescent="0.25">
      <c r="B53" s="288"/>
      <c r="C53" s="281" t="s">
        <v>146</v>
      </c>
      <c r="D53" s="282"/>
      <c r="E53" s="283"/>
      <c r="F53" s="46">
        <f>SUM(F29:F52)</f>
        <v>3994.3199999999933</v>
      </c>
      <c r="G53" s="46">
        <f>SUM(G29:G52)</f>
        <v>120.05</v>
      </c>
      <c r="H53" s="46">
        <f>SUM(H29:H52)</f>
        <v>3643.6500000000005</v>
      </c>
      <c r="I53" s="46">
        <f>SUM(I29:I52)</f>
        <v>5784.5999999999995</v>
      </c>
      <c r="J53" s="46">
        <f>SUM(J29:J52)</f>
        <v>140</v>
      </c>
      <c r="K53" s="46">
        <f>J53+'25'!K53</f>
        <v>3728</v>
      </c>
      <c r="L53" s="46">
        <f>J53+'25'!L53</f>
        <v>11900</v>
      </c>
      <c r="M53" s="46">
        <f>SUM(M29:M52)</f>
        <v>3974.3699999999935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2474.3199999999933</v>
      </c>
    </row>
    <row r="54" spans="2:20" x14ac:dyDescent="0.25">
      <c r="B54" s="289"/>
      <c r="C54" s="284" t="s">
        <v>157</v>
      </c>
      <c r="D54" s="285"/>
      <c r="E54" s="286"/>
      <c r="F54" s="59">
        <f t="shared" ref="F54:Q54" si="1">SUM(F27+F53)</f>
        <v>7152.7669999999835</v>
      </c>
      <c r="G54" s="59">
        <f t="shared" si="1"/>
        <v>339.81</v>
      </c>
      <c r="H54" s="59">
        <f t="shared" si="1"/>
        <v>8338.8900000000031</v>
      </c>
      <c r="I54" s="59">
        <f t="shared" si="1"/>
        <v>11285.08</v>
      </c>
      <c r="J54" s="59">
        <f t="shared" si="1"/>
        <v>406.67</v>
      </c>
      <c r="K54" s="59">
        <f t="shared" si="1"/>
        <v>9929.7800000000007</v>
      </c>
      <c r="L54" s="59">
        <f t="shared" si="1"/>
        <v>32819.090000000004</v>
      </c>
      <c r="M54" s="59">
        <f t="shared" si="1"/>
        <v>7085.9069999999838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1"/>
        <v>2474.3599999999915</v>
      </c>
      <c r="S54" s="90"/>
    </row>
    <row r="55" spans="2:20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20" x14ac:dyDescent="0.25">
      <c r="B56" s="288"/>
      <c r="C56" s="281" t="s">
        <v>159</v>
      </c>
      <c r="D56" s="282"/>
      <c r="E56" s="283"/>
      <c r="F56" s="46">
        <f>'Packing bag '!C28</f>
        <v>2744945</v>
      </c>
      <c r="G56" s="46">
        <f>'Packing bag '!D28</f>
        <v>0</v>
      </c>
      <c r="H56" s="46">
        <f>G56+'25'!H56</f>
        <v>961000</v>
      </c>
      <c r="I56" s="46">
        <f>G56+'25'!I56</f>
        <v>4113500</v>
      </c>
      <c r="J56" s="46">
        <f>'Packing bag '!E28</f>
        <v>47666</v>
      </c>
      <c r="K56" s="46">
        <f>J56+'25'!K56</f>
        <v>890956</v>
      </c>
      <c r="L56" s="46">
        <f>J56+'25'!L56</f>
        <v>2467790</v>
      </c>
      <c r="M56" s="46">
        <f>F56+G56-J56</f>
        <v>2697279</v>
      </c>
      <c r="N56" s="46"/>
      <c r="O56" s="46">
        <v>400000</v>
      </c>
      <c r="P56" s="46">
        <v>800000</v>
      </c>
      <c r="Q56" s="56">
        <f>SUM(M56+N56)-O56</f>
        <v>2297279</v>
      </c>
    </row>
    <row r="57" spans="2:20" x14ac:dyDescent="0.25">
      <c r="B57" s="288"/>
      <c r="C57" s="281" t="s">
        <v>160</v>
      </c>
      <c r="D57" s="282"/>
      <c r="E57" s="283"/>
      <c r="F57" s="46">
        <f>'Packing bag '!G28</f>
        <v>600312</v>
      </c>
      <c r="G57" s="46">
        <f>'Packing bag '!H28</f>
        <v>0</v>
      </c>
      <c r="H57" s="46">
        <f>G57+'25'!H57</f>
        <v>40500</v>
      </c>
      <c r="I57" s="46">
        <f>G57+'25'!I57</f>
        <v>332000</v>
      </c>
      <c r="J57" s="46">
        <f>'Packing bag '!I28</f>
        <v>5101</v>
      </c>
      <c r="K57" s="46">
        <f>J57+'25'!K57</f>
        <v>47450</v>
      </c>
      <c r="L57" s="46">
        <f>J57+'25'!L57</f>
        <v>137071</v>
      </c>
      <c r="M57" s="46">
        <f>F57+G57-J57</f>
        <v>595211</v>
      </c>
      <c r="N57" s="46"/>
      <c r="O57" s="46">
        <v>100000</v>
      </c>
      <c r="P57" s="46">
        <v>250000</v>
      </c>
      <c r="Q57" s="56">
        <f>SUM(M57+N57)-O57</f>
        <v>495211</v>
      </c>
      <c r="T57" s="90"/>
    </row>
    <row r="58" spans="2:20" x14ac:dyDescent="0.25">
      <c r="B58" s="288"/>
      <c r="C58" s="281" t="s">
        <v>161</v>
      </c>
      <c r="D58" s="282"/>
      <c r="E58" s="283"/>
      <c r="F58" s="46">
        <f>'Packing bag '!K28</f>
        <v>626814</v>
      </c>
      <c r="G58" s="46">
        <f>'Packing bag '!L28</f>
        <v>0</v>
      </c>
      <c r="H58" s="46">
        <f>G58+'25'!H58</f>
        <v>150000</v>
      </c>
      <c r="I58" s="46">
        <f>G58+'25'!I58</f>
        <v>445000</v>
      </c>
      <c r="J58" s="46">
        <f>'Packing bag '!M28</f>
        <v>6062</v>
      </c>
      <c r="K58" s="46">
        <f>J58+'25'!K58</f>
        <v>58011</v>
      </c>
      <c r="L58" s="46">
        <f>J58+'25'!L58</f>
        <v>230303</v>
      </c>
      <c r="M58" s="46">
        <f>F58+G58-J58</f>
        <v>620752</v>
      </c>
      <c r="N58" s="46"/>
      <c r="O58" s="46">
        <v>50000</v>
      </c>
      <c r="P58" s="46">
        <v>150000</v>
      </c>
      <c r="Q58" s="56">
        <f>SUM(M58+N58)-O58</f>
        <v>570752</v>
      </c>
    </row>
    <row r="59" spans="2:20" x14ac:dyDescent="0.25">
      <c r="B59" s="288"/>
      <c r="C59" s="281" t="s">
        <v>162</v>
      </c>
      <c r="D59" s="282"/>
      <c r="E59" s="283"/>
      <c r="F59" s="46">
        <f>'Packing bag '!O28</f>
        <v>149079</v>
      </c>
      <c r="G59" s="46">
        <f>'Packing bag '!P28</f>
        <v>0</v>
      </c>
      <c r="H59" s="46">
        <f>G59+'25'!H59</f>
        <v>85612</v>
      </c>
      <c r="I59" s="46">
        <f>G59+'25'!I59</f>
        <v>85000</v>
      </c>
      <c r="J59" s="46">
        <f>'Packing bag '!Q28</f>
        <v>600</v>
      </c>
      <c r="K59" s="46">
        <f>J59+'25'!K59</f>
        <v>5453</v>
      </c>
      <c r="L59" s="46">
        <f>J59+'25'!L59</f>
        <v>20222</v>
      </c>
      <c r="M59" s="46">
        <f>F59+G59-J59</f>
        <v>148479</v>
      </c>
      <c r="N59" s="46"/>
      <c r="O59" s="46"/>
      <c r="P59" s="46"/>
      <c r="Q59" s="56"/>
    </row>
    <row r="60" spans="2:20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G60+'25'!H60</f>
        <v>0</v>
      </c>
      <c r="I60" s="46">
        <f>G60+'25'!I60</f>
        <v>0</v>
      </c>
      <c r="J60" s="46">
        <v>0</v>
      </c>
      <c r="K60" s="46">
        <f>J60+'25'!K60</f>
        <v>0</v>
      </c>
      <c r="L60" s="46">
        <f>J60+'25'!L60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20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G61+'25'!H61</f>
        <v>0</v>
      </c>
      <c r="I61" s="46">
        <f>G61+'25'!I61</f>
        <v>0</v>
      </c>
      <c r="J61" s="46">
        <v>0</v>
      </c>
      <c r="K61" s="46">
        <f>J61+'25'!K61</f>
        <v>0</v>
      </c>
      <c r="L61" s="46">
        <f>J61+'25'!L61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20" x14ac:dyDescent="0.25">
      <c r="B62" s="289"/>
      <c r="C62" s="284" t="s">
        <v>165</v>
      </c>
      <c r="D62" s="285"/>
      <c r="E62" s="286"/>
      <c r="F62" s="59">
        <f>SUM(F56:F61)</f>
        <v>4121150</v>
      </c>
      <c r="G62" s="59">
        <f t="shared" ref="G62:Q62" si="2">SUM(G56:G61)</f>
        <v>0</v>
      </c>
      <c r="H62" s="59">
        <f t="shared" si="2"/>
        <v>1237112</v>
      </c>
      <c r="I62" s="59">
        <f t="shared" si="2"/>
        <v>4975500</v>
      </c>
      <c r="J62" s="59">
        <f t="shared" si="2"/>
        <v>59429</v>
      </c>
      <c r="K62" s="59">
        <f t="shared" si="2"/>
        <v>1001870</v>
      </c>
      <c r="L62" s="59">
        <f t="shared" si="2"/>
        <v>2855386</v>
      </c>
      <c r="M62" s="59">
        <f t="shared" si="2"/>
        <v>4061721</v>
      </c>
      <c r="N62" s="59">
        <v>0</v>
      </c>
      <c r="O62" s="59">
        <f t="shared" si="2"/>
        <v>551500</v>
      </c>
      <c r="P62" s="59">
        <f t="shared" si="2"/>
        <v>1207000</v>
      </c>
      <c r="Q62" s="59">
        <f t="shared" si="2"/>
        <v>3361742</v>
      </c>
    </row>
    <row r="63" spans="2:20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20" x14ac:dyDescent="0.25">
      <c r="B64" s="288"/>
      <c r="C64" s="281" t="s">
        <v>48</v>
      </c>
      <c r="D64" s="282"/>
      <c r="E64" s="283"/>
      <c r="F64" s="46">
        <f>Cement!G28</f>
        <v>0</v>
      </c>
      <c r="G64" s="46">
        <f>Cement!H28</f>
        <v>0</v>
      </c>
      <c r="H64" s="46">
        <f>G64+'25'!H64</f>
        <v>0</v>
      </c>
      <c r="I64" s="46">
        <f>G64+'25'!I64</f>
        <v>0</v>
      </c>
      <c r="J64" s="46">
        <v>0</v>
      </c>
      <c r="K64" s="46">
        <f>J64+'25'!K64</f>
        <v>0</v>
      </c>
      <c r="L64" s="46">
        <f>J64+'25'!L64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Cement!K28</f>
        <v>0</v>
      </c>
      <c r="G65" s="46">
        <f>Cement!L28</f>
        <v>0</v>
      </c>
      <c r="H65" s="46">
        <f>G65+'25'!H65</f>
        <v>0</v>
      </c>
      <c r="I65" s="46">
        <f>G65+'25'!I65</f>
        <v>0</v>
      </c>
      <c r="J65" s="46">
        <v>0</v>
      </c>
      <c r="K65" s="46">
        <f>J65+'25'!K65</f>
        <v>0</v>
      </c>
      <c r="L65" s="46">
        <f>J65+'25'!L65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 t="shared" ref="G66:M66" si="3">SUM(G64:G65)</f>
        <v>0</v>
      </c>
      <c r="H66" s="59">
        <f t="shared" si="3"/>
        <v>0</v>
      </c>
      <c r="I66" s="59">
        <f t="shared" si="3"/>
        <v>0</v>
      </c>
      <c r="J66" s="59">
        <f t="shared" si="3"/>
        <v>0</v>
      </c>
      <c r="K66" s="59">
        <f t="shared" si="3"/>
        <v>0</v>
      </c>
      <c r="L66" s="59">
        <f t="shared" si="3"/>
        <v>0</v>
      </c>
      <c r="M66" s="59">
        <f t="shared" si="3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Diesel!B28</f>
        <v>47328</v>
      </c>
      <c r="G68" s="46">
        <f>Diesel!C28</f>
        <v>0</v>
      </c>
      <c r="H68" s="46">
        <f>G68+'25'!H68</f>
        <v>65000</v>
      </c>
      <c r="I68" s="46">
        <f>G68+'25'!I68</f>
        <v>155000</v>
      </c>
      <c r="J68" s="46">
        <v>0</v>
      </c>
      <c r="K68" s="46">
        <f>J68+'25'!K68</f>
        <v>0</v>
      </c>
      <c r="L68" s="46">
        <f>J68+'25'!L68</f>
        <v>0</v>
      </c>
      <c r="M68" s="46">
        <f>F68+G68-J68-J76</f>
        <v>43564</v>
      </c>
      <c r="N68" s="46"/>
      <c r="O68" s="46">
        <v>30000</v>
      </c>
      <c r="P68" s="46">
        <v>60000</v>
      </c>
      <c r="Q68" s="56">
        <f>SUM(M68+N68)-O68</f>
        <v>13564</v>
      </c>
    </row>
    <row r="69" spans="2:17" x14ac:dyDescent="0.25">
      <c r="B69" s="297"/>
      <c r="C69" s="281" t="s">
        <v>171</v>
      </c>
      <c r="D69" s="282"/>
      <c r="E69" s="283"/>
      <c r="F69" s="46">
        <f>Diesel!Y28</f>
        <v>0</v>
      </c>
      <c r="G69" s="46">
        <f>Diesel!Z28</f>
        <v>0</v>
      </c>
      <c r="H69" s="46">
        <f>G69+'25'!H69</f>
        <v>0</v>
      </c>
      <c r="I69" s="46">
        <f>G69+'25'!I69</f>
        <v>0</v>
      </c>
      <c r="J69" s="46">
        <f>Diesel!AA28</f>
        <v>0</v>
      </c>
      <c r="K69" s="46">
        <f>J69+'25'!K69</f>
        <v>5000</v>
      </c>
      <c r="L69" s="46">
        <f>J69+'25'!L69</f>
        <v>20000</v>
      </c>
      <c r="M69" s="46">
        <f t="shared" ref="M69:M75" si="4"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G70+'25'!H70</f>
        <v>0</v>
      </c>
      <c r="I70" s="46">
        <f>G70+'25'!I70</f>
        <v>0</v>
      </c>
      <c r="J70" s="46">
        <f>Diesel!P28</f>
        <v>0</v>
      </c>
      <c r="K70" s="46">
        <f>J70+'25'!K70</f>
        <v>105</v>
      </c>
      <c r="L70" s="46">
        <f>J70+'25'!L70</f>
        <v>708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G71+'25'!H71</f>
        <v>0</v>
      </c>
      <c r="I71" s="46">
        <f>G71+'25'!I71</f>
        <v>0</v>
      </c>
      <c r="J71" s="46">
        <f>Diesel!Q28</f>
        <v>3074</v>
      </c>
      <c r="K71" s="46">
        <f>J71+'25'!K71</f>
        <v>24602</v>
      </c>
      <c r="L71" s="46">
        <f>J71+'25'!L71</f>
        <v>79237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G72+'25'!H72</f>
        <v>0</v>
      </c>
      <c r="I72" s="46">
        <f>G72+'25'!I72</f>
        <v>0</v>
      </c>
      <c r="J72" s="46">
        <f>Diesel!R28</f>
        <v>690</v>
      </c>
      <c r="K72" s="46">
        <f>J72+'25'!K72</f>
        <v>17874</v>
      </c>
      <c r="L72" s="46">
        <f>J72+'25'!L72</f>
        <v>60582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G73+'25'!H73</f>
        <v>0</v>
      </c>
      <c r="I73" s="46">
        <f>G73+'25'!I73</f>
        <v>0</v>
      </c>
      <c r="J73" s="46">
        <f>Diesel!S28</f>
        <v>0</v>
      </c>
      <c r="K73" s="46">
        <f>J73+'25'!K73</f>
        <v>0</v>
      </c>
      <c r="L73" s="46">
        <f>J73+'25'!L73</f>
        <v>0</v>
      </c>
      <c r="M73" s="46">
        <f t="shared" si="4"/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G74+'25'!H74</f>
        <v>0</v>
      </c>
      <c r="I74" s="46">
        <f>G74+'25'!I74</f>
        <v>0</v>
      </c>
      <c r="J74" s="46">
        <f>Diesel!T28</f>
        <v>0</v>
      </c>
      <c r="K74" s="46">
        <f>J74+'25'!K74</f>
        <v>0</v>
      </c>
      <c r="L74" s="46">
        <f>J74+'25'!L74</f>
        <v>0</v>
      </c>
      <c r="M74" s="46">
        <f t="shared" si="4"/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G75+'25'!H75</f>
        <v>0</v>
      </c>
      <c r="I75" s="46">
        <f>G75+'25'!I75</f>
        <v>0</v>
      </c>
      <c r="J75" s="61">
        <f>Diesel!U28</f>
        <v>0</v>
      </c>
      <c r="K75" s="46">
        <f>J75+'25'!K75</f>
        <v>0</v>
      </c>
      <c r="L75" s="46">
        <f>J75+'25'!L75</f>
        <v>0</v>
      </c>
      <c r="M75" s="46">
        <f t="shared" si="4"/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47328</v>
      </c>
      <c r="G76" s="62">
        <f t="shared" ref="G76:M76" si="5">SUM(G68:G75)</f>
        <v>0</v>
      </c>
      <c r="H76" s="62">
        <f t="shared" si="5"/>
        <v>65000</v>
      </c>
      <c r="I76" s="62">
        <f t="shared" si="5"/>
        <v>155000</v>
      </c>
      <c r="J76" s="62">
        <f t="shared" si="5"/>
        <v>3764</v>
      </c>
      <c r="K76" s="62">
        <f t="shared" si="5"/>
        <v>47581</v>
      </c>
      <c r="L76" s="62">
        <f t="shared" si="5"/>
        <v>160527</v>
      </c>
      <c r="M76" s="62">
        <f t="shared" si="5"/>
        <v>43564</v>
      </c>
      <c r="N76" s="63"/>
      <c r="O76" s="64"/>
      <c r="P76" s="62"/>
      <c r="Q76" s="65"/>
    </row>
  </sheetData>
  <mergeCells count="70">
    <mergeCell ref="C59:E59"/>
    <mergeCell ref="C6:E6"/>
    <mergeCell ref="C7:E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1:E51"/>
    <mergeCell ref="C52:E52"/>
    <mergeCell ref="C28:E28"/>
    <mergeCell ref="C29:E29"/>
    <mergeCell ref="C30:E30"/>
    <mergeCell ref="C34:E34"/>
    <mergeCell ref="C37:E37"/>
    <mergeCell ref="C31:E31"/>
    <mergeCell ref="C32:E32"/>
    <mergeCell ref="C38:D38"/>
    <mergeCell ref="C40:E40"/>
    <mergeCell ref="C50:D50"/>
    <mergeCell ref="C47:D47"/>
    <mergeCell ref="C11:E11"/>
    <mergeCell ref="C27:E27"/>
    <mergeCell ref="C14:D14"/>
    <mergeCell ref="C36:D36"/>
    <mergeCell ref="C15:D15"/>
    <mergeCell ref="C17:E17"/>
    <mergeCell ref="C35:E35"/>
    <mergeCell ref="C18:E18"/>
    <mergeCell ref="C20:D20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2:E12"/>
    <mergeCell ref="B63:B66"/>
    <mergeCell ref="C63:Q63"/>
    <mergeCell ref="C64:E64"/>
    <mergeCell ref="C65:E65"/>
    <mergeCell ref="C66:E66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</mergeCells>
  <pageMargins left="0.7" right="0.7" top="0.75" bottom="0.75" header="0.3" footer="0.3"/>
  <pageSetup paperSize="9" scale="41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pageSetUpPr fitToPage="1"/>
  </sheetPr>
  <dimension ref="B1:S76"/>
  <sheetViews>
    <sheetView zoomScale="90" zoomScaleNormal="90" workbookViewId="0">
      <pane xSplit="4" ySplit="1" topLeftCell="E54" activePane="bottomRight" state="frozen"/>
      <selection pane="topRight" activeCell="E1" sqref="E1"/>
      <selection pane="bottomLeft" activeCell="A6" sqref="A6"/>
      <selection pane="bottomRight" activeCell="M59" sqref="M59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9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5" t="s">
        <v>234</v>
      </c>
      <c r="Q3" s="316"/>
    </row>
    <row r="4" spans="2:19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9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9" x14ac:dyDescent="0.25">
      <c r="B6" s="54">
        <v>1</v>
      </c>
      <c r="C6" s="308" t="s">
        <v>135</v>
      </c>
      <c r="D6" s="309"/>
      <c r="E6" s="310"/>
      <c r="F6" s="45">
        <f>Clinker!C29</f>
        <v>1186.7400000000002</v>
      </c>
      <c r="G6" s="45">
        <f>Clinker!D29</f>
        <v>29.5</v>
      </c>
      <c r="H6" s="45">
        <f>G6+'26'!H6</f>
        <v>128.32</v>
      </c>
      <c r="I6" s="45">
        <f>G6+'26'!I6</f>
        <v>545.6</v>
      </c>
      <c r="J6" s="45">
        <f>Clinker!E29</f>
        <v>40</v>
      </c>
      <c r="K6" s="45">
        <f>J6+'26'!K6</f>
        <v>1600</v>
      </c>
      <c r="L6" s="45">
        <f>J6+'26'!L6</f>
        <v>4735</v>
      </c>
      <c r="M6" s="45">
        <f>F6+G6-J6</f>
        <v>1176.2400000000002</v>
      </c>
      <c r="N6" s="45">
        <v>0</v>
      </c>
      <c r="O6" s="45">
        <v>3000</v>
      </c>
      <c r="P6" s="45">
        <v>6000</v>
      </c>
      <c r="Q6" s="55">
        <f>SUM(M6+N6)-O6</f>
        <v>-1823.7599999999998</v>
      </c>
      <c r="S6" s="90"/>
    </row>
    <row r="7" spans="2:19" x14ac:dyDescent="0.25">
      <c r="B7" s="50">
        <v>2</v>
      </c>
      <c r="C7" s="305" t="s">
        <v>136</v>
      </c>
      <c r="D7" s="306"/>
      <c r="E7" s="307"/>
      <c r="F7" s="46">
        <f>Cement!C29</f>
        <v>3319.0062691878056</v>
      </c>
      <c r="G7" s="46">
        <f>Cement!D29</f>
        <v>120.58</v>
      </c>
      <c r="H7" s="45">
        <f>G7+'26'!H7</f>
        <v>2783.66</v>
      </c>
      <c r="I7" s="45">
        <f>G7+'26'!I7</f>
        <v>4910.28</v>
      </c>
      <c r="J7" s="46">
        <f>Cement!I29</f>
        <v>126.31263060000001</v>
      </c>
      <c r="K7" s="45">
        <f>J7+'26'!K7</f>
        <v>3678.6922195683705</v>
      </c>
      <c r="L7" s="45">
        <f>J7+'26'!L7</f>
        <v>8904.9222098958708</v>
      </c>
      <c r="M7" s="45">
        <f>F7+G7-J7</f>
        <v>3313.2736385878056</v>
      </c>
      <c r="N7" s="46">
        <v>0</v>
      </c>
      <c r="O7" s="46">
        <v>3000</v>
      </c>
      <c r="P7" s="46">
        <v>6000</v>
      </c>
      <c r="Q7" s="56">
        <f>SUM(M7+N7)-O7</f>
        <v>313.27363858780564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Clinker!EI29</f>
        <v>13392.590564379272</v>
      </c>
      <c r="G8" s="46">
        <f>Clinker!EJ29</f>
        <v>1506</v>
      </c>
      <c r="H8" s="45">
        <f>G8+'26'!H8</f>
        <v>37088</v>
      </c>
      <c r="I8" s="45">
        <f>G8+'26'!I8</f>
        <v>136004.66</v>
      </c>
      <c r="J8" s="46">
        <f>Clinker!EK29</f>
        <v>1955.9900019827999</v>
      </c>
      <c r="K8" s="45">
        <f>J8+'26'!K8</f>
        <v>55397.301525410483</v>
      </c>
      <c r="L8" s="45">
        <f>J8+'26'!L8</f>
        <v>135193.14854523042</v>
      </c>
      <c r="M8" s="45">
        <f>F8+G8-J8</f>
        <v>12942.600562396472</v>
      </c>
      <c r="N8" s="46">
        <v>0</v>
      </c>
      <c r="O8" s="46"/>
      <c r="P8" s="46"/>
      <c r="Q8" s="56"/>
    </row>
    <row r="9" spans="2:19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88"/>
      <c r="C10" s="281" t="s">
        <v>138</v>
      </c>
      <c r="D10" s="282"/>
      <c r="E10" s="283"/>
      <c r="F10" s="46">
        <f>Clinker!K29</f>
        <v>0</v>
      </c>
      <c r="G10" s="46">
        <f>Clinker!L29</f>
        <v>0</v>
      </c>
      <c r="H10" s="46">
        <f>G10+'26'!H10</f>
        <v>0</v>
      </c>
      <c r="I10" s="46">
        <f>G10+'26'!I10</f>
        <v>0</v>
      </c>
      <c r="J10" s="46">
        <f>Clinker!N29</f>
        <v>0</v>
      </c>
      <c r="K10" s="46">
        <f>J10+'26'!K10</f>
        <v>0</v>
      </c>
      <c r="L10" s="46">
        <f>J10+'26'!L10</f>
        <v>0</v>
      </c>
      <c r="M10" s="45">
        <f>F10+G10-J10-J37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88"/>
      <c r="C11" s="281" t="s">
        <v>139</v>
      </c>
      <c r="D11" s="282"/>
      <c r="E11" s="283"/>
      <c r="F11" s="46">
        <f>Clinker!W29</f>
        <v>3.9999999998087787E-2</v>
      </c>
      <c r="G11" s="46">
        <f>Clinker!X29</f>
        <v>0</v>
      </c>
      <c r="H11" s="46">
        <f>G11+'26'!H11</f>
        <v>0</v>
      </c>
      <c r="I11" s="46">
        <f>G11+'26'!I11</f>
        <v>0</v>
      </c>
      <c r="J11" s="46">
        <f>Clinker!Z29</f>
        <v>0</v>
      </c>
      <c r="K11" s="46">
        <f>J11+'26'!K11</f>
        <v>1063</v>
      </c>
      <c r="L11" s="46">
        <f>J11+'26'!L11</f>
        <v>8686.84</v>
      </c>
      <c r="M11" s="45">
        <f>F11+G11-J11-J34</f>
        <v>3.9999999998087787E-2</v>
      </c>
      <c r="N11" s="46">
        <v>0</v>
      </c>
      <c r="O11" s="46"/>
      <c r="P11" s="46"/>
      <c r="Q11" s="56">
        <f>SUM(M11+N11)-O11</f>
        <v>3.9999999998087787E-2</v>
      </c>
      <c r="S11" s="126"/>
    </row>
    <row r="12" spans="2:19" ht="15" customHeight="1" x14ac:dyDescent="0.25">
      <c r="B12" s="288"/>
      <c r="C12" s="281" t="s">
        <v>140</v>
      </c>
      <c r="D12" s="282"/>
      <c r="E12" s="283"/>
      <c r="F12" s="46">
        <f>Clinker!AT29</f>
        <v>1.0000000002058584E-2</v>
      </c>
      <c r="G12" s="46">
        <f>Clinker!AU29</f>
        <v>0</v>
      </c>
      <c r="H12" s="46">
        <f>G12+'26'!H12</f>
        <v>0</v>
      </c>
      <c r="I12" s="46">
        <f>G12+'26'!I12</f>
        <v>181.5</v>
      </c>
      <c r="J12" s="46">
        <f>Clinker!AV29</f>
        <v>0</v>
      </c>
      <c r="K12" s="46">
        <f>J12+'26'!K12</f>
        <v>2933.89</v>
      </c>
      <c r="L12" s="46">
        <f>J12+'26'!L12</f>
        <v>5675.5900000000011</v>
      </c>
      <c r="M12" s="45">
        <f>F12+G12-J12-J37</f>
        <v>1.0000000002058584E-2</v>
      </c>
      <c r="N12" s="46">
        <v>0</v>
      </c>
      <c r="O12" s="46"/>
      <c r="P12" s="46"/>
      <c r="Q12" s="70"/>
    </row>
    <row r="13" spans="2:19" x14ac:dyDescent="0.25">
      <c r="B13" s="288"/>
      <c r="C13" s="281" t="s">
        <v>9</v>
      </c>
      <c r="D13" s="282"/>
      <c r="E13" s="69"/>
      <c r="F13" s="46">
        <f>Clinker!AO29</f>
        <v>0</v>
      </c>
      <c r="G13" s="46">
        <f>Clinker!AP29</f>
        <v>0</v>
      </c>
      <c r="H13" s="46">
        <f>G13+'26'!H13</f>
        <v>0</v>
      </c>
      <c r="I13" s="46">
        <f>G13+'26'!I13</f>
        <v>0</v>
      </c>
      <c r="J13" s="46">
        <f>Clinker!AQ29</f>
        <v>0</v>
      </c>
      <c r="K13" s="46">
        <f>J13+'26'!K13</f>
        <v>0</v>
      </c>
      <c r="L13" s="46">
        <f>J13+'26'!L13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88"/>
      <c r="C14" s="281" t="s">
        <v>8</v>
      </c>
      <c r="D14" s="282"/>
      <c r="E14" s="69"/>
      <c r="F14" s="46">
        <f>Clinker!AK29</f>
        <v>0</v>
      </c>
      <c r="G14" s="46">
        <f>Clinker!AL29</f>
        <v>0</v>
      </c>
      <c r="H14" s="46">
        <f>G14+'26'!H14</f>
        <v>0</v>
      </c>
      <c r="I14" s="46">
        <f>G14+'26'!I14</f>
        <v>0</v>
      </c>
      <c r="J14" s="46">
        <f>Clinker!AM29</f>
        <v>0</v>
      </c>
      <c r="K14" s="46">
        <f>J14+'26'!K14</f>
        <v>0</v>
      </c>
      <c r="L14" s="46">
        <f>J14+'26'!L14</f>
        <v>0</v>
      </c>
      <c r="M14" s="45">
        <f t="shared" ref="M14:M17" si="0">F14+G14-J14</f>
        <v>0</v>
      </c>
      <c r="N14" s="46">
        <v>0</v>
      </c>
      <c r="O14" s="46"/>
      <c r="P14" s="46"/>
      <c r="Q14" s="70"/>
    </row>
    <row r="15" spans="2:19" x14ac:dyDescent="0.25">
      <c r="B15" s="288"/>
      <c r="C15" s="281" t="s">
        <v>11</v>
      </c>
      <c r="D15" s="282"/>
      <c r="E15" s="69"/>
      <c r="F15" s="46">
        <f>Clinker!AY29</f>
        <v>2775.4769999999899</v>
      </c>
      <c r="G15" s="46">
        <f>Clinker!AZ29</f>
        <v>186.28</v>
      </c>
      <c r="H15" s="46">
        <f>G15+'26'!H15</f>
        <v>4757.5200000000013</v>
      </c>
      <c r="I15" s="46">
        <f>G15+'26'!I15</f>
        <v>5169.26</v>
      </c>
      <c r="J15" s="46">
        <f>Clinker!BA29</f>
        <v>244.44</v>
      </c>
      <c r="K15" s="46">
        <f>J15+'26'!K15</f>
        <v>2442.23</v>
      </c>
      <c r="L15" s="46">
        <f>J15+'26'!L15</f>
        <v>2442.23</v>
      </c>
      <c r="M15" s="45">
        <f t="shared" si="0"/>
        <v>2717.31699999999</v>
      </c>
      <c r="N15" s="46">
        <v>0</v>
      </c>
      <c r="O15" s="46">
        <v>5000</v>
      </c>
      <c r="P15" s="46">
        <v>9000</v>
      </c>
      <c r="Q15" s="70"/>
    </row>
    <row r="16" spans="2:19" x14ac:dyDescent="0.25">
      <c r="B16" s="288"/>
      <c r="C16" s="76" t="s">
        <v>141</v>
      </c>
      <c r="D16" s="77"/>
      <c r="E16" s="69"/>
      <c r="F16" s="46">
        <f>Clinker!BD29</f>
        <v>0</v>
      </c>
      <c r="G16" s="46">
        <f>Clinker!BE29</f>
        <v>0</v>
      </c>
      <c r="H16" s="46">
        <f>G16+'26'!H16</f>
        <v>0</v>
      </c>
      <c r="I16" s="46">
        <f>G16+'26'!I16</f>
        <v>0</v>
      </c>
      <c r="J16" s="46">
        <f>Clinker!BF29</f>
        <v>0</v>
      </c>
      <c r="K16" s="46">
        <f>J16+'26'!K16</f>
        <v>0</v>
      </c>
      <c r="L16" s="46">
        <f>J16+'26'!L16</f>
        <v>0</v>
      </c>
      <c r="M16" s="45">
        <f t="shared" si="0"/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13</v>
      </c>
      <c r="D17" s="282"/>
      <c r="E17" s="283"/>
      <c r="F17" s="46">
        <f>Clinker!BI29</f>
        <v>0</v>
      </c>
      <c r="G17" s="46">
        <f>Clinker!BJ29</f>
        <v>0</v>
      </c>
      <c r="H17" s="46">
        <f>G17+'26'!H17</f>
        <v>0</v>
      </c>
      <c r="I17" s="46">
        <f>G17+'26'!I17</f>
        <v>0</v>
      </c>
      <c r="J17" s="46">
        <f>Clinker!BK29</f>
        <v>0</v>
      </c>
      <c r="K17" s="46">
        <f>J17+'26'!K17</f>
        <v>0</v>
      </c>
      <c r="L17" s="46">
        <f>J17+'26'!L17</f>
        <v>0</v>
      </c>
      <c r="M17" s="45">
        <f t="shared" si="0"/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Clinker!BN29</f>
        <v>0</v>
      </c>
      <c r="G18" s="46">
        <f>Clinker!BO29</f>
        <v>0</v>
      </c>
      <c r="H18" s="46">
        <f>G18+'26'!H18</f>
        <v>0</v>
      </c>
      <c r="I18" s="46">
        <f>G18+'26'!I18</f>
        <v>0</v>
      </c>
      <c r="J18" s="46">
        <f>Clinker!BP29</f>
        <v>0</v>
      </c>
      <c r="K18" s="46">
        <f>J18+'26'!K18</f>
        <v>0</v>
      </c>
      <c r="L18" s="46">
        <f>J18+'26'!L18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Clinker!BS29</f>
        <v>0</v>
      </c>
      <c r="G19" s="46">
        <f>Clinker!BT29</f>
        <v>0</v>
      </c>
      <c r="H19" s="46">
        <f>G19+'26'!H19</f>
        <v>0</v>
      </c>
      <c r="I19" s="46">
        <f>G19+'26'!I19</f>
        <v>0</v>
      </c>
      <c r="J19" s="46">
        <f>Clinker!BU29</f>
        <v>0</v>
      </c>
      <c r="K19" s="46">
        <f>J19+'26'!K19</f>
        <v>0</v>
      </c>
      <c r="L19" s="46">
        <f>J19+'26'!L19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Clinker!BX29</f>
        <v>0</v>
      </c>
      <c r="G20" s="46">
        <f>Clinker!BY29</f>
        <v>0</v>
      </c>
      <c r="H20" s="46">
        <f>G20+'26'!H20</f>
        <v>0</v>
      </c>
      <c r="I20" s="46">
        <f>G20+'26'!I20</f>
        <v>0</v>
      </c>
      <c r="J20" s="46">
        <f>Clinker!AH29</f>
        <v>0</v>
      </c>
      <c r="K20" s="46">
        <f>J20+'26'!K20</f>
        <v>0</v>
      </c>
      <c r="L20" s="46">
        <f>J20+'26'!L20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Clinker!CR29</f>
        <v>0</v>
      </c>
      <c r="G21" s="46">
        <f>Clinker!CS29</f>
        <v>0</v>
      </c>
      <c r="H21" s="46">
        <f>G21+'26'!H21</f>
        <v>0</v>
      </c>
      <c r="I21" s="46">
        <f>G21+'26'!I21</f>
        <v>0</v>
      </c>
      <c r="J21" s="46">
        <f>Clinker!CT29</f>
        <v>0</v>
      </c>
      <c r="K21" s="46">
        <f>J21+'26'!K21</f>
        <v>0</v>
      </c>
      <c r="L21" s="46">
        <f>J21+'26'!L21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184</v>
      </c>
      <c r="D22" s="77"/>
      <c r="E22" s="69"/>
      <c r="F22" s="46">
        <f>Clinker!CW29</f>
        <v>0</v>
      </c>
      <c r="G22" s="46">
        <f>Clinker!CX29</f>
        <v>0</v>
      </c>
      <c r="H22" s="46">
        <f>G22+'26'!H22</f>
        <v>0</v>
      </c>
      <c r="I22" s="46">
        <f>G22+'26'!I22</f>
        <v>0</v>
      </c>
      <c r="J22" s="46">
        <f>Clinker!CY29</f>
        <v>0</v>
      </c>
      <c r="K22" s="46">
        <f>J22+'26'!K22</f>
        <v>0</v>
      </c>
      <c r="L22" s="46">
        <f>J22+'26'!L22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Clinker!DB29</f>
        <v>1.0000000000013998E-2</v>
      </c>
      <c r="G23" s="46">
        <f>Clinker!DC29</f>
        <v>0</v>
      </c>
      <c r="H23" s="46">
        <f>G23+'26'!H23</f>
        <v>0</v>
      </c>
      <c r="I23" s="46">
        <f>G23+'26'!I23</f>
        <v>0</v>
      </c>
      <c r="J23" s="46">
        <f>Clinker!DD29</f>
        <v>0</v>
      </c>
      <c r="K23" s="46">
        <f>J23+'26'!K23</f>
        <v>7.1</v>
      </c>
      <c r="L23" s="46">
        <f>J23+'26'!L23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Clinker!DG29</f>
        <v>0</v>
      </c>
      <c r="G24" s="46">
        <f>Clinker!DH29</f>
        <v>0</v>
      </c>
      <c r="H24" s="46">
        <f>G24+'26'!H24</f>
        <v>0</v>
      </c>
      <c r="I24" s="46">
        <f>G24+'26'!I24</f>
        <v>0</v>
      </c>
      <c r="J24" s="46">
        <f>Clinker!DI29</f>
        <v>0</v>
      </c>
      <c r="K24" s="46">
        <f>J24+'26'!K24</f>
        <v>0</v>
      </c>
      <c r="L24" s="46">
        <f>J24+'26'!L24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Clinker!DL29</f>
        <v>336</v>
      </c>
      <c r="G25" s="46">
        <f>Clinker!DM29</f>
        <v>96</v>
      </c>
      <c r="H25" s="46">
        <f>G25+'26'!H25</f>
        <v>220</v>
      </c>
      <c r="I25" s="46">
        <f>G25+'26'!I25</f>
        <v>432</v>
      </c>
      <c r="J25" s="46">
        <f>Clinker!DN29</f>
        <v>0</v>
      </c>
      <c r="K25" s="46">
        <f>J25+'26'!K25</f>
        <v>0</v>
      </c>
      <c r="L25" s="46">
        <f>J25+'26'!L25</f>
        <v>0</v>
      </c>
      <c r="M25" s="45">
        <f>F25+G25-J25-J47</f>
        <v>432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Clinker!DV29</f>
        <v>0</v>
      </c>
      <c r="G26" s="46">
        <f>Clinker!DW16</f>
        <v>0</v>
      </c>
      <c r="H26" s="46">
        <f>G26+'26'!H26</f>
        <v>0</v>
      </c>
      <c r="I26" s="46">
        <f>G26+'26'!I26</f>
        <v>0</v>
      </c>
      <c r="J26" s="46">
        <f>Clinker!DX16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3111.5369999999903</v>
      </c>
      <c r="G27" s="46">
        <f t="shared" ref="G27:Q27" si="1">SUM(G10:G26)</f>
        <v>282.27999999999997</v>
      </c>
      <c r="H27" s="46">
        <f t="shared" si="1"/>
        <v>4977.5200000000013</v>
      </c>
      <c r="I27" s="46">
        <f t="shared" si="1"/>
        <v>5782.76</v>
      </c>
      <c r="J27" s="46">
        <f t="shared" si="1"/>
        <v>244.44</v>
      </c>
      <c r="K27" s="46">
        <f t="shared" si="1"/>
        <v>6446.22</v>
      </c>
      <c r="L27" s="46">
        <f t="shared" si="1"/>
        <v>21163.530000000002</v>
      </c>
      <c r="M27" s="46">
        <f t="shared" si="1"/>
        <v>3149.3769999999904</v>
      </c>
      <c r="N27" s="46">
        <v>0</v>
      </c>
      <c r="O27" s="46">
        <f t="shared" si="1"/>
        <v>10000</v>
      </c>
      <c r="P27" s="46">
        <f t="shared" si="1"/>
        <v>18000</v>
      </c>
      <c r="Q27" s="46">
        <f t="shared" si="1"/>
        <v>3.9999999998087787E-2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Clinker!Q29</f>
        <v>0</v>
      </c>
      <c r="G29" s="46">
        <f>Clinker!R29</f>
        <v>0</v>
      </c>
      <c r="H29" s="46">
        <f>G29+'26'!H29</f>
        <v>0</v>
      </c>
      <c r="I29" s="46">
        <f>G29+'26'!I29</f>
        <v>0</v>
      </c>
      <c r="J29" s="46">
        <f>Clinker!S29</f>
        <v>0</v>
      </c>
      <c r="K29" s="46">
        <f>J29+'26'!K29</f>
        <v>0</v>
      </c>
      <c r="L29" s="46">
        <f>J29+'26'!L29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G30+'26'!H30</f>
        <v>0</v>
      </c>
      <c r="I30" s="46">
        <f>G30+'26'!I30</f>
        <v>0</v>
      </c>
      <c r="J30" s="46">
        <v>0</v>
      </c>
      <c r="K30" s="46">
        <f>J30+'26'!K30</f>
        <v>0</v>
      </c>
      <c r="L30" s="46">
        <f>J30+'26'!L30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G31+'26'!H31</f>
        <v>0</v>
      </c>
      <c r="I31" s="46">
        <f>G31+'26'!I31</f>
        <v>0</v>
      </c>
      <c r="J31" s="46">
        <v>0</v>
      </c>
      <c r="K31" s="46">
        <f>J31+'26'!K31</f>
        <v>0</v>
      </c>
      <c r="L31" s="46">
        <f>J31+'26'!L31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f>Clinker!DQ29</f>
        <v>0</v>
      </c>
      <c r="G32" s="46">
        <f>Clinker!DR29</f>
        <v>0</v>
      </c>
      <c r="H32" s="46">
        <f>G32+'26'!H32</f>
        <v>0</v>
      </c>
      <c r="I32" s="46">
        <f>G32+'26'!I32</f>
        <v>0</v>
      </c>
      <c r="J32" s="46">
        <v>0</v>
      </c>
      <c r="K32" s="46">
        <f>J32+'26'!K32</f>
        <v>0</v>
      </c>
      <c r="L32" s="46">
        <f>J32+'26'!L32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G33+'26'!H33</f>
        <v>0</v>
      </c>
      <c r="I33" s="46">
        <f>G33+'26'!I33</f>
        <v>0</v>
      </c>
      <c r="J33" s="46">
        <v>0</v>
      </c>
      <c r="K33" s="46">
        <f>J33+'26'!K33</f>
        <v>0</v>
      </c>
      <c r="L33" s="46">
        <f>J33+'26'!L33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ht="15" customHeight="1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Clinker!Y29</f>
        <v>0</v>
      </c>
      <c r="K34" s="46">
        <f>J34+'26'!K34</f>
        <v>0</v>
      </c>
      <c r="L34" s="46">
        <f>J34+'26'!L34</f>
        <v>1327</v>
      </c>
      <c r="M34" s="45"/>
      <c r="N34" s="46"/>
      <c r="O34" s="46"/>
      <c r="P34" s="46"/>
      <c r="Q34" s="56"/>
    </row>
    <row r="35" spans="2:17" ht="15" customHeight="1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Clinker!M29</f>
        <v>0</v>
      </c>
      <c r="K35" s="46">
        <f>J35+'26'!K35</f>
        <v>0</v>
      </c>
      <c r="L35" s="46">
        <f>J35+'26'!L35</f>
        <v>0</v>
      </c>
      <c r="M35" s="45"/>
      <c r="N35" s="46"/>
      <c r="O35" s="46"/>
      <c r="P35" s="46"/>
      <c r="Q35" s="56"/>
    </row>
    <row r="36" spans="2:17" ht="15" customHeight="1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Clinker!AR29</f>
        <v>0</v>
      </c>
      <c r="K36" s="46">
        <f>J36+'26'!K36</f>
        <v>0</v>
      </c>
      <c r="L36" s="46">
        <f>J36+'26'!L36</f>
        <v>0</v>
      </c>
      <c r="M36" s="45"/>
      <c r="N36" s="46"/>
      <c r="O36" s="46"/>
      <c r="P36" s="46"/>
      <c r="Q36" s="56"/>
    </row>
    <row r="37" spans="2:17" ht="15" customHeight="1" x14ac:dyDescent="0.25">
      <c r="B37" s="288"/>
      <c r="C37" s="281" t="s">
        <v>25</v>
      </c>
      <c r="D37" s="282"/>
      <c r="E37" s="283"/>
      <c r="F37" s="46"/>
      <c r="G37" s="46"/>
      <c r="H37" s="46"/>
      <c r="I37" s="46"/>
      <c r="J37" s="46">
        <f>Clinker!AW29</f>
        <v>0</v>
      </c>
      <c r="K37" s="46">
        <f>J37+'26'!K37</f>
        <v>0</v>
      </c>
      <c r="L37" s="46">
        <f>J37+'26'!L37</f>
        <v>20</v>
      </c>
      <c r="M37" s="45"/>
      <c r="N37" s="46"/>
      <c r="O37" s="46"/>
      <c r="P37" s="46"/>
      <c r="Q37" s="56"/>
    </row>
    <row r="38" spans="2:17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Clinker!BB29</f>
        <v>0</v>
      </c>
      <c r="K38" s="46">
        <f>J38+'26'!K38</f>
        <v>10</v>
      </c>
      <c r="L38" s="46">
        <f>J38+'26'!L38</f>
        <v>10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Clinker!BG29</f>
        <v>0</v>
      </c>
      <c r="K39" s="46">
        <f>J39+'26'!K39</f>
        <v>0</v>
      </c>
      <c r="L39" s="46">
        <f>J39+'26'!L39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13</v>
      </c>
      <c r="D40" s="282"/>
      <c r="E40" s="283"/>
      <c r="F40" s="46"/>
      <c r="G40" s="46"/>
      <c r="H40" s="46"/>
      <c r="I40" s="46"/>
      <c r="J40" s="46">
        <f>Clinker!BL29</f>
        <v>0</v>
      </c>
      <c r="K40" s="46">
        <f>J40+'26'!K40</f>
        <v>0</v>
      </c>
      <c r="L40" s="46">
        <f>J40+'26'!L40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Clinker!BQ29</f>
        <v>0</v>
      </c>
      <c r="K41" s="46">
        <f>J41+'26'!K41</f>
        <v>0</v>
      </c>
      <c r="L41" s="46">
        <f>J41+'26'!L41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Clinker!BV29</f>
        <v>0</v>
      </c>
      <c r="K42" s="46">
        <f>J42+'26'!K42</f>
        <v>0</v>
      </c>
      <c r="L42" s="46">
        <f>J42+'26'!L42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Clinker!CU29</f>
        <v>0</v>
      </c>
      <c r="K43" s="46">
        <f>J43+'26'!K43</f>
        <v>0</v>
      </c>
      <c r="L43" s="46">
        <f>J43+'26'!L43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Clinker!CZ29</f>
        <v>0</v>
      </c>
      <c r="K44" s="46">
        <f>J44+'26'!K44</f>
        <v>0</v>
      </c>
      <c r="L44" s="46">
        <f>J44+'26'!L44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Clinker!DE29</f>
        <v>0</v>
      </c>
      <c r="K45" s="46">
        <f>J45+'26'!K45</f>
        <v>0</v>
      </c>
      <c r="L45" s="46">
        <f>J45+'26'!L45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104</v>
      </c>
      <c r="D46" s="77"/>
      <c r="E46" s="69"/>
      <c r="F46" s="46"/>
      <c r="G46" s="46"/>
      <c r="H46" s="46"/>
      <c r="I46" s="46"/>
      <c r="J46" s="46">
        <f>Clinker!DJ29</f>
        <v>0</v>
      </c>
      <c r="K46" s="46">
        <f>J46+'26'!K46</f>
        <v>0</v>
      </c>
      <c r="L46" s="46">
        <f>J46+'26'!L46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Clinker!DO29</f>
        <v>0</v>
      </c>
      <c r="K47" s="46">
        <f>J47+'26'!K47</f>
        <v>0</v>
      </c>
      <c r="L47" s="46">
        <f>J47+'26'!L47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181</v>
      </c>
      <c r="D48" s="77"/>
      <c r="E48" s="69"/>
      <c r="F48" s="46">
        <f>Clinker!CM29</f>
        <v>5.0000000000181899E-2</v>
      </c>
      <c r="G48" s="46">
        <f>Clinker!CN29</f>
        <v>0</v>
      </c>
      <c r="H48" s="46">
        <f>G48+'26'!H48</f>
        <v>0</v>
      </c>
      <c r="I48" s="46">
        <f>G48+'26'!I48</f>
        <v>0</v>
      </c>
      <c r="J48" s="46">
        <f>Clinker!CP29</f>
        <v>0</v>
      </c>
      <c r="K48" s="46">
        <f>J48+'26'!K48</f>
        <v>0</v>
      </c>
      <c r="L48" s="46">
        <f>J48+'26'!L48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Clinker!CC29</f>
        <v>0</v>
      </c>
      <c r="G49" s="46">
        <f>Clinker!CD29</f>
        <v>0</v>
      </c>
      <c r="H49" s="46">
        <f>G49+'26'!H49</f>
        <v>0</v>
      </c>
      <c r="I49" s="46">
        <f>G49+'26'!I49</f>
        <v>0</v>
      </c>
      <c r="J49" s="46">
        <f>Clinker!CF29</f>
        <v>0</v>
      </c>
      <c r="K49" s="46">
        <f>J49+'26'!K49</f>
        <v>0</v>
      </c>
      <c r="L49" s="46">
        <f>J49+'26'!L49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Clinker!CH29</f>
        <v>0</v>
      </c>
      <c r="G50" s="46">
        <f>Clinker!CI29</f>
        <v>0</v>
      </c>
      <c r="H50" s="46">
        <f>G50+'26'!H50</f>
        <v>0</v>
      </c>
      <c r="I50" s="46">
        <f>G50+'26'!I50</f>
        <v>0</v>
      </c>
      <c r="J50" s="46">
        <f>Clinker!CK29</f>
        <v>0</v>
      </c>
      <c r="K50" s="46">
        <f>J50+'26'!K50</f>
        <v>0</v>
      </c>
      <c r="L50" s="46">
        <f>J50+'26'!L50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Clinker!AF29</f>
        <v>3974.3199999999933</v>
      </c>
      <c r="G51" s="46">
        <f>Clinker!AG29</f>
        <v>30</v>
      </c>
      <c r="H51" s="46">
        <f>G51+'26'!H51</f>
        <v>3673.6500000000005</v>
      </c>
      <c r="I51" s="46">
        <f>G51+'26'!I51</f>
        <v>5814.5999999999995</v>
      </c>
      <c r="J51" s="46">
        <f>Clinker!AI29</f>
        <v>143</v>
      </c>
      <c r="K51" s="46">
        <f>J51+'26'!K51</f>
        <v>3861</v>
      </c>
      <c r="L51" s="46">
        <f>J51+'26'!L51</f>
        <v>10686</v>
      </c>
      <c r="M51" s="45">
        <f>F51+G51-J51-J20</f>
        <v>3861.3199999999933</v>
      </c>
      <c r="N51" s="46">
        <v>0</v>
      </c>
      <c r="O51" s="46">
        <v>1500</v>
      </c>
      <c r="P51" s="46">
        <v>3000</v>
      </c>
      <c r="Q51" s="56">
        <f>SUM(M51+N51)-O51</f>
        <v>2361.3199999999933</v>
      </c>
    </row>
    <row r="52" spans="2:19" x14ac:dyDescent="0.25">
      <c r="B52" s="288"/>
      <c r="C52" s="281" t="s">
        <v>156</v>
      </c>
      <c r="D52" s="282"/>
      <c r="E52" s="283"/>
      <c r="F52" s="46">
        <f>Clinker!AB29</f>
        <v>0</v>
      </c>
      <c r="G52" s="46">
        <f>Clinker!AC29</f>
        <v>0</v>
      </c>
      <c r="H52" s="46">
        <f>G52+'26'!H52</f>
        <v>0</v>
      </c>
      <c r="I52" s="46">
        <f>G52+'26'!I52</f>
        <v>0</v>
      </c>
      <c r="J52" s="46">
        <f>Clinker!AD29</f>
        <v>0</v>
      </c>
      <c r="K52" s="46">
        <f>J52+'26'!K52</f>
        <v>0</v>
      </c>
      <c r="L52" s="46">
        <f>J52+'26'!L52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 t="shared" ref="F53:Q53" si="2">SUM(F29:F52)</f>
        <v>3974.3699999999935</v>
      </c>
      <c r="G53" s="46">
        <f t="shared" si="2"/>
        <v>30</v>
      </c>
      <c r="H53" s="46">
        <f t="shared" si="2"/>
        <v>3673.6500000000005</v>
      </c>
      <c r="I53" s="46">
        <f t="shared" si="2"/>
        <v>5814.5999999999995</v>
      </c>
      <c r="J53" s="46">
        <f t="shared" si="2"/>
        <v>143</v>
      </c>
      <c r="K53" s="46">
        <f t="shared" si="2"/>
        <v>3871</v>
      </c>
      <c r="L53" s="46">
        <f t="shared" si="2"/>
        <v>12043</v>
      </c>
      <c r="M53" s="46">
        <f t="shared" si="2"/>
        <v>3861.3699999999935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2"/>
        <v>2361.3199999999933</v>
      </c>
    </row>
    <row r="54" spans="2:19" x14ac:dyDescent="0.25">
      <c r="B54" s="289"/>
      <c r="C54" s="284" t="s">
        <v>157</v>
      </c>
      <c r="D54" s="285"/>
      <c r="E54" s="286"/>
      <c r="F54" s="59">
        <f t="shared" ref="F54:L54" si="3">SUM(F27+F53)</f>
        <v>7085.9069999999838</v>
      </c>
      <c r="G54" s="59">
        <f t="shared" si="3"/>
        <v>312.27999999999997</v>
      </c>
      <c r="H54" s="59">
        <f t="shared" si="3"/>
        <v>8651.1700000000019</v>
      </c>
      <c r="I54" s="59">
        <f t="shared" si="3"/>
        <v>11597.36</v>
      </c>
      <c r="J54" s="59">
        <f t="shared" si="3"/>
        <v>387.44</v>
      </c>
      <c r="K54" s="59">
        <f>SUM(K27+K53)</f>
        <v>10317.220000000001</v>
      </c>
      <c r="L54" s="59">
        <f t="shared" si="3"/>
        <v>33206.53</v>
      </c>
      <c r="M54" s="59">
        <f>F54+G54-J54</f>
        <v>7010.7469999999839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2361.3599999999915</v>
      </c>
      <c r="R54" s="90"/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'!C29</f>
        <v>2697279</v>
      </c>
      <c r="G56" s="46">
        <f>'Packing bag '!D29</f>
        <v>0</v>
      </c>
      <c r="H56" s="46">
        <f>G56+'26'!H56</f>
        <v>961000</v>
      </c>
      <c r="I56" s="46">
        <f>G56+'26'!I56</f>
        <v>4113500</v>
      </c>
      <c r="J56" s="46">
        <f>'Packing bag '!E29</f>
        <v>42327</v>
      </c>
      <c r="K56" s="46">
        <f>J56+'26'!K56</f>
        <v>933283</v>
      </c>
      <c r="L56" s="46">
        <f>J56+'26'!L56</f>
        <v>2510117</v>
      </c>
      <c r="M56" s="46">
        <f>F56+G56-J56</f>
        <v>2654952</v>
      </c>
      <c r="N56" s="46"/>
      <c r="O56" s="46">
        <v>400000</v>
      </c>
      <c r="P56" s="46">
        <v>800000</v>
      </c>
      <c r="Q56" s="56">
        <f>SUM(M56+N56)-O56</f>
        <v>2254952</v>
      </c>
    </row>
    <row r="57" spans="2:19" x14ac:dyDescent="0.25">
      <c r="B57" s="288"/>
      <c r="C57" s="281" t="s">
        <v>160</v>
      </c>
      <c r="D57" s="282"/>
      <c r="E57" s="283"/>
      <c r="F57" s="46">
        <f>'Packing bag '!G29</f>
        <v>595211</v>
      </c>
      <c r="G57" s="46">
        <f>'Packing bag '!H29</f>
        <v>0</v>
      </c>
      <c r="H57" s="46">
        <f>G57+'26'!H57</f>
        <v>40500</v>
      </c>
      <c r="I57" s="46">
        <f>G57+'26'!I57</f>
        <v>332000</v>
      </c>
      <c r="J57" s="46">
        <f>'Packing bag '!I29</f>
        <v>3004</v>
      </c>
      <c r="K57" s="46">
        <f>J57+'26'!K57</f>
        <v>50454</v>
      </c>
      <c r="L57" s="46">
        <f>J57+'26'!L57</f>
        <v>140075</v>
      </c>
      <c r="M57" s="46">
        <f>F57+G57-J57</f>
        <v>592207</v>
      </c>
      <c r="N57" s="46"/>
      <c r="O57" s="46">
        <v>100000</v>
      </c>
      <c r="P57" s="46">
        <v>250000</v>
      </c>
      <c r="Q57" s="56">
        <f>SUM(M57+N57)-O57</f>
        <v>492207</v>
      </c>
    </row>
    <row r="58" spans="2:19" x14ac:dyDescent="0.25">
      <c r="B58" s="288"/>
      <c r="C58" s="281" t="s">
        <v>161</v>
      </c>
      <c r="D58" s="282"/>
      <c r="E58" s="283"/>
      <c r="F58" s="46">
        <f>'Packing bag '!K29</f>
        <v>620752</v>
      </c>
      <c r="G58" s="46">
        <f>'Packing bag '!L29</f>
        <v>0</v>
      </c>
      <c r="H58" s="46">
        <f>G58+'26'!H58</f>
        <v>150000</v>
      </c>
      <c r="I58" s="46">
        <f>G58+'26'!I58</f>
        <v>445000</v>
      </c>
      <c r="J58" s="46">
        <f>'Packing bag '!M29</f>
        <v>7406</v>
      </c>
      <c r="K58" s="46">
        <f>J58+'26'!K58</f>
        <v>65417</v>
      </c>
      <c r="L58" s="46">
        <f>J58+'26'!L58</f>
        <v>237709</v>
      </c>
      <c r="M58" s="46">
        <f>F58+G58-J58</f>
        <v>613346</v>
      </c>
      <c r="N58" s="46"/>
      <c r="O58" s="46">
        <v>50000</v>
      </c>
      <c r="P58" s="46">
        <v>150000</v>
      </c>
      <c r="Q58" s="56">
        <f>SUM(M58+N58)-O58</f>
        <v>563346</v>
      </c>
    </row>
    <row r="59" spans="2:19" x14ac:dyDescent="0.25">
      <c r="B59" s="288"/>
      <c r="C59" s="281" t="s">
        <v>162</v>
      </c>
      <c r="D59" s="282"/>
      <c r="E59" s="283"/>
      <c r="F59" s="46">
        <f>'Packing bag '!O29</f>
        <v>148479</v>
      </c>
      <c r="G59" s="46">
        <f>'Packing bag '!P29</f>
        <v>0</v>
      </c>
      <c r="H59" s="46">
        <f>G59+'26'!H59</f>
        <v>85612</v>
      </c>
      <c r="I59" s="46">
        <f>G59+'26'!I59</f>
        <v>85000</v>
      </c>
      <c r="J59" s="46">
        <f>'Packing bag '!Q29</f>
        <v>0</v>
      </c>
      <c r="K59" s="46">
        <f>J59+'26'!K59</f>
        <v>5453</v>
      </c>
      <c r="L59" s="46">
        <f>J59+'26'!L59</f>
        <v>20222</v>
      </c>
      <c r="M59" s="46">
        <f>F59+G59-J59</f>
        <v>148479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G60+'26'!H60</f>
        <v>0</v>
      </c>
      <c r="I60" s="46">
        <f>G60+'26'!I60</f>
        <v>0</v>
      </c>
      <c r="J60" s="46">
        <v>0</v>
      </c>
      <c r="K60" s="46">
        <f>J60+'26'!K60</f>
        <v>0</v>
      </c>
      <c r="L60" s="46">
        <f>J60+'26'!L60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G61+'26'!H61</f>
        <v>0</v>
      </c>
      <c r="I61" s="46">
        <f>G61+'26'!I61</f>
        <v>0</v>
      </c>
      <c r="J61" s="46">
        <v>0</v>
      </c>
      <c r="K61" s="46">
        <f>J61+'26'!K61</f>
        <v>0</v>
      </c>
      <c r="L61" s="46">
        <f>J61+'26'!L61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4061721</v>
      </c>
      <c r="G62" s="59">
        <f t="shared" ref="G62:Q62" si="4">SUM(G56:G61)</f>
        <v>0</v>
      </c>
      <c r="H62" s="59">
        <f t="shared" si="4"/>
        <v>1237112</v>
      </c>
      <c r="I62" s="59">
        <f t="shared" si="4"/>
        <v>4975500</v>
      </c>
      <c r="J62" s="59">
        <f t="shared" si="4"/>
        <v>52737</v>
      </c>
      <c r="K62" s="59">
        <f t="shared" si="4"/>
        <v>1054607</v>
      </c>
      <c r="L62" s="59">
        <f t="shared" si="4"/>
        <v>2908123</v>
      </c>
      <c r="M62" s="59">
        <f t="shared" si="4"/>
        <v>4008984</v>
      </c>
      <c r="N62" s="59">
        <v>0</v>
      </c>
      <c r="O62" s="59">
        <f t="shared" si="4"/>
        <v>551500</v>
      </c>
      <c r="P62" s="59">
        <f t="shared" si="4"/>
        <v>1207000</v>
      </c>
      <c r="Q62" s="59">
        <f t="shared" si="4"/>
        <v>3309005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Cement!G29</f>
        <v>0</v>
      </c>
      <c r="G64" s="46">
        <f>Cement!H29</f>
        <v>0</v>
      </c>
      <c r="H64" s="46">
        <f>G64+'26'!H64</f>
        <v>0</v>
      </c>
      <c r="I64" s="46">
        <f>G64+'26'!I64</f>
        <v>0</v>
      </c>
      <c r="J64" s="46">
        <v>0</v>
      </c>
      <c r="K64" s="46">
        <f>J64+'26'!K64</f>
        <v>0</v>
      </c>
      <c r="L64" s="46">
        <f>J64+'26'!L64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Cement!K29</f>
        <v>0</v>
      </c>
      <c r="G65" s="46">
        <f>Cement!L29</f>
        <v>0</v>
      </c>
      <c r="H65" s="46">
        <f>G65+'26'!H65</f>
        <v>0</v>
      </c>
      <c r="I65" s="46">
        <f>G65+'26'!I65</f>
        <v>0</v>
      </c>
      <c r="J65" s="46">
        <v>0</v>
      </c>
      <c r="K65" s="46">
        <f>J65+'26'!K65</f>
        <v>0</v>
      </c>
      <c r="L65" s="46">
        <f>J65+'26'!L65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 t="shared" si="5"/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Diesel!B29</f>
        <v>43564</v>
      </c>
      <c r="G68" s="46">
        <f>Diesel!C29</f>
        <v>0</v>
      </c>
      <c r="H68" s="46">
        <f>G68+'26'!H68</f>
        <v>65000</v>
      </c>
      <c r="I68" s="46">
        <f>G68+'26'!I68</f>
        <v>155000</v>
      </c>
      <c r="J68" s="46">
        <v>0</v>
      </c>
      <c r="K68" s="46">
        <f>J68+'26'!K68</f>
        <v>0</v>
      </c>
      <c r="L68" s="46">
        <f>J68+'26'!L68</f>
        <v>0</v>
      </c>
      <c r="M68" s="46">
        <f>F68+G68-J68-J76</f>
        <v>42064</v>
      </c>
      <c r="N68" s="46"/>
      <c r="O68" s="46">
        <v>30000</v>
      </c>
      <c r="P68" s="46">
        <v>60000</v>
      </c>
      <c r="Q68" s="56">
        <f>SUM(M68+N68)-O68</f>
        <v>12064</v>
      </c>
    </row>
    <row r="69" spans="2:17" x14ac:dyDescent="0.25">
      <c r="B69" s="297"/>
      <c r="C69" s="281" t="s">
        <v>171</v>
      </c>
      <c r="D69" s="282"/>
      <c r="E69" s="283"/>
      <c r="F69" s="46">
        <f>Diesel!Y29</f>
        <v>0</v>
      </c>
      <c r="G69" s="46">
        <f>Diesel!Z29</f>
        <v>0</v>
      </c>
      <c r="H69" s="46">
        <f>G69+'26'!H69</f>
        <v>0</v>
      </c>
      <c r="I69" s="46">
        <f>G69+'26'!I69</f>
        <v>0</v>
      </c>
      <c r="J69" s="46">
        <f>Diesel!AA29</f>
        <v>0</v>
      </c>
      <c r="K69" s="46">
        <f>J69+'26'!K69</f>
        <v>5000</v>
      </c>
      <c r="L69" s="46">
        <f>J69+'26'!L69</f>
        <v>20000</v>
      </c>
      <c r="M69" s="46">
        <f t="shared" ref="M69:M75" si="6"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G70+'26'!H70</f>
        <v>0</v>
      </c>
      <c r="I70" s="46">
        <f>G70+'26'!I70</f>
        <v>0</v>
      </c>
      <c r="J70" s="46">
        <f>Diesel!P29</f>
        <v>0</v>
      </c>
      <c r="K70" s="46">
        <f>J70+'26'!K70</f>
        <v>105</v>
      </c>
      <c r="L70" s="46">
        <f>J70+'26'!L70</f>
        <v>708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G71+'26'!H71</f>
        <v>0</v>
      </c>
      <c r="I71" s="46">
        <f>G71+'26'!I71</f>
        <v>0</v>
      </c>
      <c r="J71" s="46">
        <f>Diesel!Q29</f>
        <v>0</v>
      </c>
      <c r="K71" s="46">
        <f>J71+'26'!K71</f>
        <v>24602</v>
      </c>
      <c r="L71" s="46">
        <f>J71+'26'!L71</f>
        <v>79237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G72+'26'!H72</f>
        <v>0</v>
      </c>
      <c r="I72" s="46">
        <f>G72+'26'!I72</f>
        <v>0</v>
      </c>
      <c r="J72" s="46">
        <f>Diesel!R29</f>
        <v>1500</v>
      </c>
      <c r="K72" s="46">
        <f>J72+'26'!K72</f>
        <v>19374</v>
      </c>
      <c r="L72" s="46">
        <f>J72+'26'!L72</f>
        <v>62082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G73+'26'!H73</f>
        <v>0</v>
      </c>
      <c r="I73" s="46">
        <f>G73+'26'!I73</f>
        <v>0</v>
      </c>
      <c r="J73" s="46">
        <f>Diesel!S29</f>
        <v>0</v>
      </c>
      <c r="K73" s="46">
        <f>J73+'26'!K73</f>
        <v>0</v>
      </c>
      <c r="L73" s="46">
        <f>J73+'26'!L73</f>
        <v>0</v>
      </c>
      <c r="M73" s="46">
        <f t="shared" si="6"/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G74+'26'!H74</f>
        <v>0</v>
      </c>
      <c r="I74" s="46">
        <f>G74+'26'!I74</f>
        <v>0</v>
      </c>
      <c r="J74" s="46">
        <f>Diesel!T29</f>
        <v>0</v>
      </c>
      <c r="K74" s="46">
        <f>J74+'26'!K74</f>
        <v>0</v>
      </c>
      <c r="L74" s="46">
        <f>J74+'26'!L74</f>
        <v>0</v>
      </c>
      <c r="M74" s="46">
        <f t="shared" si="6"/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G75+'26'!H75</f>
        <v>0</v>
      </c>
      <c r="I75" s="46">
        <f>G75+'26'!I75</f>
        <v>0</v>
      </c>
      <c r="J75" s="61">
        <f>Diesel!U29</f>
        <v>0</v>
      </c>
      <c r="K75" s="46">
        <f>J75+'26'!K75</f>
        <v>0</v>
      </c>
      <c r="L75" s="46">
        <f>J75+'26'!L75</f>
        <v>0</v>
      </c>
      <c r="M75" s="46">
        <f t="shared" si="6"/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43564</v>
      </c>
      <c r="G76" s="62">
        <f t="shared" ref="G76:M76" si="7">SUM(G68:G75)</f>
        <v>0</v>
      </c>
      <c r="H76" s="62">
        <f t="shared" si="7"/>
        <v>65000</v>
      </c>
      <c r="I76" s="62">
        <f t="shared" si="7"/>
        <v>155000</v>
      </c>
      <c r="J76" s="62">
        <f t="shared" si="7"/>
        <v>1500</v>
      </c>
      <c r="K76" s="62">
        <f t="shared" si="7"/>
        <v>49081</v>
      </c>
      <c r="L76" s="62">
        <f t="shared" si="7"/>
        <v>162027</v>
      </c>
      <c r="M76" s="62">
        <f t="shared" si="7"/>
        <v>42064</v>
      </c>
      <c r="N76" s="63"/>
      <c r="O76" s="64"/>
      <c r="P76" s="62"/>
      <c r="Q76" s="65"/>
    </row>
  </sheetData>
  <mergeCells count="70">
    <mergeCell ref="C59:E59"/>
    <mergeCell ref="C6:E6"/>
    <mergeCell ref="C7:E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35:E35"/>
    <mergeCell ref="C51:E51"/>
    <mergeCell ref="C52:E52"/>
    <mergeCell ref="C28:E28"/>
    <mergeCell ref="C29:E29"/>
    <mergeCell ref="C30:E30"/>
    <mergeCell ref="C34:E34"/>
    <mergeCell ref="C37:E37"/>
    <mergeCell ref="C31:E31"/>
    <mergeCell ref="C32:E32"/>
    <mergeCell ref="C38:D38"/>
    <mergeCell ref="C40:E40"/>
    <mergeCell ref="C50:D50"/>
    <mergeCell ref="C47:D47"/>
    <mergeCell ref="C11:E11"/>
    <mergeCell ref="C27:E27"/>
    <mergeCell ref="C14:D14"/>
    <mergeCell ref="C12:E12"/>
    <mergeCell ref="C15:D15"/>
    <mergeCell ref="C17:E17"/>
    <mergeCell ref="C18:E18"/>
    <mergeCell ref="C20:D20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36:D36"/>
    <mergeCell ref="B63:B66"/>
    <mergeCell ref="C63:Q63"/>
    <mergeCell ref="C64:E64"/>
    <mergeCell ref="C65:E65"/>
    <mergeCell ref="C66:E66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</mergeCells>
  <pageMargins left="0.7" right="0.7" top="0.75" bottom="0.75" header="0.3" footer="0.3"/>
  <pageSetup paperSize="9" scale="41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>
    <pageSetUpPr fitToPage="1"/>
  </sheetPr>
  <dimension ref="B1:T76"/>
  <sheetViews>
    <sheetView zoomScale="90" zoomScaleNormal="90" workbookViewId="0">
      <pane xSplit="4" ySplit="1" topLeftCell="E55" activePane="bottomRight" state="frozen"/>
      <selection pane="topRight" activeCell="E1" sqref="E1"/>
      <selection pane="bottomLeft" activeCell="A6" sqref="A6"/>
      <selection pane="bottomRight" activeCell="T14" sqref="T14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9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>
        <v>46201</v>
      </c>
      <c r="Q3" s="316"/>
    </row>
    <row r="4" spans="2:19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9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  <c r="S5" s="118"/>
    </row>
    <row r="6" spans="2:19" x14ac:dyDescent="0.25">
      <c r="B6" s="54">
        <v>1</v>
      </c>
      <c r="C6" s="308" t="s">
        <v>135</v>
      </c>
      <c r="D6" s="309"/>
      <c r="E6" s="310"/>
      <c r="F6" s="45">
        <f>Clinker!C30</f>
        <v>1176.2400000000002</v>
      </c>
      <c r="G6" s="45">
        <f>Clinker!D30</f>
        <v>0</v>
      </c>
      <c r="H6" s="45">
        <f>G6+'27'!H6</f>
        <v>128.32</v>
      </c>
      <c r="I6" s="45">
        <f>G6+'27'!I6</f>
        <v>545.6</v>
      </c>
      <c r="J6" s="45">
        <f>Clinker!E30</f>
        <v>34</v>
      </c>
      <c r="K6" s="45">
        <f>J6+'27'!K6</f>
        <v>1634</v>
      </c>
      <c r="L6" s="45">
        <f>J6+'27'!L6</f>
        <v>4769</v>
      </c>
      <c r="M6" s="45">
        <f>F6+G6-J6</f>
        <v>1142.2400000000002</v>
      </c>
      <c r="N6" s="45">
        <v>0</v>
      </c>
      <c r="O6" s="45">
        <v>3000</v>
      </c>
      <c r="P6" s="45">
        <v>6000</v>
      </c>
      <c r="Q6" s="55">
        <f>SUM(M6+N6)-O6</f>
        <v>-1857.7599999999998</v>
      </c>
    </row>
    <row r="7" spans="2:19" x14ac:dyDescent="0.25">
      <c r="B7" s="50">
        <v>2</v>
      </c>
      <c r="C7" s="305" t="s">
        <v>136</v>
      </c>
      <c r="D7" s="306"/>
      <c r="E7" s="307"/>
      <c r="F7" s="46">
        <f>Cement!C30</f>
        <v>3313.2736385878056</v>
      </c>
      <c r="G7" s="46">
        <f>Cement!D30</f>
        <v>0</v>
      </c>
      <c r="H7" s="45">
        <f>G7+'27'!H7</f>
        <v>2783.66</v>
      </c>
      <c r="I7" s="45">
        <f>G7+'27'!I7</f>
        <v>4910.28</v>
      </c>
      <c r="J7" s="46">
        <f>Cement!I30</f>
        <v>148.39684270568421</v>
      </c>
      <c r="K7" s="45">
        <f>J7+'27'!K7</f>
        <v>3827.0890622740549</v>
      </c>
      <c r="L7" s="45">
        <f>J7+'27'!L7</f>
        <v>9053.3190526015551</v>
      </c>
      <c r="M7" s="45">
        <f>F7+G7-J7</f>
        <v>3164.8767958821213</v>
      </c>
      <c r="N7" s="46">
        <v>0</v>
      </c>
      <c r="O7" s="46">
        <v>3000</v>
      </c>
      <c r="P7" s="46">
        <v>6000</v>
      </c>
      <c r="Q7" s="56">
        <f>SUM(M7+N7)-O7</f>
        <v>164.87679588212131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Clinker!EI30</f>
        <v>12942.600562396472</v>
      </c>
      <c r="G8" s="46">
        <f>Clinker!EJ30</f>
        <v>1370</v>
      </c>
      <c r="H8" s="45">
        <f>G8+'27'!H8</f>
        <v>38458</v>
      </c>
      <c r="I8" s="45">
        <f>G8+'27'!I8</f>
        <v>137374.66</v>
      </c>
      <c r="J8" s="46">
        <f>Clinker!EK30</f>
        <v>2303.7169994277206</v>
      </c>
      <c r="K8" s="45">
        <f>J8+'27'!K8</f>
        <v>57701.018524838204</v>
      </c>
      <c r="L8" s="45">
        <f>J8+'27'!L8</f>
        <v>137496.86554465813</v>
      </c>
      <c r="M8" s="45">
        <f>F8+G8-J8</f>
        <v>12008.883562968751</v>
      </c>
      <c r="N8" s="46">
        <v>0</v>
      </c>
      <c r="O8" s="46"/>
      <c r="P8" s="46"/>
      <c r="Q8" s="56"/>
      <c r="S8" s="90"/>
    </row>
    <row r="9" spans="2:19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88"/>
      <c r="C10" s="281" t="s">
        <v>138</v>
      </c>
      <c r="D10" s="282"/>
      <c r="E10" s="283"/>
      <c r="F10" s="46">
        <f>Clinker!K30</f>
        <v>0</v>
      </c>
      <c r="G10" s="46">
        <f>Clinker!L30</f>
        <v>0</v>
      </c>
      <c r="H10" s="46">
        <f>G10+'27'!H10</f>
        <v>0</v>
      </c>
      <c r="I10" s="46">
        <f>G10+'27'!I10</f>
        <v>0</v>
      </c>
      <c r="J10" s="46">
        <f>Clinker!N30</f>
        <v>0</v>
      </c>
      <c r="K10" s="46">
        <f>J10+'27'!K10</f>
        <v>0</v>
      </c>
      <c r="L10" s="46">
        <f>J10+'27'!L10</f>
        <v>0</v>
      </c>
      <c r="M10" s="45">
        <f>F10+G10-J10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88"/>
      <c r="C11" s="281" t="s">
        <v>139</v>
      </c>
      <c r="D11" s="282"/>
      <c r="E11" s="283"/>
      <c r="F11" s="46">
        <f>Clinker!W30</f>
        <v>3.9999999998087787E-2</v>
      </c>
      <c r="G11" s="46">
        <f>Clinker!X30</f>
        <v>0</v>
      </c>
      <c r="H11" s="46">
        <f>G11+'27'!H11</f>
        <v>0</v>
      </c>
      <c r="I11" s="46">
        <f>G11+'27'!I11</f>
        <v>0</v>
      </c>
      <c r="J11" s="46">
        <f>Clinker!Z30</f>
        <v>0</v>
      </c>
      <c r="K11" s="46">
        <f>J11+'27'!K11</f>
        <v>1063</v>
      </c>
      <c r="L11" s="46">
        <f>J11+'27'!L11</f>
        <v>8686.84</v>
      </c>
      <c r="M11" s="45">
        <f>F11+G11-J11-J34</f>
        <v>3.9999999998087787E-2</v>
      </c>
      <c r="N11" s="46">
        <v>0</v>
      </c>
      <c r="O11" s="46"/>
      <c r="P11" s="46"/>
      <c r="Q11" s="56">
        <f>SUM(M11+N11)-O11</f>
        <v>3.9999999998087787E-2</v>
      </c>
    </row>
    <row r="12" spans="2:19" ht="15" customHeight="1" x14ac:dyDescent="0.25">
      <c r="B12" s="288"/>
      <c r="C12" s="281" t="s">
        <v>140</v>
      </c>
      <c r="D12" s="282"/>
      <c r="E12" s="283"/>
      <c r="F12" s="46">
        <f>Clinker!AT30</f>
        <v>1.0000000002058584E-2</v>
      </c>
      <c r="G12" s="46">
        <f>Clinker!AU30</f>
        <v>0</v>
      </c>
      <c r="H12" s="46">
        <f>G12+'27'!H12</f>
        <v>0</v>
      </c>
      <c r="I12" s="46">
        <f>G12+'27'!I12</f>
        <v>181.5</v>
      </c>
      <c r="J12" s="46">
        <f>Clinker!AV30</f>
        <v>0</v>
      </c>
      <c r="K12" s="46">
        <f>J12+'27'!K12</f>
        <v>2933.89</v>
      </c>
      <c r="L12" s="46">
        <f>J12+'27'!L12</f>
        <v>5675.5900000000011</v>
      </c>
      <c r="M12" s="45">
        <f>F12+G12-J12-J37</f>
        <v>1.0000000002058584E-2</v>
      </c>
      <c r="N12" s="46">
        <v>0</v>
      </c>
      <c r="O12" s="46"/>
      <c r="P12" s="46"/>
      <c r="Q12" s="70"/>
    </row>
    <row r="13" spans="2:19" x14ac:dyDescent="0.25">
      <c r="B13" s="288"/>
      <c r="C13" s="281" t="s">
        <v>9</v>
      </c>
      <c r="D13" s="282"/>
      <c r="E13" s="69"/>
      <c r="F13" s="46">
        <f>Clinker!AO30</f>
        <v>0</v>
      </c>
      <c r="G13" s="46">
        <f>Clinker!AP30</f>
        <v>0</v>
      </c>
      <c r="H13" s="46">
        <f>G13+'27'!H13</f>
        <v>0</v>
      </c>
      <c r="I13" s="46">
        <f>G13+'27'!I13</f>
        <v>0</v>
      </c>
      <c r="J13" s="46">
        <f>Clinker!AQ30</f>
        <v>0</v>
      </c>
      <c r="K13" s="46">
        <f>J13+'27'!K13</f>
        <v>0</v>
      </c>
      <c r="L13" s="46">
        <f>J13+'27'!L13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88"/>
      <c r="C14" s="281" t="s">
        <v>8</v>
      </c>
      <c r="D14" s="282"/>
      <c r="E14" s="69"/>
      <c r="F14" s="46">
        <f>Clinker!AK30</f>
        <v>0</v>
      </c>
      <c r="G14" s="46">
        <f>Clinker!AL30</f>
        <v>0</v>
      </c>
      <c r="H14" s="46">
        <f>G14+'27'!H14</f>
        <v>0</v>
      </c>
      <c r="I14" s="46">
        <f>G14+'27'!I14</f>
        <v>0</v>
      </c>
      <c r="J14" s="46">
        <f>Clinker!AM30</f>
        <v>0</v>
      </c>
      <c r="K14" s="46">
        <f>J14+'27'!K14</f>
        <v>0</v>
      </c>
      <c r="L14" s="46">
        <f>J14+'27'!L14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88"/>
      <c r="C15" s="281" t="s">
        <v>11</v>
      </c>
      <c r="D15" s="282"/>
      <c r="E15" s="69"/>
      <c r="F15" s="46">
        <f>Clinker!AY30</f>
        <v>2717.31699999999</v>
      </c>
      <c r="G15" s="46">
        <f>Clinker!AZ30</f>
        <v>0</v>
      </c>
      <c r="H15" s="46">
        <f>G15+'27'!H15</f>
        <v>4757.5200000000013</v>
      </c>
      <c r="I15" s="46">
        <f>G15+'27'!I15</f>
        <v>5169.26</v>
      </c>
      <c r="J15" s="46">
        <f>Clinker!BA30</f>
        <v>233.33</v>
      </c>
      <c r="K15" s="46">
        <f>J15+'27'!K15</f>
        <v>2675.56</v>
      </c>
      <c r="L15" s="46">
        <f>J15+'27'!L15</f>
        <v>2675.56</v>
      </c>
      <c r="M15" s="45">
        <f>F15+G15-J15-J38</f>
        <v>2483.9869999999901</v>
      </c>
      <c r="N15" s="46">
        <v>0</v>
      </c>
      <c r="O15" s="46">
        <v>5000</v>
      </c>
      <c r="P15" s="46">
        <v>9000</v>
      </c>
      <c r="Q15" s="70"/>
    </row>
    <row r="16" spans="2:19" x14ac:dyDescent="0.25">
      <c r="B16" s="288"/>
      <c r="C16" s="76" t="s">
        <v>141</v>
      </c>
      <c r="D16" s="77"/>
      <c r="E16" s="69"/>
      <c r="F16" s="46">
        <f>Clinker!BD30</f>
        <v>0</v>
      </c>
      <c r="G16" s="46">
        <f>Clinker!BE30</f>
        <v>0</v>
      </c>
      <c r="H16" s="46">
        <f>G16+'27'!H16</f>
        <v>0</v>
      </c>
      <c r="I16" s="46">
        <f>G16+'27'!I16</f>
        <v>0</v>
      </c>
      <c r="J16" s="46">
        <f>Clinker!BF30</f>
        <v>0</v>
      </c>
      <c r="K16" s="46">
        <f>J16+'27'!K16</f>
        <v>0</v>
      </c>
      <c r="L16" s="46">
        <f>J16+'27'!L16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13</v>
      </c>
      <c r="D17" s="282"/>
      <c r="E17" s="283"/>
      <c r="F17" s="46">
        <f>Clinker!BI30</f>
        <v>0</v>
      </c>
      <c r="G17" s="46">
        <f>Clinker!BJ30</f>
        <v>0</v>
      </c>
      <c r="H17" s="46">
        <f>G17+'27'!H17</f>
        <v>0</v>
      </c>
      <c r="I17" s="46">
        <f>G17+'27'!I17</f>
        <v>0</v>
      </c>
      <c r="J17" s="46">
        <f>Clinker!BK30</f>
        <v>0</v>
      </c>
      <c r="K17" s="46">
        <f>J17+'27'!K17</f>
        <v>0</v>
      </c>
      <c r="L17" s="46">
        <f>J17+'27'!L17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Clinker!BN30</f>
        <v>0</v>
      </c>
      <c r="G18" s="46">
        <f>Clinker!BO30</f>
        <v>0</v>
      </c>
      <c r="H18" s="46">
        <f>G18+'27'!H18</f>
        <v>0</v>
      </c>
      <c r="I18" s="46">
        <f>G18+'27'!I18</f>
        <v>0</v>
      </c>
      <c r="J18" s="46">
        <f>Clinker!BP30</f>
        <v>0</v>
      </c>
      <c r="K18" s="46">
        <f>J18+'27'!K18</f>
        <v>0</v>
      </c>
      <c r="L18" s="46">
        <f>J18+'27'!L18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Clinker!BS30</f>
        <v>0</v>
      </c>
      <c r="G19" s="46">
        <f>Clinker!BT30</f>
        <v>0</v>
      </c>
      <c r="H19" s="46">
        <f>G19+'27'!H19</f>
        <v>0</v>
      </c>
      <c r="I19" s="46">
        <f>G19+'27'!I19</f>
        <v>0</v>
      </c>
      <c r="J19" s="46">
        <f>Clinker!BU30</f>
        <v>0</v>
      </c>
      <c r="K19" s="46">
        <f>J19+'27'!K19</f>
        <v>0</v>
      </c>
      <c r="L19" s="46">
        <f>J19+'27'!L19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Clinker!BX30</f>
        <v>0</v>
      </c>
      <c r="G20" s="46">
        <f>Clinker!BY30</f>
        <v>0</v>
      </c>
      <c r="H20" s="46">
        <f>G20+'27'!H20</f>
        <v>0</v>
      </c>
      <c r="I20" s="46">
        <f>G20+'27'!I20</f>
        <v>0</v>
      </c>
      <c r="J20" s="46">
        <f>Clinker!AH30</f>
        <v>0</v>
      </c>
      <c r="K20" s="46">
        <f>J20+'27'!K20</f>
        <v>0</v>
      </c>
      <c r="L20" s="46">
        <f>J20+'27'!L20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Clinker!CR30</f>
        <v>0</v>
      </c>
      <c r="G21" s="46">
        <f>Clinker!CS30</f>
        <v>0</v>
      </c>
      <c r="H21" s="46">
        <f>G21+'27'!H21</f>
        <v>0</v>
      </c>
      <c r="I21" s="46">
        <f>G21+'27'!I21</f>
        <v>0</v>
      </c>
      <c r="J21" s="46">
        <f>Clinker!CT30</f>
        <v>0</v>
      </c>
      <c r="K21" s="46">
        <f>J21+'27'!K21</f>
        <v>0</v>
      </c>
      <c r="L21" s="46">
        <f>J21+'27'!L21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184</v>
      </c>
      <c r="D22" s="77"/>
      <c r="E22" s="69"/>
      <c r="F22" s="46">
        <f>Clinker!CW30</f>
        <v>0</v>
      </c>
      <c r="G22" s="46">
        <f>Clinker!CX30</f>
        <v>0</v>
      </c>
      <c r="H22" s="46">
        <f>G22+'27'!H22</f>
        <v>0</v>
      </c>
      <c r="I22" s="46">
        <f>G22+'27'!I22</f>
        <v>0</v>
      </c>
      <c r="J22" s="46">
        <f>Clinker!CY30</f>
        <v>0</v>
      </c>
      <c r="K22" s="46">
        <f>J22+'27'!K22</f>
        <v>0</v>
      </c>
      <c r="L22" s="46">
        <f>J22+'27'!L22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Clinker!DB30</f>
        <v>1.0000000000013998E-2</v>
      </c>
      <c r="G23" s="46">
        <f>Clinker!DC30</f>
        <v>0</v>
      </c>
      <c r="H23" s="46">
        <f>G23+'27'!H23</f>
        <v>0</v>
      </c>
      <c r="I23" s="46">
        <f>G23+'27'!I23</f>
        <v>0</v>
      </c>
      <c r="J23" s="46">
        <f>Clinker!DD30</f>
        <v>0</v>
      </c>
      <c r="K23" s="46">
        <f>J23+'27'!K23</f>
        <v>7.1</v>
      </c>
      <c r="L23" s="46">
        <f>J23+'27'!L23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Clinker!DG30</f>
        <v>0</v>
      </c>
      <c r="G24" s="46">
        <f>Clinker!DH30</f>
        <v>0</v>
      </c>
      <c r="H24" s="46">
        <f>G24+'27'!H24</f>
        <v>0</v>
      </c>
      <c r="I24" s="46">
        <f>G24+'27'!I24</f>
        <v>0</v>
      </c>
      <c r="J24" s="46">
        <f>Clinker!DI30</f>
        <v>0</v>
      </c>
      <c r="K24" s="46">
        <f>J24+'27'!K24</f>
        <v>0</v>
      </c>
      <c r="L24" s="46">
        <f>J24+'27'!L24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Clinker!DL30</f>
        <v>432</v>
      </c>
      <c r="G25" s="46">
        <f>Clinker!DM30</f>
        <v>0</v>
      </c>
      <c r="H25" s="46">
        <f>G25+'27'!H25</f>
        <v>220</v>
      </c>
      <c r="I25" s="46">
        <f>G25+'27'!I25</f>
        <v>432</v>
      </c>
      <c r="J25" s="46">
        <f>Clinker!DN30</f>
        <v>0</v>
      </c>
      <c r="K25" s="46">
        <f>J25+'27'!K25</f>
        <v>0</v>
      </c>
      <c r="L25" s="46">
        <f>J25+'27'!L25</f>
        <v>0</v>
      </c>
      <c r="M25" s="45">
        <f>F25+G25-J25-J47</f>
        <v>432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Clinker!DV30</f>
        <v>0</v>
      </c>
      <c r="G26" s="46">
        <f>Clinker!DW16</f>
        <v>0</v>
      </c>
      <c r="H26" s="46">
        <f>G26+'27'!H26</f>
        <v>0</v>
      </c>
      <c r="I26" s="46">
        <f>G26+'27'!I26</f>
        <v>0</v>
      </c>
      <c r="J26" s="46">
        <f>Clinker!DX16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3149.3769999999904</v>
      </c>
      <c r="G27" s="46">
        <f t="shared" ref="G27:Q27" si="0">SUM(G10:G26)</f>
        <v>0</v>
      </c>
      <c r="H27" s="46">
        <f t="shared" si="0"/>
        <v>4977.5200000000013</v>
      </c>
      <c r="I27" s="46">
        <f t="shared" si="0"/>
        <v>5782.76</v>
      </c>
      <c r="J27" s="46">
        <f t="shared" si="0"/>
        <v>233.33</v>
      </c>
      <c r="K27" s="46">
        <f t="shared" si="0"/>
        <v>6679.55</v>
      </c>
      <c r="L27" s="46">
        <f t="shared" si="0"/>
        <v>21396.860000000004</v>
      </c>
      <c r="M27" s="46">
        <f t="shared" si="0"/>
        <v>2916.0469999999905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3.9999999998087787E-2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Clinker!Q30</f>
        <v>0</v>
      </c>
      <c r="G29" s="46">
        <f>Clinker!R30</f>
        <v>0</v>
      </c>
      <c r="H29" s="46">
        <f>G29+'27'!H29</f>
        <v>0</v>
      </c>
      <c r="I29" s="46">
        <f>G29+'27'!I29</f>
        <v>0</v>
      </c>
      <c r="J29" s="46">
        <f>Clinker!S30</f>
        <v>0</v>
      </c>
      <c r="K29" s="46">
        <f>J29+'27'!K29</f>
        <v>0</v>
      </c>
      <c r="L29" s="46">
        <f>J29+'27'!L29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G30+'27'!H30</f>
        <v>0</v>
      </c>
      <c r="I30" s="46">
        <f>G30+'27'!I30</f>
        <v>0</v>
      </c>
      <c r="J30" s="46">
        <v>0</v>
      </c>
      <c r="K30" s="46">
        <f>J30+'27'!K30</f>
        <v>0</v>
      </c>
      <c r="L30" s="46">
        <f>J30+'27'!L30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G31+'27'!H31</f>
        <v>0</v>
      </c>
      <c r="I31" s="46">
        <f>G31+'27'!I31</f>
        <v>0</v>
      </c>
      <c r="J31" s="46">
        <v>0</v>
      </c>
      <c r="K31" s="46">
        <f>J31+'27'!K31</f>
        <v>0</v>
      </c>
      <c r="L31" s="46">
        <f>J31+'27'!L31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f>Clinker!DQ30</f>
        <v>0</v>
      </c>
      <c r="G32" s="46">
        <f>Clinker!DR30</f>
        <v>0</v>
      </c>
      <c r="H32" s="46">
        <f>G32+'27'!H32</f>
        <v>0</v>
      </c>
      <c r="I32" s="46">
        <f>G32+'27'!I32</f>
        <v>0</v>
      </c>
      <c r="J32" s="46">
        <f>Clinker!DT30</f>
        <v>0</v>
      </c>
      <c r="K32" s="46">
        <f>J32+'27'!K32</f>
        <v>0</v>
      </c>
      <c r="L32" s="46">
        <f>J32+'27'!L32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20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G33+'27'!H33</f>
        <v>0</v>
      </c>
      <c r="I33" s="46">
        <f>G33+'27'!I33</f>
        <v>0</v>
      </c>
      <c r="J33" s="46">
        <v>0</v>
      </c>
      <c r="K33" s="46">
        <f>J33+'27'!K33</f>
        <v>0</v>
      </c>
      <c r="L33" s="46">
        <f>J33+'27'!L33</f>
        <v>0</v>
      </c>
      <c r="M33" s="45">
        <f>F33+G33-J33</f>
        <v>0</v>
      </c>
      <c r="N33" s="46">
        <v>0</v>
      </c>
      <c r="O33" s="46"/>
      <c r="P33" s="46"/>
      <c r="Q33" s="56"/>
      <c r="T33" s="90"/>
    </row>
    <row r="34" spans="2:20" ht="15" customHeight="1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Clinker!Y30</f>
        <v>0</v>
      </c>
      <c r="K34" s="46">
        <f>J34+'27'!K34</f>
        <v>0</v>
      </c>
      <c r="L34" s="46">
        <f>J34+'27'!L34</f>
        <v>1327</v>
      </c>
      <c r="M34" s="45"/>
      <c r="N34" s="46"/>
      <c r="O34" s="46"/>
      <c r="P34" s="46"/>
      <c r="Q34" s="56"/>
    </row>
    <row r="35" spans="2:20" ht="15" customHeight="1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Clinker!M30</f>
        <v>0</v>
      </c>
      <c r="K35" s="46">
        <f>J35+'27'!K35</f>
        <v>0</v>
      </c>
      <c r="L35" s="46">
        <f>J35+'27'!L35</f>
        <v>0</v>
      </c>
      <c r="M35" s="45"/>
      <c r="N35" s="46"/>
      <c r="O35" s="46"/>
      <c r="P35" s="46"/>
      <c r="Q35" s="56"/>
    </row>
    <row r="36" spans="2:20" ht="15" customHeight="1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Clinker!AR30</f>
        <v>0</v>
      </c>
      <c r="K36" s="46">
        <f>J36+'27'!K36</f>
        <v>0</v>
      </c>
      <c r="L36" s="46">
        <f>J36+'27'!L36</f>
        <v>0</v>
      </c>
      <c r="M36" s="45"/>
      <c r="N36" s="46"/>
      <c r="O36" s="46"/>
      <c r="P36" s="46"/>
      <c r="Q36" s="56"/>
    </row>
    <row r="37" spans="2:20" ht="15" customHeight="1" x14ac:dyDescent="0.25">
      <c r="B37" s="288"/>
      <c r="C37" s="281" t="s">
        <v>25</v>
      </c>
      <c r="D37" s="282"/>
      <c r="E37" s="283"/>
      <c r="F37" s="46"/>
      <c r="G37" s="46"/>
      <c r="H37" s="46"/>
      <c r="I37" s="46"/>
      <c r="J37" s="46">
        <f>Clinker!AW30</f>
        <v>0</v>
      </c>
      <c r="K37" s="46">
        <f>J37+'27'!K37</f>
        <v>0</v>
      </c>
      <c r="L37" s="46">
        <f>J37+'27'!L37</f>
        <v>20</v>
      </c>
      <c r="M37" s="45"/>
      <c r="N37" s="46"/>
      <c r="O37" s="46"/>
      <c r="P37" s="46"/>
      <c r="Q37" s="56"/>
    </row>
    <row r="38" spans="2:20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Clinker!BB30</f>
        <v>0</v>
      </c>
      <c r="K38" s="46">
        <f>J38+'27'!K38</f>
        <v>10</v>
      </c>
      <c r="L38" s="46">
        <f>J38+'27'!L38</f>
        <v>10</v>
      </c>
      <c r="M38" s="45"/>
      <c r="N38" s="46"/>
      <c r="O38" s="46"/>
      <c r="P38" s="46"/>
      <c r="Q38" s="56"/>
    </row>
    <row r="39" spans="2:20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Clinker!BG30</f>
        <v>0</v>
      </c>
      <c r="K39" s="46">
        <f>J39+'27'!K39</f>
        <v>0</v>
      </c>
      <c r="L39" s="46">
        <f>J39+'27'!L39</f>
        <v>0</v>
      </c>
      <c r="M39" s="45"/>
      <c r="N39" s="46"/>
      <c r="O39" s="46"/>
      <c r="P39" s="46"/>
      <c r="Q39" s="56"/>
    </row>
    <row r="40" spans="2:20" ht="15" customHeight="1" x14ac:dyDescent="0.25">
      <c r="B40" s="288"/>
      <c r="C40" s="281" t="s">
        <v>13</v>
      </c>
      <c r="D40" s="282"/>
      <c r="E40" s="283"/>
      <c r="F40" s="46"/>
      <c r="G40" s="46"/>
      <c r="H40" s="46"/>
      <c r="I40" s="46"/>
      <c r="J40" s="46">
        <f>Clinker!BL30</f>
        <v>0</v>
      </c>
      <c r="K40" s="46">
        <f>J40+'27'!K40</f>
        <v>0</v>
      </c>
      <c r="L40" s="46">
        <f>J40+'27'!L40</f>
        <v>0</v>
      </c>
      <c r="M40" s="45"/>
      <c r="N40" s="46"/>
      <c r="O40" s="46"/>
      <c r="P40" s="46"/>
      <c r="Q40" s="56"/>
    </row>
    <row r="41" spans="2:20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Clinker!BQ30</f>
        <v>0</v>
      </c>
      <c r="K41" s="46">
        <f>J41+'27'!K41</f>
        <v>0</v>
      </c>
      <c r="L41" s="46">
        <f>J41+'27'!L41</f>
        <v>0</v>
      </c>
      <c r="M41" s="45"/>
      <c r="N41" s="46"/>
      <c r="O41" s="46"/>
      <c r="P41" s="46"/>
      <c r="Q41" s="56"/>
    </row>
    <row r="42" spans="2:20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Clinker!BV30</f>
        <v>0</v>
      </c>
      <c r="K42" s="46">
        <f>J42+'27'!K42</f>
        <v>0</v>
      </c>
      <c r="L42" s="46">
        <f>J42+'27'!L42</f>
        <v>0</v>
      </c>
      <c r="M42" s="45"/>
      <c r="N42" s="46"/>
      <c r="O42" s="46"/>
      <c r="P42" s="46"/>
      <c r="Q42" s="56"/>
    </row>
    <row r="43" spans="2:20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Clinker!CU30</f>
        <v>0</v>
      </c>
      <c r="K43" s="46">
        <f>J43+'27'!K43</f>
        <v>0</v>
      </c>
      <c r="L43" s="46">
        <f>J43+'27'!L43</f>
        <v>0</v>
      </c>
      <c r="M43" s="45"/>
      <c r="N43" s="46">
        <v>0</v>
      </c>
      <c r="O43" s="46"/>
      <c r="P43" s="46"/>
      <c r="Q43" s="56"/>
    </row>
    <row r="44" spans="2:20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Clinker!CZ30</f>
        <v>0</v>
      </c>
      <c r="K44" s="46">
        <f>J44+'27'!K44</f>
        <v>0</v>
      </c>
      <c r="L44" s="46">
        <f>J44+'27'!L44</f>
        <v>0</v>
      </c>
      <c r="M44" s="45"/>
      <c r="N44" s="46"/>
      <c r="O44" s="46"/>
      <c r="P44" s="46"/>
      <c r="Q44" s="56"/>
    </row>
    <row r="45" spans="2:20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Clinker!DE30</f>
        <v>0</v>
      </c>
      <c r="K45" s="46">
        <f>J45+'27'!K45</f>
        <v>0</v>
      </c>
      <c r="L45" s="46">
        <f>J45+'27'!L45</f>
        <v>0</v>
      </c>
      <c r="M45" s="45"/>
      <c r="N45" s="46"/>
      <c r="O45" s="46"/>
      <c r="P45" s="46"/>
      <c r="Q45" s="56"/>
    </row>
    <row r="46" spans="2:20" x14ac:dyDescent="0.25">
      <c r="B46" s="288"/>
      <c r="C46" s="76" t="s">
        <v>104</v>
      </c>
      <c r="D46" s="77"/>
      <c r="E46" s="69"/>
      <c r="F46" s="46"/>
      <c r="G46" s="46"/>
      <c r="H46" s="46"/>
      <c r="I46" s="46"/>
      <c r="J46" s="46">
        <f>Clinker!DJ30</f>
        <v>0</v>
      </c>
      <c r="K46" s="46">
        <f>J46+'27'!K46</f>
        <v>0</v>
      </c>
      <c r="L46" s="46">
        <f>J46+'27'!L46</f>
        <v>0</v>
      </c>
      <c r="M46" s="45"/>
      <c r="N46" s="46"/>
      <c r="O46" s="46"/>
      <c r="P46" s="46"/>
      <c r="Q46" s="56"/>
    </row>
    <row r="47" spans="2:20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Clinker!DO30</f>
        <v>0</v>
      </c>
      <c r="K47" s="46">
        <f>J47+'27'!K47</f>
        <v>0</v>
      </c>
      <c r="L47" s="46">
        <f>J47+'27'!L47</f>
        <v>0</v>
      </c>
      <c r="M47" s="45"/>
      <c r="N47" s="46"/>
      <c r="O47" s="46"/>
      <c r="P47" s="46"/>
      <c r="Q47" s="56"/>
    </row>
    <row r="48" spans="2:20" x14ac:dyDescent="0.25">
      <c r="B48" s="288"/>
      <c r="C48" s="76" t="s">
        <v>19</v>
      </c>
      <c r="D48" s="77"/>
      <c r="E48" s="69"/>
      <c r="F48" s="46">
        <f>Clinker!CM30</f>
        <v>5.0000000000181899E-2</v>
      </c>
      <c r="G48" s="46">
        <f>Clinker!CN30</f>
        <v>0</v>
      </c>
      <c r="H48" s="46">
        <f>G48+'27'!H48</f>
        <v>0</v>
      </c>
      <c r="I48" s="46">
        <f>G48+'27'!I48</f>
        <v>0</v>
      </c>
      <c r="J48" s="46">
        <f>Clinker!CP30</f>
        <v>0</v>
      </c>
      <c r="K48" s="46">
        <f>J48+'27'!K48</f>
        <v>0</v>
      </c>
      <c r="L48" s="46">
        <f>J48+'27'!L48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Clinker!CC30</f>
        <v>0</v>
      </c>
      <c r="G49" s="46">
        <f>Clinker!CD30</f>
        <v>0</v>
      </c>
      <c r="H49" s="46">
        <f>G49 +'27'!H49</f>
        <v>0</v>
      </c>
      <c r="I49" s="46">
        <f>G49+'27'!I49</f>
        <v>0</v>
      </c>
      <c r="J49" s="46">
        <f>Clinker!CF30</f>
        <v>0</v>
      </c>
      <c r="K49" s="46">
        <f>J49+'27'!K49</f>
        <v>0</v>
      </c>
      <c r="L49" s="46">
        <f>J49+'27'!L49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Clinker!CH30</f>
        <v>0</v>
      </c>
      <c r="G50" s="46">
        <f>Clinker!CI30</f>
        <v>0</v>
      </c>
      <c r="H50" s="46">
        <f>G50 +'27'!H50</f>
        <v>0</v>
      </c>
      <c r="I50" s="46">
        <f>G50+'27'!I50</f>
        <v>0</v>
      </c>
      <c r="J50" s="46">
        <f>Clinker!CK30</f>
        <v>0</v>
      </c>
      <c r="K50" s="46">
        <f>J50+'27'!K50</f>
        <v>0</v>
      </c>
      <c r="L50" s="46">
        <f>J50+'27'!L50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Clinker!AF30</f>
        <v>3861.3199999999933</v>
      </c>
      <c r="G51" s="46">
        <f>Clinker!AG30</f>
        <v>0</v>
      </c>
      <c r="H51" s="46">
        <f>G51 +'27'!H51</f>
        <v>3673.6500000000005</v>
      </c>
      <c r="I51" s="46">
        <f>G51+'27'!I51</f>
        <v>5814.5999999999995</v>
      </c>
      <c r="J51" s="46">
        <f>Clinker!AI30</f>
        <v>145</v>
      </c>
      <c r="K51" s="46">
        <f>J51+'27'!K51</f>
        <v>4006</v>
      </c>
      <c r="L51" s="46">
        <f>J51+'27'!L51</f>
        <v>10831</v>
      </c>
      <c r="M51" s="45">
        <f>F51+G51-J51-J20</f>
        <v>3716.3199999999933</v>
      </c>
      <c r="N51" s="46">
        <v>0</v>
      </c>
      <c r="O51" s="46">
        <v>1500</v>
      </c>
      <c r="P51" s="46">
        <v>3000</v>
      </c>
      <c r="Q51" s="56">
        <f>SUM(M51+N51)-O51</f>
        <v>2216.3199999999933</v>
      </c>
    </row>
    <row r="52" spans="2:19" x14ac:dyDescent="0.25">
      <c r="B52" s="288"/>
      <c r="C52" s="281" t="s">
        <v>156</v>
      </c>
      <c r="D52" s="282"/>
      <c r="E52" s="283"/>
      <c r="F52" s="46">
        <f>Clinker!AB30</f>
        <v>0</v>
      </c>
      <c r="G52" s="46">
        <f>Clinker!AC30</f>
        <v>0</v>
      </c>
      <c r="H52" s="46">
        <f>G52 +'27'!H52</f>
        <v>0</v>
      </c>
      <c r="I52" s="46">
        <f>G52+'27'!I52</f>
        <v>0</v>
      </c>
      <c r="J52" s="46">
        <f>Clinker!AD30</f>
        <v>0</v>
      </c>
      <c r="K52" s="46">
        <f>J52+'27'!K52</f>
        <v>0</v>
      </c>
      <c r="L52" s="46">
        <f>J52+'27'!L52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>SUM(F29:F52)</f>
        <v>3861.3699999999935</v>
      </c>
      <c r="G53" s="46">
        <f t="shared" ref="G53:Q53" si="1">SUM(G29:G52)</f>
        <v>0</v>
      </c>
      <c r="H53" s="46">
        <f>SUM(H29:H52)</f>
        <v>3673.6500000000005</v>
      </c>
      <c r="I53" s="46">
        <f t="shared" si="1"/>
        <v>5814.5999999999995</v>
      </c>
      <c r="J53" s="46">
        <f t="shared" si="1"/>
        <v>145</v>
      </c>
      <c r="K53" s="46">
        <f t="shared" si="1"/>
        <v>4016</v>
      </c>
      <c r="L53" s="46">
        <f t="shared" si="1"/>
        <v>12188</v>
      </c>
      <c r="M53" s="46">
        <f t="shared" si="1"/>
        <v>3716.3699999999935</v>
      </c>
      <c r="N53" s="46">
        <f>SUM(N29:N52)</f>
        <v>0</v>
      </c>
      <c r="O53" s="46">
        <f t="shared" si="1"/>
        <v>3000</v>
      </c>
      <c r="P53" s="46">
        <f t="shared" si="1"/>
        <v>6000</v>
      </c>
      <c r="Q53" s="46">
        <f t="shared" si="1"/>
        <v>2216.3199999999933</v>
      </c>
    </row>
    <row r="54" spans="2:19" x14ac:dyDescent="0.25">
      <c r="B54" s="289"/>
      <c r="C54" s="284" t="s">
        <v>157</v>
      </c>
      <c r="D54" s="285"/>
      <c r="E54" s="286"/>
      <c r="F54" s="59">
        <f t="shared" ref="F54:Q54" si="2">SUM(F27+F53)</f>
        <v>7010.7469999999839</v>
      </c>
      <c r="G54" s="59">
        <f t="shared" si="2"/>
        <v>0</v>
      </c>
      <c r="H54" s="59">
        <f t="shared" si="2"/>
        <v>8651.1700000000019</v>
      </c>
      <c r="I54" s="59">
        <f t="shared" si="2"/>
        <v>11597.36</v>
      </c>
      <c r="J54" s="59">
        <f t="shared" si="2"/>
        <v>378.33000000000004</v>
      </c>
      <c r="K54" s="59">
        <f t="shared" si="2"/>
        <v>10695.55</v>
      </c>
      <c r="L54" s="59">
        <f t="shared" si="2"/>
        <v>33584.86</v>
      </c>
      <c r="M54" s="59">
        <f t="shared" si="2"/>
        <v>6632.416999999984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2"/>
        <v>2216.3599999999915</v>
      </c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'!C30</f>
        <v>2654952</v>
      </c>
      <c r="G56" s="46">
        <f>'Packing bag '!D30</f>
        <v>0</v>
      </c>
      <c r="H56" s="46">
        <f>G56+'27'!H56</f>
        <v>961000</v>
      </c>
      <c r="I56" s="46">
        <f>G56+'27'!I56</f>
        <v>4113500</v>
      </c>
      <c r="J56" s="46">
        <f>'Packing bag '!E30</f>
        <v>45727</v>
      </c>
      <c r="K56" s="46">
        <f>J56+'27'!K56</f>
        <v>979010</v>
      </c>
      <c r="L56" s="46">
        <f>J56+'27'!L56</f>
        <v>2555844</v>
      </c>
      <c r="M56" s="46">
        <f>F56+G56-J56</f>
        <v>2609225</v>
      </c>
      <c r="N56" s="46"/>
      <c r="O56" s="46">
        <v>400000</v>
      </c>
      <c r="P56" s="46">
        <v>800000</v>
      </c>
      <c r="Q56" s="56">
        <f>SUM(M56+N56)-O56</f>
        <v>2209225</v>
      </c>
    </row>
    <row r="57" spans="2:19" x14ac:dyDescent="0.25">
      <c r="B57" s="288"/>
      <c r="C57" s="281" t="s">
        <v>160</v>
      </c>
      <c r="D57" s="282"/>
      <c r="E57" s="283"/>
      <c r="F57" s="46">
        <f>'Packing bag '!G30</f>
        <v>592207</v>
      </c>
      <c r="G57" s="46">
        <f>'Packing bag '!H30</f>
        <v>0</v>
      </c>
      <c r="H57" s="46">
        <f>G57+'27'!H57</f>
        <v>40500</v>
      </c>
      <c r="I57" s="46">
        <f>G57+'27'!I57</f>
        <v>332000</v>
      </c>
      <c r="J57" s="46">
        <f>'Packing bag '!I30</f>
        <v>1229</v>
      </c>
      <c r="K57" s="46">
        <f>J57+'27'!K57</f>
        <v>51683</v>
      </c>
      <c r="L57" s="46">
        <f>J57+'27'!L57</f>
        <v>141304</v>
      </c>
      <c r="M57" s="46">
        <f>F57+G57-J57</f>
        <v>590978</v>
      </c>
      <c r="N57" s="46"/>
      <c r="O57" s="46">
        <v>100000</v>
      </c>
      <c r="P57" s="46">
        <v>250000</v>
      </c>
      <c r="Q57" s="56">
        <f>SUM(M57+N57)-O57</f>
        <v>490978</v>
      </c>
    </row>
    <row r="58" spans="2:19" x14ac:dyDescent="0.25">
      <c r="B58" s="288"/>
      <c r="C58" s="281" t="s">
        <v>161</v>
      </c>
      <c r="D58" s="282"/>
      <c r="E58" s="283"/>
      <c r="F58" s="46">
        <f>'Packing bag '!K30</f>
        <v>613346</v>
      </c>
      <c r="G58" s="46">
        <f>'Packing bag '!L30</f>
        <v>0</v>
      </c>
      <c r="H58" s="46">
        <f>G58+'27'!H58</f>
        <v>150000</v>
      </c>
      <c r="I58" s="46">
        <f>G58+'27'!I58</f>
        <v>445000</v>
      </c>
      <c r="J58" s="46">
        <f>'Packing bag '!M30</f>
        <v>4636</v>
      </c>
      <c r="K58" s="46">
        <f>J58+'27'!K58</f>
        <v>70053</v>
      </c>
      <c r="L58" s="46">
        <f>J58+'27'!L58</f>
        <v>242345</v>
      </c>
      <c r="M58" s="46">
        <f>F58+G58-J58</f>
        <v>608710</v>
      </c>
      <c r="N58" s="46"/>
      <c r="O58" s="46">
        <v>50000</v>
      </c>
      <c r="P58" s="46">
        <v>150000</v>
      </c>
      <c r="Q58" s="56">
        <f>SUM(M58+N58)-O58</f>
        <v>558710</v>
      </c>
    </row>
    <row r="59" spans="2:19" x14ac:dyDescent="0.25">
      <c r="B59" s="288"/>
      <c r="C59" s="281" t="s">
        <v>162</v>
      </c>
      <c r="D59" s="282"/>
      <c r="E59" s="283"/>
      <c r="F59" s="46">
        <f>'Packing bag '!O30</f>
        <v>148479</v>
      </c>
      <c r="G59" s="46">
        <f>'Packing bag '!P30</f>
        <v>0</v>
      </c>
      <c r="H59" s="46">
        <f>G59+'27'!H59</f>
        <v>85612</v>
      </c>
      <c r="I59" s="46">
        <f>G59+'27'!I59</f>
        <v>85000</v>
      </c>
      <c r="J59" s="46">
        <f>'Packing bag '!Q30</f>
        <v>0</v>
      </c>
      <c r="K59" s="46">
        <f>J59+'27'!K59</f>
        <v>5453</v>
      </c>
      <c r="L59" s="46">
        <f>J59+'27'!L59</f>
        <v>20222</v>
      </c>
      <c r="M59" s="46">
        <f>F59+G59-J59</f>
        <v>148479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G60+'27'!H60</f>
        <v>0</v>
      </c>
      <c r="I60" s="46">
        <f>G60+'27'!I60</f>
        <v>0</v>
      </c>
      <c r="J60" s="46">
        <v>0</v>
      </c>
      <c r="K60" s="46">
        <f>J60+'27'!K60</f>
        <v>0</v>
      </c>
      <c r="L60" s="46">
        <f>J60+'27'!L60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G61+'27'!H61</f>
        <v>0</v>
      </c>
      <c r="I61" s="46">
        <f>G61+'27'!I61</f>
        <v>0</v>
      </c>
      <c r="J61" s="46">
        <v>0</v>
      </c>
      <c r="K61" s="46">
        <f>J61+'27'!K61</f>
        <v>0</v>
      </c>
      <c r="L61" s="46">
        <f>J61+'27'!L61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4008984</v>
      </c>
      <c r="G62" s="59">
        <f t="shared" ref="G62:Q62" si="3">SUM(G56:G61)</f>
        <v>0</v>
      </c>
      <c r="H62" s="59">
        <f t="shared" si="3"/>
        <v>1237112</v>
      </c>
      <c r="I62" s="59">
        <f t="shared" si="3"/>
        <v>4975500</v>
      </c>
      <c r="J62" s="59">
        <f t="shared" si="3"/>
        <v>51592</v>
      </c>
      <c r="K62" s="59">
        <f t="shared" si="3"/>
        <v>1106199</v>
      </c>
      <c r="L62" s="59">
        <f t="shared" si="3"/>
        <v>2959715</v>
      </c>
      <c r="M62" s="59">
        <f t="shared" si="3"/>
        <v>3957392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3257413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Cement!G30</f>
        <v>0</v>
      </c>
      <c r="G64" s="46">
        <f>Cement!H30</f>
        <v>0</v>
      </c>
      <c r="H64" s="46">
        <f>G64+'27'!H64</f>
        <v>0</v>
      </c>
      <c r="I64" s="46">
        <f>G64+'27'!I64</f>
        <v>0</v>
      </c>
      <c r="J64" s="46">
        <v>0</v>
      </c>
      <c r="K64" s="46">
        <f>J64+'27'!K64</f>
        <v>0</v>
      </c>
      <c r="L64" s="46">
        <f>J64+'27'!L64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Cement!K30</f>
        <v>0</v>
      </c>
      <c r="G65" s="46">
        <f>Cement!L30</f>
        <v>0</v>
      </c>
      <c r="H65" s="46">
        <f>G65+'27'!H65</f>
        <v>0</v>
      </c>
      <c r="I65" s="46">
        <f>G65+'27'!I65</f>
        <v>0</v>
      </c>
      <c r="J65" s="46">
        <v>0</v>
      </c>
      <c r="K65" s="46">
        <f>J65+'27'!K65</f>
        <v>0</v>
      </c>
      <c r="L65" s="46">
        <f>J65+'27'!L65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Diesel!B30</f>
        <v>42064</v>
      </c>
      <c r="G68" s="46">
        <f>Diesel!C30</f>
        <v>0</v>
      </c>
      <c r="H68" s="46">
        <f>G68+'27'!H68</f>
        <v>65000</v>
      </c>
      <c r="I68" s="46">
        <f>G68+'27'!I68</f>
        <v>155000</v>
      </c>
      <c r="J68" s="46">
        <v>0</v>
      </c>
      <c r="K68" s="46">
        <f>J68+'27'!K68</f>
        <v>0</v>
      </c>
      <c r="L68" s="46">
        <f>J68+'27'!L68</f>
        <v>0</v>
      </c>
      <c r="M68" s="46">
        <f>F68+G68-J68-J76</f>
        <v>42064</v>
      </c>
      <c r="N68" s="46"/>
      <c r="O68" s="46">
        <v>30000</v>
      </c>
      <c r="P68" s="46">
        <v>60000</v>
      </c>
      <c r="Q68" s="56">
        <f>SUM(M68+N68)-O68</f>
        <v>12064</v>
      </c>
    </row>
    <row r="69" spans="2:17" x14ac:dyDescent="0.25">
      <c r="B69" s="297"/>
      <c r="C69" s="281" t="s">
        <v>171</v>
      </c>
      <c r="D69" s="282"/>
      <c r="E69" s="283"/>
      <c r="F69" s="46">
        <f>Diesel!Y30</f>
        <v>0</v>
      </c>
      <c r="G69" s="46">
        <f>Diesel!Z30</f>
        <v>0</v>
      </c>
      <c r="H69" s="46">
        <f>G69+'27'!H69</f>
        <v>0</v>
      </c>
      <c r="I69" s="46">
        <f>G69+'27'!I69</f>
        <v>0</v>
      </c>
      <c r="J69" s="46">
        <f>Diesel!O30</f>
        <v>0</v>
      </c>
      <c r="K69" s="46">
        <f>J69+'27'!K69</f>
        <v>5000</v>
      </c>
      <c r="L69" s="46">
        <f>J69+'27'!L69</f>
        <v>20000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G70+'27'!H70</f>
        <v>0</v>
      </c>
      <c r="I70" s="46">
        <f>G70+'27'!I70</f>
        <v>0</v>
      </c>
      <c r="J70" s="46">
        <f>Diesel!P30</f>
        <v>0</v>
      </c>
      <c r="K70" s="46">
        <f>J70+'27'!K70</f>
        <v>105</v>
      </c>
      <c r="L70" s="46">
        <f>J70+'27'!L70</f>
        <v>708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G71+'27'!H71</f>
        <v>0</v>
      </c>
      <c r="I71" s="46">
        <f>G71+'27'!I71</f>
        <v>0</v>
      </c>
      <c r="J71" s="46">
        <f>Diesel!Q30</f>
        <v>0</v>
      </c>
      <c r="K71" s="46">
        <f>J71+'27'!K71</f>
        <v>24602</v>
      </c>
      <c r="L71" s="46">
        <f>J71+'27'!L71</f>
        <v>79237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G72+'27'!H72</f>
        <v>0</v>
      </c>
      <c r="I72" s="46">
        <f>G72+'27'!I72</f>
        <v>0</v>
      </c>
      <c r="J72" s="46">
        <f>Diesel!R30</f>
        <v>0</v>
      </c>
      <c r="K72" s="46">
        <f>J72+'27'!K72</f>
        <v>19374</v>
      </c>
      <c r="L72" s="46">
        <f>J72+'27'!L72</f>
        <v>62082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G73+'27'!H73</f>
        <v>0</v>
      </c>
      <c r="I73" s="46">
        <f>G73+'27'!I73</f>
        <v>0</v>
      </c>
      <c r="J73" s="46">
        <f>Diesel!S30</f>
        <v>0</v>
      </c>
      <c r="K73" s="46">
        <f>J73+'27'!K73</f>
        <v>0</v>
      </c>
      <c r="L73" s="46">
        <f>J73+'27'!L73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G74+'27'!H74</f>
        <v>0</v>
      </c>
      <c r="I74" s="46">
        <f>G74+'27'!I74</f>
        <v>0</v>
      </c>
      <c r="J74" s="46">
        <f>Diesel!T30</f>
        <v>0</v>
      </c>
      <c r="K74" s="46">
        <f>J74+'27'!K74</f>
        <v>0</v>
      </c>
      <c r="L74" s="46">
        <f>J74+'27'!L74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G75+'27'!H75</f>
        <v>0</v>
      </c>
      <c r="I75" s="46">
        <f>G75+'27'!I75</f>
        <v>0</v>
      </c>
      <c r="J75" s="61">
        <f>Diesel!U30</f>
        <v>0</v>
      </c>
      <c r="K75" s="46">
        <f>J75+'27'!K75</f>
        <v>0</v>
      </c>
      <c r="L75" s="46">
        <f>J75+'27'!L75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42064</v>
      </c>
      <c r="G76" s="62">
        <f t="shared" ref="G76:M76" si="5">SUM(G68:G75)</f>
        <v>0</v>
      </c>
      <c r="H76" s="62">
        <f t="shared" si="5"/>
        <v>65000</v>
      </c>
      <c r="I76" s="62">
        <f t="shared" si="5"/>
        <v>155000</v>
      </c>
      <c r="J76" s="62">
        <f t="shared" si="5"/>
        <v>0</v>
      </c>
      <c r="K76" s="62">
        <f t="shared" si="5"/>
        <v>49081</v>
      </c>
      <c r="L76" s="62">
        <f t="shared" si="5"/>
        <v>162027</v>
      </c>
      <c r="M76" s="62">
        <f t="shared" si="5"/>
        <v>42064</v>
      </c>
      <c r="N76" s="63"/>
      <c r="O76" s="64"/>
      <c r="P76" s="62"/>
      <c r="Q76" s="65"/>
    </row>
  </sheetData>
  <mergeCells count="70"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  <mergeCell ref="C58:E58"/>
    <mergeCell ref="C60:E60"/>
    <mergeCell ref="C20:D20"/>
    <mergeCell ref="C38:D38"/>
    <mergeCell ref="C34:E34"/>
    <mergeCell ref="C40:E40"/>
    <mergeCell ref="C50:D50"/>
    <mergeCell ref="C47:D47"/>
    <mergeCell ref="C59:E59"/>
    <mergeCell ref="C62:E62"/>
    <mergeCell ref="B9:B54"/>
    <mergeCell ref="B55:B62"/>
    <mergeCell ref="C51:E51"/>
    <mergeCell ref="C52:E52"/>
    <mergeCell ref="C53:E53"/>
    <mergeCell ref="C54:E54"/>
    <mergeCell ref="C55:Q55"/>
    <mergeCell ref="C36:D36"/>
    <mergeCell ref="C15:D15"/>
    <mergeCell ref="C12:E12"/>
    <mergeCell ref="C37:E37"/>
    <mergeCell ref="C61:E61"/>
    <mergeCell ref="C18:E18"/>
    <mergeCell ref="C17:E17"/>
    <mergeCell ref="C35:E35"/>
    <mergeCell ref="C13:D13"/>
    <mergeCell ref="C56:E56"/>
    <mergeCell ref="C57:E57"/>
    <mergeCell ref="C6:E6"/>
    <mergeCell ref="C7:E7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C14:D14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</mergeCells>
  <pageMargins left="0.7" right="0.7" top="0.75" bottom="0.75" header="0.3" footer="0.3"/>
  <pageSetup paperSize="9" scale="41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>
    <pageSetUpPr fitToPage="1"/>
  </sheetPr>
  <dimension ref="B1:R76"/>
  <sheetViews>
    <sheetView zoomScale="90" zoomScaleNormal="90" workbookViewId="0">
      <pane xSplit="4" ySplit="1" topLeftCell="E50" activePane="bottomRight" state="frozen"/>
      <selection pane="topRight" activeCell="E1" sqref="E1"/>
      <selection pane="bottomLeft" activeCell="A6" sqref="A6"/>
      <selection pane="bottomRight" activeCell="U61" sqref="U61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7" ht="15.75" thickBot="1" x14ac:dyDescent="0.3"/>
    <row r="2" spans="2:17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7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5" t="s">
        <v>235</v>
      </c>
      <c r="Q3" s="316"/>
    </row>
    <row r="4" spans="2:17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7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7" ht="14.45" customHeight="1" x14ac:dyDescent="0.25">
      <c r="B6" s="54">
        <v>1</v>
      </c>
      <c r="C6" s="337" t="s">
        <v>135</v>
      </c>
      <c r="D6" s="338"/>
      <c r="E6" s="339"/>
      <c r="F6" s="45">
        <f>Clinker!C31</f>
        <v>1142.2400000000002</v>
      </c>
      <c r="G6" s="45">
        <f>Clinker!D31</f>
        <v>62.6</v>
      </c>
      <c r="H6" s="45">
        <f>G6+'28'!H6</f>
        <v>190.92</v>
      </c>
      <c r="I6" s="45">
        <f>G6+'28'!I6</f>
        <v>608.20000000000005</v>
      </c>
      <c r="J6" s="45">
        <f>Clinker!E31</f>
        <v>77</v>
      </c>
      <c r="K6" s="45">
        <f>J6+'28'!K6</f>
        <v>1711</v>
      </c>
      <c r="L6" s="45">
        <f>J6+'28'!L6</f>
        <v>4846</v>
      </c>
      <c r="M6" s="45">
        <f>F6+G6-J6</f>
        <v>1127.8400000000001</v>
      </c>
      <c r="N6" s="45">
        <v>0</v>
      </c>
      <c r="O6" s="45">
        <v>3000</v>
      </c>
      <c r="P6" s="45">
        <v>6000</v>
      </c>
      <c r="Q6" s="55">
        <f>SUM(M6+N6)-O6</f>
        <v>-1872.1599999999999</v>
      </c>
    </row>
    <row r="7" spans="2:17" x14ac:dyDescent="0.25">
      <c r="B7" s="50">
        <v>2</v>
      </c>
      <c r="C7" s="305" t="s">
        <v>136</v>
      </c>
      <c r="D7" s="306"/>
      <c r="E7" s="307"/>
      <c r="F7" s="46">
        <f>Cement!C31</f>
        <v>3164.8767958821213</v>
      </c>
      <c r="G7" s="46">
        <f>Cement!D31</f>
        <v>214.1</v>
      </c>
      <c r="H7" s="45">
        <f>G7+'28'!H7</f>
        <v>2997.7599999999998</v>
      </c>
      <c r="I7" s="45">
        <f>G7+'28'!I7</f>
        <v>5124.38</v>
      </c>
      <c r="J7" s="46">
        <f>Cement!I31</f>
        <v>132.17684210736846</v>
      </c>
      <c r="K7" s="45">
        <f>J7+'28'!K7</f>
        <v>3959.2659043814233</v>
      </c>
      <c r="L7" s="45">
        <f>J7+'28'!L7</f>
        <v>9185.4958947089235</v>
      </c>
      <c r="M7" s="45">
        <f>F7+G7-J7</f>
        <v>3246.7999537747528</v>
      </c>
      <c r="N7" s="46">
        <v>0</v>
      </c>
      <c r="O7" s="46">
        <v>3000</v>
      </c>
      <c r="P7" s="46">
        <v>6000</v>
      </c>
      <c r="Q7" s="56">
        <f>SUM(M7+N7)-O7</f>
        <v>246.79995377475279</v>
      </c>
    </row>
    <row r="8" spans="2:17" x14ac:dyDescent="0.25">
      <c r="B8" s="124">
        <v>3</v>
      </c>
      <c r="C8" s="121" t="s">
        <v>29</v>
      </c>
      <c r="D8" s="122"/>
      <c r="E8" s="123"/>
      <c r="F8" s="46">
        <f>Clinker!EI31</f>
        <v>12008.883562968751</v>
      </c>
      <c r="G8" s="46">
        <f>Clinker!EJ31</f>
        <v>1490</v>
      </c>
      <c r="H8" s="45">
        <f>G8+'28'!H8</f>
        <v>39948</v>
      </c>
      <c r="I8" s="45">
        <f>G8+'28'!I8</f>
        <v>138864.66</v>
      </c>
      <c r="J8" s="46">
        <f>Clinker!EK31</f>
        <v>2058.4120000796011</v>
      </c>
      <c r="K8" s="45">
        <f>J8+'28'!K8</f>
        <v>59759.430524917807</v>
      </c>
      <c r="L8" s="45">
        <f>J8+'28'!L8</f>
        <v>139555.27754473774</v>
      </c>
      <c r="M8" s="45">
        <f>F8+G8-J8</f>
        <v>11440.47156288915</v>
      </c>
      <c r="N8" s="46">
        <v>0</v>
      </c>
      <c r="O8" s="46"/>
      <c r="P8" s="46"/>
      <c r="Q8" s="56"/>
    </row>
    <row r="9" spans="2:17" s="67" customFormat="1" ht="13.9" customHeigh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7" x14ac:dyDescent="0.25">
      <c r="B10" s="288"/>
      <c r="C10" s="281" t="s">
        <v>138</v>
      </c>
      <c r="D10" s="282"/>
      <c r="E10" s="283"/>
      <c r="F10" s="46">
        <f>Clinker!K31</f>
        <v>0</v>
      </c>
      <c r="G10" s="46">
        <f>Clinker!L31</f>
        <v>0</v>
      </c>
      <c r="H10" s="46">
        <f>G10+'28'!H10</f>
        <v>0</v>
      </c>
      <c r="I10" s="46">
        <f>G10+'28'!I10</f>
        <v>0</v>
      </c>
      <c r="J10" s="46">
        <f>Clinker!N31</f>
        <v>0</v>
      </c>
      <c r="K10" s="46">
        <f>J10+'28'!K10</f>
        <v>0</v>
      </c>
      <c r="L10" s="46">
        <f>J10+'28'!L10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7" ht="13.9" customHeight="1" x14ac:dyDescent="0.25">
      <c r="B11" s="288"/>
      <c r="C11" s="281" t="s">
        <v>139</v>
      </c>
      <c r="D11" s="282"/>
      <c r="E11" s="283"/>
      <c r="F11" s="46">
        <f>Clinker!W31</f>
        <v>3.9999999998087787E-2</v>
      </c>
      <c r="G11" s="46">
        <f>Clinker!X31</f>
        <v>0</v>
      </c>
      <c r="H11" s="46">
        <f>G11+'28'!H11</f>
        <v>0</v>
      </c>
      <c r="I11" s="46">
        <f>G11+'28'!I11</f>
        <v>0</v>
      </c>
      <c r="J11" s="46">
        <f>Clinker!Z31</f>
        <v>0</v>
      </c>
      <c r="K11" s="46">
        <f>J11+'28'!K11</f>
        <v>1063</v>
      </c>
      <c r="L11" s="46">
        <f>J11+'28'!L11</f>
        <v>8686.84</v>
      </c>
      <c r="M11" s="45">
        <f>F11+G11-J11-J34</f>
        <v>3.9999999998087787E-2</v>
      </c>
      <c r="N11" s="46">
        <v>0</v>
      </c>
      <c r="O11" s="46"/>
      <c r="P11" s="46"/>
      <c r="Q11" s="56">
        <f>SUM(M11+N11)-O11</f>
        <v>3.9999999998087787E-2</v>
      </c>
    </row>
    <row r="12" spans="2:17" ht="13.9" customHeight="1" x14ac:dyDescent="0.25">
      <c r="B12" s="288"/>
      <c r="C12" s="281" t="s">
        <v>140</v>
      </c>
      <c r="D12" s="282"/>
      <c r="E12" s="283"/>
      <c r="F12" s="46">
        <f>Clinker!AT31</f>
        <v>1.0000000002058584E-2</v>
      </c>
      <c r="G12" s="46">
        <f>Clinker!AU31</f>
        <v>0</v>
      </c>
      <c r="H12" s="46">
        <f>G12+'28'!H12</f>
        <v>0</v>
      </c>
      <c r="I12" s="46">
        <f>G12+'28'!I12</f>
        <v>181.5</v>
      </c>
      <c r="J12" s="46">
        <f>Clinker!AV31</f>
        <v>0</v>
      </c>
      <c r="K12" s="46">
        <f>J12+'28'!K12</f>
        <v>2933.89</v>
      </c>
      <c r="L12" s="46">
        <f>J12+'28'!L12</f>
        <v>5675.5900000000011</v>
      </c>
      <c r="M12" s="45">
        <f>F12+G12-J12-J37</f>
        <v>1.0000000002058584E-2</v>
      </c>
      <c r="N12" s="46">
        <v>0</v>
      </c>
      <c r="O12" s="46"/>
      <c r="P12" s="46"/>
      <c r="Q12" s="71"/>
    </row>
    <row r="13" spans="2:17" x14ac:dyDescent="0.25">
      <c r="B13" s="288"/>
      <c r="C13" s="281" t="s">
        <v>9</v>
      </c>
      <c r="D13" s="282"/>
      <c r="E13" s="69"/>
      <c r="F13" s="46">
        <f>Clinker!AO31</f>
        <v>0</v>
      </c>
      <c r="G13" s="46">
        <f>Clinker!AP31</f>
        <v>0</v>
      </c>
      <c r="H13" s="46">
        <f>G13+'28'!H13</f>
        <v>0</v>
      </c>
      <c r="I13" s="46">
        <f>G13+'28'!I13</f>
        <v>0</v>
      </c>
      <c r="J13" s="46">
        <f>Clinker!AQ31</f>
        <v>0</v>
      </c>
      <c r="K13" s="46">
        <f>J13+'28'!K13</f>
        <v>0</v>
      </c>
      <c r="L13" s="46">
        <f>J13+'28'!L13</f>
        <v>0</v>
      </c>
      <c r="M13" s="45">
        <f>F13+G13-J13-J36</f>
        <v>0</v>
      </c>
      <c r="N13" s="46">
        <v>0</v>
      </c>
      <c r="O13" s="46"/>
      <c r="P13" s="46"/>
      <c r="Q13" s="71"/>
    </row>
    <row r="14" spans="2:17" x14ac:dyDescent="0.25">
      <c r="B14" s="288"/>
      <c r="C14" s="281" t="s">
        <v>8</v>
      </c>
      <c r="D14" s="282"/>
      <c r="E14" s="69"/>
      <c r="F14" s="46">
        <f>Clinker!AK31</f>
        <v>0</v>
      </c>
      <c r="G14" s="46">
        <f>Clinker!AL31</f>
        <v>0</v>
      </c>
      <c r="H14" s="46">
        <f>G14+'28'!H14</f>
        <v>0</v>
      </c>
      <c r="I14" s="46">
        <f>G14+'28'!I14</f>
        <v>0</v>
      </c>
      <c r="J14" s="46">
        <f>Clinker!AM31</f>
        <v>0</v>
      </c>
      <c r="K14" s="46">
        <f>J14+'28'!K14</f>
        <v>0</v>
      </c>
      <c r="L14" s="46">
        <f>J14+'28'!L14</f>
        <v>0</v>
      </c>
      <c r="M14" s="45">
        <f t="shared" ref="M14:M16" si="0">F14+G14-J14</f>
        <v>0</v>
      </c>
      <c r="N14" s="46">
        <v>0</v>
      </c>
      <c r="O14" s="46"/>
      <c r="P14" s="46"/>
      <c r="Q14" s="71"/>
    </row>
    <row r="15" spans="2:17" x14ac:dyDescent="0.25">
      <c r="B15" s="288"/>
      <c r="C15" s="281" t="s">
        <v>11</v>
      </c>
      <c r="D15" s="282"/>
      <c r="E15" s="69"/>
      <c r="F15" s="46">
        <f>Clinker!AY31</f>
        <v>2483.9869999999901</v>
      </c>
      <c r="G15" s="46">
        <f>Clinker!AZ31</f>
        <v>527.94000000000005</v>
      </c>
      <c r="H15" s="46">
        <f>G15+'28'!H15</f>
        <v>5285.4600000000009</v>
      </c>
      <c r="I15" s="46">
        <f>G15+'28'!I15</f>
        <v>5697.2000000000007</v>
      </c>
      <c r="J15" s="46">
        <f>Clinker!BA31</f>
        <v>246</v>
      </c>
      <c r="K15" s="46">
        <f>J15+'28'!K15</f>
        <v>2921.56</v>
      </c>
      <c r="L15" s="46">
        <f>J15+'28'!L15</f>
        <v>2921.56</v>
      </c>
      <c r="M15" s="45">
        <f>F15+G15-J15-J38</f>
        <v>2765.9269999999901</v>
      </c>
      <c r="N15" s="46">
        <v>0</v>
      </c>
      <c r="O15" s="46">
        <v>5000</v>
      </c>
      <c r="P15" s="46">
        <v>9000</v>
      </c>
      <c r="Q15" s="71"/>
    </row>
    <row r="16" spans="2:17" ht="14.45" customHeight="1" x14ac:dyDescent="0.25">
      <c r="B16" s="288"/>
      <c r="C16" s="76" t="s">
        <v>141</v>
      </c>
      <c r="D16" s="77"/>
      <c r="E16" s="69"/>
      <c r="F16" s="46">
        <f>Clinker!BD31</f>
        <v>0</v>
      </c>
      <c r="G16" s="46">
        <f>Clinker!BE31</f>
        <v>0</v>
      </c>
      <c r="H16" s="46">
        <f>G16+'28'!H16</f>
        <v>0</v>
      </c>
      <c r="I16" s="46">
        <f>G16+'28'!I16</f>
        <v>0</v>
      </c>
      <c r="J16" s="46">
        <f>Clinker!BF31</f>
        <v>0</v>
      </c>
      <c r="K16" s="46">
        <f>J16+'28'!K16</f>
        <v>0</v>
      </c>
      <c r="L16" s="46">
        <f>J16+'28'!L16</f>
        <v>0</v>
      </c>
      <c r="M16" s="45">
        <f t="shared" si="0"/>
        <v>0</v>
      </c>
      <c r="N16" s="46">
        <v>0</v>
      </c>
      <c r="O16" s="46"/>
      <c r="P16" s="46"/>
      <c r="Q16" s="71"/>
    </row>
    <row r="17" spans="2:17" x14ac:dyDescent="0.25">
      <c r="B17" s="288"/>
      <c r="C17" s="281" t="s">
        <v>13</v>
      </c>
      <c r="D17" s="282"/>
      <c r="E17" s="283"/>
      <c r="F17" s="46">
        <f>Clinker!BI31</f>
        <v>0</v>
      </c>
      <c r="G17" s="46">
        <f>Clinker!BJ31</f>
        <v>0</v>
      </c>
      <c r="H17" s="46">
        <f>G17+'28'!H17</f>
        <v>0</v>
      </c>
      <c r="I17" s="46">
        <f>G17+'28'!I17</f>
        <v>0</v>
      </c>
      <c r="J17" s="46">
        <f>Clinker!BK31</f>
        <v>0</v>
      </c>
      <c r="K17" s="46">
        <f>J17+'28'!K17</f>
        <v>0</v>
      </c>
      <c r="L17" s="46">
        <f>J17+'28'!L17</f>
        <v>0</v>
      </c>
      <c r="M17" s="45">
        <f>F17+G17-J17-J40</f>
        <v>0</v>
      </c>
      <c r="N17" s="46">
        <v>0</v>
      </c>
      <c r="O17" s="46"/>
      <c r="P17" s="46"/>
      <c r="Q17" s="71"/>
    </row>
    <row r="18" spans="2:17" x14ac:dyDescent="0.25">
      <c r="B18" s="288"/>
      <c r="C18" s="281" t="s">
        <v>14</v>
      </c>
      <c r="D18" s="282"/>
      <c r="E18" s="283"/>
      <c r="F18" s="46">
        <f>Clinker!BN31</f>
        <v>0</v>
      </c>
      <c r="G18" s="46">
        <f>Clinker!BO31</f>
        <v>0</v>
      </c>
      <c r="H18" s="46">
        <f>G18+'28'!H18</f>
        <v>0</v>
      </c>
      <c r="I18" s="46">
        <f>G18+'28'!I18</f>
        <v>0</v>
      </c>
      <c r="J18" s="46">
        <f>Clinker!BP31</f>
        <v>0</v>
      </c>
      <c r="K18" s="46">
        <f>J18+'28'!K18</f>
        <v>0</v>
      </c>
      <c r="L18" s="46">
        <f>J18+'28'!L18</f>
        <v>0</v>
      </c>
      <c r="M18" s="45">
        <f>F18+G18-J18-J41</f>
        <v>0</v>
      </c>
      <c r="N18" s="46">
        <v>0</v>
      </c>
      <c r="O18" s="46"/>
      <c r="P18" s="46"/>
      <c r="Q18" s="71"/>
    </row>
    <row r="19" spans="2:17" x14ac:dyDescent="0.25">
      <c r="B19" s="288"/>
      <c r="C19" s="76" t="s">
        <v>142</v>
      </c>
      <c r="D19" s="77"/>
      <c r="E19" s="69"/>
      <c r="F19" s="46">
        <f>Clinker!BS31</f>
        <v>0</v>
      </c>
      <c r="G19" s="46">
        <f>Clinker!BT31</f>
        <v>0</v>
      </c>
      <c r="H19" s="46">
        <f>G19+'28'!H19</f>
        <v>0</v>
      </c>
      <c r="I19" s="46">
        <f>G19+'28'!I19</f>
        <v>0</v>
      </c>
      <c r="J19" s="46">
        <f>Clinker!BU30</f>
        <v>0</v>
      </c>
      <c r="K19" s="46">
        <f>J19+'28'!K19</f>
        <v>0</v>
      </c>
      <c r="L19" s="46">
        <f>J19+'28'!L19</f>
        <v>0</v>
      </c>
      <c r="M19" s="45">
        <f>F19+G19-J19-J42</f>
        <v>0</v>
      </c>
      <c r="N19" s="46">
        <v>0</v>
      </c>
      <c r="O19" s="46"/>
      <c r="P19" s="46"/>
      <c r="Q19" s="71"/>
    </row>
    <row r="20" spans="2:17" x14ac:dyDescent="0.25">
      <c r="B20" s="288"/>
      <c r="C20" s="281" t="s">
        <v>155</v>
      </c>
      <c r="D20" s="282"/>
      <c r="E20" s="69"/>
      <c r="F20" s="46">
        <f>Clinker!BX31</f>
        <v>0</v>
      </c>
      <c r="G20" s="46">
        <f>Clinker!BY31</f>
        <v>0</v>
      </c>
      <c r="H20" s="46">
        <f>G20+'28'!H20</f>
        <v>0</v>
      </c>
      <c r="I20" s="46">
        <f>G20+'28'!I20</f>
        <v>0</v>
      </c>
      <c r="J20" s="46">
        <f>Clinker!AH31</f>
        <v>0</v>
      </c>
      <c r="K20" s="46">
        <f>J20+'28'!K20</f>
        <v>0</v>
      </c>
      <c r="L20" s="46">
        <f>J20+'28'!L20</f>
        <v>4052.88</v>
      </c>
      <c r="M20" s="45">
        <v>0</v>
      </c>
      <c r="N20" s="46">
        <v>0</v>
      </c>
      <c r="O20" s="46"/>
      <c r="P20" s="46"/>
      <c r="Q20" s="71"/>
    </row>
    <row r="21" spans="2:17" x14ac:dyDescent="0.25">
      <c r="B21" s="288"/>
      <c r="C21" s="76" t="s">
        <v>20</v>
      </c>
      <c r="D21" s="77"/>
      <c r="E21" s="69"/>
      <c r="F21" s="46">
        <f>Clinker!CR31</f>
        <v>0</v>
      </c>
      <c r="G21" s="46">
        <f>Clinker!CS31</f>
        <v>0</v>
      </c>
      <c r="H21" s="46">
        <f>G21+'28'!H21</f>
        <v>0</v>
      </c>
      <c r="I21" s="46">
        <f>G21+'28'!I21</f>
        <v>0</v>
      </c>
      <c r="J21" s="46">
        <f>Clinker!CT31</f>
        <v>0</v>
      </c>
      <c r="K21" s="46">
        <f>J21+'28'!K21</f>
        <v>0</v>
      </c>
      <c r="L21" s="46">
        <f>J21+'28'!L21</f>
        <v>0</v>
      </c>
      <c r="M21" s="45">
        <f>F21+G21-J21-J43</f>
        <v>0</v>
      </c>
      <c r="N21" s="46">
        <v>0</v>
      </c>
      <c r="O21" s="46"/>
      <c r="P21" s="46"/>
      <c r="Q21" s="71"/>
    </row>
    <row r="22" spans="2:17" ht="30" x14ac:dyDescent="0.25">
      <c r="B22" s="288"/>
      <c r="C22" s="76" t="s">
        <v>184</v>
      </c>
      <c r="D22" s="77"/>
      <c r="E22" s="69"/>
      <c r="F22" s="46">
        <f>Clinker!CW31</f>
        <v>0</v>
      </c>
      <c r="G22" s="46">
        <f>Clinker!CX31</f>
        <v>0</v>
      </c>
      <c r="H22" s="46">
        <f>G22+'28'!H22</f>
        <v>0</v>
      </c>
      <c r="I22" s="46">
        <f>G22+'28'!I22</f>
        <v>0</v>
      </c>
      <c r="J22" s="46">
        <f>Clinker!CY31</f>
        <v>0</v>
      </c>
      <c r="K22" s="46">
        <f>J22+'28'!K22</f>
        <v>0</v>
      </c>
      <c r="L22" s="46">
        <f>J22+'28'!L22</f>
        <v>0</v>
      </c>
      <c r="M22" s="45">
        <f>F22+G22-J22-J44</f>
        <v>0</v>
      </c>
      <c r="N22" s="46">
        <v>0</v>
      </c>
      <c r="O22" s="46"/>
      <c r="P22" s="46"/>
      <c r="Q22" s="71"/>
    </row>
    <row r="23" spans="2:17" x14ac:dyDescent="0.25">
      <c r="B23" s="288"/>
      <c r="C23" s="76" t="s">
        <v>22</v>
      </c>
      <c r="D23" s="77"/>
      <c r="E23" s="69"/>
      <c r="F23" s="46">
        <f>Clinker!DB31</f>
        <v>1.0000000000013998E-2</v>
      </c>
      <c r="G23" s="46">
        <f>Clinker!DC31</f>
        <v>0</v>
      </c>
      <c r="H23" s="46">
        <f>G23+'28'!H23</f>
        <v>0</v>
      </c>
      <c r="I23" s="46">
        <f>G23+'28'!I23</f>
        <v>0</v>
      </c>
      <c r="J23" s="46">
        <f>Clinker!DD31</f>
        <v>0</v>
      </c>
      <c r="K23" s="46">
        <f>J23+'28'!K23</f>
        <v>7.1</v>
      </c>
      <c r="L23" s="46">
        <f>J23+'28'!L23</f>
        <v>305.99</v>
      </c>
      <c r="M23" s="45">
        <f>F23+G23-J23-J45</f>
        <v>1.0000000000013998E-2</v>
      </c>
      <c r="N23" s="46">
        <v>0</v>
      </c>
      <c r="O23" s="46"/>
      <c r="P23" s="46"/>
      <c r="Q23" s="71"/>
    </row>
    <row r="24" spans="2:17" ht="14.45" customHeight="1" x14ac:dyDescent="0.25">
      <c r="B24" s="288"/>
      <c r="C24" s="76" t="s">
        <v>144</v>
      </c>
      <c r="D24" s="77"/>
      <c r="E24" s="69"/>
      <c r="F24" s="46">
        <f>Clinker!DG31</f>
        <v>0</v>
      </c>
      <c r="G24" s="46">
        <f>Clinker!DH31</f>
        <v>0</v>
      </c>
      <c r="H24" s="46">
        <f>G24+'28'!H24</f>
        <v>0</v>
      </c>
      <c r="I24" s="46">
        <f>G24+'28'!I24</f>
        <v>0</v>
      </c>
      <c r="J24" s="46">
        <f>Clinker!DI31</f>
        <v>0</v>
      </c>
      <c r="K24" s="46">
        <f>J24+'28'!K24</f>
        <v>0</v>
      </c>
      <c r="L24" s="46">
        <f>J24+'28'!L24</f>
        <v>0</v>
      </c>
      <c r="M24" s="45">
        <f>F24+G24-J24-J46</f>
        <v>0</v>
      </c>
      <c r="N24" s="46">
        <v>0</v>
      </c>
      <c r="O24" s="46"/>
      <c r="P24" s="46"/>
      <c r="Q24" s="71"/>
    </row>
    <row r="25" spans="2:17" ht="14.45" customHeight="1" x14ac:dyDescent="0.25">
      <c r="B25" s="288"/>
      <c r="C25" s="76" t="s">
        <v>145</v>
      </c>
      <c r="D25" s="77"/>
      <c r="E25" s="69"/>
      <c r="F25" s="46">
        <f>Clinker!DL31</f>
        <v>432</v>
      </c>
      <c r="G25" s="46">
        <f>Clinker!DM31</f>
        <v>32</v>
      </c>
      <c r="H25" s="46">
        <f>G25+'28'!H25</f>
        <v>252</v>
      </c>
      <c r="I25" s="46">
        <f>G25+'28'!I25</f>
        <v>464</v>
      </c>
      <c r="J25" s="46">
        <f>Clinker!DN30</f>
        <v>0</v>
      </c>
      <c r="K25" s="46">
        <f>J25+'27'!K25</f>
        <v>0</v>
      </c>
      <c r="L25" s="46">
        <f>J25+'27'!L25</f>
        <v>0</v>
      </c>
      <c r="M25" s="45">
        <f>F25+G25-J25-J47</f>
        <v>464</v>
      </c>
      <c r="N25" s="46">
        <v>0</v>
      </c>
      <c r="O25" s="46">
        <v>5000</v>
      </c>
      <c r="P25" s="46">
        <v>9000</v>
      </c>
      <c r="Q25" s="71"/>
    </row>
    <row r="26" spans="2:17" x14ac:dyDescent="0.25">
      <c r="B26" s="288"/>
      <c r="C26" s="76" t="s">
        <v>26</v>
      </c>
      <c r="D26" s="77"/>
      <c r="E26" s="69"/>
      <c r="F26" s="46">
        <f>Clinker!DV31</f>
        <v>0</v>
      </c>
      <c r="G26" s="46">
        <f>Clinker!DW16</f>
        <v>0</v>
      </c>
      <c r="H26" s="46">
        <f>G26+'28'!H26</f>
        <v>0</v>
      </c>
      <c r="I26" s="46">
        <f>G26+'28'!I26</f>
        <v>0</v>
      </c>
      <c r="J26" s="46">
        <f>Clinker!DX16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1"/>
    </row>
    <row r="27" spans="2:17" s="67" customFormat="1" ht="13.9" customHeight="1" x14ac:dyDescent="0.25">
      <c r="B27" s="288"/>
      <c r="C27" s="281" t="s">
        <v>146</v>
      </c>
      <c r="D27" s="282"/>
      <c r="E27" s="283"/>
      <c r="F27" s="46">
        <f>SUM(F10:F26)</f>
        <v>2916.0469999999905</v>
      </c>
      <c r="G27" s="46">
        <f t="shared" ref="G27:Q27" si="1">SUM(G10:G26)</f>
        <v>559.94000000000005</v>
      </c>
      <c r="H27" s="46">
        <f t="shared" si="1"/>
        <v>5537.4600000000009</v>
      </c>
      <c r="I27" s="46">
        <f t="shared" si="1"/>
        <v>6342.7000000000007</v>
      </c>
      <c r="J27" s="46">
        <f t="shared" si="1"/>
        <v>246</v>
      </c>
      <c r="K27" s="46">
        <f t="shared" si="1"/>
        <v>6925.55</v>
      </c>
      <c r="L27" s="46">
        <f t="shared" si="1"/>
        <v>21642.860000000004</v>
      </c>
      <c r="M27" s="46">
        <f t="shared" si="1"/>
        <v>3229.9869999999905</v>
      </c>
      <c r="N27" s="46">
        <f t="shared" si="1"/>
        <v>0</v>
      </c>
      <c r="O27" s="46">
        <f t="shared" si="1"/>
        <v>10000</v>
      </c>
      <c r="P27" s="46">
        <f t="shared" si="1"/>
        <v>18000</v>
      </c>
      <c r="Q27" s="46">
        <f t="shared" si="1"/>
        <v>3.9999999998087787E-2</v>
      </c>
    </row>
    <row r="28" spans="2:17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213"/>
    </row>
    <row r="29" spans="2:17" x14ac:dyDescent="0.25">
      <c r="B29" s="288"/>
      <c r="C29" s="281" t="s">
        <v>148</v>
      </c>
      <c r="D29" s="282"/>
      <c r="E29" s="283"/>
      <c r="F29" s="46">
        <f>Clinker!Q31</f>
        <v>0</v>
      </c>
      <c r="G29" s="46">
        <f>Clinker!R31</f>
        <v>0</v>
      </c>
      <c r="H29" s="46">
        <f>G29+'28'!H29</f>
        <v>0</v>
      </c>
      <c r="I29" s="46">
        <f>G29+'28'!I29</f>
        <v>0</v>
      </c>
      <c r="J29" s="46">
        <f>Clinker!S31</f>
        <v>0</v>
      </c>
      <c r="K29" s="46">
        <f>J29+'28'!K29</f>
        <v>0</v>
      </c>
      <c r="L29" s="46">
        <f>J29+'28'!L29</f>
        <v>0</v>
      </c>
      <c r="M29" s="45">
        <f>F29+G29-J29</f>
        <v>0</v>
      </c>
      <c r="N29" s="46">
        <v>0</v>
      </c>
      <c r="O29" s="46"/>
      <c r="P29" s="46"/>
      <c r="Q29" s="71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G30+'28'!H30</f>
        <v>0</v>
      </c>
      <c r="I30" s="46">
        <f>G30+'28'!I30</f>
        <v>0</v>
      </c>
      <c r="J30" s="46">
        <v>0</v>
      </c>
      <c r="K30" s="46">
        <f>J30+'28'!K30</f>
        <v>0</v>
      </c>
      <c r="L30" s="46">
        <f>J30+'28'!L30</f>
        <v>0</v>
      </c>
      <c r="M30" s="45">
        <f>F30+G30-J30</f>
        <v>0</v>
      </c>
      <c r="N30" s="46">
        <v>0</v>
      </c>
      <c r="O30" s="46"/>
      <c r="P30" s="46"/>
      <c r="Q30" s="71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G31+'28'!H31</f>
        <v>0</v>
      </c>
      <c r="I31" s="46">
        <f>G31+'28'!I31</f>
        <v>0</v>
      </c>
      <c r="J31" s="46">
        <v>0</v>
      </c>
      <c r="K31" s="46">
        <f>J31+'28'!K31</f>
        <v>0</v>
      </c>
      <c r="L31" s="46">
        <f>J31+'28'!L31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f>Clinker!DQ31</f>
        <v>0</v>
      </c>
      <c r="G32" s="46">
        <f>Clinker!DR31</f>
        <v>0</v>
      </c>
      <c r="H32" s="46">
        <f>G32+'28'!H32</f>
        <v>0</v>
      </c>
      <c r="I32" s="46">
        <f>G32+'28'!I32</f>
        <v>0</v>
      </c>
      <c r="J32" s="46">
        <f>Clinker!DT31</f>
        <v>0</v>
      </c>
      <c r="K32" s="46">
        <f>J32+'28'!K32</f>
        <v>0</v>
      </c>
      <c r="L32" s="46">
        <f>J32+'28'!L32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G33+'28'!H33</f>
        <v>0</v>
      </c>
      <c r="I33" s="46">
        <f>G33+'28'!I33</f>
        <v>0</v>
      </c>
      <c r="J33" s="46">
        <v>0</v>
      </c>
      <c r="K33" s="46">
        <f>J33+'28'!K33</f>
        <v>0</v>
      </c>
      <c r="L33" s="46">
        <f>J33+'28'!L33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88"/>
      <c r="C34" s="281" t="s">
        <v>139</v>
      </c>
      <c r="D34" s="282"/>
      <c r="E34" s="283"/>
      <c r="F34" s="46"/>
      <c r="G34" s="46"/>
      <c r="H34" s="46">
        <f>G34+'28'!H34</f>
        <v>0</v>
      </c>
      <c r="I34" s="46"/>
      <c r="J34" s="46">
        <f>Clinker!Y31</f>
        <v>0</v>
      </c>
      <c r="K34" s="46">
        <f>J34+'28'!K34</f>
        <v>0</v>
      </c>
      <c r="L34" s="46">
        <f>J34+'28'!L34</f>
        <v>1327</v>
      </c>
      <c r="M34" s="45"/>
      <c r="N34" s="46"/>
      <c r="O34" s="46"/>
      <c r="P34" s="46"/>
      <c r="Q34" s="56"/>
    </row>
    <row r="35" spans="2:17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Clinker!M31</f>
        <v>0</v>
      </c>
      <c r="K35" s="46">
        <f>J35+'28'!K35</f>
        <v>0</v>
      </c>
      <c r="L35" s="46">
        <f>J35+'28'!L35</f>
        <v>0</v>
      </c>
      <c r="M35" s="45"/>
      <c r="N35" s="46"/>
      <c r="O35" s="46"/>
      <c r="P35" s="46"/>
      <c r="Q35" s="56"/>
    </row>
    <row r="36" spans="2:17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Clinker!AR31</f>
        <v>0</v>
      </c>
      <c r="K36" s="46">
        <f>J36+'28'!K36</f>
        <v>0</v>
      </c>
      <c r="L36" s="46">
        <f>J36+'28'!L36</f>
        <v>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25</v>
      </c>
      <c r="D37" s="282"/>
      <c r="E37" s="283"/>
      <c r="F37" s="46"/>
      <c r="G37" s="46"/>
      <c r="H37" s="46"/>
      <c r="I37" s="46"/>
      <c r="J37" s="46">
        <f>Clinker!AW31</f>
        <v>0</v>
      </c>
      <c r="K37" s="46">
        <f>J37+'28'!K37</f>
        <v>0</v>
      </c>
      <c r="L37" s="46">
        <f>J37+'28'!L37</f>
        <v>20</v>
      </c>
      <c r="M37" s="45"/>
      <c r="N37" s="46"/>
      <c r="O37" s="46"/>
      <c r="P37" s="46"/>
      <c r="Q37" s="56"/>
    </row>
    <row r="38" spans="2:17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Clinker!BB31</f>
        <v>0</v>
      </c>
      <c r="K38" s="46">
        <f>J38+'28'!K38</f>
        <v>10</v>
      </c>
      <c r="L38" s="46">
        <f>J38+'28'!L38</f>
        <v>10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Clinker!BG31</f>
        <v>0</v>
      </c>
      <c r="K39" s="46">
        <f>J39+'28'!K39</f>
        <v>0</v>
      </c>
      <c r="L39" s="46">
        <f>J39+'28'!L39</f>
        <v>0</v>
      </c>
      <c r="M39" s="45"/>
      <c r="N39" s="46"/>
      <c r="O39" s="46"/>
      <c r="P39" s="46"/>
      <c r="Q39" s="56"/>
    </row>
    <row r="40" spans="2:17" x14ac:dyDescent="0.25">
      <c r="B40" s="288"/>
      <c r="C40" s="281" t="s">
        <v>13</v>
      </c>
      <c r="D40" s="282"/>
      <c r="E40" s="283"/>
      <c r="F40" s="46"/>
      <c r="G40" s="46"/>
      <c r="H40" s="46"/>
      <c r="I40" s="46"/>
      <c r="J40" s="46">
        <f>Clinker!BL31</f>
        <v>0</v>
      </c>
      <c r="K40" s="46">
        <f>J40+'28'!K40</f>
        <v>0</v>
      </c>
      <c r="L40" s="46">
        <f>J40+'28'!L40</f>
        <v>0</v>
      </c>
      <c r="M40" s="45"/>
      <c r="N40" s="46"/>
      <c r="O40" s="46"/>
      <c r="P40" s="46"/>
      <c r="Q40" s="56"/>
    </row>
    <row r="41" spans="2:17" ht="30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Clinker!BQ31</f>
        <v>0</v>
      </c>
      <c r="K41" s="46">
        <f>J41+'28'!K41</f>
        <v>0</v>
      </c>
      <c r="L41" s="46">
        <f>J41+'28'!L41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Clinker!BV31</f>
        <v>0</v>
      </c>
      <c r="K42" s="46">
        <f>J42+'28'!K42</f>
        <v>0</v>
      </c>
      <c r="L42" s="46">
        <f>J42+'28'!L42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Clinker!CU31</f>
        <v>0</v>
      </c>
      <c r="K43" s="46">
        <f>J43+'28'!K43</f>
        <v>0</v>
      </c>
      <c r="L43" s="46">
        <f>J43+'28'!L43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Clinker!CZ31</f>
        <v>0</v>
      </c>
      <c r="K44" s="46">
        <f>J44+'28'!K44</f>
        <v>0</v>
      </c>
      <c r="L44" s="46">
        <f>J44+'28'!L44</f>
        <v>0</v>
      </c>
      <c r="M44" s="45"/>
      <c r="N44" s="46"/>
      <c r="O44" s="46"/>
      <c r="P44" s="46"/>
      <c r="Q44" s="56"/>
    </row>
    <row r="45" spans="2:17" ht="15.6" customHeight="1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Clinker!DE31</f>
        <v>0</v>
      </c>
      <c r="K45" s="46">
        <f>J45+'28'!K45</f>
        <v>0</v>
      </c>
      <c r="L45" s="46">
        <f>J45+'28'!L45</f>
        <v>0</v>
      </c>
      <c r="M45" s="45"/>
      <c r="N45" s="46"/>
      <c r="O45" s="46"/>
      <c r="P45" s="46"/>
      <c r="Q45" s="56"/>
    </row>
    <row r="46" spans="2:17" ht="14.45" customHeight="1" x14ac:dyDescent="0.25">
      <c r="B46" s="288"/>
      <c r="C46" s="76" t="s">
        <v>104</v>
      </c>
      <c r="D46" s="77"/>
      <c r="E46" s="69"/>
      <c r="F46" s="46"/>
      <c r="G46" s="46"/>
      <c r="H46" s="46"/>
      <c r="I46" s="46"/>
      <c r="J46" s="46">
        <f>Clinker!DJ31</f>
        <v>0</v>
      </c>
      <c r="K46" s="46">
        <f>J46+'28'!K46</f>
        <v>0</v>
      </c>
      <c r="L46" s="46">
        <f>J46+'28'!L46</f>
        <v>0</v>
      </c>
      <c r="M46" s="45"/>
      <c r="N46" s="46"/>
      <c r="O46" s="46"/>
      <c r="P46" s="46"/>
      <c r="Q46" s="56"/>
    </row>
    <row r="47" spans="2:17" ht="14.45" customHeight="1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Clinker!DO31</f>
        <v>0</v>
      </c>
      <c r="K47" s="46">
        <f>J47+'28'!K47</f>
        <v>0</v>
      </c>
      <c r="L47" s="46">
        <f>J47+'28'!L47</f>
        <v>0</v>
      </c>
      <c r="M47" s="45"/>
      <c r="N47" s="46"/>
      <c r="O47" s="46"/>
      <c r="P47" s="46"/>
      <c r="Q47" s="56"/>
    </row>
    <row r="48" spans="2:17" ht="14.45" customHeight="1" x14ac:dyDescent="0.25">
      <c r="B48" s="288"/>
      <c r="C48" s="76" t="s">
        <v>19</v>
      </c>
      <c r="D48" s="77"/>
      <c r="E48" s="69"/>
      <c r="F48" s="46">
        <f>Clinker!CM31</f>
        <v>5.0000000000181899E-2</v>
      </c>
      <c r="G48" s="46">
        <f>Clinker!CN31</f>
        <v>0</v>
      </c>
      <c r="H48" s="46">
        <f>G48+'28'!H48</f>
        <v>0</v>
      </c>
      <c r="I48" s="46">
        <f>G48+'28'!I48</f>
        <v>0</v>
      </c>
      <c r="J48" s="46">
        <f>Clinker!CP31</f>
        <v>0</v>
      </c>
      <c r="K48" s="46">
        <f>J48+'28'!K48</f>
        <v>0</v>
      </c>
      <c r="L48" s="46">
        <f>J48+'28'!L48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8" x14ac:dyDescent="0.25">
      <c r="B49" s="288"/>
      <c r="C49" s="76" t="s">
        <v>102</v>
      </c>
      <c r="D49" s="77"/>
      <c r="E49" s="69"/>
      <c r="F49" s="46">
        <f>Clinker!CC31</f>
        <v>0</v>
      </c>
      <c r="G49" s="46">
        <f>Clinker!CD31</f>
        <v>0</v>
      </c>
      <c r="H49" s="46">
        <f>G49+'28'!H49</f>
        <v>0</v>
      </c>
      <c r="I49" s="46">
        <f>G49+'28'!I49</f>
        <v>0</v>
      </c>
      <c r="J49" s="46">
        <f>Clinker!CF31</f>
        <v>0</v>
      </c>
      <c r="K49" s="46">
        <f>J49+'28'!K49</f>
        <v>0</v>
      </c>
      <c r="L49" s="46">
        <f>J49+'28'!L49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8" x14ac:dyDescent="0.25">
      <c r="B50" s="288"/>
      <c r="C50" s="281" t="s">
        <v>154</v>
      </c>
      <c r="D50" s="282"/>
      <c r="E50" s="69"/>
      <c r="F50" s="46">
        <f>Clinker!CH31</f>
        <v>0</v>
      </c>
      <c r="G50" s="46">
        <f>Clinker!CI31</f>
        <v>0</v>
      </c>
      <c r="H50" s="46">
        <f>G50+'28'!H50</f>
        <v>0</v>
      </c>
      <c r="I50" s="46">
        <f>G50+'28'!I50</f>
        <v>0</v>
      </c>
      <c r="J50" s="46">
        <f>Clinker!CK3</f>
        <v>0</v>
      </c>
      <c r="K50" s="46">
        <f>J50+'28'!K50</f>
        <v>0</v>
      </c>
      <c r="L50" s="46">
        <f>J50+'28'!L50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8" ht="14.45" customHeight="1" x14ac:dyDescent="0.25">
      <c r="B51" s="288"/>
      <c r="C51" s="281" t="s">
        <v>155</v>
      </c>
      <c r="D51" s="282"/>
      <c r="E51" s="283"/>
      <c r="F51" s="46">
        <f>Clinker!AF31</f>
        <v>3716.3199999999933</v>
      </c>
      <c r="G51" s="46">
        <f>Clinker!AG31</f>
        <v>89.65</v>
      </c>
      <c r="H51" s="46">
        <f>G51+'28'!H51</f>
        <v>3763.3000000000006</v>
      </c>
      <c r="I51" s="46">
        <f>G51+'28'!I51</f>
        <v>5904.2499999999991</v>
      </c>
      <c r="J51" s="46">
        <f>Clinker!AI31</f>
        <v>150</v>
      </c>
      <c r="K51" s="46">
        <f>J51+'28'!K51</f>
        <v>4156</v>
      </c>
      <c r="L51" s="46">
        <f>J51+'28'!L51</f>
        <v>10981</v>
      </c>
      <c r="M51" s="45">
        <f>F51+G51-J51-J20</f>
        <v>3655.9699999999934</v>
      </c>
      <c r="N51" s="46">
        <v>0</v>
      </c>
      <c r="O51" s="46">
        <v>1500</v>
      </c>
      <c r="P51" s="46">
        <v>3000</v>
      </c>
      <c r="Q51" s="56">
        <f>SUM(M51+N51)-O51</f>
        <v>2155.9699999999934</v>
      </c>
    </row>
    <row r="52" spans="2:18" ht="14.45" customHeight="1" x14ac:dyDescent="0.25">
      <c r="B52" s="288"/>
      <c r="C52" s="281" t="s">
        <v>156</v>
      </c>
      <c r="D52" s="282"/>
      <c r="E52" s="283"/>
      <c r="F52" s="46">
        <f>Clinker!AB31</f>
        <v>0</v>
      </c>
      <c r="G52" s="46">
        <f>Clinker!AC31</f>
        <v>0</v>
      </c>
      <c r="H52" s="46">
        <f>G52+'28'!H52</f>
        <v>0</v>
      </c>
      <c r="I52" s="46">
        <f>G52+'28'!I52</f>
        <v>0</v>
      </c>
      <c r="J52" s="46">
        <f>Clinker!AD31</f>
        <v>0</v>
      </c>
      <c r="K52" s="46">
        <f>J52+'28'!K52</f>
        <v>0</v>
      </c>
      <c r="L52" s="46">
        <f>J52+'28'!L52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8" ht="14.45" customHeight="1" x14ac:dyDescent="0.25">
      <c r="B53" s="288"/>
      <c r="C53" s="281" t="s">
        <v>146</v>
      </c>
      <c r="D53" s="282"/>
      <c r="E53" s="283"/>
      <c r="F53" s="46">
        <f t="shared" ref="F53:M53" si="2">SUM(F29:F52)</f>
        <v>3716.3699999999935</v>
      </c>
      <c r="G53" s="46">
        <f>SUM(G29:G52)</f>
        <v>89.65</v>
      </c>
      <c r="H53" s="46">
        <f t="shared" si="2"/>
        <v>3763.3000000000006</v>
      </c>
      <c r="I53" s="46">
        <f t="shared" si="2"/>
        <v>5904.2499999999991</v>
      </c>
      <c r="J53" s="46">
        <f t="shared" si="2"/>
        <v>150</v>
      </c>
      <c r="K53" s="46">
        <f t="shared" si="2"/>
        <v>4166</v>
      </c>
      <c r="L53" s="46">
        <f t="shared" si="2"/>
        <v>12338</v>
      </c>
      <c r="M53" s="46">
        <f t="shared" si="2"/>
        <v>3656.0199999999936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2155.9699999999934</v>
      </c>
    </row>
    <row r="54" spans="2:18" ht="14.45" customHeight="1" x14ac:dyDescent="0.25">
      <c r="B54" s="289"/>
      <c r="C54" s="284" t="s">
        <v>157</v>
      </c>
      <c r="D54" s="285"/>
      <c r="E54" s="286"/>
      <c r="F54" s="59">
        <f t="shared" ref="F54:L54" si="3">SUM(F27+F53)</f>
        <v>6632.416999999984</v>
      </c>
      <c r="G54" s="59">
        <f t="shared" si="3"/>
        <v>649.59</v>
      </c>
      <c r="H54" s="59">
        <f t="shared" si="3"/>
        <v>9300.760000000002</v>
      </c>
      <c r="I54" s="59">
        <f t="shared" si="3"/>
        <v>12246.95</v>
      </c>
      <c r="J54" s="59">
        <f t="shared" si="3"/>
        <v>396</v>
      </c>
      <c r="K54" s="59">
        <f t="shared" si="3"/>
        <v>11091.55</v>
      </c>
      <c r="L54" s="59">
        <f t="shared" si="3"/>
        <v>33980.86</v>
      </c>
      <c r="M54" s="59">
        <f>SUM(M27+M53)</f>
        <v>6886.0069999999841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2156.0099999999916</v>
      </c>
      <c r="R54" s="90"/>
    </row>
    <row r="55" spans="2:18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8" x14ac:dyDescent="0.25">
      <c r="B56" s="288"/>
      <c r="C56" s="281" t="s">
        <v>159</v>
      </c>
      <c r="D56" s="282"/>
      <c r="E56" s="283"/>
      <c r="F56" s="46">
        <f>'Packing bag '!C31</f>
        <v>2609225</v>
      </c>
      <c r="G56" s="46">
        <f>'Packing bag '!D31</f>
        <v>240000</v>
      </c>
      <c r="H56" s="46">
        <f>G56+'28'!H56</f>
        <v>1201000</v>
      </c>
      <c r="I56" s="46">
        <f>G56+'28'!I56</f>
        <v>4353500</v>
      </c>
      <c r="J56" s="46">
        <f>'Packing bag '!E31</f>
        <v>44198</v>
      </c>
      <c r="K56" s="46">
        <f>J56+'28'!K56</f>
        <v>1023208</v>
      </c>
      <c r="L56" s="46">
        <f>J56+'28'!L56</f>
        <v>2600042</v>
      </c>
      <c r="M56" s="46">
        <f>F56+G56-J56</f>
        <v>2805027</v>
      </c>
      <c r="N56" s="46"/>
      <c r="O56" s="46">
        <v>400000</v>
      </c>
      <c r="P56" s="46">
        <v>800000</v>
      </c>
      <c r="Q56" s="56">
        <f>SUM(M56+N56)-O56</f>
        <v>2405027</v>
      </c>
    </row>
    <row r="57" spans="2:18" x14ac:dyDescent="0.25">
      <c r="B57" s="288"/>
      <c r="C57" s="281" t="s">
        <v>160</v>
      </c>
      <c r="D57" s="282"/>
      <c r="E57" s="283"/>
      <c r="F57" s="46">
        <f>'Packing bag '!G31</f>
        <v>590978</v>
      </c>
      <c r="G57" s="46">
        <f>'Packing bag '!H31</f>
        <v>0</v>
      </c>
      <c r="H57" s="46">
        <f>G57+'28'!H57</f>
        <v>40500</v>
      </c>
      <c r="I57" s="46">
        <f>G57+'28'!I57</f>
        <v>332000</v>
      </c>
      <c r="J57" s="46">
        <f>'Packing bag '!I31</f>
        <v>3051</v>
      </c>
      <c r="K57" s="46">
        <f>J57+'28'!K57</f>
        <v>54734</v>
      </c>
      <c r="L57" s="46">
        <f>J57+'28'!L57</f>
        <v>144355</v>
      </c>
      <c r="M57" s="46">
        <f>F57+G57-J57</f>
        <v>587927</v>
      </c>
      <c r="N57" s="46"/>
      <c r="O57" s="46">
        <v>100000</v>
      </c>
      <c r="P57" s="46">
        <v>250000</v>
      </c>
      <c r="Q57" s="56">
        <f>SUM(M57+N57)-O57</f>
        <v>487927</v>
      </c>
    </row>
    <row r="58" spans="2:18" x14ac:dyDescent="0.25">
      <c r="B58" s="288"/>
      <c r="C58" s="281" t="s">
        <v>161</v>
      </c>
      <c r="D58" s="282"/>
      <c r="E58" s="283"/>
      <c r="F58" s="46">
        <f>'Packing bag '!K31</f>
        <v>608710</v>
      </c>
      <c r="G58" s="46">
        <f>'Packing bag '!L31</f>
        <v>0</v>
      </c>
      <c r="H58" s="46">
        <f>G58+'28'!H58</f>
        <v>150000</v>
      </c>
      <c r="I58" s="46">
        <f>G58+'28'!I58</f>
        <v>445000</v>
      </c>
      <c r="J58" s="46">
        <f>'Packing bag '!M31</f>
        <v>6292</v>
      </c>
      <c r="K58" s="46">
        <f>J58+'28'!K58</f>
        <v>76345</v>
      </c>
      <c r="L58" s="46">
        <f>J58+'28'!L58</f>
        <v>248637</v>
      </c>
      <c r="M58" s="46">
        <f>F58+G58-J58</f>
        <v>602418</v>
      </c>
      <c r="N58" s="46"/>
      <c r="O58" s="46">
        <v>50000</v>
      </c>
      <c r="P58" s="46">
        <v>150000</v>
      </c>
      <c r="Q58" s="56">
        <f>SUM(M58+N58)-O58</f>
        <v>552418</v>
      </c>
    </row>
    <row r="59" spans="2:18" x14ac:dyDescent="0.25">
      <c r="B59" s="288"/>
      <c r="C59" s="281" t="s">
        <v>162</v>
      </c>
      <c r="D59" s="282"/>
      <c r="E59" s="283"/>
      <c r="F59" s="46">
        <f>'Packing bag '!O31</f>
        <v>148479</v>
      </c>
      <c r="G59" s="46">
        <f>'Packing bag '!P4</f>
        <v>0</v>
      </c>
      <c r="H59" s="46">
        <f>G59+'01'!J59</f>
        <v>612</v>
      </c>
      <c r="I59" s="46">
        <f>G59+'01'!I59</f>
        <v>0</v>
      </c>
      <c r="J59" s="46">
        <f>'Packing bag '!Q31</f>
        <v>0</v>
      </c>
      <c r="K59" s="46">
        <f>J59+'01'!K59</f>
        <v>612</v>
      </c>
      <c r="L59" s="46">
        <f>J59+'01'!L59</f>
        <v>15381</v>
      </c>
      <c r="M59" s="46">
        <f>F59+G59-J59</f>
        <v>148479</v>
      </c>
      <c r="N59" s="46"/>
      <c r="O59" s="46"/>
      <c r="P59" s="46"/>
      <c r="Q59" s="56"/>
    </row>
    <row r="60" spans="2:18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G60+'28'!H60</f>
        <v>0</v>
      </c>
      <c r="I60" s="46">
        <f>G60+'28'!I60</f>
        <v>0</v>
      </c>
      <c r="J60" s="46">
        <v>0</v>
      </c>
      <c r="K60" s="46">
        <f>J60+'28'!K60</f>
        <v>0</v>
      </c>
      <c r="L60" s="46">
        <f>J60+'28'!L60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8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G61+'28'!H61</f>
        <v>0</v>
      </c>
      <c r="I61" s="46">
        <f>G61+'28'!I61</f>
        <v>0</v>
      </c>
      <c r="J61" s="46">
        <v>0</v>
      </c>
      <c r="K61" s="46">
        <f>J61+'28'!K61</f>
        <v>0</v>
      </c>
      <c r="L61" s="46">
        <f>J61+'28'!L61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8" x14ac:dyDescent="0.25">
      <c r="B62" s="289"/>
      <c r="C62" s="284" t="s">
        <v>165</v>
      </c>
      <c r="D62" s="285"/>
      <c r="E62" s="286"/>
      <c r="F62" s="59">
        <f>SUM(F56:F61)</f>
        <v>3957392</v>
      </c>
      <c r="G62" s="59">
        <f>SUM(G56:G61)</f>
        <v>240000</v>
      </c>
      <c r="H62" s="59">
        <f t="shared" ref="H62:Q62" si="4">SUM(H56:H61)</f>
        <v>1392112</v>
      </c>
      <c r="I62" s="59">
        <f t="shared" si="4"/>
        <v>5130500</v>
      </c>
      <c r="J62" s="59">
        <f t="shared" si="4"/>
        <v>53541</v>
      </c>
      <c r="K62" s="59">
        <f t="shared" si="4"/>
        <v>1154899</v>
      </c>
      <c r="L62" s="59">
        <f t="shared" si="4"/>
        <v>3008415</v>
      </c>
      <c r="M62" s="59">
        <f t="shared" si="4"/>
        <v>4143851</v>
      </c>
      <c r="N62" s="59">
        <v>0</v>
      </c>
      <c r="O62" s="59">
        <f t="shared" si="4"/>
        <v>551500</v>
      </c>
      <c r="P62" s="59">
        <f t="shared" si="4"/>
        <v>1207000</v>
      </c>
      <c r="Q62" s="59">
        <f t="shared" si="4"/>
        <v>3443872</v>
      </c>
    </row>
    <row r="63" spans="2:18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8" x14ac:dyDescent="0.25">
      <c r="B64" s="288"/>
      <c r="C64" s="281" t="s">
        <v>48</v>
      </c>
      <c r="D64" s="282"/>
      <c r="E64" s="283"/>
      <c r="F64" s="46">
        <f>Cement!G31</f>
        <v>0</v>
      </c>
      <c r="G64" s="46">
        <f>Cement!H31</f>
        <v>0</v>
      </c>
      <c r="H64" s="46">
        <f>G64+'28'!H64</f>
        <v>0</v>
      </c>
      <c r="I64" s="46">
        <f>G64+'28'!I64</f>
        <v>0</v>
      </c>
      <c r="J64" s="46">
        <v>0</v>
      </c>
      <c r="K64" s="46">
        <f>J64+'28'!K64</f>
        <v>0</v>
      </c>
      <c r="L64" s="46">
        <f>J64+'28'!L64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Cement!K31</f>
        <v>0</v>
      </c>
      <c r="G65" s="46">
        <f>Cement!L31</f>
        <v>0</v>
      </c>
      <c r="H65" s="46">
        <f>G65+'28'!H65</f>
        <v>0</v>
      </c>
      <c r="I65" s="46">
        <f>G65+'28'!I65</f>
        <v>0</v>
      </c>
      <c r="J65" s="46">
        <v>0</v>
      </c>
      <c r="K65" s="46">
        <f>J65+'28'!K65</f>
        <v>0</v>
      </c>
      <c r="L65" s="46">
        <f>J65+'28'!L65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Diesel!B31</f>
        <v>42064</v>
      </c>
      <c r="G68" s="46">
        <f>Diesel!C31</f>
        <v>0</v>
      </c>
      <c r="H68" s="46">
        <f>G68+'28'!H68</f>
        <v>65000</v>
      </c>
      <c r="I68" s="46">
        <f>G68+'28'!I68</f>
        <v>155000</v>
      </c>
      <c r="J68" s="46">
        <v>0</v>
      </c>
      <c r="K68" s="46">
        <f>J68+'28'!K68</f>
        <v>0</v>
      </c>
      <c r="L68" s="46">
        <f>J68+'28'!L68</f>
        <v>0</v>
      </c>
      <c r="M68" s="46">
        <f>F68+G68-J68-J76</f>
        <v>38190</v>
      </c>
      <c r="N68" s="46"/>
      <c r="O68" s="46">
        <v>30000</v>
      </c>
      <c r="P68" s="46">
        <v>60000</v>
      </c>
      <c r="Q68" s="56">
        <f>SUM(M68+N68)-O68</f>
        <v>8190</v>
      </c>
    </row>
    <row r="69" spans="2:17" x14ac:dyDescent="0.25">
      <c r="B69" s="297"/>
      <c r="C69" s="281" t="s">
        <v>171</v>
      </c>
      <c r="D69" s="282"/>
      <c r="E69" s="283"/>
      <c r="F69" s="46">
        <f>Diesel!Y31</f>
        <v>0</v>
      </c>
      <c r="G69" s="46">
        <f>Diesel!Z31</f>
        <v>0</v>
      </c>
      <c r="H69" s="46">
        <f>G69+'28'!H69</f>
        <v>0</v>
      </c>
      <c r="I69" s="46">
        <f>G69+'28'!I69</f>
        <v>0</v>
      </c>
      <c r="J69" s="46">
        <f>Diesel!AA31</f>
        <v>0</v>
      </c>
      <c r="K69" s="46">
        <f>J69+'28'!K69</f>
        <v>5000</v>
      </c>
      <c r="L69" s="46">
        <f>J69+'28'!L69</f>
        <v>20000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G70+'28'!H70</f>
        <v>0</v>
      </c>
      <c r="I70" s="46">
        <f>G70+'28'!I70</f>
        <v>0</v>
      </c>
      <c r="J70" s="46">
        <f>Diesel!P31</f>
        <v>0</v>
      </c>
      <c r="K70" s="46">
        <f>J70+'28'!K70</f>
        <v>105</v>
      </c>
      <c r="L70" s="46">
        <f>J70+'28'!L70</f>
        <v>708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G71+'28'!H71</f>
        <v>0</v>
      </c>
      <c r="I71" s="46">
        <f>G71+'28'!I71</f>
        <v>0</v>
      </c>
      <c r="J71" s="46">
        <f>Diesel!Q31</f>
        <v>3100</v>
      </c>
      <c r="K71" s="46">
        <f>J71+'28'!K71</f>
        <v>27702</v>
      </c>
      <c r="L71" s="46">
        <f>J71+'28'!L71</f>
        <v>82337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G72+'28'!H72</f>
        <v>0</v>
      </c>
      <c r="I72" s="46">
        <f>G72+'28'!I72</f>
        <v>0</v>
      </c>
      <c r="J72" s="46">
        <f>Diesel!R31</f>
        <v>774</v>
      </c>
      <c r="K72" s="46">
        <f>J72+'28'!K72</f>
        <v>20148</v>
      </c>
      <c r="L72" s="46">
        <f>J72+'28'!L72</f>
        <v>62856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G73+'28'!H73</f>
        <v>0</v>
      </c>
      <c r="I73" s="46">
        <f>G73+'28'!I73</f>
        <v>0</v>
      </c>
      <c r="J73" s="46">
        <f>Diesel!S31</f>
        <v>0</v>
      </c>
      <c r="K73" s="46">
        <f>J73+'28'!K73</f>
        <v>0</v>
      </c>
      <c r="L73" s="46">
        <f>J73+'28'!L73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G74+'28'!H74</f>
        <v>0</v>
      </c>
      <c r="I74" s="46">
        <f>G74+'28'!I74</f>
        <v>0</v>
      </c>
      <c r="J74" s="46">
        <f>Diesel!T31</f>
        <v>0</v>
      </c>
      <c r="K74" s="46">
        <f>J74+'28'!K74</f>
        <v>0</v>
      </c>
      <c r="L74" s="46">
        <f>J74+'28'!L74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G75+'28'!H75</f>
        <v>0</v>
      </c>
      <c r="I75" s="46">
        <f>G75+'28'!I75</f>
        <v>0</v>
      </c>
      <c r="J75" s="61">
        <f>Diesel!U31</f>
        <v>0</v>
      </c>
      <c r="K75" s="46">
        <f>J75+'28'!K75</f>
        <v>0</v>
      </c>
      <c r="L75" s="46">
        <f>J75+'28'!L75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42064</v>
      </c>
      <c r="G76" s="62">
        <f t="shared" ref="G76:M76" si="6">SUM(G68:G75)</f>
        <v>0</v>
      </c>
      <c r="H76" s="62">
        <f t="shared" si="6"/>
        <v>65000</v>
      </c>
      <c r="I76" s="62">
        <f t="shared" si="6"/>
        <v>155000</v>
      </c>
      <c r="J76" s="62">
        <f t="shared" si="6"/>
        <v>3874</v>
      </c>
      <c r="K76" s="62">
        <f t="shared" si="6"/>
        <v>52955</v>
      </c>
      <c r="L76" s="62">
        <f t="shared" si="6"/>
        <v>165901</v>
      </c>
      <c r="M76" s="62">
        <f t="shared" si="6"/>
        <v>38190</v>
      </c>
      <c r="N76" s="63"/>
      <c r="O76" s="64"/>
      <c r="P76" s="62"/>
      <c r="Q76" s="65"/>
    </row>
  </sheetData>
  <mergeCells count="70">
    <mergeCell ref="C59:E59"/>
    <mergeCell ref="B63:B66"/>
    <mergeCell ref="C63:Q63"/>
    <mergeCell ref="C64:E64"/>
    <mergeCell ref="C65:E65"/>
    <mergeCell ref="C66:E66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58:E58"/>
    <mergeCell ref="C60:E60"/>
    <mergeCell ref="B9:B54"/>
    <mergeCell ref="B55:B62"/>
    <mergeCell ref="C51:E51"/>
    <mergeCell ref="C52:E52"/>
    <mergeCell ref="C53:E53"/>
    <mergeCell ref="C54:E54"/>
    <mergeCell ref="C55:Q55"/>
    <mergeCell ref="C36:D36"/>
    <mergeCell ref="C15:D15"/>
    <mergeCell ref="C12:E12"/>
    <mergeCell ref="C37:E37"/>
    <mergeCell ref="C61:E61"/>
    <mergeCell ref="C62:E62"/>
    <mergeCell ref="C34:E34"/>
    <mergeCell ref="C56:E56"/>
    <mergeCell ref="C57:E57"/>
    <mergeCell ref="C35:E35"/>
    <mergeCell ref="C38:D38"/>
    <mergeCell ref="C18:E18"/>
    <mergeCell ref="C20:D20"/>
    <mergeCell ref="C40:E40"/>
    <mergeCell ref="C50:D50"/>
    <mergeCell ref="C47:D47"/>
    <mergeCell ref="C6:E6"/>
    <mergeCell ref="C7:E7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C17:E17"/>
    <mergeCell ref="C13:D13"/>
    <mergeCell ref="C14:D14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</mergeCells>
  <pageMargins left="0.7" right="0.7" top="0.75" bottom="0.75" header="0.3" footer="0.3"/>
  <pageSetup paperSize="9" scale="41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/>
  <dimension ref="B1:S76"/>
  <sheetViews>
    <sheetView zoomScale="92" zoomScaleNormal="92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R12" sqref="R12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8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5" t="s">
        <v>236</v>
      </c>
      <c r="Q3" s="316"/>
    </row>
    <row r="4" spans="2:18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8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8" x14ac:dyDescent="0.25">
      <c r="B6" s="54">
        <v>1</v>
      </c>
      <c r="C6" s="308" t="s">
        <v>135</v>
      </c>
      <c r="D6" s="309"/>
      <c r="E6" s="310"/>
      <c r="F6" s="45">
        <f>Clinker!C32</f>
        <v>1127.8400000000001</v>
      </c>
      <c r="G6" s="45">
        <f>Clinker!D32</f>
        <v>63.48</v>
      </c>
      <c r="H6" s="45">
        <f>G6+'29'!H6</f>
        <v>254.39999999999998</v>
      </c>
      <c r="I6" s="45">
        <f>G6+'29'!I6</f>
        <v>671.68000000000006</v>
      </c>
      <c r="J6" s="45">
        <f>Clinker!E32</f>
        <v>43</v>
      </c>
      <c r="K6" s="45">
        <f>J6+'29'!K6</f>
        <v>1754</v>
      </c>
      <c r="L6" s="45">
        <f>J6+'29'!L6</f>
        <v>4889</v>
      </c>
      <c r="M6" s="45">
        <f>F6+G6-J6</f>
        <v>1148.3200000000002</v>
      </c>
      <c r="N6" s="45">
        <v>0</v>
      </c>
      <c r="O6" s="45">
        <v>3000</v>
      </c>
      <c r="P6" s="45">
        <v>6000</v>
      </c>
      <c r="Q6" s="55">
        <f>SUM(M6+N6)-O6</f>
        <v>-1851.6799999999998</v>
      </c>
    </row>
    <row r="7" spans="2:18" x14ac:dyDescent="0.25">
      <c r="B7" s="50">
        <v>2</v>
      </c>
      <c r="C7" s="305" t="s">
        <v>136</v>
      </c>
      <c r="D7" s="306"/>
      <c r="E7" s="307"/>
      <c r="F7" s="46">
        <f>Cement!C32</f>
        <v>3246.7999537747528</v>
      </c>
      <c r="G7" s="46">
        <f>Cement!D32</f>
        <v>91.7</v>
      </c>
      <c r="H7" s="45">
        <f>G7+'29'!H7</f>
        <v>3089.4599999999996</v>
      </c>
      <c r="I7" s="45">
        <f>G7+'29'!I7</f>
        <v>5216.08</v>
      </c>
      <c r="J7" s="46">
        <f>Cement!I32</f>
        <v>145.24263161357885</v>
      </c>
      <c r="K7" s="45">
        <f>J7+'29'!K7</f>
        <v>4104.5085359950026</v>
      </c>
      <c r="L7" s="45">
        <f>J7+'29'!L7</f>
        <v>9330.7385263225024</v>
      </c>
      <c r="M7" s="45">
        <f>F7+G7-J7</f>
        <v>3193.2573221611738</v>
      </c>
      <c r="N7" s="46">
        <v>0</v>
      </c>
      <c r="O7" s="46">
        <v>3000</v>
      </c>
      <c r="P7" s="46">
        <v>6000</v>
      </c>
      <c r="Q7" s="56">
        <f>SUM(M7+N7)-O7</f>
        <v>193.25732216117376</v>
      </c>
    </row>
    <row r="8" spans="2:18" x14ac:dyDescent="0.25">
      <c r="B8" s="124">
        <v>3</v>
      </c>
      <c r="C8" s="121" t="s">
        <v>29</v>
      </c>
      <c r="D8" s="122"/>
      <c r="E8" s="123"/>
      <c r="F8" s="46">
        <f>Clinker!EI32</f>
        <v>11440.47156288915</v>
      </c>
      <c r="G8" s="46">
        <f>Clinker!EJ32</f>
        <v>850</v>
      </c>
      <c r="H8" s="45">
        <f>G8+'29'!H8</f>
        <v>40798</v>
      </c>
      <c r="I8" s="45">
        <f>G8+'29'!I8</f>
        <v>139714.66</v>
      </c>
      <c r="J8" s="46">
        <f>Clinker!EK32</f>
        <v>2254.952499755901</v>
      </c>
      <c r="K8" s="45">
        <f>J8+'29'!K8</f>
        <v>62014.383024673705</v>
      </c>
      <c r="L8" s="45">
        <f>J8+'29'!L8</f>
        <v>141810.23004449363</v>
      </c>
      <c r="M8" s="45">
        <f>F8+G8-J8</f>
        <v>10035.519063133248</v>
      </c>
      <c r="N8" s="46">
        <v>0</v>
      </c>
      <c r="O8" s="46"/>
      <c r="P8" s="46"/>
      <c r="Q8" s="56"/>
      <c r="R8" s="90"/>
    </row>
    <row r="9" spans="2:18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88"/>
      <c r="C10" s="281" t="s">
        <v>138</v>
      </c>
      <c r="D10" s="282"/>
      <c r="E10" s="283"/>
      <c r="F10" s="46">
        <f>Clinker!K32</f>
        <v>0</v>
      </c>
      <c r="G10" s="46">
        <f>Clinker!L32</f>
        <v>0</v>
      </c>
      <c r="H10" s="46">
        <f>G10+'29'!H10</f>
        <v>0</v>
      </c>
      <c r="I10" s="46">
        <f>G10+'29'!I10</f>
        <v>0</v>
      </c>
      <c r="J10" s="46">
        <f>Clinker!N32</f>
        <v>0</v>
      </c>
      <c r="K10" s="46">
        <f>J10+'29'!K10</f>
        <v>0</v>
      </c>
      <c r="L10" s="46">
        <f>J10+'29'!L10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88"/>
      <c r="C11" s="281" t="s">
        <v>139</v>
      </c>
      <c r="D11" s="282"/>
      <c r="E11" s="283"/>
      <c r="F11" s="46">
        <f>Clinker!W32</f>
        <v>3.9999999998087787E-2</v>
      </c>
      <c r="G11" s="46">
        <f>Clinker!X32</f>
        <v>0</v>
      </c>
      <c r="H11" s="46">
        <f>G11+'29'!H11</f>
        <v>0</v>
      </c>
      <c r="I11" s="46">
        <f>G11+'29'!I11</f>
        <v>0</v>
      </c>
      <c r="J11" s="46">
        <f>Clinker!Z32</f>
        <v>0</v>
      </c>
      <c r="K11" s="46">
        <f>J11+'29'!K11</f>
        <v>1063</v>
      </c>
      <c r="L11" s="46">
        <f>J11+'29'!L11</f>
        <v>8686.84</v>
      </c>
      <c r="M11" s="45">
        <f>F11+G11-J11-J34</f>
        <v>3.9999999998087787E-2</v>
      </c>
      <c r="N11" s="46">
        <v>0</v>
      </c>
      <c r="O11" s="46"/>
      <c r="P11" s="46"/>
      <c r="Q11" s="56">
        <f>SUM(M11+N11)-O11</f>
        <v>3.9999999998087787E-2</v>
      </c>
    </row>
    <row r="12" spans="2:18" ht="15" customHeight="1" x14ac:dyDescent="0.25">
      <c r="B12" s="288"/>
      <c r="C12" s="281" t="s">
        <v>140</v>
      </c>
      <c r="D12" s="282"/>
      <c r="E12" s="283"/>
      <c r="F12" s="46">
        <f>Clinker!AT32</f>
        <v>1.0000000002058584E-2</v>
      </c>
      <c r="G12" s="46">
        <f>Clinker!AU32</f>
        <v>0</v>
      </c>
      <c r="H12" s="46">
        <f>G12+'29'!H12</f>
        <v>0</v>
      </c>
      <c r="I12" s="46">
        <f>G12+'29'!I12</f>
        <v>181.5</v>
      </c>
      <c r="J12" s="46">
        <f>Clinker!AV32</f>
        <v>0</v>
      </c>
      <c r="K12" s="46">
        <f>J12+'29'!K12</f>
        <v>2933.89</v>
      </c>
      <c r="L12" s="46">
        <f>J12+'29'!L12</f>
        <v>5675.5900000000011</v>
      </c>
      <c r="M12" s="45">
        <f>F12+G12-J12</f>
        <v>1.0000000002058584E-2</v>
      </c>
      <c r="N12" s="46">
        <v>0</v>
      </c>
      <c r="O12" s="46"/>
      <c r="P12" s="46"/>
      <c r="Q12" s="70"/>
    </row>
    <row r="13" spans="2:18" x14ac:dyDescent="0.25">
      <c r="B13" s="288"/>
      <c r="C13" s="281" t="s">
        <v>9</v>
      </c>
      <c r="D13" s="282"/>
      <c r="E13" s="69"/>
      <c r="F13" s="46">
        <f>Clinker!AO32</f>
        <v>0</v>
      </c>
      <c r="G13" s="46">
        <f>Clinker!AP32</f>
        <v>0</v>
      </c>
      <c r="H13" s="46">
        <f>G13+'29'!H13</f>
        <v>0</v>
      </c>
      <c r="I13" s="46">
        <f>G13+'29'!I13</f>
        <v>0</v>
      </c>
      <c r="J13" s="46">
        <f>Clinker!AQ32</f>
        <v>0</v>
      </c>
      <c r="K13" s="46">
        <f>J13+'29'!K13</f>
        <v>0</v>
      </c>
      <c r="L13" s="46">
        <f>J13+'29'!L13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8" x14ac:dyDescent="0.25">
      <c r="B14" s="288"/>
      <c r="C14" s="281" t="s">
        <v>8</v>
      </c>
      <c r="D14" s="282"/>
      <c r="E14" s="69"/>
      <c r="F14" s="46">
        <f>Clinker!AK32</f>
        <v>0</v>
      </c>
      <c r="G14" s="46">
        <f>Clinker!AL32</f>
        <v>0</v>
      </c>
      <c r="H14" s="46">
        <f>G14+'29'!H14</f>
        <v>0</v>
      </c>
      <c r="I14" s="46">
        <f>G14+'29'!I14</f>
        <v>0</v>
      </c>
      <c r="J14" s="46">
        <f>Clinker!AM32</f>
        <v>0</v>
      </c>
      <c r="K14" s="46">
        <f>J14+'29'!K14</f>
        <v>0</v>
      </c>
      <c r="L14" s="46">
        <f>J14+'29'!L14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8" x14ac:dyDescent="0.25">
      <c r="B15" s="288"/>
      <c r="C15" s="281" t="s">
        <v>11</v>
      </c>
      <c r="D15" s="282"/>
      <c r="E15" s="69"/>
      <c r="F15" s="46">
        <f>Clinker!AY32</f>
        <v>2765.9269999999901</v>
      </c>
      <c r="G15" s="46">
        <f>Clinker!AZ32</f>
        <v>215.22</v>
      </c>
      <c r="H15" s="46">
        <f>G15+'29'!H15</f>
        <v>5500.6800000000012</v>
      </c>
      <c r="I15" s="46">
        <f>G15+'29'!I15</f>
        <v>5912.420000000001</v>
      </c>
      <c r="J15" s="46">
        <f>Clinker!BA32</f>
        <v>170</v>
      </c>
      <c r="K15" s="46">
        <f>J15+'29'!K15</f>
        <v>3091.56</v>
      </c>
      <c r="L15" s="46">
        <f>J15+'29'!L15</f>
        <v>3091.56</v>
      </c>
      <c r="M15" s="45">
        <f>F15+G15-J15-J38</f>
        <v>2811.1469999999899</v>
      </c>
      <c r="N15" s="75">
        <v>0</v>
      </c>
      <c r="O15" s="46">
        <v>5000</v>
      </c>
      <c r="P15" s="46">
        <v>9000</v>
      </c>
      <c r="Q15" s="70"/>
    </row>
    <row r="16" spans="2:18" x14ac:dyDescent="0.25">
      <c r="B16" s="288"/>
      <c r="C16" s="76" t="s">
        <v>141</v>
      </c>
      <c r="D16" s="77"/>
      <c r="E16" s="69"/>
      <c r="F16" s="46">
        <f>Clinker!BD32</f>
        <v>0</v>
      </c>
      <c r="G16" s="46">
        <f>Clinker!BE32</f>
        <v>0</v>
      </c>
      <c r="H16" s="46">
        <f>G16+'29'!H16</f>
        <v>0</v>
      </c>
      <c r="I16" s="46">
        <f>G16+'29'!I16</f>
        <v>0</v>
      </c>
      <c r="J16" s="46">
        <f>Clinker!BF32</f>
        <v>0</v>
      </c>
      <c r="K16" s="46">
        <f>J16+'29'!K16</f>
        <v>0</v>
      </c>
      <c r="L16" s="46">
        <f>J16+'29'!L16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180</v>
      </c>
      <c r="D17" s="282"/>
      <c r="E17" s="283"/>
      <c r="F17" s="46">
        <f>Clinker!BI32</f>
        <v>0</v>
      </c>
      <c r="G17" s="46">
        <f>Clinker!BJ32</f>
        <v>0</v>
      </c>
      <c r="H17" s="46">
        <f>G17+'29'!H17</f>
        <v>0</v>
      </c>
      <c r="I17" s="46">
        <f>G17+'29'!I17</f>
        <v>0</v>
      </c>
      <c r="J17" s="46">
        <f>Clinker!BK32</f>
        <v>0</v>
      </c>
      <c r="K17" s="46">
        <f>J17+'29'!K17</f>
        <v>0</v>
      </c>
      <c r="L17" s="46">
        <f>J17+'29'!L17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Clinker!BN32</f>
        <v>0</v>
      </c>
      <c r="G18" s="46">
        <f>Clinker!BO32</f>
        <v>0</v>
      </c>
      <c r="H18" s="46">
        <f>G18+'29'!H18</f>
        <v>0</v>
      </c>
      <c r="I18" s="46">
        <f>G18+'29'!I18</f>
        <v>0</v>
      </c>
      <c r="J18" s="46">
        <f>Clinker!BP32</f>
        <v>0</v>
      </c>
      <c r="K18" s="46">
        <f>J18+'29'!K18</f>
        <v>0</v>
      </c>
      <c r="L18" s="46">
        <f>J18+'29'!L18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Clinker!BS32</f>
        <v>0</v>
      </c>
      <c r="G19" s="46">
        <f>Clinker!BT32</f>
        <v>0</v>
      </c>
      <c r="H19" s="46">
        <f>G19+'29'!H19</f>
        <v>0</v>
      </c>
      <c r="I19" s="46">
        <f>G19+'29'!I19</f>
        <v>0</v>
      </c>
      <c r="J19" s="46">
        <f>Clinker!BU32</f>
        <v>0</v>
      </c>
      <c r="K19" s="46">
        <f>J19+'29'!K19</f>
        <v>0</v>
      </c>
      <c r="L19" s="46">
        <f>J19+'29'!L19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Clinker!BX32</f>
        <v>0</v>
      </c>
      <c r="G20" s="46">
        <f>Clinker!BY32</f>
        <v>0</v>
      </c>
      <c r="H20" s="46">
        <f>G20+'29'!H20</f>
        <v>0</v>
      </c>
      <c r="I20" s="46">
        <f>G20+'29'!I20</f>
        <v>0</v>
      </c>
      <c r="J20" s="46">
        <f>Clinker!AH32</f>
        <v>0</v>
      </c>
      <c r="K20" s="46">
        <f>J20+'29'!K20</f>
        <v>0</v>
      </c>
      <c r="L20" s="46">
        <f>J20+'29'!L20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Clinker!CR32</f>
        <v>0</v>
      </c>
      <c r="G21" s="46">
        <f>Clinker!CS32</f>
        <v>0</v>
      </c>
      <c r="H21" s="46">
        <f>G21+'29'!H21</f>
        <v>0</v>
      </c>
      <c r="I21" s="46">
        <f>G21+'29'!I21</f>
        <v>0</v>
      </c>
      <c r="J21" s="46">
        <f>Clinker!CT32</f>
        <v>0</v>
      </c>
      <c r="K21" s="46">
        <f>J21+'29'!K21</f>
        <v>0</v>
      </c>
      <c r="L21" s="46">
        <f>J21+'29'!L21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184</v>
      </c>
      <c r="D22" s="77"/>
      <c r="E22" s="69"/>
      <c r="F22" s="46">
        <f>Clinker!CW32</f>
        <v>0</v>
      </c>
      <c r="G22" s="46">
        <f>Clinker!CX32</f>
        <v>0</v>
      </c>
      <c r="H22" s="46">
        <f>G22+'29'!H22</f>
        <v>0</v>
      </c>
      <c r="I22" s="46">
        <f>G22+'29'!I22</f>
        <v>0</v>
      </c>
      <c r="J22" s="46">
        <f>Clinker!CY32</f>
        <v>0</v>
      </c>
      <c r="K22" s="46">
        <f>J22+'29'!K22</f>
        <v>0</v>
      </c>
      <c r="L22" s="46">
        <f>J22+'29'!L22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Clinker!DB32</f>
        <v>1.0000000000013998E-2</v>
      </c>
      <c r="G23" s="46">
        <f>Clinker!DC32</f>
        <v>0</v>
      </c>
      <c r="H23" s="46">
        <f>G23+'29'!H23</f>
        <v>0</v>
      </c>
      <c r="I23" s="46">
        <f>G23+'29'!I23</f>
        <v>0</v>
      </c>
      <c r="J23" s="46">
        <f>Clinker!DD32</f>
        <v>0</v>
      </c>
      <c r="K23" s="46">
        <f>J23+'29'!K23</f>
        <v>7.1</v>
      </c>
      <c r="L23" s="46">
        <f>J23+'29'!L23</f>
        <v>305.99</v>
      </c>
      <c r="M23" s="45">
        <f>F23+G23-J23-J45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Clinker!DG32</f>
        <v>0</v>
      </c>
      <c r="G24" s="46">
        <f>Clinker!DH32</f>
        <v>0</v>
      </c>
      <c r="H24" s="46">
        <f>G24+'29'!H24</f>
        <v>0</v>
      </c>
      <c r="I24" s="46">
        <f>G24+'29'!I24</f>
        <v>0</v>
      </c>
      <c r="J24" s="46">
        <f>Clinker!DI32</f>
        <v>0</v>
      </c>
      <c r="K24" s="46">
        <f>J24+'29'!K24</f>
        <v>0</v>
      </c>
      <c r="L24" s="46">
        <f>J24+'29'!L24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Clinker!DL32</f>
        <v>464</v>
      </c>
      <c r="G25" s="46">
        <f>Clinker!DM32</f>
        <v>32</v>
      </c>
      <c r="H25" s="46">
        <f>G25+'29'!H25</f>
        <v>284</v>
      </c>
      <c r="I25" s="46">
        <f>G25+'29'!I25</f>
        <v>496</v>
      </c>
      <c r="J25" s="46">
        <f>Clinker!DN32</f>
        <v>0</v>
      </c>
      <c r="K25" s="46">
        <f>J25+'29'!K25</f>
        <v>0</v>
      </c>
      <c r="L25" s="46">
        <f>J25+'29'!L25</f>
        <v>0</v>
      </c>
      <c r="M25" s="45">
        <f>F25+G25-J25-J47</f>
        <v>496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88"/>
      <c r="C26" s="76" t="s">
        <v>26</v>
      </c>
      <c r="D26" s="77"/>
      <c r="E26" s="69"/>
      <c r="F26" s="46">
        <f>Clinker!DV32</f>
        <v>0</v>
      </c>
      <c r="G26" s="46">
        <f>Clinker!DW16</f>
        <v>0</v>
      </c>
      <c r="H26" s="46">
        <f>G26+'29'!H26</f>
        <v>0</v>
      </c>
      <c r="I26" s="46">
        <f>G26+'29'!I26</f>
        <v>0</v>
      </c>
      <c r="J26" s="46">
        <f>Clinker!DX16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88"/>
      <c r="C27" s="281" t="s">
        <v>146</v>
      </c>
      <c r="D27" s="282"/>
      <c r="E27" s="283"/>
      <c r="F27" s="46">
        <f>SUM(F10:F26)</f>
        <v>3229.9869999999905</v>
      </c>
      <c r="G27" s="46">
        <f t="shared" ref="G27:Q27" si="0">SUM(G10:G26)</f>
        <v>247.22</v>
      </c>
      <c r="H27" s="46">
        <f t="shared" si="0"/>
        <v>5784.6800000000012</v>
      </c>
      <c r="I27" s="46">
        <f t="shared" si="0"/>
        <v>6589.920000000001</v>
      </c>
      <c r="J27" s="46">
        <f t="shared" si="0"/>
        <v>170</v>
      </c>
      <c r="K27" s="46">
        <f t="shared" si="0"/>
        <v>7095.55</v>
      </c>
      <c r="L27" s="46">
        <f t="shared" si="0"/>
        <v>21812.860000000004</v>
      </c>
      <c r="M27" s="46">
        <f t="shared" si="0"/>
        <v>3307.2069999999903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3.9999999998087787E-2</v>
      </c>
    </row>
    <row r="28" spans="2:17" ht="15.6" customHeight="1" x14ac:dyDescent="0.25">
      <c r="B28" s="288"/>
      <c r="C28" s="284" t="s">
        <v>147</v>
      </c>
      <c r="D28" s="285"/>
      <c r="E28" s="286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88"/>
      <c r="C29" s="281" t="s">
        <v>148</v>
      </c>
      <c r="D29" s="282"/>
      <c r="E29" s="283"/>
      <c r="F29" s="46">
        <f>Clinker!Q32</f>
        <v>0</v>
      </c>
      <c r="G29" s="46">
        <f>Clinker!R32</f>
        <v>0</v>
      </c>
      <c r="H29" s="46">
        <f>G29+'29'!H29</f>
        <v>0</v>
      </c>
      <c r="I29" s="46">
        <f>G29+'29'!I29</f>
        <v>0</v>
      </c>
      <c r="J29" s="46">
        <f>Clinker!S32</f>
        <v>0</v>
      </c>
      <c r="K29" s="46">
        <f>J29+'29'!K29</f>
        <v>0</v>
      </c>
      <c r="L29" s="46">
        <f>J29+'29'!L29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88"/>
      <c r="C30" s="281" t="s">
        <v>149</v>
      </c>
      <c r="D30" s="282"/>
      <c r="E30" s="283"/>
      <c r="F30" s="46">
        <v>0</v>
      </c>
      <c r="G30" s="46">
        <v>0</v>
      </c>
      <c r="H30" s="46">
        <f>G30+'29'!H30</f>
        <v>0</v>
      </c>
      <c r="I30" s="46">
        <f>G30+'29'!I30</f>
        <v>0</v>
      </c>
      <c r="J30" s="46">
        <v>0</v>
      </c>
      <c r="K30" s="46">
        <f>J30+'29'!K30</f>
        <v>0</v>
      </c>
      <c r="L30" s="46">
        <f>J30+'29'!L30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88"/>
      <c r="C31" s="281" t="s">
        <v>150</v>
      </c>
      <c r="D31" s="282"/>
      <c r="E31" s="283"/>
      <c r="F31" s="46">
        <v>0</v>
      </c>
      <c r="G31" s="46">
        <v>0</v>
      </c>
      <c r="H31" s="46">
        <f>G31+'29'!H31</f>
        <v>0</v>
      </c>
      <c r="I31" s="46">
        <f>G31+'29'!I31</f>
        <v>0</v>
      </c>
      <c r="J31" s="46">
        <v>0</v>
      </c>
      <c r="K31" s="46">
        <f>J31+'29'!K31</f>
        <v>0</v>
      </c>
      <c r="L31" s="46">
        <f>J31+'29'!L31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88"/>
      <c r="C32" s="281" t="s">
        <v>25</v>
      </c>
      <c r="D32" s="282"/>
      <c r="E32" s="283"/>
      <c r="F32" s="46">
        <f>Clinker!DQ32</f>
        <v>0</v>
      </c>
      <c r="G32" s="46">
        <f>Clinker!DR32</f>
        <v>0</v>
      </c>
      <c r="H32" s="46">
        <f>G32+'29'!H32</f>
        <v>0</v>
      </c>
      <c r="I32" s="46">
        <f>G32+'29'!I32</f>
        <v>0</v>
      </c>
      <c r="J32" s="46">
        <f>Clinker!DT32</f>
        <v>0</v>
      </c>
      <c r="K32" s="46">
        <f>J32+'29'!K32</f>
        <v>0</v>
      </c>
      <c r="L32" s="46">
        <f>J32+'29'!L32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88"/>
      <c r="C33" s="281" t="s">
        <v>151</v>
      </c>
      <c r="D33" s="282"/>
      <c r="E33" s="283"/>
      <c r="F33" s="46">
        <v>0</v>
      </c>
      <c r="G33" s="46">
        <v>0</v>
      </c>
      <c r="H33" s="46">
        <f>G33+'29'!H33</f>
        <v>0</v>
      </c>
      <c r="I33" s="46">
        <f>G33+'29'!I33</f>
        <v>0</v>
      </c>
      <c r="J33" s="46">
        <v>0</v>
      </c>
      <c r="K33" s="46">
        <f>J33+'29'!K33</f>
        <v>0</v>
      </c>
      <c r="L33" s="46">
        <f>J33+'29'!L33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ht="15" customHeight="1" x14ac:dyDescent="0.25">
      <c r="B34" s="288"/>
      <c r="C34" s="281" t="s">
        <v>139</v>
      </c>
      <c r="D34" s="282"/>
      <c r="E34" s="283"/>
      <c r="F34" s="46"/>
      <c r="G34" s="46"/>
      <c r="H34" s="46"/>
      <c r="I34" s="46"/>
      <c r="J34" s="46">
        <f>Clinker!Y32</f>
        <v>0</v>
      </c>
      <c r="K34" s="46">
        <f>J34+'29'!K34</f>
        <v>0</v>
      </c>
      <c r="L34" s="46">
        <f>J34+'29'!L34</f>
        <v>1327</v>
      </c>
      <c r="M34" s="45"/>
      <c r="N34" s="46">
        <v>0</v>
      </c>
      <c r="O34" s="46"/>
      <c r="P34" s="46"/>
      <c r="Q34" s="56"/>
    </row>
    <row r="35" spans="2:17" ht="15" customHeight="1" x14ac:dyDescent="0.25">
      <c r="B35" s="288"/>
      <c r="C35" s="281" t="s">
        <v>138</v>
      </c>
      <c r="D35" s="282"/>
      <c r="E35" s="283"/>
      <c r="F35" s="46"/>
      <c r="G35" s="46"/>
      <c r="H35" s="46"/>
      <c r="I35" s="46"/>
      <c r="J35" s="46">
        <f>Clinker!M32</f>
        <v>0</v>
      </c>
      <c r="K35" s="46">
        <f>J35+'29'!K35</f>
        <v>0</v>
      </c>
      <c r="L35" s="46">
        <f>J35+'29'!L35</f>
        <v>0</v>
      </c>
      <c r="M35" s="45"/>
      <c r="N35" s="46">
        <v>0</v>
      </c>
      <c r="O35" s="46"/>
      <c r="P35" s="46"/>
      <c r="Q35" s="56"/>
    </row>
    <row r="36" spans="2:17" ht="15" customHeight="1" x14ac:dyDescent="0.25">
      <c r="B36" s="288"/>
      <c r="C36" s="281" t="s">
        <v>9</v>
      </c>
      <c r="D36" s="282"/>
      <c r="E36" s="69"/>
      <c r="F36" s="46"/>
      <c r="G36" s="46"/>
      <c r="H36" s="46"/>
      <c r="I36" s="46"/>
      <c r="J36" s="46">
        <f>Clinker!AR32</f>
        <v>0</v>
      </c>
      <c r="K36" s="46">
        <f>J36+'29'!K36</f>
        <v>0</v>
      </c>
      <c r="L36" s="46">
        <f>J36+'29'!L36</f>
        <v>0</v>
      </c>
      <c r="M36" s="45"/>
      <c r="N36" s="46"/>
      <c r="O36" s="46"/>
      <c r="P36" s="46"/>
      <c r="Q36" s="56"/>
    </row>
    <row r="37" spans="2:17" ht="15" customHeight="1" x14ac:dyDescent="0.25">
      <c r="B37" s="288"/>
      <c r="C37" s="281" t="s">
        <v>140</v>
      </c>
      <c r="D37" s="282"/>
      <c r="E37" s="283"/>
      <c r="F37" s="46"/>
      <c r="G37" s="46"/>
      <c r="H37" s="46"/>
      <c r="I37" s="46"/>
      <c r="J37" s="46">
        <f>Clinker!AW32</f>
        <v>0</v>
      </c>
      <c r="K37" s="46">
        <f>J37+'29'!K37</f>
        <v>0</v>
      </c>
      <c r="L37" s="46">
        <f>J37+'29'!L37</f>
        <v>20</v>
      </c>
      <c r="M37" s="45"/>
      <c r="N37" s="46"/>
      <c r="O37" s="46"/>
      <c r="P37" s="46"/>
      <c r="Q37" s="56"/>
    </row>
    <row r="38" spans="2:17" x14ac:dyDescent="0.25">
      <c r="B38" s="288"/>
      <c r="C38" s="281" t="s">
        <v>11</v>
      </c>
      <c r="D38" s="282"/>
      <c r="E38" s="69"/>
      <c r="F38" s="46"/>
      <c r="G38" s="46"/>
      <c r="H38" s="46"/>
      <c r="I38" s="46"/>
      <c r="J38" s="46">
        <f>Clinker!BB32</f>
        <v>0</v>
      </c>
      <c r="K38" s="46">
        <f>J38+'29'!K38</f>
        <v>10</v>
      </c>
      <c r="L38" s="46">
        <f>J38+'29'!L38</f>
        <v>10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76" t="s">
        <v>141</v>
      </c>
      <c r="D39" s="77"/>
      <c r="E39" s="69"/>
      <c r="F39" s="46"/>
      <c r="G39" s="46"/>
      <c r="H39" s="46"/>
      <c r="I39" s="46"/>
      <c r="J39" s="46">
        <f>Clinker!BG32</f>
        <v>0</v>
      </c>
      <c r="K39" s="46">
        <f>J39+'29'!K39</f>
        <v>0</v>
      </c>
      <c r="L39" s="46">
        <f>J39+'29'!L39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281" t="s">
        <v>180</v>
      </c>
      <c r="D40" s="282"/>
      <c r="E40" s="283"/>
      <c r="F40" s="46"/>
      <c r="G40" s="46"/>
      <c r="H40" s="46"/>
      <c r="I40" s="46"/>
      <c r="J40" s="46">
        <f>Clinker!BL32</f>
        <v>0</v>
      </c>
      <c r="K40" s="46">
        <f>J40+'29'!K40</f>
        <v>0</v>
      </c>
      <c r="L40" s="46">
        <f>J40+'29'!L40</f>
        <v>0</v>
      </c>
      <c r="M40" s="45"/>
      <c r="N40" s="46"/>
      <c r="O40" s="46"/>
      <c r="P40" s="46"/>
      <c r="Q40" s="56"/>
    </row>
    <row r="41" spans="2:17" ht="15" customHeight="1" x14ac:dyDescent="0.25">
      <c r="B41" s="288"/>
      <c r="C41" s="76" t="s">
        <v>14</v>
      </c>
      <c r="D41" s="77"/>
      <c r="E41" s="69"/>
      <c r="F41" s="46"/>
      <c r="G41" s="46"/>
      <c r="H41" s="46"/>
      <c r="I41" s="46"/>
      <c r="J41" s="46">
        <f>Clinker!BQ32</f>
        <v>0</v>
      </c>
      <c r="K41" s="46">
        <f>J41+'29'!K41</f>
        <v>0</v>
      </c>
      <c r="L41" s="46">
        <f>J41+'29'!L41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142</v>
      </c>
      <c r="D42" s="77"/>
      <c r="E42" s="69"/>
      <c r="F42" s="46"/>
      <c r="G42" s="46"/>
      <c r="H42" s="46"/>
      <c r="I42" s="46"/>
      <c r="J42" s="46">
        <f>Clinker!BV32</f>
        <v>0</v>
      </c>
      <c r="K42" s="46">
        <f>J42+'29'!K42</f>
        <v>0</v>
      </c>
      <c r="L42" s="46">
        <f>J42+'29'!L42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20</v>
      </c>
      <c r="D43" s="77"/>
      <c r="E43" s="69"/>
      <c r="F43" s="46"/>
      <c r="G43" s="46"/>
      <c r="H43" s="46"/>
      <c r="I43" s="46"/>
      <c r="J43" s="46">
        <f>Clinker!CU32</f>
        <v>0</v>
      </c>
      <c r="K43" s="46">
        <f>J43+'29'!K43</f>
        <v>0</v>
      </c>
      <c r="L43" s="46">
        <f>J43+'29'!L43</f>
        <v>0</v>
      </c>
      <c r="M43" s="45"/>
      <c r="N43" s="46"/>
      <c r="O43" s="46"/>
      <c r="P43" s="46"/>
      <c r="Q43" s="56"/>
    </row>
    <row r="44" spans="2:17" x14ac:dyDescent="0.25">
      <c r="B44" s="288"/>
      <c r="C44" s="76" t="s">
        <v>152</v>
      </c>
      <c r="D44" s="77"/>
      <c r="E44" s="69"/>
      <c r="F44" s="46"/>
      <c r="G44" s="46"/>
      <c r="H44" s="46"/>
      <c r="I44" s="46"/>
      <c r="J44" s="46">
        <f>Clinker!CZ32</f>
        <v>0</v>
      </c>
      <c r="K44" s="46">
        <f>J44+'29'!K44</f>
        <v>0</v>
      </c>
      <c r="L44" s="46">
        <f>J44+'29'!L44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22</v>
      </c>
      <c r="D45" s="77"/>
      <c r="E45" s="69"/>
      <c r="F45" s="46"/>
      <c r="G45" s="46"/>
      <c r="H45" s="46"/>
      <c r="I45" s="46"/>
      <c r="J45" s="46">
        <f>Clinker!DE32</f>
        <v>0</v>
      </c>
      <c r="K45" s="46">
        <f>J45+'29'!K45</f>
        <v>0</v>
      </c>
      <c r="L45" s="46">
        <f>J45+'29'!L45</f>
        <v>0</v>
      </c>
      <c r="M45" s="45"/>
      <c r="N45" s="46"/>
      <c r="O45" s="46"/>
      <c r="P45" s="46"/>
      <c r="Q45" s="56"/>
    </row>
    <row r="46" spans="2:17" x14ac:dyDescent="0.25">
      <c r="B46" s="288"/>
      <c r="C46" s="76" t="s">
        <v>104</v>
      </c>
      <c r="D46" s="77"/>
      <c r="E46" s="69"/>
      <c r="F46" s="46"/>
      <c r="G46" s="46"/>
      <c r="H46" s="46"/>
      <c r="I46" s="46"/>
      <c r="J46" s="46">
        <f>Clinker!DJ32</f>
        <v>0</v>
      </c>
      <c r="K46" s="46">
        <f>J46+'29'!K46</f>
        <v>0</v>
      </c>
      <c r="L46" s="46">
        <f>J46+'29'!L46</f>
        <v>0</v>
      </c>
      <c r="M46" s="45"/>
      <c r="N46" s="46"/>
      <c r="O46" s="46"/>
      <c r="P46" s="46"/>
      <c r="Q46" s="56"/>
    </row>
    <row r="47" spans="2:17" x14ac:dyDescent="0.25">
      <c r="B47" s="288"/>
      <c r="C47" s="281" t="s">
        <v>145</v>
      </c>
      <c r="D47" s="282"/>
      <c r="E47" s="69"/>
      <c r="F47" s="46"/>
      <c r="G47" s="46"/>
      <c r="H47" s="46"/>
      <c r="I47" s="46"/>
      <c r="J47" s="46">
        <f>Clinker!DO32</f>
        <v>0</v>
      </c>
      <c r="K47" s="46">
        <f>J47+'29'!K47</f>
        <v>0</v>
      </c>
      <c r="L47" s="46">
        <f>J47+'29'!L47</f>
        <v>0</v>
      </c>
      <c r="M47" s="45"/>
      <c r="N47" s="46"/>
      <c r="O47" s="46"/>
      <c r="P47" s="46"/>
      <c r="Q47" s="56"/>
    </row>
    <row r="48" spans="2:17" x14ac:dyDescent="0.25">
      <c r="B48" s="288"/>
      <c r="C48" s="76" t="s">
        <v>19</v>
      </c>
      <c r="D48" s="77"/>
      <c r="E48" s="69"/>
      <c r="F48" s="46">
        <f>Clinker!CM32</f>
        <v>5.0000000000181899E-2</v>
      </c>
      <c r="G48" s="46">
        <f>Clinker!CN32</f>
        <v>0</v>
      </c>
      <c r="H48" s="46">
        <f>G48+'29'!H48</f>
        <v>0</v>
      </c>
      <c r="I48" s="46">
        <f>G48+'29'!I48</f>
        <v>0</v>
      </c>
      <c r="J48" s="46">
        <f>Clinker!CP32</f>
        <v>0</v>
      </c>
      <c r="K48" s="46">
        <f>J48+'29'!K48</f>
        <v>0</v>
      </c>
      <c r="L48" s="46">
        <f>J48+'29'!L48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88"/>
      <c r="C49" s="76" t="s">
        <v>102</v>
      </c>
      <c r="D49" s="77"/>
      <c r="E49" s="69"/>
      <c r="F49" s="46">
        <f>Clinker!CC32</f>
        <v>0</v>
      </c>
      <c r="G49" s="46">
        <f>Clinker!CD32</f>
        <v>0</v>
      </c>
      <c r="H49" s="46">
        <f>G49+'29'!H49</f>
        <v>0</v>
      </c>
      <c r="I49" s="46">
        <f>G49+'29'!I49</f>
        <v>0</v>
      </c>
      <c r="J49" s="46">
        <f>Clinker!CF32</f>
        <v>0</v>
      </c>
      <c r="K49" s="46">
        <f>J49+'29'!K49</f>
        <v>0</v>
      </c>
      <c r="L49" s="46">
        <f>J49+'29'!L49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88"/>
      <c r="C50" s="281" t="s">
        <v>154</v>
      </c>
      <c r="D50" s="282"/>
      <c r="E50" s="69"/>
      <c r="F50" s="46">
        <f>Clinker!CH32</f>
        <v>0</v>
      </c>
      <c r="G50" s="46">
        <f>Clinker!CI32</f>
        <v>0</v>
      </c>
      <c r="H50" s="46">
        <f>G50+'29'!H50</f>
        <v>0</v>
      </c>
      <c r="I50" s="46">
        <f>G50+'29'!I50</f>
        <v>0</v>
      </c>
      <c r="J50" s="46">
        <f>Clinker!CK32</f>
        <v>0</v>
      </c>
      <c r="K50" s="46">
        <f>J50+'29'!K50</f>
        <v>0</v>
      </c>
      <c r="L50" s="46">
        <f>J50+'29'!L50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88"/>
      <c r="C51" s="281" t="s">
        <v>155</v>
      </c>
      <c r="D51" s="282"/>
      <c r="E51" s="283"/>
      <c r="F51" s="46">
        <f>Clinker!AF32</f>
        <v>3655.9699999999934</v>
      </c>
      <c r="G51" s="46">
        <f>Clinker!AG32</f>
        <v>0</v>
      </c>
      <c r="H51" s="46">
        <f>G51+'29'!H51</f>
        <v>3763.3000000000006</v>
      </c>
      <c r="I51" s="46">
        <f>G51+'29'!I51</f>
        <v>5904.2499999999991</v>
      </c>
      <c r="J51" s="46">
        <f>Clinker!AI32</f>
        <v>122</v>
      </c>
      <c r="K51" s="46">
        <f>J51+'29'!K51</f>
        <v>4278</v>
      </c>
      <c r="L51" s="46">
        <f>J51+'29'!L51</f>
        <v>11103</v>
      </c>
      <c r="M51" s="45">
        <f>F51+G51-J51-J20</f>
        <v>3533.9699999999934</v>
      </c>
      <c r="N51" s="46">
        <v>0</v>
      </c>
      <c r="O51" s="46">
        <v>1500</v>
      </c>
      <c r="P51" s="46">
        <v>3000</v>
      </c>
      <c r="Q51" s="56">
        <f>SUM(M51+N51)-O51</f>
        <v>2033.9699999999934</v>
      </c>
    </row>
    <row r="52" spans="2:19" x14ac:dyDescent="0.25">
      <c r="B52" s="288"/>
      <c r="C52" s="281" t="s">
        <v>156</v>
      </c>
      <c r="D52" s="282"/>
      <c r="E52" s="283"/>
      <c r="F52" s="46">
        <f>Clinker!AB32</f>
        <v>0</v>
      </c>
      <c r="G52" s="46">
        <f>Clinker!AC32</f>
        <v>0</v>
      </c>
      <c r="H52" s="46">
        <f>G52+'29'!H52</f>
        <v>0</v>
      </c>
      <c r="I52" s="46">
        <f>G52+'29'!I52</f>
        <v>0</v>
      </c>
      <c r="J52" s="46">
        <f>Clinker!AD32</f>
        <v>0</v>
      </c>
      <c r="K52" s="46">
        <f>J52+'29'!K52</f>
        <v>0</v>
      </c>
      <c r="L52" s="46">
        <f>J52+'29'!L52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88"/>
      <c r="C53" s="281" t="s">
        <v>146</v>
      </c>
      <c r="D53" s="282"/>
      <c r="E53" s="283"/>
      <c r="F53" s="46">
        <f>SUM(F29:F52)</f>
        <v>3656.0199999999936</v>
      </c>
      <c r="G53" s="46">
        <f>SUM(G29:G52)</f>
        <v>0</v>
      </c>
      <c r="H53" s="46">
        <f t="shared" ref="H53:P53" si="1">SUM(H29:H52)</f>
        <v>3763.3000000000006</v>
      </c>
      <c r="I53" s="46">
        <f t="shared" si="1"/>
        <v>5904.2499999999991</v>
      </c>
      <c r="J53" s="46">
        <f>SUM(J29:J52)</f>
        <v>122</v>
      </c>
      <c r="K53" s="46">
        <f>SUM(K29:K52)</f>
        <v>4288</v>
      </c>
      <c r="L53" s="46">
        <f t="shared" si="1"/>
        <v>12460</v>
      </c>
      <c r="M53" s="46">
        <f t="shared" si="1"/>
        <v>3534.0199999999936</v>
      </c>
      <c r="N53" s="46">
        <f t="shared" si="1"/>
        <v>0</v>
      </c>
      <c r="O53" s="46">
        <f t="shared" si="1"/>
        <v>3000</v>
      </c>
      <c r="P53" s="46">
        <f t="shared" si="1"/>
        <v>6000</v>
      </c>
      <c r="Q53" s="46">
        <f>SUM(Q29:Q52)</f>
        <v>2033.9699999999934</v>
      </c>
    </row>
    <row r="54" spans="2:19" x14ac:dyDescent="0.25">
      <c r="B54" s="289"/>
      <c r="C54" s="284" t="s">
        <v>157</v>
      </c>
      <c r="D54" s="285"/>
      <c r="E54" s="286"/>
      <c r="F54" s="59">
        <f t="shared" ref="F54:Q54" si="2">SUM(F27+F53)</f>
        <v>6886.0069999999841</v>
      </c>
      <c r="G54" s="59">
        <f>SUM(G27+G53)</f>
        <v>247.22</v>
      </c>
      <c r="H54" s="59">
        <f t="shared" si="2"/>
        <v>9547.9800000000014</v>
      </c>
      <c r="I54" s="59">
        <f t="shared" si="2"/>
        <v>12494.17</v>
      </c>
      <c r="J54" s="59">
        <f>SUM(J27+J53)</f>
        <v>292</v>
      </c>
      <c r="K54" s="59">
        <f t="shared" si="2"/>
        <v>11383.55</v>
      </c>
      <c r="L54" s="59">
        <f t="shared" si="2"/>
        <v>34272.86</v>
      </c>
      <c r="M54" s="59">
        <f t="shared" si="2"/>
        <v>6841.2269999999844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2"/>
        <v>2034.0099999999916</v>
      </c>
      <c r="S54" s="90"/>
    </row>
    <row r="55" spans="2:19" ht="15.6" customHeight="1" x14ac:dyDescent="0.25">
      <c r="B55" s="287">
        <v>4</v>
      </c>
      <c r="C55" s="290" t="s">
        <v>158</v>
      </c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2"/>
    </row>
    <row r="56" spans="2:19" x14ac:dyDescent="0.25">
      <c r="B56" s="288"/>
      <c r="C56" s="281" t="s">
        <v>159</v>
      </c>
      <c r="D56" s="282"/>
      <c r="E56" s="283"/>
      <c r="F56" s="46">
        <f>'Packing bag '!C32</f>
        <v>2805027</v>
      </c>
      <c r="G56" s="46">
        <f>'Packing bag '!D32</f>
        <v>0</v>
      </c>
      <c r="H56" s="46">
        <f>G56+'29'!H56</f>
        <v>1201000</v>
      </c>
      <c r="I56" s="46">
        <f>G56+'29'!I56</f>
        <v>4353500</v>
      </c>
      <c r="J56" s="46">
        <f>'Packing bag '!E32</f>
        <v>40854</v>
      </c>
      <c r="K56" s="46">
        <f>J56+'29'!K56</f>
        <v>1064062</v>
      </c>
      <c r="L56" s="46">
        <f>J56+'29'!L56</f>
        <v>2640896</v>
      </c>
      <c r="M56" s="46">
        <f>F56+G56-J56</f>
        <v>2764173</v>
      </c>
      <c r="N56" s="46"/>
      <c r="O56" s="46">
        <v>400000</v>
      </c>
      <c r="P56" s="46">
        <v>800000</v>
      </c>
      <c r="Q56" s="56">
        <f>SUM(M56+N56)-O56</f>
        <v>2364173</v>
      </c>
    </row>
    <row r="57" spans="2:19" x14ac:dyDescent="0.25">
      <c r="B57" s="288"/>
      <c r="C57" s="281" t="s">
        <v>160</v>
      </c>
      <c r="D57" s="282"/>
      <c r="E57" s="283"/>
      <c r="F57" s="46">
        <f>'Packing bag '!G32</f>
        <v>587927</v>
      </c>
      <c r="G57" s="46">
        <f>'Packing bag '!H32</f>
        <v>0</v>
      </c>
      <c r="H57" s="46">
        <f>G57+'29'!H57</f>
        <v>40500</v>
      </c>
      <c r="I57" s="46">
        <f>G57+'29'!I57</f>
        <v>332000</v>
      </c>
      <c r="J57" s="46">
        <f>'Packing bag '!I32</f>
        <v>1820</v>
      </c>
      <c r="K57" s="46">
        <f>J57+'29'!K57</f>
        <v>56554</v>
      </c>
      <c r="L57" s="46">
        <f>J57+'29'!L57</f>
        <v>146175</v>
      </c>
      <c r="M57" s="46">
        <f>F57+G57-J57</f>
        <v>586107</v>
      </c>
      <c r="N57" s="46"/>
      <c r="O57" s="46">
        <v>100000</v>
      </c>
      <c r="P57" s="46">
        <v>250000</v>
      </c>
      <c r="Q57" s="56">
        <f>SUM(M57+N57)-O57</f>
        <v>486107</v>
      </c>
    </row>
    <row r="58" spans="2:19" x14ac:dyDescent="0.25">
      <c r="B58" s="288"/>
      <c r="C58" s="281" t="s">
        <v>161</v>
      </c>
      <c r="D58" s="282"/>
      <c r="E58" s="283"/>
      <c r="F58" s="46">
        <f>'Packing bag '!K32</f>
        <v>602418</v>
      </c>
      <c r="G58" s="46">
        <f>'Packing bag '!L32</f>
        <v>0</v>
      </c>
      <c r="H58" s="46">
        <f>G58+'29'!H58</f>
        <v>150000</v>
      </c>
      <c r="I58" s="46">
        <f>G58+'29'!I58</f>
        <v>445000</v>
      </c>
      <c r="J58" s="46">
        <f>'Packing bag '!M32</f>
        <v>9623</v>
      </c>
      <c r="K58" s="46">
        <f>J58+'29'!K58</f>
        <v>85968</v>
      </c>
      <c r="L58" s="46">
        <f>J58+'29'!L58</f>
        <v>258260</v>
      </c>
      <c r="M58" s="46">
        <f>F58+G58-J58</f>
        <v>592795</v>
      </c>
      <c r="N58" s="46"/>
      <c r="O58" s="46">
        <v>50000</v>
      </c>
      <c r="P58" s="46">
        <v>150000</v>
      </c>
      <c r="Q58" s="56">
        <f>SUM(M58+N58)-O58</f>
        <v>542795</v>
      </c>
    </row>
    <row r="59" spans="2:19" x14ac:dyDescent="0.25">
      <c r="B59" s="288"/>
      <c r="C59" s="281" t="s">
        <v>162</v>
      </c>
      <c r="D59" s="282"/>
      <c r="E59" s="283"/>
      <c r="F59" s="46">
        <f>'Packing bag '!O32</f>
        <v>148479</v>
      </c>
      <c r="G59" s="46">
        <f>'Packing bag '!P4</f>
        <v>0</v>
      </c>
      <c r="H59" s="46">
        <f>G59+'01'!J59</f>
        <v>612</v>
      </c>
      <c r="I59" s="46">
        <f>G59+'01'!I59</f>
        <v>0</v>
      </c>
      <c r="J59" s="46">
        <f>'Packing bag '!Q32</f>
        <v>0</v>
      </c>
      <c r="K59" s="46">
        <f>J59+'01'!K59</f>
        <v>612</v>
      </c>
      <c r="L59" s="46">
        <f>J59+'01'!L59</f>
        <v>15381</v>
      </c>
      <c r="M59" s="46">
        <f>F59+G59-J59</f>
        <v>148479</v>
      </c>
      <c r="N59" s="46"/>
      <c r="O59" s="46"/>
      <c r="P59" s="46"/>
      <c r="Q59" s="56"/>
    </row>
    <row r="60" spans="2:19" x14ac:dyDescent="0.25">
      <c r="B60" s="288"/>
      <c r="C60" s="281" t="s">
        <v>163</v>
      </c>
      <c r="D60" s="282"/>
      <c r="E60" s="283"/>
      <c r="F60" s="46">
        <v>0</v>
      </c>
      <c r="G60" s="46">
        <v>0</v>
      </c>
      <c r="H60" s="46">
        <f>G60+'29'!H60</f>
        <v>0</v>
      </c>
      <c r="I60" s="46">
        <f>G60+'29'!I60</f>
        <v>0</v>
      </c>
      <c r="J60" s="46">
        <v>0</v>
      </c>
      <c r="K60" s="46">
        <f>J60+'29'!K60</f>
        <v>0</v>
      </c>
      <c r="L60" s="46">
        <f>J60+'29'!L60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88"/>
      <c r="C61" s="281" t="s">
        <v>164</v>
      </c>
      <c r="D61" s="282"/>
      <c r="E61" s="283"/>
      <c r="F61" s="46">
        <v>0</v>
      </c>
      <c r="G61" s="46">
        <v>0</v>
      </c>
      <c r="H61" s="46">
        <f>G61+'29'!H61</f>
        <v>0</v>
      </c>
      <c r="I61" s="46">
        <f>G61+'29'!I61</f>
        <v>0</v>
      </c>
      <c r="J61" s="46">
        <v>0</v>
      </c>
      <c r="K61" s="46">
        <f>J61+'29'!K61</f>
        <v>0</v>
      </c>
      <c r="L61" s="46">
        <f>J61+'29'!L61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89"/>
      <c r="C62" s="284" t="s">
        <v>165</v>
      </c>
      <c r="D62" s="285"/>
      <c r="E62" s="286"/>
      <c r="F62" s="59">
        <f>SUM(F56:F61)</f>
        <v>4143851</v>
      </c>
      <c r="G62" s="59">
        <f>SUM(G56:G61)</f>
        <v>0</v>
      </c>
      <c r="H62" s="59">
        <f t="shared" ref="H62:Q62" si="3">SUM(H56:H61)</f>
        <v>1392112</v>
      </c>
      <c r="I62" s="59">
        <f t="shared" si="3"/>
        <v>5130500</v>
      </c>
      <c r="J62" s="59">
        <f t="shared" si="3"/>
        <v>52297</v>
      </c>
      <c r="K62" s="59">
        <f t="shared" si="3"/>
        <v>1207196</v>
      </c>
      <c r="L62" s="59">
        <f t="shared" si="3"/>
        <v>3060712</v>
      </c>
      <c r="M62" s="59">
        <f t="shared" si="3"/>
        <v>4091554</v>
      </c>
      <c r="N62" s="46"/>
      <c r="O62" s="59">
        <f t="shared" si="3"/>
        <v>551500</v>
      </c>
      <c r="P62" s="59">
        <f t="shared" si="3"/>
        <v>1207000</v>
      </c>
      <c r="Q62" s="59">
        <f t="shared" si="3"/>
        <v>3391575</v>
      </c>
    </row>
    <row r="63" spans="2:19" ht="15.6" customHeight="1" x14ac:dyDescent="0.25">
      <c r="B63" s="287">
        <v>5</v>
      </c>
      <c r="C63" s="290" t="s">
        <v>166</v>
      </c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2"/>
    </row>
    <row r="64" spans="2:19" x14ac:dyDescent="0.25">
      <c r="B64" s="288"/>
      <c r="C64" s="281" t="s">
        <v>48</v>
      </c>
      <c r="D64" s="282"/>
      <c r="E64" s="283"/>
      <c r="F64" s="46">
        <f>Cement!G32</f>
        <v>0</v>
      </c>
      <c r="G64" s="46">
        <f>Cement!H32</f>
        <v>0</v>
      </c>
      <c r="H64" s="46">
        <f>G64+'29'!H64</f>
        <v>0</v>
      </c>
      <c r="I64" s="46">
        <f>G64+'29'!I64</f>
        <v>0</v>
      </c>
      <c r="J64" s="46">
        <v>0</v>
      </c>
      <c r="K64" s="46">
        <f>J64+'29'!K64</f>
        <v>0</v>
      </c>
      <c r="L64" s="46">
        <f>J64+'29'!L64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8"/>
      <c r="C65" s="281" t="s">
        <v>167</v>
      </c>
      <c r="D65" s="282"/>
      <c r="E65" s="283"/>
      <c r="F65" s="46">
        <f>Cement!K32</f>
        <v>0</v>
      </c>
      <c r="G65" s="46">
        <f>Cement!L32</f>
        <v>0</v>
      </c>
      <c r="H65" s="46">
        <f>G65+'29'!H65</f>
        <v>0</v>
      </c>
      <c r="I65" s="46">
        <f>G65+'29'!I65</f>
        <v>0</v>
      </c>
      <c r="J65" s="46">
        <v>0</v>
      </c>
      <c r="K65" s="46">
        <f>J65+'29'!K65</f>
        <v>0</v>
      </c>
      <c r="L65" s="46">
        <f>J65+'29'!L65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89"/>
      <c r="C66" s="284" t="s">
        <v>168</v>
      </c>
      <c r="D66" s="285"/>
      <c r="E66" s="286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296">
        <v>6</v>
      </c>
      <c r="C67" s="290" t="s">
        <v>169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2"/>
    </row>
    <row r="68" spans="2:17" x14ac:dyDescent="0.25">
      <c r="B68" s="297"/>
      <c r="C68" s="281" t="s">
        <v>170</v>
      </c>
      <c r="D68" s="282"/>
      <c r="E68" s="283"/>
      <c r="F68" s="46">
        <f>Diesel!B32</f>
        <v>38190</v>
      </c>
      <c r="G68" s="46">
        <f>Diesel!C32</f>
        <v>0</v>
      </c>
      <c r="H68" s="46">
        <f>G68+'29'!H68</f>
        <v>65000</v>
      </c>
      <c r="I68" s="46">
        <f>G68+'29'!I68</f>
        <v>155000</v>
      </c>
      <c r="J68" s="46">
        <v>0</v>
      </c>
      <c r="K68" s="46">
        <f>J68+'29'!K68</f>
        <v>0</v>
      </c>
      <c r="L68" s="46">
        <f>J68+'29'!L68</f>
        <v>0</v>
      </c>
      <c r="M68" s="46">
        <f>F68+G68-J68-J76</f>
        <v>37456</v>
      </c>
      <c r="N68" s="46"/>
      <c r="O68" s="46">
        <v>30000</v>
      </c>
      <c r="P68" s="46">
        <v>60000</v>
      </c>
      <c r="Q68" s="56">
        <f>SUM(M68+N68)-O68</f>
        <v>7456</v>
      </c>
    </row>
    <row r="69" spans="2:17" x14ac:dyDescent="0.25">
      <c r="B69" s="297"/>
      <c r="C69" s="281" t="s">
        <v>171</v>
      </c>
      <c r="D69" s="282"/>
      <c r="E69" s="283"/>
      <c r="F69" s="46">
        <f>Diesel!Y32</f>
        <v>0</v>
      </c>
      <c r="G69" s="46">
        <f>Diesel!Z32</f>
        <v>0</v>
      </c>
      <c r="H69" s="46">
        <f>G69+'29'!H69</f>
        <v>0</v>
      </c>
      <c r="I69" s="46">
        <f>G69+'29'!I69</f>
        <v>0</v>
      </c>
      <c r="J69" s="46">
        <f>Diesel!AA32</f>
        <v>0</v>
      </c>
      <c r="K69" s="46">
        <f>J69+'29'!K69</f>
        <v>5000</v>
      </c>
      <c r="L69" s="46">
        <f>J69+'29'!L69</f>
        <v>20000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297"/>
      <c r="C70" s="281" t="s">
        <v>172</v>
      </c>
      <c r="D70" s="282"/>
      <c r="E70" s="283"/>
      <c r="F70" s="46">
        <v>0</v>
      </c>
      <c r="G70" s="46">
        <v>0</v>
      </c>
      <c r="H70" s="46">
        <f>G70+'29'!H70</f>
        <v>0</v>
      </c>
      <c r="I70" s="46">
        <f>G70+'29'!I70</f>
        <v>0</v>
      </c>
      <c r="J70" s="46">
        <f>Diesel!P32</f>
        <v>0</v>
      </c>
      <c r="K70" s="46">
        <f>J70+'29'!K70</f>
        <v>105</v>
      </c>
      <c r="L70" s="46">
        <f>J70+'29'!L70</f>
        <v>708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81" t="s">
        <v>173</v>
      </c>
      <c r="D71" s="282"/>
      <c r="E71" s="283"/>
      <c r="F71" s="46">
        <v>0</v>
      </c>
      <c r="G71" s="46">
        <v>0</v>
      </c>
      <c r="H71" s="46">
        <f>G71+'29'!H71</f>
        <v>0</v>
      </c>
      <c r="I71" s="46">
        <f>G71+'29'!I71</f>
        <v>0</v>
      </c>
      <c r="J71" s="46">
        <f>Diesel!Q32</f>
        <v>0</v>
      </c>
      <c r="K71" s="46">
        <f>J71+'29'!K71</f>
        <v>27702</v>
      </c>
      <c r="L71" s="46">
        <f>J71+'29'!L71</f>
        <v>82337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174</v>
      </c>
      <c r="D72" s="300"/>
      <c r="E72" s="301"/>
      <c r="F72" s="46">
        <v>0</v>
      </c>
      <c r="G72" s="46">
        <v>0</v>
      </c>
      <c r="H72" s="46">
        <f>G72+'29'!H72</f>
        <v>0</v>
      </c>
      <c r="I72" s="46">
        <f>G72+'29'!I72</f>
        <v>0</v>
      </c>
      <c r="J72" s="46">
        <f>Diesel!R32</f>
        <v>734</v>
      </c>
      <c r="K72" s="46">
        <f>J72+'29'!K72</f>
        <v>20882</v>
      </c>
      <c r="L72" s="46">
        <f>J72+'29'!L72</f>
        <v>63590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175</v>
      </c>
      <c r="D73" s="300"/>
      <c r="E73" s="301"/>
      <c r="F73" s="46">
        <v>0</v>
      </c>
      <c r="G73" s="46">
        <v>0</v>
      </c>
      <c r="H73" s="46">
        <f>G73+'29'!H73</f>
        <v>0</v>
      </c>
      <c r="I73" s="46">
        <f>G73+'29'!I73</f>
        <v>0</v>
      </c>
      <c r="J73" s="46">
        <f>Diesel!S32</f>
        <v>0</v>
      </c>
      <c r="K73" s="46">
        <f>J73+'29'!K73</f>
        <v>0</v>
      </c>
      <c r="L73" s="46">
        <f>J73+'29'!L73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299" t="s">
        <v>176</v>
      </c>
      <c r="D74" s="300"/>
      <c r="E74" s="301"/>
      <c r="F74" s="46">
        <v>0</v>
      </c>
      <c r="G74" s="46">
        <v>0</v>
      </c>
      <c r="H74" s="46">
        <f>G74+'29'!H74</f>
        <v>0</v>
      </c>
      <c r="I74" s="46">
        <f>G74+'29'!I74</f>
        <v>0</v>
      </c>
      <c r="J74" s="46">
        <f>Diesel!T32</f>
        <v>0</v>
      </c>
      <c r="K74" s="46">
        <f>J74+'29'!K74</f>
        <v>0</v>
      </c>
      <c r="L74" s="46">
        <f>J74+'29'!L74</f>
        <v>0</v>
      </c>
      <c r="M74" s="46">
        <v>0</v>
      </c>
      <c r="N74" s="46"/>
      <c r="O74" s="46"/>
      <c r="P74" s="46"/>
      <c r="Q74" s="47"/>
    </row>
    <row r="75" spans="2:17" x14ac:dyDescent="0.25">
      <c r="B75" s="297"/>
      <c r="C75" s="302" t="s">
        <v>177</v>
      </c>
      <c r="D75" s="303"/>
      <c r="E75" s="304"/>
      <c r="F75" s="61">
        <v>0</v>
      </c>
      <c r="G75" s="61">
        <v>0</v>
      </c>
      <c r="H75" s="46">
        <f>G75+'29'!H75</f>
        <v>0</v>
      </c>
      <c r="I75" s="46">
        <f>G75+'29'!I75</f>
        <v>0</v>
      </c>
      <c r="J75" s="61">
        <f>Diesel!U32</f>
        <v>0</v>
      </c>
      <c r="K75" s="46">
        <f>J75+'29'!K75</f>
        <v>0</v>
      </c>
      <c r="L75" s="46">
        <f>J75+'29'!L75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298"/>
      <c r="C76" s="293" t="s">
        <v>178</v>
      </c>
      <c r="D76" s="294"/>
      <c r="E76" s="295"/>
      <c r="F76" s="62">
        <f>SUM(F68:F75)</f>
        <v>38190</v>
      </c>
      <c r="G76" s="62">
        <f t="shared" ref="G76:M76" si="5">SUM(G68:G75)</f>
        <v>0</v>
      </c>
      <c r="H76" s="62">
        <f t="shared" si="5"/>
        <v>65000</v>
      </c>
      <c r="I76" s="62">
        <f t="shared" si="5"/>
        <v>155000</v>
      </c>
      <c r="J76" s="62">
        <f t="shared" si="5"/>
        <v>734</v>
      </c>
      <c r="K76" s="62">
        <f t="shared" si="5"/>
        <v>53689</v>
      </c>
      <c r="L76" s="62">
        <f t="shared" si="5"/>
        <v>166635</v>
      </c>
      <c r="M76" s="62">
        <f t="shared" si="5"/>
        <v>37456</v>
      </c>
      <c r="N76" s="63"/>
      <c r="O76" s="64"/>
      <c r="P76" s="62"/>
      <c r="Q76" s="65"/>
    </row>
  </sheetData>
  <mergeCells count="70">
    <mergeCell ref="C59:E59"/>
    <mergeCell ref="C34:E34"/>
    <mergeCell ref="C38:D38"/>
    <mergeCell ref="C37:E37"/>
    <mergeCell ref="C56:E56"/>
    <mergeCell ref="C57:E57"/>
    <mergeCell ref="C35:E35"/>
    <mergeCell ref="C51:E51"/>
    <mergeCell ref="C52:E52"/>
    <mergeCell ref="C53:E53"/>
    <mergeCell ref="C54:E54"/>
    <mergeCell ref="C55:Q55"/>
    <mergeCell ref="C50:D50"/>
    <mergeCell ref="C47:D47"/>
    <mergeCell ref="B63:B66"/>
    <mergeCell ref="C63:Q63"/>
    <mergeCell ref="C40:E40"/>
    <mergeCell ref="C64:E64"/>
    <mergeCell ref="C65:E65"/>
    <mergeCell ref="C58:E58"/>
    <mergeCell ref="C60:E60"/>
    <mergeCell ref="C66:E66"/>
    <mergeCell ref="B9:B54"/>
    <mergeCell ref="C15:D15"/>
    <mergeCell ref="C11:E11"/>
    <mergeCell ref="C27:E27"/>
    <mergeCell ref="C28:E28"/>
    <mergeCell ref="C29:E29"/>
    <mergeCell ref="C20:D20"/>
    <mergeCell ref="C18:E18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7:E7"/>
    <mergeCell ref="C17:E17"/>
    <mergeCell ref="C6:E6"/>
    <mergeCell ref="B55:B62"/>
    <mergeCell ref="C14:D14"/>
    <mergeCell ref="C12:E12"/>
    <mergeCell ref="C13:D13"/>
    <mergeCell ref="C61:E61"/>
    <mergeCell ref="C62:E62"/>
    <mergeCell ref="C33:E33"/>
    <mergeCell ref="C9:E9"/>
    <mergeCell ref="C10:E10"/>
    <mergeCell ref="C30:E30"/>
    <mergeCell ref="C31:E31"/>
    <mergeCell ref="C32:E32"/>
    <mergeCell ref="C36:D36"/>
  </mergeCells>
  <pageMargins left="0.7" right="0.7" top="0.75" bottom="0.75" header="0.3" footer="0.3"/>
  <pageSetup paperSize="11" scale="35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>
    <pageSetUpPr fitToPage="1"/>
  </sheetPr>
  <dimension ref="B1:Q75"/>
  <sheetViews>
    <sheetView zoomScale="90" zoomScaleNormal="90" workbookViewId="0">
      <pane xSplit="4" ySplit="1" topLeftCell="E46" activePane="bottomRight" state="frozen"/>
      <selection pane="topRight" activeCell="E1" sqref="E1"/>
      <selection pane="bottomLeft" activeCell="A6" sqref="A6"/>
      <selection pane="bottomRight" activeCell="R60" sqref="R60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7" ht="15.75" thickBot="1" x14ac:dyDescent="0.3"/>
    <row r="2" spans="2:17" s="44" customFormat="1" ht="22.15" customHeight="1" thickBot="1" x14ac:dyDescent="0.3">
      <c r="B2" s="311" t="s">
        <v>121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3"/>
    </row>
    <row r="3" spans="2:17" s="44" customFormat="1" ht="25.15" customHeight="1" thickBot="1" x14ac:dyDescent="0.3">
      <c r="B3" s="314" t="s">
        <v>122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6"/>
      <c r="N3" s="311" t="s">
        <v>123</v>
      </c>
      <c r="O3" s="313"/>
      <c r="P3" s="317">
        <v>46173</v>
      </c>
      <c r="Q3" s="316"/>
    </row>
    <row r="4" spans="2:17" s="66" customFormat="1" ht="13.9" customHeight="1" x14ac:dyDescent="0.25">
      <c r="B4" s="318" t="s">
        <v>124</v>
      </c>
      <c r="C4" s="320" t="s">
        <v>125</v>
      </c>
      <c r="D4" s="321"/>
      <c r="E4" s="322"/>
      <c r="F4" s="326" t="s">
        <v>126</v>
      </c>
      <c r="G4" s="328" t="s">
        <v>127</v>
      </c>
      <c r="H4" s="329"/>
      <c r="I4" s="330"/>
      <c r="J4" s="328" t="s">
        <v>128</v>
      </c>
      <c r="K4" s="329"/>
      <c r="L4" s="330"/>
      <c r="M4" s="326" t="s">
        <v>129</v>
      </c>
      <c r="N4" s="333" t="s">
        <v>130</v>
      </c>
      <c r="O4" s="328" t="s">
        <v>131</v>
      </c>
      <c r="P4" s="330"/>
      <c r="Q4" s="331" t="s">
        <v>132</v>
      </c>
    </row>
    <row r="5" spans="2:17" s="66" customFormat="1" ht="15.75" thickBot="1" x14ac:dyDescent="0.3">
      <c r="B5" s="319"/>
      <c r="C5" s="323"/>
      <c r="D5" s="324"/>
      <c r="E5" s="325"/>
      <c r="F5" s="327"/>
      <c r="G5" s="53" t="s">
        <v>133</v>
      </c>
      <c r="H5" s="53" t="s">
        <v>44</v>
      </c>
      <c r="I5" s="53" t="s">
        <v>45</v>
      </c>
      <c r="J5" s="53" t="s">
        <v>133</v>
      </c>
      <c r="K5" s="53" t="s">
        <v>44</v>
      </c>
      <c r="L5" s="53" t="s">
        <v>45</v>
      </c>
      <c r="M5" s="327"/>
      <c r="N5" s="327"/>
      <c r="O5" s="53" t="s">
        <v>134</v>
      </c>
      <c r="P5" s="53" t="s">
        <v>97</v>
      </c>
      <c r="Q5" s="332"/>
    </row>
    <row r="6" spans="2:17" x14ac:dyDescent="0.25">
      <c r="B6" s="54">
        <v>1</v>
      </c>
      <c r="C6" s="308" t="s">
        <v>135</v>
      </c>
      <c r="D6" s="309"/>
      <c r="E6" s="310"/>
      <c r="F6" s="45">
        <f>Clinker!C33</f>
        <v>1148.3200000000002</v>
      </c>
      <c r="G6" s="45">
        <f>Clinker!D33</f>
        <v>0</v>
      </c>
      <c r="H6" s="45">
        <f>G6+'30'!H6</f>
        <v>254.39999999999998</v>
      </c>
      <c r="I6" s="45">
        <f>G6+'30'!I6</f>
        <v>671.68000000000006</v>
      </c>
      <c r="J6" s="45">
        <f>Clinker!E33</f>
        <v>0</v>
      </c>
      <c r="K6" s="45">
        <f>J6+'30'!K6</f>
        <v>1754</v>
      </c>
      <c r="L6" s="45">
        <f>J6+'30'!L6</f>
        <v>4889</v>
      </c>
      <c r="M6" s="45">
        <f>F6+G6-J6</f>
        <v>1148.3200000000002</v>
      </c>
      <c r="N6" s="45">
        <v>0</v>
      </c>
      <c r="O6" s="45">
        <v>3000</v>
      </c>
      <c r="P6" s="45">
        <v>6000</v>
      </c>
      <c r="Q6" s="55">
        <f>SUM(M6+N6)-O6</f>
        <v>-1851.6799999999998</v>
      </c>
    </row>
    <row r="7" spans="2:17" x14ac:dyDescent="0.25">
      <c r="B7" s="50">
        <v>2</v>
      </c>
      <c r="C7" s="305" t="s">
        <v>136</v>
      </c>
      <c r="D7" s="306"/>
      <c r="E7" s="307"/>
      <c r="F7" s="46">
        <f>Cement!C33</f>
        <v>3193.2573221611738</v>
      </c>
      <c r="G7" s="46">
        <f>Cement!D33</f>
        <v>0</v>
      </c>
      <c r="H7" s="45">
        <f>G7+'30'!H7</f>
        <v>3089.4599999999996</v>
      </c>
      <c r="I7" s="45">
        <f>G7+'30'!I7</f>
        <v>5216.08</v>
      </c>
      <c r="J7" s="46">
        <f>Cement!I33</f>
        <v>0</v>
      </c>
      <c r="K7" s="45">
        <f>J7+'30'!K7</f>
        <v>4104.5085359950026</v>
      </c>
      <c r="L7" s="45">
        <f>J7+'30'!L7</f>
        <v>9330.7385263225024</v>
      </c>
      <c r="M7" s="45">
        <f>F7+G7-J7</f>
        <v>3193.2573221611738</v>
      </c>
      <c r="N7" s="46">
        <v>0</v>
      </c>
      <c r="O7" s="46">
        <v>3000</v>
      </c>
      <c r="P7" s="46">
        <v>6000</v>
      </c>
      <c r="Q7" s="56">
        <f>SUM(M7+N7)-O7</f>
        <v>193.25732216117376</v>
      </c>
    </row>
    <row r="8" spans="2:17" x14ac:dyDescent="0.25">
      <c r="B8" s="124">
        <v>3</v>
      </c>
      <c r="C8" s="121" t="s">
        <v>29</v>
      </c>
      <c r="D8" s="122"/>
      <c r="E8" s="123"/>
      <c r="F8" s="46">
        <f>Clinker!EI33</f>
        <v>10035.519063133248</v>
      </c>
      <c r="G8" s="46">
        <f>Clinker!EJ33</f>
        <v>0</v>
      </c>
      <c r="H8" s="45">
        <f>G8+'30'!H8</f>
        <v>40798</v>
      </c>
      <c r="I8" s="45">
        <f>G8+'30'!I8</f>
        <v>139714.66</v>
      </c>
      <c r="J8" s="46">
        <f>Clinker!EK33</f>
        <v>0</v>
      </c>
      <c r="K8" s="45">
        <f>J8+'30'!K8</f>
        <v>62014.383024673705</v>
      </c>
      <c r="L8" s="45">
        <f>J8+'30'!L8</f>
        <v>141810.23004449363</v>
      </c>
      <c r="M8" s="45">
        <f>F8+G8-J8</f>
        <v>10035.519063133248</v>
      </c>
      <c r="N8" s="46">
        <v>0</v>
      </c>
      <c r="O8" s="46"/>
      <c r="P8" s="46"/>
      <c r="Q8" s="56"/>
    </row>
    <row r="9" spans="2:17" s="67" customFormat="1" x14ac:dyDescent="0.25">
      <c r="B9" s="287">
        <v>3</v>
      </c>
      <c r="C9" s="284" t="s">
        <v>137</v>
      </c>
      <c r="D9" s="285"/>
      <c r="E9" s="286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7" x14ac:dyDescent="0.25">
      <c r="B10" s="288"/>
      <c r="C10" s="281" t="s">
        <v>138</v>
      </c>
      <c r="D10" s="282"/>
      <c r="E10" s="283"/>
      <c r="F10" s="46">
        <f>Clinker!K33</f>
        <v>0</v>
      </c>
      <c r="G10" s="46">
        <f>Clinker!L33</f>
        <v>0</v>
      </c>
      <c r="H10" s="46">
        <f>G10+'30'!H10</f>
        <v>0</v>
      </c>
      <c r="I10" s="46">
        <f>G10+'30'!I10</f>
        <v>0</v>
      </c>
      <c r="J10" s="46">
        <f>Clinker!N33</f>
        <v>0</v>
      </c>
      <c r="K10" s="46">
        <f>J10+'30'!K10</f>
        <v>0</v>
      </c>
      <c r="L10" s="46">
        <f>J10+'30'!L10</f>
        <v>0</v>
      </c>
      <c r="M10" s="45">
        <f>F10+G10-J10-J34</f>
        <v>0</v>
      </c>
      <c r="N10" s="46">
        <v>0</v>
      </c>
      <c r="O10" s="46"/>
      <c r="P10" s="46"/>
      <c r="Q10" s="56">
        <f>SUM(M10+N10)-O10</f>
        <v>0</v>
      </c>
    </row>
    <row r="11" spans="2:17" x14ac:dyDescent="0.25">
      <c r="B11" s="288"/>
      <c r="C11" s="281" t="s">
        <v>139</v>
      </c>
      <c r="D11" s="282"/>
      <c r="E11" s="283"/>
      <c r="F11" s="46">
        <f>Clinker!W33</f>
        <v>3.9999999998087787E-2</v>
      </c>
      <c r="G11" s="46">
        <f>Clinker!X33</f>
        <v>0</v>
      </c>
      <c r="H11" s="46">
        <f>G11+'30'!H11</f>
        <v>0</v>
      </c>
      <c r="I11" s="46">
        <f>G11+'30'!I11</f>
        <v>0</v>
      </c>
      <c r="J11" s="46">
        <f>Clinker!Z33</f>
        <v>0</v>
      </c>
      <c r="K11" s="46">
        <f>J11+'30'!K11</f>
        <v>1063</v>
      </c>
      <c r="L11" s="46">
        <f>J11+'30'!L11</f>
        <v>8686.84</v>
      </c>
      <c r="M11" s="45">
        <f>F11+G11-J11-J33</f>
        <v>3.9999999998087787E-2</v>
      </c>
      <c r="N11" s="46">
        <v>0</v>
      </c>
      <c r="O11" s="46"/>
      <c r="P11" s="46"/>
      <c r="Q11" s="56">
        <f>SUM(M11+N11)-O11</f>
        <v>3.9999999998087787E-2</v>
      </c>
    </row>
    <row r="12" spans="2:17" ht="15" customHeight="1" x14ac:dyDescent="0.25">
      <c r="B12" s="288"/>
      <c r="C12" s="281" t="s">
        <v>140</v>
      </c>
      <c r="D12" s="282"/>
      <c r="E12" s="283"/>
      <c r="F12" s="46">
        <f>Clinker!AT33</f>
        <v>1.0000000002058584E-2</v>
      </c>
      <c r="G12" s="46">
        <f>Clinker!AU33</f>
        <v>0</v>
      </c>
      <c r="H12" s="46">
        <f>G12+'30'!H12</f>
        <v>0</v>
      </c>
      <c r="I12" s="46">
        <f>G12+'30'!I12</f>
        <v>181.5</v>
      </c>
      <c r="J12" s="46">
        <f>Clinker!AV33</f>
        <v>0</v>
      </c>
      <c r="K12" s="46">
        <f>J12+'30'!K12</f>
        <v>2933.89</v>
      </c>
      <c r="L12" s="46">
        <f>J12+'30'!L12</f>
        <v>5675.5900000000011</v>
      </c>
      <c r="M12" s="45">
        <f>F12+G12-J12-J36</f>
        <v>1.0000000002058584E-2</v>
      </c>
      <c r="N12" s="46">
        <v>0</v>
      </c>
      <c r="O12" s="46"/>
      <c r="P12" s="46"/>
      <c r="Q12" s="70"/>
    </row>
    <row r="13" spans="2:17" x14ac:dyDescent="0.25">
      <c r="B13" s="288"/>
      <c r="C13" s="281" t="s">
        <v>9</v>
      </c>
      <c r="D13" s="282"/>
      <c r="E13" s="69"/>
      <c r="F13" s="46">
        <f>Clinker!AO33</f>
        <v>0</v>
      </c>
      <c r="G13" s="46">
        <f>Clinker!AP33</f>
        <v>0</v>
      </c>
      <c r="H13" s="46">
        <f>G13+'30'!H13</f>
        <v>0</v>
      </c>
      <c r="I13" s="46">
        <f>G13+'30'!I13</f>
        <v>0</v>
      </c>
      <c r="J13" s="46">
        <f>Clinker!AQ33</f>
        <v>0</v>
      </c>
      <c r="K13" s="46">
        <f>J13+'30'!K13</f>
        <v>0</v>
      </c>
      <c r="L13" s="46">
        <f>J13+'30'!L13</f>
        <v>0</v>
      </c>
      <c r="M13" s="45">
        <f>F13+G13-J13-J35</f>
        <v>0</v>
      </c>
      <c r="N13" s="46">
        <v>0</v>
      </c>
      <c r="O13" s="46"/>
      <c r="P13" s="46"/>
      <c r="Q13" s="70"/>
    </row>
    <row r="14" spans="2:17" x14ac:dyDescent="0.25">
      <c r="B14" s="288"/>
      <c r="C14" s="281" t="s">
        <v>8</v>
      </c>
      <c r="D14" s="282"/>
      <c r="E14" s="69"/>
      <c r="F14" s="46">
        <f>Clinker!AK33</f>
        <v>0</v>
      </c>
      <c r="G14" s="46">
        <f>Clinker!AL33</f>
        <v>0</v>
      </c>
      <c r="H14" s="46">
        <f>G14+'30'!H14</f>
        <v>0</v>
      </c>
      <c r="I14" s="46">
        <f>G14+'30'!I14</f>
        <v>0</v>
      </c>
      <c r="J14" s="46">
        <f>Clinker!AM33</f>
        <v>0</v>
      </c>
      <c r="K14" s="46">
        <f>J14+'30'!K14</f>
        <v>0</v>
      </c>
      <c r="L14" s="46">
        <f>J14+'30'!L14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7" x14ac:dyDescent="0.25">
      <c r="B15" s="288"/>
      <c r="C15" s="281" t="s">
        <v>11</v>
      </c>
      <c r="D15" s="282"/>
      <c r="E15" s="69"/>
      <c r="F15" s="46">
        <f>Clinker!AY33</f>
        <v>2811.1469999999899</v>
      </c>
      <c r="G15" s="46">
        <f>Clinker!AZ33</f>
        <v>0</v>
      </c>
      <c r="H15" s="46">
        <f>G15+'30'!H15</f>
        <v>5500.6800000000012</v>
      </c>
      <c r="I15" s="46">
        <f>G15+'30'!I15</f>
        <v>5912.420000000001</v>
      </c>
      <c r="J15" s="46">
        <f>Clinker!BA33</f>
        <v>0</v>
      </c>
      <c r="K15" s="46">
        <f>J15+'30'!K15</f>
        <v>3091.56</v>
      </c>
      <c r="L15" s="46">
        <f>J15+'30'!L15</f>
        <v>3091.56</v>
      </c>
      <c r="M15" s="45">
        <f>F15+G15-J15-J37</f>
        <v>2811.1469999999899</v>
      </c>
      <c r="N15" s="75">
        <v>121.76</v>
      </c>
      <c r="O15" s="46">
        <v>5000</v>
      </c>
      <c r="P15" s="46">
        <v>9000</v>
      </c>
      <c r="Q15" s="70"/>
    </row>
    <row r="16" spans="2:17" x14ac:dyDescent="0.25">
      <c r="B16" s="288"/>
      <c r="C16" s="76" t="s">
        <v>141</v>
      </c>
      <c r="D16" s="77"/>
      <c r="E16" s="69"/>
      <c r="F16" s="46">
        <f>Clinker!BD33</f>
        <v>0</v>
      </c>
      <c r="G16" s="46">
        <f>Clinker!BE33</f>
        <v>0</v>
      </c>
      <c r="H16" s="46">
        <f>G16+'30'!H16</f>
        <v>0</v>
      </c>
      <c r="I16" s="46">
        <f>G16+'30'!I16</f>
        <v>0</v>
      </c>
      <c r="J16" s="46">
        <f>Clinker!BF33</f>
        <v>0</v>
      </c>
      <c r="K16" s="46">
        <f>J16+'30'!K16</f>
        <v>0</v>
      </c>
      <c r="L16" s="46">
        <f>J16+'30'!L16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88"/>
      <c r="C17" s="281" t="s">
        <v>180</v>
      </c>
      <c r="D17" s="282"/>
      <c r="E17" s="283"/>
      <c r="F17" s="46">
        <f>Clinker!BI33</f>
        <v>0</v>
      </c>
      <c r="G17" s="46">
        <f>Clinker!BJ33</f>
        <v>0</v>
      </c>
      <c r="H17" s="46">
        <f>G17+'30'!H17</f>
        <v>0</v>
      </c>
      <c r="I17" s="46">
        <f>G17+'30'!I17</f>
        <v>0</v>
      </c>
      <c r="J17" s="46">
        <f>Clinker!BK33</f>
        <v>0</v>
      </c>
      <c r="K17" s="46">
        <f>J17+'30'!K17</f>
        <v>0</v>
      </c>
      <c r="L17" s="46">
        <f>J17+'30'!L17</f>
        <v>0</v>
      </c>
      <c r="M17" s="45">
        <f>F17+G17-J17-J39</f>
        <v>0</v>
      </c>
      <c r="N17" s="46">
        <v>0</v>
      </c>
      <c r="O17" s="46"/>
      <c r="P17" s="46"/>
      <c r="Q17" s="70"/>
    </row>
    <row r="18" spans="2:17" ht="14.25" customHeight="1" x14ac:dyDescent="0.25">
      <c r="B18" s="288"/>
      <c r="C18" s="281" t="s">
        <v>14</v>
      </c>
      <c r="D18" s="282"/>
      <c r="E18" s="283"/>
      <c r="F18" s="46">
        <f>Clinker!BN33</f>
        <v>0</v>
      </c>
      <c r="G18" s="46">
        <f>Clinker!BO33</f>
        <v>0</v>
      </c>
      <c r="H18" s="46">
        <f>G18+'30'!H18</f>
        <v>0</v>
      </c>
      <c r="I18" s="46">
        <f>G18+'30'!I18</f>
        <v>0</v>
      </c>
      <c r="J18" s="46">
        <f>Clinker!BP33</f>
        <v>0</v>
      </c>
      <c r="K18" s="46">
        <f>J18+'30'!K18</f>
        <v>0</v>
      </c>
      <c r="L18" s="46">
        <f>J18+'30'!L18</f>
        <v>0</v>
      </c>
      <c r="M18" s="45">
        <f>F18+G18-J18-J40</f>
        <v>0</v>
      </c>
      <c r="N18" s="46">
        <v>0</v>
      </c>
      <c r="O18" s="46"/>
      <c r="P18" s="46"/>
      <c r="Q18" s="70"/>
    </row>
    <row r="19" spans="2:17" ht="14.25" customHeight="1" x14ac:dyDescent="0.25">
      <c r="B19" s="288"/>
      <c r="C19" s="76" t="s">
        <v>142</v>
      </c>
      <c r="D19" s="77"/>
      <c r="E19" s="69"/>
      <c r="F19" s="46">
        <f>Clinker!BS33</f>
        <v>0</v>
      </c>
      <c r="G19" s="46">
        <f>Clinker!BT33</f>
        <v>0</v>
      </c>
      <c r="H19" s="46">
        <f>G19+'30'!H19</f>
        <v>0</v>
      </c>
      <c r="I19" s="46">
        <f>G19+'30'!I19</f>
        <v>0</v>
      </c>
      <c r="J19" s="46">
        <f>Clinker!BU33</f>
        <v>0</v>
      </c>
      <c r="K19" s="46">
        <f>J19+'30'!K19</f>
        <v>0</v>
      </c>
      <c r="L19" s="46">
        <f>J19+'30'!L19</f>
        <v>0</v>
      </c>
      <c r="M19" s="45">
        <f>F19+G19-J19-J41</f>
        <v>0</v>
      </c>
      <c r="N19" s="46">
        <v>0</v>
      </c>
      <c r="O19" s="46"/>
      <c r="P19" s="46"/>
      <c r="Q19" s="70"/>
    </row>
    <row r="20" spans="2:17" ht="14.25" customHeight="1" x14ac:dyDescent="0.25">
      <c r="B20" s="288"/>
      <c r="C20" s="281" t="s">
        <v>155</v>
      </c>
      <c r="D20" s="282"/>
      <c r="E20" s="69"/>
      <c r="F20" s="46">
        <f>Clinker!BX33</f>
        <v>0</v>
      </c>
      <c r="G20" s="46">
        <f>Clinker!BY33</f>
        <v>0</v>
      </c>
      <c r="H20" s="46">
        <f>G20+'30'!H20</f>
        <v>0</v>
      </c>
      <c r="I20" s="46">
        <f>G20+'30'!I20</f>
        <v>0</v>
      </c>
      <c r="J20" s="46">
        <f>Clinker!AH33</f>
        <v>0</v>
      </c>
      <c r="K20" s="46">
        <f>J20+'30'!K20</f>
        <v>0</v>
      </c>
      <c r="L20" s="46">
        <f>J20+'30'!L20</f>
        <v>4052.88</v>
      </c>
      <c r="M20" s="45">
        <v>0</v>
      </c>
      <c r="N20" s="46">
        <v>0</v>
      </c>
      <c r="O20" s="46"/>
      <c r="P20" s="46"/>
      <c r="Q20" s="70"/>
    </row>
    <row r="21" spans="2:17" ht="14.25" customHeight="1" x14ac:dyDescent="0.25">
      <c r="B21" s="288"/>
      <c r="C21" s="76" t="s">
        <v>20</v>
      </c>
      <c r="D21" s="77"/>
      <c r="E21" s="69"/>
      <c r="F21" s="46">
        <f>Clinker!CR33</f>
        <v>0</v>
      </c>
      <c r="G21" s="46">
        <f>Clinker!CS33</f>
        <v>0</v>
      </c>
      <c r="H21" s="46">
        <f>G21+'30'!H21</f>
        <v>0</v>
      </c>
      <c r="I21" s="46">
        <f>G21+'30'!I21</f>
        <v>0</v>
      </c>
      <c r="J21" s="46">
        <f>Clinker!CT33</f>
        <v>0</v>
      </c>
      <c r="K21" s="46">
        <f>J21+'30'!K21</f>
        <v>0</v>
      </c>
      <c r="L21" s="46">
        <f>J21+'30'!L21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88"/>
      <c r="C22" s="76" t="s">
        <v>184</v>
      </c>
      <c r="D22" s="77"/>
      <c r="E22" s="69"/>
      <c r="F22" s="46">
        <f>Clinker!CW33</f>
        <v>0</v>
      </c>
      <c r="G22" s="46">
        <f>Clinker!CX33</f>
        <v>0</v>
      </c>
      <c r="H22" s="46">
        <f>G22+'30'!H22</f>
        <v>0</v>
      </c>
      <c r="I22" s="46">
        <f>G22+'30'!I22</f>
        <v>0</v>
      </c>
      <c r="J22" s="46">
        <f>Clinker!CY33</f>
        <v>0</v>
      </c>
      <c r="K22" s="46">
        <f>J22+'30'!K22</f>
        <v>0</v>
      </c>
      <c r="L22" s="46">
        <f>J22+'30'!L22</f>
        <v>0</v>
      </c>
      <c r="M22" s="45">
        <f>F22+G22-J22-J43</f>
        <v>0</v>
      </c>
      <c r="N22" s="46">
        <v>0</v>
      </c>
      <c r="O22" s="46"/>
      <c r="P22" s="46"/>
      <c r="Q22" s="70"/>
    </row>
    <row r="23" spans="2:17" ht="14.25" customHeight="1" x14ac:dyDescent="0.25">
      <c r="B23" s="288"/>
      <c r="C23" s="76" t="s">
        <v>22</v>
      </c>
      <c r="D23" s="77"/>
      <c r="E23" s="69"/>
      <c r="F23" s="46">
        <f>Clinker!DB33</f>
        <v>1.0000000000013998E-2</v>
      </c>
      <c r="G23" s="46">
        <f>Clinker!DC33</f>
        <v>0</v>
      </c>
      <c r="H23" s="46">
        <f>G23+'30'!H23</f>
        <v>0</v>
      </c>
      <c r="I23" s="46">
        <f>G23+'30'!I23</f>
        <v>0</v>
      </c>
      <c r="J23" s="46">
        <f>Clinker!DD33</f>
        <v>0</v>
      </c>
      <c r="K23" s="46">
        <f>J23+'30'!K23</f>
        <v>7.1</v>
      </c>
      <c r="L23" s="46">
        <f>J23+'30'!L23</f>
        <v>305.99</v>
      </c>
      <c r="M23" s="45">
        <f>F23+G23-J23-J44</f>
        <v>1.0000000000013998E-2</v>
      </c>
      <c r="N23" s="46">
        <v>0</v>
      </c>
      <c r="O23" s="46"/>
      <c r="P23" s="46"/>
      <c r="Q23" s="70"/>
    </row>
    <row r="24" spans="2:17" ht="14.25" customHeight="1" x14ac:dyDescent="0.25">
      <c r="B24" s="288"/>
      <c r="C24" s="76" t="s">
        <v>144</v>
      </c>
      <c r="D24" s="77"/>
      <c r="E24" s="69"/>
      <c r="F24" s="46">
        <f>Clinker!DG33</f>
        <v>0</v>
      </c>
      <c r="G24" s="46">
        <f>Clinker!DH33</f>
        <v>0</v>
      </c>
      <c r="H24" s="46">
        <f>G24+'30'!H24</f>
        <v>0</v>
      </c>
      <c r="I24" s="46">
        <f>G24+'30'!I24</f>
        <v>0</v>
      </c>
      <c r="J24" s="46">
        <f>Clinker!DI33</f>
        <v>0</v>
      </c>
      <c r="K24" s="46">
        <f>J24+'30'!K24</f>
        <v>0</v>
      </c>
      <c r="L24" s="46">
        <f>J24+'30'!L24</f>
        <v>0</v>
      </c>
      <c r="M24" s="45">
        <f>F24+G24-J24-J45</f>
        <v>0</v>
      </c>
      <c r="N24" s="46">
        <v>0</v>
      </c>
      <c r="O24" s="46"/>
      <c r="P24" s="46"/>
      <c r="Q24" s="70"/>
    </row>
    <row r="25" spans="2:17" ht="14.25" customHeight="1" x14ac:dyDescent="0.25">
      <c r="B25" s="288"/>
      <c r="C25" s="76" t="s">
        <v>145</v>
      </c>
      <c r="D25" s="77"/>
      <c r="E25" s="69"/>
      <c r="F25" s="46">
        <f>Clinker!DL33</f>
        <v>496</v>
      </c>
      <c r="G25" s="46">
        <f>Clinker!DM33</f>
        <v>0</v>
      </c>
      <c r="H25" s="46">
        <f>G25+'30'!H25</f>
        <v>284</v>
      </c>
      <c r="I25" s="46">
        <f>G25+'30'!I25</f>
        <v>496</v>
      </c>
      <c r="J25" s="46">
        <f>Clinker!DN33</f>
        <v>0</v>
      </c>
      <c r="K25" s="46">
        <f>J25+'30'!K25</f>
        <v>0</v>
      </c>
      <c r="L25" s="46">
        <f>J25+'30'!L25</f>
        <v>0</v>
      </c>
      <c r="M25" s="45">
        <f>F25+G25-J25-J46</f>
        <v>496</v>
      </c>
      <c r="N25" s="46">
        <v>30</v>
      </c>
      <c r="O25" s="46">
        <v>5000</v>
      </c>
      <c r="P25" s="46">
        <v>9000</v>
      </c>
      <c r="Q25" s="71"/>
    </row>
    <row r="26" spans="2:17" s="67" customFormat="1" x14ac:dyDescent="0.25">
      <c r="B26" s="288"/>
      <c r="C26" s="281" t="s">
        <v>146</v>
      </c>
      <c r="D26" s="282"/>
      <c r="E26" s="283"/>
      <c r="F26" s="46">
        <f>SUM(F10:F25)</f>
        <v>3307.2069999999903</v>
      </c>
      <c r="G26" s="46">
        <f t="shared" ref="G26:Q26" si="0">SUM(G10:G25)</f>
        <v>0</v>
      </c>
      <c r="H26" s="46">
        <f t="shared" si="0"/>
        <v>5784.6800000000012</v>
      </c>
      <c r="I26" s="46">
        <f t="shared" si="0"/>
        <v>6589.920000000001</v>
      </c>
      <c r="J26" s="46">
        <f t="shared" si="0"/>
        <v>0</v>
      </c>
      <c r="K26" s="46">
        <f t="shared" si="0"/>
        <v>7095.55</v>
      </c>
      <c r="L26" s="46">
        <f t="shared" si="0"/>
        <v>21812.860000000004</v>
      </c>
      <c r="M26" s="46">
        <f t="shared" si="0"/>
        <v>3307.2069999999903</v>
      </c>
      <c r="N26" s="46">
        <f t="shared" si="0"/>
        <v>151.76</v>
      </c>
      <c r="O26" s="46"/>
      <c r="P26" s="46"/>
      <c r="Q26" s="46">
        <f t="shared" si="0"/>
        <v>3.9999999998087787E-2</v>
      </c>
    </row>
    <row r="27" spans="2:17" ht="15.6" customHeight="1" x14ac:dyDescent="0.25">
      <c r="B27" s="288"/>
      <c r="C27" s="284" t="s">
        <v>147</v>
      </c>
      <c r="D27" s="285"/>
      <c r="E27" s="286"/>
      <c r="F27" s="46"/>
      <c r="G27" s="46"/>
      <c r="H27" s="46"/>
      <c r="I27" s="46"/>
      <c r="J27" s="46"/>
      <c r="K27" s="46"/>
      <c r="L27" s="46"/>
      <c r="M27" s="45"/>
      <c r="N27" s="46"/>
      <c r="O27" s="46">
        <f>SUM(O10:O26)</f>
        <v>10000</v>
      </c>
      <c r="P27" s="46">
        <f>SUM(P10:P26)</f>
        <v>18000</v>
      </c>
      <c r="Q27" s="58"/>
    </row>
    <row r="28" spans="2:17" x14ac:dyDescent="0.25">
      <c r="B28" s="288"/>
      <c r="C28" s="281" t="s">
        <v>148</v>
      </c>
      <c r="D28" s="282"/>
      <c r="E28" s="283"/>
      <c r="F28" s="46">
        <f>Clinker!Q33</f>
        <v>0</v>
      </c>
      <c r="G28" s="46">
        <f>Clinker!R33</f>
        <v>0</v>
      </c>
      <c r="H28" s="46">
        <f>G28+'30'!H29</f>
        <v>0</v>
      </c>
      <c r="I28" s="46">
        <f>G28+'30'!I29</f>
        <v>0</v>
      </c>
      <c r="J28" s="46">
        <f>Clinker!S33</f>
        <v>0</v>
      </c>
      <c r="K28" s="46">
        <f>J28+'30'!K29</f>
        <v>0</v>
      </c>
      <c r="L28" s="46">
        <f>J28+'30'!L29</f>
        <v>0</v>
      </c>
      <c r="M28" s="45">
        <f>F28+G28-J28</f>
        <v>0</v>
      </c>
      <c r="N28" s="46"/>
      <c r="O28" s="46"/>
      <c r="P28" s="46"/>
      <c r="Q28" s="56">
        <f>SUM(M28+N28)-O28</f>
        <v>0</v>
      </c>
    </row>
    <row r="29" spans="2:17" x14ac:dyDescent="0.25">
      <c r="B29" s="288"/>
      <c r="C29" s="281" t="s">
        <v>149</v>
      </c>
      <c r="D29" s="282"/>
      <c r="E29" s="283"/>
      <c r="F29" s="46">
        <v>0</v>
      </c>
      <c r="G29" s="46">
        <v>0</v>
      </c>
      <c r="H29" s="46">
        <f>G29+'30'!H30</f>
        <v>0</v>
      </c>
      <c r="I29" s="46">
        <f>G29+'30'!I30</f>
        <v>0</v>
      </c>
      <c r="J29" s="46">
        <v>0</v>
      </c>
      <c r="K29" s="46">
        <f>J29+'30'!K30</f>
        <v>0</v>
      </c>
      <c r="L29" s="46">
        <f>J29+'30'!L30</f>
        <v>0</v>
      </c>
      <c r="M29" s="45">
        <f>F29+G29-J29</f>
        <v>0</v>
      </c>
      <c r="N29" s="46">
        <v>0</v>
      </c>
      <c r="O29" s="46"/>
      <c r="P29" s="46"/>
      <c r="Q29" s="56"/>
    </row>
    <row r="30" spans="2:17" x14ac:dyDescent="0.25">
      <c r="B30" s="288"/>
      <c r="C30" s="281" t="s">
        <v>150</v>
      </c>
      <c r="D30" s="282"/>
      <c r="E30" s="283"/>
      <c r="F30" s="46">
        <v>0</v>
      </c>
      <c r="G30" s="46">
        <v>0</v>
      </c>
      <c r="H30" s="46">
        <f>G30+'30'!H31</f>
        <v>0</v>
      </c>
      <c r="I30" s="46">
        <f>G30+'30'!I31</f>
        <v>0</v>
      </c>
      <c r="J30" s="46">
        <v>0</v>
      </c>
      <c r="K30" s="46">
        <f>J30+'30'!K31</f>
        <v>0</v>
      </c>
      <c r="L30" s="46">
        <f>J30+'30'!L31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ht="15" customHeight="1" x14ac:dyDescent="0.25">
      <c r="B31" s="288"/>
      <c r="C31" s="281" t="s">
        <v>140</v>
      </c>
      <c r="D31" s="282"/>
      <c r="E31" s="283"/>
      <c r="F31" s="46">
        <f>Clinker!DQ33</f>
        <v>0</v>
      </c>
      <c r="G31" s="46">
        <f>Clinker!DS33</f>
        <v>0</v>
      </c>
      <c r="H31" s="46">
        <f>G31+'30'!H32</f>
        <v>0</v>
      </c>
      <c r="I31" s="46">
        <f>G31+'30'!I32</f>
        <v>0</v>
      </c>
      <c r="J31" s="46">
        <f>Clinker!DT33</f>
        <v>0</v>
      </c>
      <c r="K31" s="46">
        <f>J31+'30'!K32</f>
        <v>0</v>
      </c>
      <c r="L31" s="46">
        <f>J31+'30'!L32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x14ac:dyDescent="0.25">
      <c r="B32" s="288"/>
      <c r="C32" s="281" t="s">
        <v>151</v>
      </c>
      <c r="D32" s="282"/>
      <c r="E32" s="283"/>
      <c r="F32" s="46">
        <v>0</v>
      </c>
      <c r="G32" s="46">
        <v>0</v>
      </c>
      <c r="H32" s="46">
        <f>G32+'30'!H33</f>
        <v>0</v>
      </c>
      <c r="I32" s="46">
        <f>G32+'30'!I33</f>
        <v>0</v>
      </c>
      <c r="J32" s="46">
        <v>0</v>
      </c>
      <c r="K32" s="46">
        <f>J32+'30'!K33</f>
        <v>0</v>
      </c>
      <c r="L32" s="46">
        <f>J32+'30'!L33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ht="15" customHeight="1" x14ac:dyDescent="0.25">
      <c r="B33" s="288"/>
      <c r="C33" s="281" t="s">
        <v>139</v>
      </c>
      <c r="D33" s="282"/>
      <c r="E33" s="283"/>
      <c r="F33" s="46"/>
      <c r="G33" s="46"/>
      <c r="H33" s="46"/>
      <c r="I33" s="46"/>
      <c r="J33" s="46">
        <f>Clinker!Y33</f>
        <v>0</v>
      </c>
      <c r="K33" s="46">
        <f>J33+'30'!K34</f>
        <v>0</v>
      </c>
      <c r="L33" s="46">
        <f>J33+'30'!L34</f>
        <v>1327</v>
      </c>
      <c r="M33" s="45"/>
      <c r="N33" s="46">
        <v>0</v>
      </c>
      <c r="O33" s="46"/>
      <c r="P33" s="46"/>
      <c r="Q33" s="56"/>
    </row>
    <row r="34" spans="2:17" ht="15" customHeight="1" x14ac:dyDescent="0.25">
      <c r="B34" s="288"/>
      <c r="C34" s="281" t="s">
        <v>138</v>
      </c>
      <c r="D34" s="282"/>
      <c r="E34" s="283"/>
      <c r="F34" s="46"/>
      <c r="G34" s="46"/>
      <c r="H34" s="46"/>
      <c r="I34" s="46"/>
      <c r="J34" s="46">
        <f>Clinker!M33</f>
        <v>0</v>
      </c>
      <c r="K34" s="46">
        <f>J34+'30'!K35</f>
        <v>0</v>
      </c>
      <c r="L34" s="46">
        <f>J34+'30'!L35</f>
        <v>0</v>
      </c>
      <c r="M34" s="45"/>
      <c r="N34" s="46">
        <v>0</v>
      </c>
      <c r="O34" s="46"/>
      <c r="P34" s="46"/>
      <c r="Q34" s="56"/>
    </row>
    <row r="35" spans="2:17" ht="15" customHeight="1" x14ac:dyDescent="0.25">
      <c r="B35" s="288"/>
      <c r="C35" s="281" t="s">
        <v>9</v>
      </c>
      <c r="D35" s="282"/>
      <c r="E35" s="69"/>
      <c r="F35" s="46"/>
      <c r="G35" s="46"/>
      <c r="H35" s="46"/>
      <c r="I35" s="46"/>
      <c r="J35" s="46">
        <f>Clinker!AR33</f>
        <v>0</v>
      </c>
      <c r="K35" s="46">
        <f>J35+'30'!K36</f>
        <v>0</v>
      </c>
      <c r="L35" s="46">
        <f>J35+'30'!L36</f>
        <v>0</v>
      </c>
      <c r="M35" s="45"/>
      <c r="N35" s="46">
        <v>0</v>
      </c>
      <c r="O35" s="46"/>
      <c r="P35" s="46"/>
      <c r="Q35" s="56"/>
    </row>
    <row r="36" spans="2:17" ht="15" customHeight="1" x14ac:dyDescent="0.25">
      <c r="B36" s="288"/>
      <c r="C36" s="281" t="s">
        <v>25</v>
      </c>
      <c r="D36" s="282"/>
      <c r="E36" s="283"/>
      <c r="F36" s="46"/>
      <c r="G36" s="46"/>
      <c r="H36" s="46"/>
      <c r="I36" s="46"/>
      <c r="J36" s="46">
        <f>Clinker!AW33</f>
        <v>0</v>
      </c>
      <c r="K36" s="46">
        <f>J36+'30'!K37</f>
        <v>0</v>
      </c>
      <c r="L36" s="46">
        <f>J36+'30'!L37</f>
        <v>20</v>
      </c>
      <c r="M36" s="45"/>
      <c r="N36" s="46"/>
      <c r="O36" s="46"/>
      <c r="P36" s="46"/>
      <c r="Q36" s="56"/>
    </row>
    <row r="37" spans="2:17" x14ac:dyDescent="0.25">
      <c r="B37" s="288"/>
      <c r="C37" s="281" t="s">
        <v>11</v>
      </c>
      <c r="D37" s="282"/>
      <c r="E37" s="69"/>
      <c r="F37" s="46"/>
      <c r="G37" s="46"/>
      <c r="H37" s="46"/>
      <c r="I37" s="46"/>
      <c r="J37" s="46">
        <f>Clinker!BB33</f>
        <v>0</v>
      </c>
      <c r="K37" s="46">
        <f>J37+'30'!K38</f>
        <v>10</v>
      </c>
      <c r="L37" s="46">
        <f>J37+'30'!L38</f>
        <v>10</v>
      </c>
      <c r="M37" s="45"/>
      <c r="N37" s="46"/>
      <c r="O37" s="46"/>
      <c r="P37" s="46"/>
      <c r="Q37" s="56"/>
    </row>
    <row r="38" spans="2:17" ht="15" customHeight="1" x14ac:dyDescent="0.25">
      <c r="B38" s="288"/>
      <c r="C38" s="76" t="s">
        <v>141</v>
      </c>
      <c r="D38" s="77"/>
      <c r="E38" s="69"/>
      <c r="F38" s="46"/>
      <c r="G38" s="46"/>
      <c r="H38" s="46"/>
      <c r="I38" s="46"/>
      <c r="J38" s="46">
        <f>Clinker!BG33</f>
        <v>0</v>
      </c>
      <c r="K38" s="46">
        <f>J38+'30'!K39</f>
        <v>0</v>
      </c>
      <c r="L38" s="46">
        <f>J38+'30'!L39</f>
        <v>0</v>
      </c>
      <c r="M38" s="45"/>
      <c r="N38" s="46"/>
      <c r="O38" s="46"/>
      <c r="P38" s="46"/>
      <c r="Q38" s="56"/>
    </row>
    <row r="39" spans="2:17" ht="15" customHeight="1" x14ac:dyDescent="0.25">
      <c r="B39" s="288"/>
      <c r="C39" s="281" t="s">
        <v>180</v>
      </c>
      <c r="D39" s="282"/>
      <c r="E39" s="283"/>
      <c r="F39" s="46"/>
      <c r="G39" s="46"/>
      <c r="H39" s="46"/>
      <c r="I39" s="46"/>
      <c r="J39" s="46">
        <f>Clinker!BL33</f>
        <v>0</v>
      </c>
      <c r="K39" s="46">
        <f>J39+'30'!K40</f>
        <v>0</v>
      </c>
      <c r="L39" s="46">
        <f>J39+'30'!L40</f>
        <v>0</v>
      </c>
      <c r="M39" s="45"/>
      <c r="N39" s="46"/>
      <c r="O39" s="46"/>
      <c r="P39" s="46"/>
      <c r="Q39" s="56"/>
    </row>
    <row r="40" spans="2:17" ht="15" customHeight="1" x14ac:dyDescent="0.25">
      <c r="B40" s="288"/>
      <c r="C40" s="76" t="s">
        <v>14</v>
      </c>
      <c r="D40" s="77"/>
      <c r="E40" s="69"/>
      <c r="F40" s="46"/>
      <c r="G40" s="46"/>
      <c r="H40" s="46"/>
      <c r="I40" s="46"/>
      <c r="J40" s="46">
        <f>Clinker!BQ33</f>
        <v>0</v>
      </c>
      <c r="K40" s="46">
        <f>J40+'30'!K41</f>
        <v>0</v>
      </c>
      <c r="L40" s="46">
        <f>J40+'30'!L41</f>
        <v>0</v>
      </c>
      <c r="M40" s="45"/>
      <c r="N40" s="46"/>
      <c r="O40" s="46"/>
      <c r="P40" s="46"/>
      <c r="Q40" s="56"/>
    </row>
    <row r="41" spans="2:17" x14ac:dyDescent="0.25">
      <c r="B41" s="288"/>
      <c r="C41" s="76" t="s">
        <v>142</v>
      </c>
      <c r="D41" s="77"/>
      <c r="E41" s="69"/>
      <c r="F41" s="46"/>
      <c r="G41" s="46"/>
      <c r="H41" s="46"/>
      <c r="I41" s="46"/>
      <c r="J41" s="46">
        <f>Clinker!BV33</f>
        <v>0</v>
      </c>
      <c r="K41" s="46">
        <f>J41+'30'!K42</f>
        <v>0</v>
      </c>
      <c r="L41" s="46">
        <f>J41+'30'!L42</f>
        <v>0</v>
      </c>
      <c r="M41" s="45"/>
      <c r="N41" s="46"/>
      <c r="O41" s="46"/>
      <c r="P41" s="46"/>
      <c r="Q41" s="56"/>
    </row>
    <row r="42" spans="2:17" x14ac:dyDescent="0.25">
      <c r="B42" s="288"/>
      <c r="C42" s="76" t="s">
        <v>20</v>
      </c>
      <c r="D42" s="77"/>
      <c r="E42" s="69"/>
      <c r="F42" s="46"/>
      <c r="G42" s="46"/>
      <c r="H42" s="46"/>
      <c r="I42" s="46"/>
      <c r="J42" s="46">
        <f>Clinker!CU33</f>
        <v>0</v>
      </c>
      <c r="K42" s="46">
        <f>J42+'30'!K43</f>
        <v>0</v>
      </c>
      <c r="L42" s="46">
        <f>J42+'30'!L43</f>
        <v>0</v>
      </c>
      <c r="M42" s="45"/>
      <c r="N42" s="46"/>
      <c r="O42" s="46"/>
      <c r="P42" s="46"/>
      <c r="Q42" s="56"/>
    </row>
    <row r="43" spans="2:17" x14ac:dyDescent="0.25">
      <c r="B43" s="288"/>
      <c r="C43" s="76" t="s">
        <v>152</v>
      </c>
      <c r="D43" s="77"/>
      <c r="E43" s="69"/>
      <c r="F43" s="46"/>
      <c r="G43" s="46"/>
      <c r="H43" s="46"/>
      <c r="I43" s="46"/>
      <c r="J43" s="46">
        <f>Clinker!CZ33</f>
        <v>0</v>
      </c>
      <c r="K43" s="46">
        <f>J43+'30'!K44</f>
        <v>0</v>
      </c>
      <c r="L43" s="46">
        <f>J43+'30'!L44</f>
        <v>0</v>
      </c>
      <c r="M43" s="45"/>
      <c r="N43" s="46"/>
      <c r="O43" s="46"/>
      <c r="P43" s="46"/>
      <c r="Q43" s="56"/>
    </row>
    <row r="44" spans="2:17" x14ac:dyDescent="0.25">
      <c r="B44" s="288"/>
      <c r="C44" s="76" t="s">
        <v>22</v>
      </c>
      <c r="D44" s="77"/>
      <c r="E44" s="69"/>
      <c r="F44" s="46"/>
      <c r="G44" s="46"/>
      <c r="H44" s="46"/>
      <c r="I44" s="46"/>
      <c r="J44" s="46">
        <f>Clinker!DE33</f>
        <v>0</v>
      </c>
      <c r="K44" s="46">
        <f>J44+'30'!K45</f>
        <v>0</v>
      </c>
      <c r="L44" s="46">
        <f>J44+'30'!L45</f>
        <v>0</v>
      </c>
      <c r="M44" s="45"/>
      <c r="N44" s="46"/>
      <c r="O44" s="46"/>
      <c r="P44" s="46"/>
      <c r="Q44" s="56"/>
    </row>
    <row r="45" spans="2:17" x14ac:dyDescent="0.25">
      <c r="B45" s="288"/>
      <c r="C45" s="76" t="s">
        <v>104</v>
      </c>
      <c r="D45" s="77"/>
      <c r="E45" s="69"/>
      <c r="F45" s="46"/>
      <c r="G45" s="46"/>
      <c r="H45" s="46"/>
      <c r="I45" s="46"/>
      <c r="J45" s="46">
        <f>Clinker!DJ33</f>
        <v>0</v>
      </c>
      <c r="K45" s="46">
        <f>J45+'30'!K46</f>
        <v>0</v>
      </c>
      <c r="L45" s="46">
        <f>J45+'30'!L46</f>
        <v>0</v>
      </c>
      <c r="M45" s="45"/>
      <c r="N45" s="46"/>
      <c r="O45" s="46"/>
      <c r="P45" s="46"/>
      <c r="Q45" s="56"/>
    </row>
    <row r="46" spans="2:17" x14ac:dyDescent="0.25">
      <c r="B46" s="288"/>
      <c r="C46" s="281" t="s">
        <v>145</v>
      </c>
      <c r="D46" s="282"/>
      <c r="E46" s="69"/>
      <c r="F46" s="46"/>
      <c r="G46" s="46"/>
      <c r="H46" s="46"/>
      <c r="I46" s="46"/>
      <c r="J46" s="46">
        <f>Clinker!DO33</f>
        <v>0</v>
      </c>
      <c r="K46" s="46">
        <f>J46+'30'!K47</f>
        <v>0</v>
      </c>
      <c r="L46" s="46">
        <f>J46+'30'!L47</f>
        <v>0</v>
      </c>
      <c r="M46" s="45"/>
      <c r="N46" s="46"/>
      <c r="O46" s="46"/>
      <c r="P46" s="46"/>
      <c r="Q46" s="56"/>
    </row>
    <row r="47" spans="2:17" x14ac:dyDescent="0.25">
      <c r="B47" s="288"/>
      <c r="C47" s="76" t="s">
        <v>181</v>
      </c>
      <c r="D47" s="77"/>
      <c r="E47" s="69"/>
      <c r="F47" s="46">
        <f>Clinker!CM33</f>
        <v>5.0000000000181899E-2</v>
      </c>
      <c r="G47" s="46">
        <f>Clinker!CN33</f>
        <v>0</v>
      </c>
      <c r="H47" s="46">
        <f>G47+'30'!H48</f>
        <v>0</v>
      </c>
      <c r="I47" s="46">
        <f>G47+'30'!I48</f>
        <v>0</v>
      </c>
      <c r="J47" s="46">
        <f>Clinker!CP33</f>
        <v>0</v>
      </c>
      <c r="K47" s="46">
        <f>J47+'30'!K48</f>
        <v>0</v>
      </c>
      <c r="L47" s="46">
        <f>J47+'30'!L48</f>
        <v>0</v>
      </c>
      <c r="M47" s="45">
        <f>F47+G47-J47</f>
        <v>5.0000000000181899E-2</v>
      </c>
      <c r="N47" s="46"/>
      <c r="O47" s="46"/>
      <c r="P47" s="46"/>
      <c r="Q47" s="56"/>
    </row>
    <row r="48" spans="2:17" x14ac:dyDescent="0.25">
      <c r="B48" s="288"/>
      <c r="C48" s="76" t="s">
        <v>102</v>
      </c>
      <c r="D48" s="77"/>
      <c r="E48" s="69"/>
      <c r="F48" s="46">
        <f>Clinker!CC33</f>
        <v>0</v>
      </c>
      <c r="G48" s="46">
        <f>Clinker!CD33</f>
        <v>0</v>
      </c>
      <c r="H48" s="46">
        <f>G48+'30'!H49</f>
        <v>0</v>
      </c>
      <c r="I48" s="46">
        <f>G48+'30'!I49</f>
        <v>0</v>
      </c>
      <c r="J48" s="46">
        <f>Clinker!CF33</f>
        <v>0</v>
      </c>
      <c r="K48" s="46">
        <f>J48+'30'!K49</f>
        <v>0</v>
      </c>
      <c r="L48" s="46">
        <f>J48+'30'!L49</f>
        <v>0</v>
      </c>
      <c r="M48" s="45">
        <f>F48+G48-J48</f>
        <v>0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88"/>
      <c r="C49" s="281" t="s">
        <v>154</v>
      </c>
      <c r="D49" s="282"/>
      <c r="E49" s="69"/>
      <c r="F49" s="46">
        <f>Clinker!CH33</f>
        <v>0</v>
      </c>
      <c r="G49" s="46">
        <f>Clinker!CI33</f>
        <v>0</v>
      </c>
      <c r="H49" s="46">
        <f>G49+'30'!H50</f>
        <v>0</v>
      </c>
      <c r="I49" s="46">
        <f>G49+'30'!I50</f>
        <v>0</v>
      </c>
      <c r="J49" s="46">
        <f>Clinker!CK33</f>
        <v>0</v>
      </c>
      <c r="K49" s="46">
        <f>J49+'30'!K50</f>
        <v>0</v>
      </c>
      <c r="L49" s="46">
        <f>J49+'30'!L50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ht="15" customHeight="1" x14ac:dyDescent="0.25">
      <c r="B50" s="288"/>
      <c r="C50" s="281" t="s">
        <v>155</v>
      </c>
      <c r="D50" s="282"/>
      <c r="E50" s="283"/>
      <c r="F50" s="46">
        <f>Clinker!AF33</f>
        <v>3533.9699999999934</v>
      </c>
      <c r="G50" s="46">
        <f>Clinker!AG33</f>
        <v>0</v>
      </c>
      <c r="H50" s="46">
        <f>G50+'30'!H51</f>
        <v>3763.3000000000006</v>
      </c>
      <c r="I50" s="46">
        <f>G50+'30'!I51</f>
        <v>5904.2499999999991</v>
      </c>
      <c r="J50" s="46">
        <f>Clinker!AI33</f>
        <v>0</v>
      </c>
      <c r="K50" s="46">
        <f>J50+'30'!K51</f>
        <v>4278</v>
      </c>
      <c r="L50" s="46">
        <f>J50+'30'!L51</f>
        <v>11103</v>
      </c>
      <c r="M50" s="45">
        <f>F50+G50-J50-J20</f>
        <v>3533.9699999999934</v>
      </c>
      <c r="N50" s="46">
        <v>272.05</v>
      </c>
      <c r="O50" s="46"/>
      <c r="P50" s="46"/>
      <c r="Q50" s="56">
        <f>SUM(M50+N50)-O50</f>
        <v>3806.0199999999936</v>
      </c>
    </row>
    <row r="51" spans="2:17" x14ac:dyDescent="0.25">
      <c r="B51" s="288"/>
      <c r="C51" s="281" t="s">
        <v>156</v>
      </c>
      <c r="D51" s="282"/>
      <c r="E51" s="283"/>
      <c r="F51" s="46">
        <f>Clinker!AB33</f>
        <v>0</v>
      </c>
      <c r="G51" s="46">
        <f>Clinker!AC33</f>
        <v>0</v>
      </c>
      <c r="H51" s="46">
        <f>G51+'30'!H52</f>
        <v>0</v>
      </c>
      <c r="I51" s="46">
        <f>G51+'30'!I52</f>
        <v>0</v>
      </c>
      <c r="J51" s="46">
        <f>Clinker!AD33</f>
        <v>0</v>
      </c>
      <c r="K51" s="46">
        <f>J51+'30'!K52</f>
        <v>0</v>
      </c>
      <c r="L51" s="46">
        <f>J51+'30'!L52</f>
        <v>0</v>
      </c>
      <c r="M51" s="45">
        <f>F51+G51-J51</f>
        <v>0</v>
      </c>
      <c r="N51" s="46">
        <v>0</v>
      </c>
      <c r="O51" s="46">
        <v>1500</v>
      </c>
      <c r="P51" s="46">
        <v>3000</v>
      </c>
      <c r="Q51" s="56">
        <f>SUM(M51+N51)-O51</f>
        <v>-1500</v>
      </c>
    </row>
    <row r="52" spans="2:17" x14ac:dyDescent="0.25">
      <c r="B52" s="288"/>
      <c r="C52" s="281" t="s">
        <v>146</v>
      </c>
      <c r="D52" s="282"/>
      <c r="E52" s="283"/>
      <c r="F52" s="46">
        <f t="shared" ref="F52:N52" si="1">SUM(F28:F51)</f>
        <v>3534.0199999999936</v>
      </c>
      <c r="G52" s="46">
        <f t="shared" si="1"/>
        <v>0</v>
      </c>
      <c r="H52" s="46">
        <f t="shared" si="1"/>
        <v>3763.3000000000006</v>
      </c>
      <c r="I52" s="46">
        <f t="shared" si="1"/>
        <v>5904.2499999999991</v>
      </c>
      <c r="J52" s="46">
        <f t="shared" si="1"/>
        <v>0</v>
      </c>
      <c r="K52" s="46">
        <f t="shared" si="1"/>
        <v>4288</v>
      </c>
      <c r="L52" s="46">
        <f>SUM(L28:L51)</f>
        <v>12460</v>
      </c>
      <c r="M52" s="45">
        <f t="shared" si="1"/>
        <v>3534.0199999999936</v>
      </c>
      <c r="N52" s="45">
        <f t="shared" si="1"/>
        <v>272.05</v>
      </c>
      <c r="O52" s="46"/>
      <c r="P52" s="46"/>
      <c r="Q52" s="46">
        <f>SUM(Q28:Q51)</f>
        <v>2306.0199999999936</v>
      </c>
    </row>
    <row r="53" spans="2:17" x14ac:dyDescent="0.25">
      <c r="B53" s="289"/>
      <c r="C53" s="284" t="s">
        <v>157</v>
      </c>
      <c r="D53" s="285"/>
      <c r="E53" s="286"/>
      <c r="F53" s="59">
        <f t="shared" ref="F53:L53" si="2">SUM(F26+F52)</f>
        <v>6841.2269999999844</v>
      </c>
      <c r="G53" s="59">
        <f t="shared" si="2"/>
        <v>0</v>
      </c>
      <c r="H53" s="59">
        <f t="shared" si="2"/>
        <v>9547.9800000000014</v>
      </c>
      <c r="I53" s="59">
        <f t="shared" si="2"/>
        <v>12494.17</v>
      </c>
      <c r="J53" s="59">
        <f t="shared" si="2"/>
        <v>0</v>
      </c>
      <c r="K53" s="59">
        <f t="shared" si="2"/>
        <v>11383.55</v>
      </c>
      <c r="L53" s="59">
        <f t="shared" si="2"/>
        <v>34272.86</v>
      </c>
      <c r="M53" s="59">
        <f>SUM(M26+M52)</f>
        <v>6841.2269999999844</v>
      </c>
      <c r="N53" s="59">
        <f>SUM(N26+N52)</f>
        <v>423.81</v>
      </c>
      <c r="O53" s="115">
        <f>SUM(O29:O52)</f>
        <v>3000</v>
      </c>
      <c r="P53" s="115">
        <f>SUM(P29:P52)</f>
        <v>6000</v>
      </c>
      <c r="Q53" s="59">
        <f>SUM(Q26+Q52)</f>
        <v>2306.0599999999918</v>
      </c>
    </row>
    <row r="54" spans="2:17" ht="15.6" customHeight="1" x14ac:dyDescent="0.25">
      <c r="B54" s="287">
        <v>4</v>
      </c>
      <c r="C54" s="290" t="s">
        <v>158</v>
      </c>
      <c r="D54" s="291"/>
      <c r="E54" s="291"/>
      <c r="F54" s="291"/>
      <c r="G54" s="291"/>
      <c r="H54" s="291"/>
      <c r="I54" s="291"/>
      <c r="J54" s="291"/>
      <c r="K54" s="291"/>
      <c r="L54" s="291"/>
      <c r="M54" s="291"/>
      <c r="N54" s="291"/>
      <c r="O54" s="291"/>
      <c r="P54" s="291"/>
      <c r="Q54" s="292"/>
    </row>
    <row r="55" spans="2:17" x14ac:dyDescent="0.25">
      <c r="B55" s="288"/>
      <c r="C55" s="281" t="s">
        <v>159</v>
      </c>
      <c r="D55" s="282"/>
      <c r="E55" s="283"/>
      <c r="F55" s="46">
        <f>'Packing bag '!C33</f>
        <v>2764173</v>
      </c>
      <c r="G55" s="46">
        <f>'Packing bag '!D33</f>
        <v>0</v>
      </c>
      <c r="H55" s="46">
        <f>G55+'30'!H56</f>
        <v>1201000</v>
      </c>
      <c r="I55" s="46">
        <f>G55+'30'!I56</f>
        <v>4353500</v>
      </c>
      <c r="J55" s="46">
        <f>'Packing bag '!E33</f>
        <v>0</v>
      </c>
      <c r="K55" s="46">
        <f>J55+'30'!K56</f>
        <v>1064062</v>
      </c>
      <c r="L55" s="46">
        <f>J55+'30'!L56</f>
        <v>2640896</v>
      </c>
      <c r="M55" s="46">
        <f>F55+G55-J55</f>
        <v>2764173</v>
      </c>
      <c r="N55" s="46"/>
      <c r="O55" s="46">
        <v>400000</v>
      </c>
      <c r="P55" s="46">
        <v>800000</v>
      </c>
      <c r="Q55" s="56">
        <f>SUM(M55+N55)-O55</f>
        <v>2364173</v>
      </c>
    </row>
    <row r="56" spans="2:17" x14ac:dyDescent="0.25">
      <c r="B56" s="288"/>
      <c r="C56" s="281" t="s">
        <v>160</v>
      </c>
      <c r="D56" s="282"/>
      <c r="E56" s="283"/>
      <c r="F56" s="46">
        <f>'Packing bag '!G33</f>
        <v>586107</v>
      </c>
      <c r="G56" s="46">
        <f>'Packing bag '!H33</f>
        <v>0</v>
      </c>
      <c r="H56" s="46">
        <f>G56+'30'!H57</f>
        <v>40500</v>
      </c>
      <c r="I56" s="46">
        <f>G56+'30'!I57</f>
        <v>332000</v>
      </c>
      <c r="J56" s="46">
        <f>'Packing bag '!I33</f>
        <v>0</v>
      </c>
      <c r="K56" s="46">
        <f>J56+'30'!K57</f>
        <v>56554</v>
      </c>
      <c r="L56" s="46">
        <f>J56+'30'!L57</f>
        <v>146175</v>
      </c>
      <c r="M56" s="46">
        <f>F56+G56-J56</f>
        <v>586107</v>
      </c>
      <c r="N56" s="46"/>
      <c r="O56" s="46">
        <v>400000</v>
      </c>
      <c r="P56" s="46">
        <v>800000</v>
      </c>
      <c r="Q56" s="56">
        <f>SUM(M56+N56)-O56</f>
        <v>186107</v>
      </c>
    </row>
    <row r="57" spans="2:17" x14ac:dyDescent="0.25">
      <c r="B57" s="288"/>
      <c r="C57" s="281" t="s">
        <v>161</v>
      </c>
      <c r="D57" s="282"/>
      <c r="E57" s="283"/>
      <c r="F57" s="46">
        <f>'Packing bag '!K33</f>
        <v>592795</v>
      </c>
      <c r="G57" s="46">
        <f>'Packing bag '!L33</f>
        <v>0</v>
      </c>
      <c r="H57" s="46">
        <f>G57+'30'!H58</f>
        <v>150000</v>
      </c>
      <c r="I57" s="46">
        <f>G57+'30'!I58</f>
        <v>445000</v>
      </c>
      <c r="J57" s="46">
        <f>'Packing bag '!M33</f>
        <v>0</v>
      </c>
      <c r="K57" s="46">
        <f>J57+'30'!K58</f>
        <v>85968</v>
      </c>
      <c r="L57" s="46">
        <f>J57+'30'!L58</f>
        <v>258260</v>
      </c>
      <c r="M57" s="46">
        <f>F57+G57-J57</f>
        <v>592795</v>
      </c>
      <c r="N57" s="46"/>
      <c r="O57" s="46">
        <v>100000</v>
      </c>
      <c r="P57" s="46">
        <v>250000</v>
      </c>
      <c r="Q57" s="56">
        <f>SUM(M57+N57)-O57</f>
        <v>492795</v>
      </c>
    </row>
    <row r="58" spans="2:17" x14ac:dyDescent="0.25">
      <c r="B58" s="288"/>
      <c r="C58" s="281" t="s">
        <v>162</v>
      </c>
      <c r="D58" s="282"/>
      <c r="E58" s="283"/>
      <c r="F58" s="46">
        <f>'Packing bag '!O3</f>
        <v>68932</v>
      </c>
      <c r="G58" s="46">
        <f>'Packing bag '!P3</f>
        <v>0</v>
      </c>
      <c r="H58" s="46">
        <f>G58+'01'!J58</f>
        <v>1230</v>
      </c>
      <c r="I58" s="46">
        <f>G58+'01'!I58</f>
        <v>295000</v>
      </c>
      <c r="J58" s="46">
        <f>'Packing bag '!Q3</f>
        <v>612</v>
      </c>
      <c r="K58" s="46">
        <f>J58+'01'!K58</f>
        <v>1842</v>
      </c>
      <c r="L58" s="46">
        <f>J58+'01'!L58</f>
        <v>174134</v>
      </c>
      <c r="M58" s="46">
        <f>F58+G58-J58</f>
        <v>68320</v>
      </c>
      <c r="N58" s="46"/>
      <c r="O58" s="46"/>
      <c r="P58" s="46"/>
      <c r="Q58" s="56"/>
    </row>
    <row r="59" spans="2:17" x14ac:dyDescent="0.25">
      <c r="B59" s="288"/>
      <c r="C59" s="281" t="s">
        <v>163</v>
      </c>
      <c r="D59" s="282"/>
      <c r="E59" s="283"/>
      <c r="F59" s="46">
        <v>0</v>
      </c>
      <c r="G59" s="46">
        <v>0</v>
      </c>
      <c r="H59" s="46">
        <f>G59+'30'!H60</f>
        <v>0</v>
      </c>
      <c r="I59" s="46">
        <f>G59+'30'!I60</f>
        <v>0</v>
      </c>
      <c r="J59" s="46">
        <v>0</v>
      </c>
      <c r="K59" s="46">
        <f>J59+'30'!K60</f>
        <v>0</v>
      </c>
      <c r="L59" s="46">
        <f>J59+'30'!L60</f>
        <v>0</v>
      </c>
      <c r="M59" s="46">
        <v>0</v>
      </c>
      <c r="N59" s="46"/>
      <c r="O59" s="46">
        <v>50000</v>
      </c>
      <c r="P59" s="46">
        <v>150000</v>
      </c>
      <c r="Q59" s="56">
        <f>SUM(M59+N59)-O59</f>
        <v>-50000</v>
      </c>
    </row>
    <row r="60" spans="2:17" x14ac:dyDescent="0.25">
      <c r="B60" s="288"/>
      <c r="C60" s="281" t="s">
        <v>164</v>
      </c>
      <c r="D60" s="282"/>
      <c r="E60" s="283"/>
      <c r="F60" s="46">
        <v>0</v>
      </c>
      <c r="G60" s="46">
        <v>0</v>
      </c>
      <c r="H60" s="46">
        <f>G60+'30'!H61</f>
        <v>0</v>
      </c>
      <c r="I60" s="46">
        <f>G60+'30'!I61</f>
        <v>0</v>
      </c>
      <c r="J60" s="46">
        <v>0</v>
      </c>
      <c r="K60" s="46">
        <f>J60+'30'!K61</f>
        <v>0</v>
      </c>
      <c r="L60" s="46">
        <f>J60+'30'!L61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89"/>
      <c r="C61" s="284" t="s">
        <v>165</v>
      </c>
      <c r="D61" s="285"/>
      <c r="E61" s="286"/>
      <c r="F61" s="59">
        <f>SUM(F55:F60)</f>
        <v>4012007</v>
      </c>
      <c r="G61" s="59">
        <f>SUM(G55:G60)</f>
        <v>0</v>
      </c>
      <c r="H61" s="59">
        <f t="shared" ref="H61:Q61" si="3">SUM(H55:H60)</f>
        <v>1392730</v>
      </c>
      <c r="I61" s="59">
        <f t="shared" si="3"/>
        <v>5425500</v>
      </c>
      <c r="J61" s="59">
        <f t="shared" si="3"/>
        <v>612</v>
      </c>
      <c r="K61" s="59">
        <f t="shared" si="3"/>
        <v>1208426</v>
      </c>
      <c r="L61" s="59">
        <f t="shared" si="3"/>
        <v>3219465</v>
      </c>
      <c r="M61" s="59">
        <f t="shared" si="3"/>
        <v>4011395</v>
      </c>
      <c r="N61" s="46"/>
      <c r="O61" s="115">
        <v>500</v>
      </c>
      <c r="P61" s="115">
        <v>2000</v>
      </c>
      <c r="Q61" s="59">
        <f t="shared" si="3"/>
        <v>2992075</v>
      </c>
    </row>
    <row r="62" spans="2:17" ht="15.6" customHeight="1" x14ac:dyDescent="0.25">
      <c r="B62" s="287">
        <v>5</v>
      </c>
      <c r="C62" s="290" t="s">
        <v>166</v>
      </c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291"/>
      <c r="P62" s="291"/>
      <c r="Q62" s="292"/>
    </row>
    <row r="63" spans="2:17" x14ac:dyDescent="0.25">
      <c r="B63" s="288"/>
      <c r="C63" s="281" t="s">
        <v>48</v>
      </c>
      <c r="D63" s="282"/>
      <c r="E63" s="283"/>
      <c r="F63" s="46">
        <f>Cement!G33</f>
        <v>0</v>
      </c>
      <c r="G63" s="46">
        <f>Cement!H33</f>
        <v>0</v>
      </c>
      <c r="H63" s="46">
        <f>G63+'30'!H64</f>
        <v>0</v>
      </c>
      <c r="I63" s="46">
        <f>G63+'30'!I64</f>
        <v>0</v>
      </c>
      <c r="J63" s="46">
        <v>0</v>
      </c>
      <c r="K63" s="46">
        <f>J63+'30'!K64</f>
        <v>0</v>
      </c>
      <c r="L63" s="46">
        <f>J63+'30'!L64</f>
        <v>0</v>
      </c>
      <c r="M63" s="46">
        <f>F63+G63-J63</f>
        <v>0</v>
      </c>
      <c r="N63" s="46"/>
      <c r="O63" s="46"/>
      <c r="P63" s="46"/>
      <c r="Q63" s="47"/>
    </row>
    <row r="64" spans="2:17" x14ac:dyDescent="0.25">
      <c r="B64" s="288"/>
      <c r="C64" s="281" t="s">
        <v>167</v>
      </c>
      <c r="D64" s="282"/>
      <c r="E64" s="283"/>
      <c r="F64" s="46">
        <f>Cement!K33</f>
        <v>0</v>
      </c>
      <c r="G64" s="46">
        <f>Cement!L33</f>
        <v>0</v>
      </c>
      <c r="H64" s="46">
        <f>G64+'30'!H65</f>
        <v>0</v>
      </c>
      <c r="I64" s="46">
        <f>G64+'30'!I65</f>
        <v>0</v>
      </c>
      <c r="J64" s="46">
        <f>Cement!M33</f>
        <v>0</v>
      </c>
      <c r="K64" s="46">
        <f>J64+'30'!K65</f>
        <v>0</v>
      </c>
      <c r="L64" s="46">
        <f>J64+'30'!L65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89"/>
      <c r="C65" s="284" t="s">
        <v>168</v>
      </c>
      <c r="D65" s="285"/>
      <c r="E65" s="286"/>
      <c r="F65" s="59">
        <f>SUM(F63:F64)</f>
        <v>0</v>
      </c>
      <c r="G65" s="59">
        <f>SUM(G63:G64)</f>
        <v>0</v>
      </c>
      <c r="H65" s="59">
        <f t="shared" ref="H65:M65" si="4">SUM(H63:H64)</f>
        <v>0</v>
      </c>
      <c r="I65" s="59">
        <f t="shared" si="4"/>
        <v>0</v>
      </c>
      <c r="J65" s="59">
        <f>SUM(J63:J64)</f>
        <v>0</v>
      </c>
      <c r="K65" s="59">
        <f t="shared" si="4"/>
        <v>0</v>
      </c>
      <c r="L65" s="59">
        <f t="shared" si="4"/>
        <v>0</v>
      </c>
      <c r="M65" s="59">
        <f t="shared" si="4"/>
        <v>0</v>
      </c>
      <c r="N65" s="60"/>
      <c r="O65" s="60"/>
      <c r="P65" s="60"/>
      <c r="Q65" s="60"/>
    </row>
    <row r="66" spans="2:17" x14ac:dyDescent="0.25">
      <c r="B66" s="296">
        <v>6</v>
      </c>
      <c r="C66" s="290" t="s">
        <v>169</v>
      </c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  <c r="O66" s="291"/>
      <c r="P66" s="291"/>
      <c r="Q66" s="292"/>
    </row>
    <row r="67" spans="2:17" x14ac:dyDescent="0.25">
      <c r="B67" s="297"/>
      <c r="C67" s="281" t="s">
        <v>170</v>
      </c>
      <c r="D67" s="282"/>
      <c r="E67" s="283"/>
      <c r="F67" s="46">
        <f>Diesel!B33</f>
        <v>37456</v>
      </c>
      <c r="G67" s="46">
        <f>Diesel!C33</f>
        <v>0</v>
      </c>
      <c r="H67" s="46">
        <f>G67+'30'!H68</f>
        <v>65000</v>
      </c>
      <c r="I67" s="46">
        <f>G67+'30'!I68</f>
        <v>155000</v>
      </c>
      <c r="J67" s="46">
        <v>0</v>
      </c>
      <c r="K67" s="46">
        <f>J67+'30'!K68</f>
        <v>0</v>
      </c>
      <c r="L67" s="46">
        <f>J67+'30'!L68</f>
        <v>0</v>
      </c>
      <c r="M67" s="46">
        <f>F67+G67-J67-J75</f>
        <v>37456</v>
      </c>
      <c r="N67" s="46"/>
      <c r="O67" s="46">
        <v>30000</v>
      </c>
      <c r="P67" s="46">
        <v>60000</v>
      </c>
      <c r="Q67" s="56">
        <f>SUM(M67+N67)-O67</f>
        <v>7456</v>
      </c>
    </row>
    <row r="68" spans="2:17" x14ac:dyDescent="0.25">
      <c r="B68" s="297"/>
      <c r="C68" s="281" t="s">
        <v>171</v>
      </c>
      <c r="D68" s="282"/>
      <c r="E68" s="283"/>
      <c r="F68" s="46">
        <f>Diesel!Y33</f>
        <v>0</v>
      </c>
      <c r="G68" s="46">
        <f>Diesel!Z33</f>
        <v>0</v>
      </c>
      <c r="H68" s="46">
        <f>G68+'30'!H69</f>
        <v>0</v>
      </c>
      <c r="I68" s="46">
        <f>G68+'30'!I69</f>
        <v>0</v>
      </c>
      <c r="J68" s="46">
        <f>Diesel!AA33</f>
        <v>0</v>
      </c>
      <c r="K68" s="46">
        <f>J68+'30'!K69</f>
        <v>5000</v>
      </c>
      <c r="L68" s="46">
        <f>J68+'30'!L69</f>
        <v>20000</v>
      </c>
      <c r="M68" s="46">
        <f>F68+G68-J68</f>
        <v>0</v>
      </c>
      <c r="N68" s="46"/>
      <c r="O68" s="46">
        <v>30000</v>
      </c>
      <c r="P68" s="46">
        <v>60000</v>
      </c>
      <c r="Q68" s="47"/>
    </row>
    <row r="69" spans="2:17" x14ac:dyDescent="0.25">
      <c r="B69" s="297"/>
      <c r="C69" s="281" t="s">
        <v>172</v>
      </c>
      <c r="D69" s="282"/>
      <c r="E69" s="283"/>
      <c r="F69" s="46">
        <v>0</v>
      </c>
      <c r="G69" s="46">
        <v>0</v>
      </c>
      <c r="H69" s="46">
        <f>G69+'30'!H70</f>
        <v>0</v>
      </c>
      <c r="I69" s="46">
        <f>G69+'30'!I70</f>
        <v>0</v>
      </c>
      <c r="J69" s="46">
        <f>Diesel!P33</f>
        <v>0</v>
      </c>
      <c r="K69" s="46">
        <f>J69+'30'!K70</f>
        <v>105</v>
      </c>
      <c r="L69" s="46">
        <f>J69+'30'!L70</f>
        <v>708</v>
      </c>
      <c r="M69" s="46">
        <v>0</v>
      </c>
      <c r="N69" s="46"/>
      <c r="O69" s="46"/>
      <c r="P69" s="46"/>
      <c r="Q69" s="47"/>
    </row>
    <row r="70" spans="2:17" x14ac:dyDescent="0.25">
      <c r="B70" s="297"/>
      <c r="C70" s="281" t="s">
        <v>173</v>
      </c>
      <c r="D70" s="282"/>
      <c r="E70" s="283"/>
      <c r="F70" s="46">
        <v>0</v>
      </c>
      <c r="G70" s="46">
        <v>0</v>
      </c>
      <c r="H70" s="46">
        <f>G70+'30'!H71</f>
        <v>0</v>
      </c>
      <c r="I70" s="46">
        <f>G70+'30'!I71</f>
        <v>0</v>
      </c>
      <c r="J70" s="46">
        <f>Diesel!Q33</f>
        <v>0</v>
      </c>
      <c r="K70" s="46">
        <f>J70+'30'!K71</f>
        <v>27702</v>
      </c>
      <c r="L70" s="46">
        <f>J70+'30'!L71</f>
        <v>82337</v>
      </c>
      <c r="M70" s="46">
        <v>0</v>
      </c>
      <c r="N70" s="46"/>
      <c r="O70" s="46"/>
      <c r="P70" s="46"/>
      <c r="Q70" s="47"/>
    </row>
    <row r="71" spans="2:17" x14ac:dyDescent="0.25">
      <c r="B71" s="297"/>
      <c r="C71" s="299" t="s">
        <v>174</v>
      </c>
      <c r="D71" s="300"/>
      <c r="E71" s="301"/>
      <c r="F71" s="46">
        <v>0</v>
      </c>
      <c r="G71" s="46">
        <v>0</v>
      </c>
      <c r="H71" s="46">
        <f>G71+'30'!H72</f>
        <v>0</v>
      </c>
      <c r="I71" s="46">
        <f>G71+'30'!I72</f>
        <v>0</v>
      </c>
      <c r="J71" s="46">
        <f>Diesel!R33</f>
        <v>0</v>
      </c>
      <c r="K71" s="46">
        <f>J71+'30'!K72</f>
        <v>20882</v>
      </c>
      <c r="L71" s="46">
        <f>J71+'30'!L72</f>
        <v>63590</v>
      </c>
      <c r="M71" s="46">
        <v>0</v>
      </c>
      <c r="N71" s="46"/>
      <c r="O71" s="46"/>
      <c r="P71" s="46"/>
      <c r="Q71" s="47"/>
    </row>
    <row r="72" spans="2:17" x14ac:dyDescent="0.25">
      <c r="B72" s="297"/>
      <c r="C72" s="299" t="s">
        <v>175</v>
      </c>
      <c r="D72" s="300"/>
      <c r="E72" s="301"/>
      <c r="F72" s="46">
        <v>0</v>
      </c>
      <c r="G72" s="46">
        <v>0</v>
      </c>
      <c r="H72" s="46">
        <f>G72+'30'!H73</f>
        <v>0</v>
      </c>
      <c r="I72" s="46">
        <f>G72+'30'!I73</f>
        <v>0</v>
      </c>
      <c r="J72" s="46">
        <f>Diesel!S33</f>
        <v>0</v>
      </c>
      <c r="K72" s="46">
        <f>J72+'30'!K73</f>
        <v>0</v>
      </c>
      <c r="L72" s="46">
        <f>J72+'30'!L73</f>
        <v>0</v>
      </c>
      <c r="M72" s="46">
        <v>0</v>
      </c>
      <c r="N72" s="46"/>
      <c r="O72" s="46"/>
      <c r="P72" s="46"/>
      <c r="Q72" s="47"/>
    </row>
    <row r="73" spans="2:17" x14ac:dyDescent="0.25">
      <c r="B73" s="297"/>
      <c r="C73" s="299" t="s">
        <v>176</v>
      </c>
      <c r="D73" s="300"/>
      <c r="E73" s="301"/>
      <c r="F73" s="46">
        <v>0</v>
      </c>
      <c r="G73" s="46">
        <v>0</v>
      </c>
      <c r="H73" s="46">
        <f>G73+'30'!H74</f>
        <v>0</v>
      </c>
      <c r="I73" s="46">
        <f>G73+'30'!I74</f>
        <v>0</v>
      </c>
      <c r="J73" s="46">
        <f>Diesel!T33</f>
        <v>0</v>
      </c>
      <c r="K73" s="46">
        <f>J73+'30'!K74</f>
        <v>0</v>
      </c>
      <c r="L73" s="46">
        <f>J73+'30'!L74</f>
        <v>0</v>
      </c>
      <c r="M73" s="46">
        <v>0</v>
      </c>
      <c r="N73" s="46"/>
      <c r="O73" s="46"/>
      <c r="P73" s="46"/>
      <c r="Q73" s="47"/>
    </row>
    <row r="74" spans="2:17" x14ac:dyDescent="0.25">
      <c r="B74" s="297"/>
      <c r="C74" s="302" t="s">
        <v>177</v>
      </c>
      <c r="D74" s="303"/>
      <c r="E74" s="304"/>
      <c r="F74" s="61">
        <v>0</v>
      </c>
      <c r="G74" s="61">
        <v>0</v>
      </c>
      <c r="H74" s="46">
        <f>G74+'30'!H75</f>
        <v>0</v>
      </c>
      <c r="I74" s="46">
        <f>G74+'30'!I75</f>
        <v>0</v>
      </c>
      <c r="J74" s="61">
        <f>Diesel!U33</f>
        <v>0</v>
      </c>
      <c r="K74" s="46">
        <f>J74+'30'!K75</f>
        <v>0</v>
      </c>
      <c r="L74" s="46">
        <f>J74+'30'!L75</f>
        <v>0</v>
      </c>
      <c r="M74" s="46">
        <v>0</v>
      </c>
      <c r="N74" s="46"/>
      <c r="O74" s="46"/>
      <c r="P74" s="46"/>
      <c r="Q74" s="47"/>
    </row>
    <row r="75" spans="2:17" ht="15.75" thickBot="1" x14ac:dyDescent="0.3">
      <c r="B75" s="298"/>
      <c r="C75" s="293" t="s">
        <v>178</v>
      </c>
      <c r="D75" s="294"/>
      <c r="E75" s="295"/>
      <c r="F75" s="62">
        <f>SUM(F67:F74)</f>
        <v>37456</v>
      </c>
      <c r="G75" s="62">
        <f t="shared" ref="G75:M75" si="5">SUM(G67:G74)</f>
        <v>0</v>
      </c>
      <c r="H75" s="62">
        <f t="shared" si="5"/>
        <v>65000</v>
      </c>
      <c r="I75" s="62">
        <f t="shared" si="5"/>
        <v>155000</v>
      </c>
      <c r="J75" s="62">
        <f t="shared" si="5"/>
        <v>0</v>
      </c>
      <c r="K75" s="62">
        <f t="shared" si="5"/>
        <v>53689</v>
      </c>
      <c r="L75" s="62">
        <f t="shared" si="5"/>
        <v>166635</v>
      </c>
      <c r="M75" s="62">
        <f t="shared" si="5"/>
        <v>37456</v>
      </c>
      <c r="N75" s="63"/>
      <c r="O75" s="64"/>
      <c r="P75" s="62"/>
      <c r="Q75" s="65"/>
    </row>
  </sheetData>
  <mergeCells count="70">
    <mergeCell ref="C59:E59"/>
    <mergeCell ref="C34:E34"/>
    <mergeCell ref="C50:E50"/>
    <mergeCell ref="C51:E51"/>
    <mergeCell ref="C52:E52"/>
    <mergeCell ref="C53:E53"/>
    <mergeCell ref="C54:Q54"/>
    <mergeCell ref="C46:D46"/>
    <mergeCell ref="C58:E58"/>
    <mergeCell ref="C7:E7"/>
    <mergeCell ref="C35:D35"/>
    <mergeCell ref="B9:B53"/>
    <mergeCell ref="C75:E75"/>
    <mergeCell ref="B66:B75"/>
    <mergeCell ref="C66:Q66"/>
    <mergeCell ref="C67:E67"/>
    <mergeCell ref="C68:E68"/>
    <mergeCell ref="C69:E69"/>
    <mergeCell ref="C70:E70"/>
    <mergeCell ref="C71:E71"/>
    <mergeCell ref="C72:E72"/>
    <mergeCell ref="C73:E73"/>
    <mergeCell ref="C74:E74"/>
    <mergeCell ref="C15:D15"/>
    <mergeCell ref="B62:B65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28:E28"/>
    <mergeCell ref="C20:D20"/>
    <mergeCell ref="C18:E18"/>
    <mergeCell ref="C39:E39"/>
    <mergeCell ref="C65:E65"/>
    <mergeCell ref="C27:E27"/>
    <mergeCell ref="C62:Q62"/>
    <mergeCell ref="C49:D49"/>
    <mergeCell ref="C63:E63"/>
    <mergeCell ref="C64:E64"/>
    <mergeCell ref="C33:E33"/>
    <mergeCell ref="C37:D37"/>
    <mergeCell ref="C36:E36"/>
    <mergeCell ref="C55:E55"/>
    <mergeCell ref="C56:E56"/>
    <mergeCell ref="C57:E57"/>
    <mergeCell ref="C6:E6"/>
    <mergeCell ref="B54:B61"/>
    <mergeCell ref="C14:D14"/>
    <mergeCell ref="C12:E12"/>
    <mergeCell ref="C13:D13"/>
    <mergeCell ref="C60:E60"/>
    <mergeCell ref="C61:E61"/>
    <mergeCell ref="C32:E32"/>
    <mergeCell ref="C9:E9"/>
    <mergeCell ref="C10:E10"/>
    <mergeCell ref="C29:E29"/>
    <mergeCell ref="C30:E30"/>
    <mergeCell ref="C31:E31"/>
    <mergeCell ref="C11:E11"/>
    <mergeCell ref="C26:E26"/>
    <mergeCell ref="C17:E17"/>
  </mergeCells>
  <pageMargins left="0.7" right="0.7" top="0.75" bottom="0.75" header="0.3" footer="0.3"/>
  <pageSetup paperSize="9" scale="41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8"/>
  <dimension ref="B3:R47"/>
  <sheetViews>
    <sheetView workbookViewId="0">
      <selection activeCell="P9" sqref="P9"/>
    </sheetView>
  </sheetViews>
  <sheetFormatPr defaultRowHeight="15" x14ac:dyDescent="0.25"/>
  <sheetData>
    <row r="3" spans="2:18" ht="15.75" thickBot="1" x14ac:dyDescent="0.3"/>
    <row r="4" spans="2:18" ht="30.75" thickBot="1" x14ac:dyDescent="0.3">
      <c r="E4" s="81" t="s">
        <v>187</v>
      </c>
      <c r="F4" s="82" t="s">
        <v>188</v>
      </c>
      <c r="G4" s="82" t="s">
        <v>189</v>
      </c>
      <c r="H4" s="82" t="s">
        <v>190</v>
      </c>
      <c r="I4" s="82" t="s">
        <v>191</v>
      </c>
      <c r="J4" s="82" t="s">
        <v>192</v>
      </c>
      <c r="K4" s="82" t="s">
        <v>193</v>
      </c>
      <c r="L4" s="82" t="s">
        <v>194</v>
      </c>
      <c r="M4" s="82" t="s">
        <v>195</v>
      </c>
      <c r="N4" s="82" t="s">
        <v>196</v>
      </c>
      <c r="O4" s="82" t="s">
        <v>197</v>
      </c>
      <c r="P4" s="82" t="s">
        <v>198</v>
      </c>
      <c r="Q4" s="82" t="s">
        <v>199</v>
      </c>
      <c r="R4" s="83" t="s">
        <v>82</v>
      </c>
    </row>
    <row r="5" spans="2:18" ht="45.75" thickBot="1" x14ac:dyDescent="0.3">
      <c r="E5" s="84" t="s">
        <v>200</v>
      </c>
      <c r="F5" s="86">
        <v>39000</v>
      </c>
      <c r="G5" s="87">
        <v>42500</v>
      </c>
      <c r="H5" s="87">
        <v>27000</v>
      </c>
      <c r="I5" s="87">
        <v>46000</v>
      </c>
      <c r="J5" s="87">
        <v>46000</v>
      </c>
      <c r="K5" s="87">
        <v>43000</v>
      </c>
      <c r="L5" s="87">
        <v>45000</v>
      </c>
      <c r="M5" s="87">
        <v>37000</v>
      </c>
      <c r="N5" s="87">
        <v>45000</v>
      </c>
      <c r="O5" s="87">
        <v>46000</v>
      </c>
      <c r="P5" s="87">
        <v>39000</v>
      </c>
      <c r="Q5" s="87">
        <v>46000</v>
      </c>
      <c r="R5" s="85">
        <v>501500</v>
      </c>
    </row>
    <row r="6" spans="2:18" x14ac:dyDescent="0.25">
      <c r="B6" s="78"/>
      <c r="E6" s="78" t="s">
        <v>201</v>
      </c>
    </row>
    <row r="7" spans="2:18" x14ac:dyDescent="0.25">
      <c r="B7" s="79"/>
      <c r="E7" s="80">
        <v>55000</v>
      </c>
    </row>
    <row r="8" spans="2:18" x14ac:dyDescent="0.25">
      <c r="B8" s="79"/>
      <c r="E8" s="80">
        <v>58000</v>
      </c>
    </row>
    <row r="9" spans="2:18" x14ac:dyDescent="0.25">
      <c r="B9" s="79"/>
      <c r="E9" s="80">
        <v>56000</v>
      </c>
    </row>
    <row r="10" spans="2:18" x14ac:dyDescent="0.25">
      <c r="B10" s="79"/>
      <c r="E10" s="80">
        <v>58000</v>
      </c>
    </row>
    <row r="11" spans="2:18" x14ac:dyDescent="0.25">
      <c r="B11" s="79"/>
      <c r="E11" s="80">
        <v>58000</v>
      </c>
    </row>
    <row r="12" spans="2:18" x14ac:dyDescent="0.25">
      <c r="B12" s="79"/>
      <c r="E12" s="80">
        <v>56000</v>
      </c>
    </row>
    <row r="13" spans="2:18" x14ac:dyDescent="0.25">
      <c r="B13" s="79"/>
      <c r="E13" s="80">
        <v>58000</v>
      </c>
    </row>
    <row r="14" spans="2:18" x14ac:dyDescent="0.25">
      <c r="B14" s="79"/>
      <c r="E14" s="80">
        <v>55000</v>
      </c>
    </row>
    <row r="15" spans="2:18" x14ac:dyDescent="0.25">
      <c r="B15" s="79"/>
      <c r="E15" s="80">
        <v>58000</v>
      </c>
    </row>
    <row r="16" spans="2:18" x14ac:dyDescent="0.25">
      <c r="B16" s="79"/>
      <c r="E16" s="80">
        <v>58000</v>
      </c>
    </row>
    <row r="17" spans="2:5" x14ac:dyDescent="0.25">
      <c r="B17" s="79"/>
      <c r="E17" s="80">
        <v>32000</v>
      </c>
    </row>
    <row r="18" spans="2:5" x14ac:dyDescent="0.25">
      <c r="B18" s="79"/>
      <c r="E18" s="80">
        <v>58000</v>
      </c>
    </row>
    <row r="19" spans="2:5" x14ac:dyDescent="0.25">
      <c r="B19" s="79"/>
      <c r="E19" s="80">
        <v>660000</v>
      </c>
    </row>
    <row r="20" spans="2:5" x14ac:dyDescent="0.25">
      <c r="B20" s="78"/>
    </row>
    <row r="21" spans="2:5" x14ac:dyDescent="0.25">
      <c r="B21" s="80"/>
    </row>
    <row r="22" spans="2:5" x14ac:dyDescent="0.25">
      <c r="B22" s="80"/>
    </row>
    <row r="23" spans="2:5" x14ac:dyDescent="0.25">
      <c r="B23" s="80"/>
    </row>
    <row r="24" spans="2:5" x14ac:dyDescent="0.25">
      <c r="B24" s="80"/>
    </row>
    <row r="25" spans="2:5" x14ac:dyDescent="0.25">
      <c r="B25" s="80"/>
    </row>
    <row r="26" spans="2:5" x14ac:dyDescent="0.25">
      <c r="B26" s="80"/>
    </row>
    <row r="27" spans="2:5" x14ac:dyDescent="0.25">
      <c r="B27" s="80"/>
    </row>
    <row r="28" spans="2:5" x14ac:dyDescent="0.25">
      <c r="B28" s="80"/>
    </row>
    <row r="29" spans="2:5" x14ac:dyDescent="0.25">
      <c r="B29" s="80"/>
    </row>
    <row r="30" spans="2:5" x14ac:dyDescent="0.25">
      <c r="B30" s="80"/>
    </row>
    <row r="31" spans="2:5" x14ac:dyDescent="0.25">
      <c r="B31" s="80"/>
    </row>
    <row r="32" spans="2:5" x14ac:dyDescent="0.25">
      <c r="B32" s="80"/>
    </row>
    <row r="33" spans="2:2" x14ac:dyDescent="0.25">
      <c r="B33" s="80"/>
    </row>
    <row r="34" spans="2:2" x14ac:dyDescent="0.25">
      <c r="B34" s="78"/>
    </row>
    <row r="35" spans="2:2" x14ac:dyDescent="0.25">
      <c r="B35" s="80"/>
    </row>
    <row r="36" spans="2:2" x14ac:dyDescent="0.25">
      <c r="B36" s="80"/>
    </row>
    <row r="37" spans="2:2" x14ac:dyDescent="0.25">
      <c r="B37" s="80"/>
    </row>
    <row r="38" spans="2:2" x14ac:dyDescent="0.25">
      <c r="B38" s="80"/>
    </row>
    <row r="39" spans="2:2" x14ac:dyDescent="0.25">
      <c r="B39" s="80"/>
    </row>
    <row r="40" spans="2:2" x14ac:dyDescent="0.25">
      <c r="B40" s="80"/>
    </row>
    <row r="41" spans="2:2" x14ac:dyDescent="0.25">
      <c r="B41" s="80"/>
    </row>
    <row r="42" spans="2:2" x14ac:dyDescent="0.25">
      <c r="B42" s="80"/>
    </row>
    <row r="43" spans="2:2" x14ac:dyDescent="0.25">
      <c r="B43" s="80"/>
    </row>
    <row r="44" spans="2:2" x14ac:dyDescent="0.25">
      <c r="B44" s="80"/>
    </row>
    <row r="45" spans="2:2" x14ac:dyDescent="0.25">
      <c r="B45" s="80"/>
    </row>
    <row r="46" spans="2:2" x14ac:dyDescent="0.25">
      <c r="B46" s="80"/>
    </row>
    <row r="47" spans="2:2" x14ac:dyDescent="0.25">
      <c r="B47" s="80"/>
    </row>
  </sheetData>
  <pageMargins left="0.7" right="0.7" top="0.75" bottom="0.75" header="0.3" footer="0.3"/>
  <pageSetup paperSize="1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</vt:i4>
      </vt:variant>
    </vt:vector>
  </HeadingPairs>
  <TitlesOfParts>
    <vt:vector size="42" baseType="lpstr">
      <vt:lpstr>Clinker</vt:lpstr>
      <vt:lpstr>Cement</vt:lpstr>
      <vt:lpstr>Packing bag </vt:lpstr>
      <vt:lpstr>DAILY CEM1</vt:lpstr>
      <vt:lpstr>DAILY CEM2</vt:lpstr>
      <vt:lpstr>CPP</vt:lpstr>
      <vt:lpstr>Diesel</vt:lpstr>
      <vt:lpstr>01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Sheet1</vt:lpstr>
      <vt:lpstr>Cement!Print_Area</vt:lpstr>
      <vt:lpstr>'DAILY CEM1'!Print_Area</vt:lpstr>
      <vt:lpstr>'DAILY CEM2'!Print_Area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2026-07-02T14:06:43Z</dcterms:modified>
  <cp:category/>
  <cp:contentStatus/>
</cp:coreProperties>
</file>