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OWER PLANT\Desktop\MIS REPORT DONT DELETE\2026\JUNE-2026\"/>
    </mc:Choice>
  </mc:AlternateContent>
  <xr:revisionPtr revIDLastSave="0" documentId="13_ncr:1_{3AC7DBB4-AC77-44E3-80E4-1AC3F283443D}" xr6:coauthVersionLast="41" xr6:coauthVersionMax="47" xr10:uidLastSave="{00000000-0000-0000-0000-000000000000}"/>
  <bookViews>
    <workbookView xWindow="-120" yWindow="-120" windowWidth="20730" windowHeight="11160" tabRatio="946" activeTab="30" xr2:uid="{00000000-000D-0000-FFFF-FFFF00000000}"/>
  </bookViews>
  <sheets>
    <sheet name="0" sheetId="114" r:id="rId1"/>
    <sheet name="1" sheetId="33" r:id="rId2"/>
    <sheet name="2" sheetId="34" r:id="rId3"/>
    <sheet name="3" sheetId="79" r:id="rId4"/>
    <sheet name="4" sheetId="80" r:id="rId5"/>
    <sheet name="5" sheetId="81" r:id="rId6"/>
    <sheet name="6" sheetId="82" r:id="rId7"/>
    <sheet name="7" sheetId="83" r:id="rId8"/>
    <sheet name="8" sheetId="84" r:id="rId9"/>
    <sheet name="9" sheetId="85" r:id="rId10"/>
    <sheet name="10" sheetId="86" r:id="rId11"/>
    <sheet name="11" sheetId="87" r:id="rId12"/>
    <sheet name="12" sheetId="88" r:id="rId13"/>
    <sheet name="13" sheetId="89" r:id="rId14"/>
    <sheet name="14" sheetId="90" r:id="rId15"/>
    <sheet name="15" sheetId="91" r:id="rId16"/>
    <sheet name="16" sheetId="92" r:id="rId17"/>
    <sheet name="17" sheetId="93" r:id="rId18"/>
    <sheet name="18" sheetId="94" r:id="rId19"/>
    <sheet name="19" sheetId="95" r:id="rId20"/>
    <sheet name="20" sheetId="96" r:id="rId21"/>
    <sheet name="21" sheetId="97" r:id="rId22"/>
    <sheet name="22" sheetId="98" r:id="rId23"/>
    <sheet name="23" sheetId="99" r:id="rId24"/>
    <sheet name="24" sheetId="101" r:id="rId25"/>
    <sheet name="25" sheetId="100" r:id="rId26"/>
    <sheet name="26" sheetId="102" r:id="rId27"/>
    <sheet name="27" sheetId="103" r:id="rId28"/>
    <sheet name="28" sheetId="104" r:id="rId29"/>
    <sheet name="29" sheetId="115" r:id="rId30"/>
    <sheet name="30" sheetId="116" r:id="rId31"/>
  </sheets>
  <definedNames>
    <definedName name="_xlnm.Print_Area" localSheetId="0">'0'!$A$1:$H$1</definedName>
    <definedName name="_xlnm.Print_Area" localSheetId="1">'1'!$A$1:$H$41</definedName>
    <definedName name="_xlnm.Print_Area" localSheetId="10">'10'!$A$1:$H$41</definedName>
    <definedName name="_xlnm.Print_Area" localSheetId="11">'11'!$A$1:$H$41</definedName>
    <definedName name="_xlnm.Print_Area" localSheetId="12">'12'!$A$1:$H$41</definedName>
    <definedName name="_xlnm.Print_Area" localSheetId="13">'13'!$A$1:$H$41</definedName>
    <definedName name="_xlnm.Print_Area" localSheetId="14">'14'!$A$1:$H$41</definedName>
    <definedName name="_xlnm.Print_Area" localSheetId="15">'15'!$A$1:$H$41</definedName>
    <definedName name="_xlnm.Print_Area" localSheetId="16">'16'!$A$1:$H$41</definedName>
    <definedName name="_xlnm.Print_Area" localSheetId="17">'17'!$A$1:$H$41</definedName>
    <definedName name="_xlnm.Print_Area" localSheetId="18">'18'!$A$1:$H$41</definedName>
    <definedName name="_xlnm.Print_Area" localSheetId="19">'19'!$A$1:$H$41</definedName>
    <definedName name="_xlnm.Print_Area" localSheetId="2">'2'!$A$1:$H$41</definedName>
    <definedName name="_xlnm.Print_Area" localSheetId="20">'20'!$A$1:$H$41</definedName>
    <definedName name="_xlnm.Print_Area" localSheetId="21">'21'!$A$1:$H$41</definedName>
    <definedName name="_xlnm.Print_Area" localSheetId="22">'22'!$A$1:$H$41</definedName>
    <definedName name="_xlnm.Print_Area" localSheetId="23">'23'!$A$1:$H$41</definedName>
    <definedName name="_xlnm.Print_Area" localSheetId="24">'24'!$A$1:$H$41</definedName>
    <definedName name="_xlnm.Print_Area" localSheetId="25">'25'!$A$1:$H$40</definedName>
    <definedName name="_xlnm.Print_Area" localSheetId="26">'26'!$A$1:$H$40</definedName>
    <definedName name="_xlnm.Print_Area" localSheetId="27">'27'!$A$1:$H$40</definedName>
    <definedName name="_xlnm.Print_Area" localSheetId="28">'28'!$A$1:$H$41</definedName>
    <definedName name="_xlnm.Print_Area" localSheetId="29">'29'!$A$1:$H$41</definedName>
    <definedName name="_xlnm.Print_Area" localSheetId="3">'3'!$A$1:$H$41</definedName>
    <definedName name="_xlnm.Print_Area" localSheetId="30">'30'!$A$1:$H$41</definedName>
    <definedName name="_xlnm.Print_Area" localSheetId="4">'4'!$A$1:$H$41</definedName>
    <definedName name="_xlnm.Print_Area" localSheetId="5">'5'!$A$1:$H$41</definedName>
    <definedName name="_xlnm.Print_Area" localSheetId="6">'6'!$A$1:$H$41</definedName>
    <definedName name="_xlnm.Print_Area" localSheetId="7">'7'!$A$1:$H$41</definedName>
    <definedName name="_xlnm.Print_Area" localSheetId="8">'8'!$A$1:$H$41</definedName>
    <definedName name="_xlnm.Print_Area" localSheetId="9">'9'!$A$1:$H$41</definedName>
  </definedNames>
  <calcPr calcId="191029"/>
</workbook>
</file>

<file path=xl/calcChain.xml><?xml version="1.0" encoding="utf-8"?>
<calcChain xmlns="http://schemas.openxmlformats.org/spreadsheetml/2006/main">
  <c r="F36" i="91" l="1"/>
  <c r="F36" i="92" l="1"/>
  <c r="E23" i="91" l="1"/>
  <c r="E9" i="33" l="1"/>
  <c r="E9" i="83" l="1"/>
  <c r="E22" i="101" l="1"/>
  <c r="E22" i="97" l="1"/>
  <c r="E23" i="116" l="1"/>
  <c r="E22" i="116"/>
  <c r="E21" i="116"/>
  <c r="E20" i="116"/>
  <c r="E11" i="116"/>
  <c r="E13" i="116" s="1"/>
  <c r="E10" i="116"/>
  <c r="E9" i="116"/>
  <c r="E23" i="115"/>
  <c r="E22" i="115"/>
  <c r="E21" i="115"/>
  <c r="E20" i="115"/>
  <c r="E11" i="115"/>
  <c r="E13" i="115" s="1"/>
  <c r="E10" i="115"/>
  <c r="E9" i="115"/>
  <c r="E23" i="104"/>
  <c r="E22" i="104"/>
  <c r="E21" i="104"/>
  <c r="E20" i="104"/>
  <c r="E11" i="104"/>
  <c r="E13" i="104" s="1"/>
  <c r="E10" i="104"/>
  <c r="E9" i="104"/>
  <c r="E23" i="103"/>
  <c r="E22" i="103"/>
  <c r="E21" i="103"/>
  <c r="E20" i="103"/>
  <c r="E11" i="103"/>
  <c r="E13" i="103" s="1"/>
  <c r="E10" i="103"/>
  <c r="E9" i="103"/>
  <c r="E23" i="102"/>
  <c r="E22" i="102"/>
  <c r="E21" i="102"/>
  <c r="E20" i="102"/>
  <c r="E11" i="102"/>
  <c r="E13" i="102" s="1"/>
  <c r="E10" i="102"/>
  <c r="E9" i="102"/>
  <c r="E23" i="100"/>
  <c r="E22" i="100"/>
  <c r="E21" i="100"/>
  <c r="E20" i="100"/>
  <c r="E11" i="100"/>
  <c r="E13" i="100" s="1"/>
  <c r="E10" i="100"/>
  <c r="E9" i="100"/>
  <c r="E23" i="101"/>
  <c r="E21" i="101"/>
  <c r="E20" i="101"/>
  <c r="E11" i="101"/>
  <c r="E13" i="101" s="1"/>
  <c r="E10" i="101"/>
  <c r="E9" i="101"/>
  <c r="E23" i="99"/>
  <c r="E22" i="99"/>
  <c r="E21" i="99"/>
  <c r="E20" i="99"/>
  <c r="E11" i="99"/>
  <c r="E13" i="99" s="1"/>
  <c r="E10" i="99"/>
  <c r="E9" i="99"/>
  <c r="E23" i="98"/>
  <c r="E22" i="98"/>
  <c r="E21" i="98"/>
  <c r="E20" i="98"/>
  <c r="E11" i="98"/>
  <c r="E13" i="98" s="1"/>
  <c r="E10" i="98"/>
  <c r="E9" i="98"/>
  <c r="E23" i="97"/>
  <c r="E21" i="97"/>
  <c r="E20" i="97"/>
  <c r="E11" i="97"/>
  <c r="E13" i="97" s="1"/>
  <c r="E10" i="97"/>
  <c r="E9" i="97"/>
  <c r="E23" i="96"/>
  <c r="E22" i="96"/>
  <c r="E21" i="96"/>
  <c r="E20" i="96"/>
  <c r="E11" i="96"/>
  <c r="E13" i="96" s="1"/>
  <c r="E10" i="96"/>
  <c r="E9" i="96"/>
  <c r="E23" i="95"/>
  <c r="E22" i="95"/>
  <c r="E21" i="95"/>
  <c r="E20" i="95"/>
  <c r="E11" i="95"/>
  <c r="E13" i="95" s="1"/>
  <c r="E10" i="95"/>
  <c r="E9" i="95"/>
  <c r="E23" i="94"/>
  <c r="E22" i="94"/>
  <c r="E21" i="94"/>
  <c r="E20" i="94"/>
  <c r="E11" i="94"/>
  <c r="E13" i="94" s="1"/>
  <c r="E10" i="94"/>
  <c r="E9" i="94"/>
  <c r="E23" i="93"/>
  <c r="E22" i="93"/>
  <c r="E21" i="93"/>
  <c r="E20" i="93"/>
  <c r="E11" i="93"/>
  <c r="E13" i="93" s="1"/>
  <c r="E10" i="93"/>
  <c r="E9" i="93"/>
  <c r="E23" i="92"/>
  <c r="E22" i="92"/>
  <c r="E21" i="92"/>
  <c r="E20" i="92"/>
  <c r="E11" i="92"/>
  <c r="E13" i="92" s="1"/>
  <c r="E10" i="92"/>
  <c r="E9" i="92"/>
  <c r="E22" i="91"/>
  <c r="E21" i="91"/>
  <c r="E20" i="91"/>
  <c r="E11" i="91"/>
  <c r="E13" i="91" s="1"/>
  <c r="E10" i="91"/>
  <c r="E9" i="91"/>
  <c r="E23" i="90"/>
  <c r="E22" i="90"/>
  <c r="E21" i="90"/>
  <c r="E20" i="90"/>
  <c r="E11" i="90"/>
  <c r="E13" i="90" s="1"/>
  <c r="E10" i="90"/>
  <c r="E9" i="90"/>
  <c r="E23" i="89"/>
  <c r="E22" i="89"/>
  <c r="E21" i="89"/>
  <c r="E20" i="89"/>
  <c r="E11" i="89"/>
  <c r="E13" i="89" s="1"/>
  <c r="E10" i="89"/>
  <c r="E9" i="89"/>
  <c r="E23" i="88"/>
  <c r="E22" i="88"/>
  <c r="E21" i="88"/>
  <c r="E20" i="88"/>
  <c r="E11" i="88"/>
  <c r="E13" i="88" s="1"/>
  <c r="E10" i="88"/>
  <c r="E9" i="88"/>
  <c r="E23" i="87"/>
  <c r="E22" i="87"/>
  <c r="E21" i="87"/>
  <c r="E20" i="87"/>
  <c r="E11" i="87"/>
  <c r="E13" i="87" s="1"/>
  <c r="E10" i="87"/>
  <c r="E9" i="87"/>
  <c r="E23" i="86"/>
  <c r="E22" i="86"/>
  <c r="E21" i="86"/>
  <c r="E20" i="86"/>
  <c r="E11" i="86"/>
  <c r="E13" i="86" s="1"/>
  <c r="E10" i="86"/>
  <c r="E9" i="86"/>
  <c r="E23" i="85"/>
  <c r="E22" i="85"/>
  <c r="E21" i="85"/>
  <c r="E20" i="85"/>
  <c r="E11" i="85"/>
  <c r="E13" i="85" s="1"/>
  <c r="E10" i="85"/>
  <c r="E9" i="85"/>
  <c r="E23" i="84"/>
  <c r="E22" i="84"/>
  <c r="E21" i="84"/>
  <c r="E20" i="84"/>
  <c r="E11" i="84"/>
  <c r="E13" i="84" s="1"/>
  <c r="E10" i="84"/>
  <c r="E9" i="84"/>
  <c r="E23" i="83"/>
  <c r="E22" i="83"/>
  <c r="E21" i="83"/>
  <c r="E20" i="83"/>
  <c r="E11" i="83"/>
  <c r="E13" i="83" s="1"/>
  <c r="E10" i="83"/>
  <c r="E23" i="82"/>
  <c r="E22" i="82"/>
  <c r="E21" i="82"/>
  <c r="E20" i="82"/>
  <c r="E11" i="82"/>
  <c r="E13" i="82" s="1"/>
  <c r="E10" i="82"/>
  <c r="E9" i="82"/>
  <c r="E23" i="81"/>
  <c r="E22" i="81"/>
  <c r="E21" i="81"/>
  <c r="E20" i="81"/>
  <c r="E11" i="81"/>
  <c r="E13" i="81" s="1"/>
  <c r="E10" i="81"/>
  <c r="E9" i="81"/>
  <c r="E23" i="80"/>
  <c r="E22" i="80"/>
  <c r="E21" i="80"/>
  <c r="E20" i="80"/>
  <c r="E11" i="80"/>
  <c r="E13" i="80" s="1"/>
  <c r="E10" i="80"/>
  <c r="E9" i="80"/>
  <c r="E23" i="79"/>
  <c r="E22" i="79"/>
  <c r="E21" i="79"/>
  <c r="E20" i="79"/>
  <c r="E11" i="79"/>
  <c r="E13" i="79" s="1"/>
  <c r="E10" i="79"/>
  <c r="E9" i="79"/>
  <c r="E23" i="34"/>
  <c r="E22" i="34"/>
  <c r="E21" i="34"/>
  <c r="E20" i="34"/>
  <c r="E11" i="34"/>
  <c r="E13" i="34" s="1"/>
  <c r="E10" i="34"/>
  <c r="E9" i="34"/>
  <c r="G37" i="33"/>
  <c r="G37" i="34" s="1"/>
  <c r="G37" i="79" s="1"/>
  <c r="G37" i="80" s="1"/>
  <c r="G37" i="81" s="1"/>
  <c r="G37" i="82" s="1"/>
  <c r="G37" i="83" s="1"/>
  <c r="G37" i="84" s="1"/>
  <c r="G37" i="85" s="1"/>
  <c r="G37" i="86" s="1"/>
  <c r="G37" i="87" s="1"/>
  <c r="G37" i="88" s="1"/>
  <c r="G37" i="89" s="1"/>
  <c r="G37" i="90" s="1"/>
  <c r="G37" i="91" s="1"/>
  <c r="G37" i="92" s="1"/>
  <c r="G37" i="93" s="1"/>
  <c r="G37" i="94" s="1"/>
  <c r="G37" i="95" s="1"/>
  <c r="G37" i="96" s="1"/>
  <c r="G37" i="97" s="1"/>
  <c r="G37" i="98" s="1"/>
  <c r="G37" i="99" s="1"/>
  <c r="G37" i="101" s="1"/>
  <c r="G37" i="100" s="1"/>
  <c r="F37" i="33"/>
  <c r="F37" i="34" s="1"/>
  <c r="F37" i="79" s="1"/>
  <c r="F37" i="80" s="1"/>
  <c r="F37" i="81" s="1"/>
  <c r="F37" i="82" s="1"/>
  <c r="F37" i="83" s="1"/>
  <c r="F37" i="84" s="1"/>
  <c r="F37" i="85" s="1"/>
  <c r="F37" i="86" s="1"/>
  <c r="F37" i="87" s="1"/>
  <c r="F37" i="88" s="1"/>
  <c r="F37" i="89" s="1"/>
  <c r="F37" i="90" s="1"/>
  <c r="F37" i="91" s="1"/>
  <c r="F37" i="92" s="1"/>
  <c r="F37" i="93" s="1"/>
  <c r="F37" i="94" s="1"/>
  <c r="F37" i="95" s="1"/>
  <c r="F37" i="96" s="1"/>
  <c r="F37" i="97" s="1"/>
  <c r="F37" i="98" s="1"/>
  <c r="F37" i="99" s="1"/>
  <c r="F37" i="101" s="1"/>
  <c r="F37" i="100" s="1"/>
  <c r="G36" i="33"/>
  <c r="G36" i="34" s="1"/>
  <c r="G36" i="79" s="1"/>
  <c r="G36" i="80" s="1"/>
  <c r="G36" i="81" s="1"/>
  <c r="G36" i="82" s="1"/>
  <c r="G36" i="83" s="1"/>
  <c r="G36" i="84" s="1"/>
  <c r="G36" i="85" s="1"/>
  <c r="G36" i="86" s="1"/>
  <c r="G36" i="87" s="1"/>
  <c r="G36" i="88" s="1"/>
  <c r="G36" i="89" s="1"/>
  <c r="G36" i="90" s="1"/>
  <c r="G36" i="91" s="1"/>
  <c r="G36" i="92" s="1"/>
  <c r="G36" i="93" s="1"/>
  <c r="G36" i="94" s="1"/>
  <c r="G36" i="95" s="1"/>
  <c r="G36" i="96" s="1"/>
  <c r="G36" i="97" s="1"/>
  <c r="G36" i="98" s="1"/>
  <c r="G36" i="99" s="1"/>
  <c r="G36" i="101" s="1"/>
  <c r="G36" i="100" s="1"/>
  <c r="F36" i="33"/>
  <c r="F36" i="34" s="1"/>
  <c r="F36" i="79" s="1"/>
  <c r="F36" i="80" s="1"/>
  <c r="F36" i="81" s="1"/>
  <c r="F36" i="82" s="1"/>
  <c r="F36" i="83" s="1"/>
  <c r="F36" i="84" s="1"/>
  <c r="F36" i="85" s="1"/>
  <c r="F36" i="86" s="1"/>
  <c r="F36" i="87" s="1"/>
  <c r="F36" i="88" s="1"/>
  <c r="F36" i="89" s="1"/>
  <c r="F36" i="90" s="1"/>
  <c r="F36" i="93" s="1"/>
  <c r="F36" i="94" s="1"/>
  <c r="F36" i="95" s="1"/>
  <c r="F36" i="96" s="1"/>
  <c r="F36" i="97" s="1"/>
  <c r="F36" i="98" s="1"/>
  <c r="F36" i="99" s="1"/>
  <c r="F36" i="101" s="1"/>
  <c r="F36" i="100" s="1"/>
  <c r="G35" i="33"/>
  <c r="G35" i="34" s="1"/>
  <c r="G35" i="79" s="1"/>
  <c r="G35" i="80" s="1"/>
  <c r="G35" i="81" s="1"/>
  <c r="G35" i="82" s="1"/>
  <c r="G35" i="83" s="1"/>
  <c r="G35" i="84" s="1"/>
  <c r="G35" i="85" s="1"/>
  <c r="G35" i="86" s="1"/>
  <c r="G35" i="87" s="1"/>
  <c r="G35" i="88" s="1"/>
  <c r="G35" i="89" s="1"/>
  <c r="G35" i="90" s="1"/>
  <c r="G35" i="91" s="1"/>
  <c r="G35" i="92" s="1"/>
  <c r="G35" i="93" s="1"/>
  <c r="G35" i="94" s="1"/>
  <c r="G35" i="95" s="1"/>
  <c r="G35" i="96" s="1"/>
  <c r="G35" i="97" s="1"/>
  <c r="G35" i="98" s="1"/>
  <c r="G35" i="99" s="1"/>
  <c r="G35" i="101" s="1"/>
  <c r="G35" i="100" s="1"/>
  <c r="F35" i="33"/>
  <c r="F35" i="34" s="1"/>
  <c r="F35" i="79" s="1"/>
  <c r="F35" i="80" s="1"/>
  <c r="F35" i="81" s="1"/>
  <c r="F35" i="82" s="1"/>
  <c r="F35" i="83" s="1"/>
  <c r="F35" i="84" s="1"/>
  <c r="F35" i="85" s="1"/>
  <c r="F35" i="86" s="1"/>
  <c r="F35" i="87" s="1"/>
  <c r="F35" i="88" s="1"/>
  <c r="F35" i="89" s="1"/>
  <c r="F35" i="90" s="1"/>
  <c r="F35" i="91" s="1"/>
  <c r="F35" i="92" s="1"/>
  <c r="F35" i="93" s="1"/>
  <c r="F35" i="94" s="1"/>
  <c r="F35" i="95" s="1"/>
  <c r="F35" i="96" s="1"/>
  <c r="F35" i="97" s="1"/>
  <c r="F35" i="98" s="1"/>
  <c r="F35" i="99" s="1"/>
  <c r="F35" i="101" s="1"/>
  <c r="F35" i="100" s="1"/>
  <c r="G32" i="33"/>
  <c r="G32" i="34" s="1"/>
  <c r="G32" i="79" s="1"/>
  <c r="G32" i="80" s="1"/>
  <c r="G32" i="81" s="1"/>
  <c r="G32" i="82" s="1"/>
  <c r="G32" i="83" s="1"/>
  <c r="G32" i="84" s="1"/>
  <c r="G32" i="85" s="1"/>
  <c r="G32" i="86" s="1"/>
  <c r="G32" i="87" s="1"/>
  <c r="G32" i="88" s="1"/>
  <c r="G32" i="89" s="1"/>
  <c r="G32" i="90" s="1"/>
  <c r="G32" i="91" s="1"/>
  <c r="G32" i="92" s="1"/>
  <c r="G32" i="93" s="1"/>
  <c r="G32" i="94" s="1"/>
  <c r="G32" i="95" s="1"/>
  <c r="G32" i="96" s="1"/>
  <c r="G32" i="97" s="1"/>
  <c r="G32" i="98" s="1"/>
  <c r="G32" i="99" s="1"/>
  <c r="G32" i="101" s="1"/>
  <c r="G32" i="100" s="1"/>
  <c r="F32" i="33"/>
  <c r="F32" i="34" s="1"/>
  <c r="F32" i="79" s="1"/>
  <c r="F32" i="80" s="1"/>
  <c r="F32" i="81" s="1"/>
  <c r="F32" i="82" s="1"/>
  <c r="F32" i="83" s="1"/>
  <c r="F32" i="84" s="1"/>
  <c r="F32" i="85" s="1"/>
  <c r="F32" i="86" s="1"/>
  <c r="F32" i="87" s="1"/>
  <c r="F32" i="88" s="1"/>
  <c r="F32" i="89" s="1"/>
  <c r="F32" i="90" s="1"/>
  <c r="F32" i="91" s="1"/>
  <c r="F32" i="92" s="1"/>
  <c r="F32" i="93" s="1"/>
  <c r="F32" i="94" s="1"/>
  <c r="F32" i="95" s="1"/>
  <c r="G31" i="33"/>
  <c r="G31" i="34" s="1"/>
  <c r="G31" i="79" s="1"/>
  <c r="G31" i="80" s="1"/>
  <c r="G31" i="81" s="1"/>
  <c r="G31" i="82" s="1"/>
  <c r="G31" i="83" s="1"/>
  <c r="G31" i="84" s="1"/>
  <c r="G31" i="85" s="1"/>
  <c r="G31" i="86" s="1"/>
  <c r="G31" i="87" s="1"/>
  <c r="G31" i="88" s="1"/>
  <c r="G31" i="89" s="1"/>
  <c r="G31" i="90" s="1"/>
  <c r="G31" i="91" s="1"/>
  <c r="G31" i="92" s="1"/>
  <c r="G31" i="93" s="1"/>
  <c r="G31" i="94" s="1"/>
  <c r="G31" i="95" s="1"/>
  <c r="G31" i="96" s="1"/>
  <c r="G31" i="97" s="1"/>
  <c r="G31" i="98" s="1"/>
  <c r="G31" i="99" s="1"/>
  <c r="G31" i="101" s="1"/>
  <c r="G31" i="100" s="1"/>
  <c r="F31" i="33"/>
  <c r="F31" i="34" s="1"/>
  <c r="F31" i="79" s="1"/>
  <c r="F31" i="80" s="1"/>
  <c r="F31" i="81" s="1"/>
  <c r="F31" i="82" s="1"/>
  <c r="F31" i="83" s="1"/>
  <c r="F31" i="84" s="1"/>
  <c r="F31" i="85" s="1"/>
  <c r="F31" i="86" s="1"/>
  <c r="F31" i="87" s="1"/>
  <c r="F31" i="88" s="1"/>
  <c r="F31" i="89" s="1"/>
  <c r="F31" i="90" s="1"/>
  <c r="F31" i="91" s="1"/>
  <c r="F31" i="92" s="1"/>
  <c r="F31" i="93" s="1"/>
  <c r="F31" i="94" s="1"/>
  <c r="F31" i="95" s="1"/>
  <c r="F31" i="96" s="1"/>
  <c r="F31" i="97" s="1"/>
  <c r="F31" i="98" s="1"/>
  <c r="F31" i="99" s="1"/>
  <c r="F31" i="101" s="1"/>
  <c r="F31" i="100" s="1"/>
  <c r="G30" i="33"/>
  <c r="G30" i="34" s="1"/>
  <c r="G30" i="79" s="1"/>
  <c r="G30" i="80" s="1"/>
  <c r="G30" i="81" s="1"/>
  <c r="G30" i="82" s="1"/>
  <c r="G30" i="83" s="1"/>
  <c r="G30" i="84" s="1"/>
  <c r="G30" i="85" s="1"/>
  <c r="G30" i="86" s="1"/>
  <c r="G30" i="87" s="1"/>
  <c r="G30" i="88" s="1"/>
  <c r="G30" i="89" s="1"/>
  <c r="G30" i="90" s="1"/>
  <c r="G30" i="91" s="1"/>
  <c r="G30" i="92" s="1"/>
  <c r="G30" i="93" s="1"/>
  <c r="G30" i="94" s="1"/>
  <c r="G30" i="95" s="1"/>
  <c r="G30" i="96" s="1"/>
  <c r="G30" i="97" s="1"/>
  <c r="G30" i="98" s="1"/>
  <c r="G30" i="99" s="1"/>
  <c r="G30" i="101" s="1"/>
  <c r="G30" i="100" s="1"/>
  <c r="F30" i="33"/>
  <c r="F30" i="34" s="1"/>
  <c r="F30" i="79" s="1"/>
  <c r="F30" i="80" s="1"/>
  <c r="F30" i="81" s="1"/>
  <c r="F30" i="82" s="1"/>
  <c r="F30" i="83" s="1"/>
  <c r="F30" i="84" s="1"/>
  <c r="F30" i="85" s="1"/>
  <c r="F30" i="86" s="1"/>
  <c r="F30" i="87" s="1"/>
  <c r="F30" i="88" s="1"/>
  <c r="F30" i="89" s="1"/>
  <c r="F30" i="90" s="1"/>
  <c r="F30" i="91" s="1"/>
  <c r="F30" i="92" s="1"/>
  <c r="F30" i="93" s="1"/>
  <c r="F30" i="94" s="1"/>
  <c r="F30" i="95" s="1"/>
  <c r="F30" i="96" s="1"/>
  <c r="F30" i="97" s="1"/>
  <c r="F30" i="98" s="1"/>
  <c r="F30" i="99" s="1"/>
  <c r="F30" i="101" s="1"/>
  <c r="F30" i="100" s="1"/>
  <c r="G26" i="33"/>
  <c r="G26" i="34" s="1"/>
  <c r="F26" i="33"/>
  <c r="F26" i="34" s="1"/>
  <c r="F26" i="79" s="1"/>
  <c r="G24" i="33"/>
  <c r="G24" i="34" s="1"/>
  <c r="G24" i="79" s="1"/>
  <c r="G24" i="80" s="1"/>
  <c r="G24" i="81" s="1"/>
  <c r="G24" i="82" s="1"/>
  <c r="G24" i="83" s="1"/>
  <c r="G24" i="84" s="1"/>
  <c r="G24" i="85" s="1"/>
  <c r="G24" i="86" s="1"/>
  <c r="G24" i="87" s="1"/>
  <c r="G24" i="88" s="1"/>
  <c r="G24" i="89" s="1"/>
  <c r="G24" i="90" s="1"/>
  <c r="G24" i="91" s="1"/>
  <c r="G24" i="92" s="1"/>
  <c r="G24" i="93" s="1"/>
  <c r="G24" i="94" s="1"/>
  <c r="G24" i="95" s="1"/>
  <c r="G24" i="96" s="1"/>
  <c r="G24" i="97" s="1"/>
  <c r="G24" i="98" s="1"/>
  <c r="G24" i="99" s="1"/>
  <c r="G24" i="101" s="1"/>
  <c r="G24" i="100" s="1"/>
  <c r="G24" i="102" s="1"/>
  <c r="G24" i="103" s="1"/>
  <c r="G24" i="104" s="1"/>
  <c r="G24" i="115" s="1"/>
  <c r="G24" i="116" s="1"/>
  <c r="F24" i="33"/>
  <c r="F24" i="34" s="1"/>
  <c r="F24" i="79" s="1"/>
  <c r="F24" i="80" s="1"/>
  <c r="F24" i="81" s="1"/>
  <c r="F24" i="82" s="1"/>
  <c r="F24" i="83" s="1"/>
  <c r="F24" i="84" s="1"/>
  <c r="F24" i="85" s="1"/>
  <c r="F24" i="86" s="1"/>
  <c r="F24" i="87" s="1"/>
  <c r="F24" i="88" s="1"/>
  <c r="F24" i="89" s="1"/>
  <c r="F24" i="90" s="1"/>
  <c r="F24" i="91" s="1"/>
  <c r="F24" i="92" s="1"/>
  <c r="F24" i="93" s="1"/>
  <c r="F24" i="94" s="1"/>
  <c r="F24" i="95" s="1"/>
  <c r="F24" i="96" s="1"/>
  <c r="F24" i="97" s="1"/>
  <c r="F24" i="98" s="1"/>
  <c r="F24" i="99" s="1"/>
  <c r="F24" i="101" s="1"/>
  <c r="F24" i="100" s="1"/>
  <c r="F24" i="102" s="1"/>
  <c r="F24" i="103" s="1"/>
  <c r="F24" i="104" s="1"/>
  <c r="F24" i="115" s="1"/>
  <c r="F24" i="116" s="1"/>
  <c r="E23" i="33"/>
  <c r="E22" i="33"/>
  <c r="E21" i="33"/>
  <c r="E20" i="33"/>
  <c r="G19" i="33"/>
  <c r="G19" i="34" s="1"/>
  <c r="G19" i="79" s="1"/>
  <c r="G19" i="80" s="1"/>
  <c r="G19" i="81" s="1"/>
  <c r="G19" i="82" s="1"/>
  <c r="G19" i="83" s="1"/>
  <c r="G19" i="84" s="1"/>
  <c r="G19" i="85" s="1"/>
  <c r="G19" i="86" s="1"/>
  <c r="G19" i="87" s="1"/>
  <c r="G19" i="88" s="1"/>
  <c r="G19" i="89" s="1"/>
  <c r="G19" i="90" s="1"/>
  <c r="G19" i="91" s="1"/>
  <c r="G19" i="92" s="1"/>
  <c r="G19" i="93" s="1"/>
  <c r="G19" i="94" s="1"/>
  <c r="G19" i="95" s="1"/>
  <c r="G19" i="96" s="1"/>
  <c r="G19" i="97" s="1"/>
  <c r="G19" i="98" s="1"/>
  <c r="G19" i="99" s="1"/>
  <c r="G19" i="101" s="1"/>
  <c r="G19" i="100" s="1"/>
  <c r="G19" i="102" s="1"/>
  <c r="G19" i="103" s="1"/>
  <c r="G19" i="104" s="1"/>
  <c r="G19" i="115" s="1"/>
  <c r="G19" i="116" s="1"/>
  <c r="F19" i="33"/>
  <c r="F19" i="34" s="1"/>
  <c r="F19" i="79" s="1"/>
  <c r="F19" i="80" s="1"/>
  <c r="F19" i="81" s="1"/>
  <c r="F19" i="82" s="1"/>
  <c r="F19" i="83" s="1"/>
  <c r="F19" i="84" s="1"/>
  <c r="F19" i="85" s="1"/>
  <c r="F19" i="86" s="1"/>
  <c r="F19" i="87" s="1"/>
  <c r="F19" i="88" s="1"/>
  <c r="F19" i="89" s="1"/>
  <c r="F19" i="90" s="1"/>
  <c r="F19" i="91" s="1"/>
  <c r="F19" i="92" s="1"/>
  <c r="F19" i="93" s="1"/>
  <c r="F19" i="94" s="1"/>
  <c r="F19" i="95" s="1"/>
  <c r="F19" i="96" s="1"/>
  <c r="F19" i="97" s="1"/>
  <c r="F19" i="98" s="1"/>
  <c r="F19" i="99" s="1"/>
  <c r="F19" i="101" s="1"/>
  <c r="F19" i="100" s="1"/>
  <c r="F19" i="102" s="1"/>
  <c r="F19" i="103" s="1"/>
  <c r="F19" i="104" s="1"/>
  <c r="F19" i="115" s="1"/>
  <c r="F19" i="116" s="1"/>
  <c r="G18" i="33"/>
  <c r="G18" i="34" s="1"/>
  <c r="G18" i="79" s="1"/>
  <c r="G18" i="80" s="1"/>
  <c r="G18" i="81" s="1"/>
  <c r="G18" i="82" s="1"/>
  <c r="G18" i="83" s="1"/>
  <c r="G18" i="84" s="1"/>
  <c r="G18" i="85" s="1"/>
  <c r="G18" i="86" s="1"/>
  <c r="G18" i="87" s="1"/>
  <c r="G18" i="88" s="1"/>
  <c r="G18" i="89" s="1"/>
  <c r="G18" i="90" s="1"/>
  <c r="G18" i="91" s="1"/>
  <c r="G18" i="92" s="1"/>
  <c r="G18" i="93" s="1"/>
  <c r="G18" i="94" s="1"/>
  <c r="G18" i="95" s="1"/>
  <c r="G18" i="96" s="1"/>
  <c r="G18" i="97" s="1"/>
  <c r="G18" i="98" s="1"/>
  <c r="G18" i="99" s="1"/>
  <c r="G18" i="101" s="1"/>
  <c r="G18" i="100" s="1"/>
  <c r="G18" i="102" s="1"/>
  <c r="G18" i="103" s="1"/>
  <c r="G18" i="104" s="1"/>
  <c r="G18" i="115" s="1"/>
  <c r="G18" i="116" s="1"/>
  <c r="F18" i="33"/>
  <c r="F18" i="34" s="1"/>
  <c r="F18" i="79" s="1"/>
  <c r="F18" i="80" s="1"/>
  <c r="F18" i="81" s="1"/>
  <c r="F18" i="82" s="1"/>
  <c r="F18" i="83" s="1"/>
  <c r="F18" i="84" s="1"/>
  <c r="F18" i="85" s="1"/>
  <c r="F18" i="86" s="1"/>
  <c r="F18" i="87" s="1"/>
  <c r="F18" i="88" s="1"/>
  <c r="F18" i="89" s="1"/>
  <c r="F18" i="90" s="1"/>
  <c r="F18" i="91" s="1"/>
  <c r="F18" i="92" s="1"/>
  <c r="F18" i="93" s="1"/>
  <c r="F18" i="94" s="1"/>
  <c r="F18" i="95" s="1"/>
  <c r="F18" i="96" s="1"/>
  <c r="F18" i="97" s="1"/>
  <c r="F18" i="98" s="1"/>
  <c r="F18" i="99" s="1"/>
  <c r="F18" i="101" s="1"/>
  <c r="F18" i="100" s="1"/>
  <c r="F18" i="102" s="1"/>
  <c r="F18" i="103" s="1"/>
  <c r="F18" i="104" s="1"/>
  <c r="F18" i="115" s="1"/>
  <c r="F18" i="116" s="1"/>
  <c r="G17" i="33"/>
  <c r="F17" i="33"/>
  <c r="G16" i="33"/>
  <c r="G16" i="34" s="1"/>
  <c r="G16" i="79" s="1"/>
  <c r="G16" i="80" s="1"/>
  <c r="G16" i="81" s="1"/>
  <c r="G16" i="82" s="1"/>
  <c r="G16" i="83" s="1"/>
  <c r="G16" i="84" s="1"/>
  <c r="G16" i="85" s="1"/>
  <c r="G16" i="86" s="1"/>
  <c r="G16" i="87" s="1"/>
  <c r="G16" i="88" s="1"/>
  <c r="G16" i="89" s="1"/>
  <c r="G16" i="90" s="1"/>
  <c r="G16" i="91" s="1"/>
  <c r="G16" i="92" s="1"/>
  <c r="G16" i="93" s="1"/>
  <c r="G16" i="94" s="1"/>
  <c r="G16" i="95" s="1"/>
  <c r="G16" i="96" s="1"/>
  <c r="G16" i="97" s="1"/>
  <c r="G16" i="98" s="1"/>
  <c r="G16" i="99" s="1"/>
  <c r="G16" i="101" s="1"/>
  <c r="G16" i="100" s="1"/>
  <c r="G16" i="102" s="1"/>
  <c r="G16" i="103" s="1"/>
  <c r="G16" i="104" s="1"/>
  <c r="G16" i="115" s="1"/>
  <c r="G16" i="116" s="1"/>
  <c r="F16" i="33"/>
  <c r="F16" i="34" s="1"/>
  <c r="F16" i="79" s="1"/>
  <c r="F16" i="80" s="1"/>
  <c r="F16" i="81" s="1"/>
  <c r="F16" i="82" s="1"/>
  <c r="F16" i="83" s="1"/>
  <c r="F16" i="84" s="1"/>
  <c r="F16" i="85" s="1"/>
  <c r="F16" i="86" s="1"/>
  <c r="F16" i="87" s="1"/>
  <c r="F16" i="88" s="1"/>
  <c r="F16" i="89" s="1"/>
  <c r="F16" i="90" s="1"/>
  <c r="F16" i="91" s="1"/>
  <c r="F16" i="92" s="1"/>
  <c r="F16" i="93" s="1"/>
  <c r="F16" i="94" s="1"/>
  <c r="F16" i="95" s="1"/>
  <c r="F16" i="96" s="1"/>
  <c r="F16" i="97" s="1"/>
  <c r="F16" i="98" s="1"/>
  <c r="F16" i="99" s="1"/>
  <c r="F16" i="101" s="1"/>
  <c r="F16" i="100" s="1"/>
  <c r="F16" i="102" s="1"/>
  <c r="F16" i="103" s="1"/>
  <c r="F16" i="104" s="1"/>
  <c r="F16" i="115" s="1"/>
  <c r="F16" i="116" s="1"/>
  <c r="G15" i="33"/>
  <c r="G15" i="34" s="1"/>
  <c r="F15" i="33"/>
  <c r="F15" i="34" s="1"/>
  <c r="G14" i="33"/>
  <c r="G14" i="34" s="1"/>
  <c r="G14" i="79" s="1"/>
  <c r="G14" i="80" s="1"/>
  <c r="G14" i="81" s="1"/>
  <c r="G14" i="82" s="1"/>
  <c r="G14" i="83" s="1"/>
  <c r="G14" i="84" s="1"/>
  <c r="G14" i="85" s="1"/>
  <c r="G14" i="86" s="1"/>
  <c r="G14" i="87" s="1"/>
  <c r="G14" i="88" s="1"/>
  <c r="G14" i="89" s="1"/>
  <c r="G14" i="90" s="1"/>
  <c r="G14" i="91" s="1"/>
  <c r="G14" i="92" s="1"/>
  <c r="G14" i="93" s="1"/>
  <c r="G14" i="94" s="1"/>
  <c r="G14" i="95" s="1"/>
  <c r="G14" i="96" s="1"/>
  <c r="G14" i="97" s="1"/>
  <c r="G14" i="98" s="1"/>
  <c r="G14" i="99" s="1"/>
  <c r="G14" i="101" s="1"/>
  <c r="G14" i="100" s="1"/>
  <c r="G14" i="102" s="1"/>
  <c r="G14" i="103" s="1"/>
  <c r="G14" i="104" s="1"/>
  <c r="G14" i="115" s="1"/>
  <c r="G14" i="116" s="1"/>
  <c r="F14" i="33"/>
  <c r="F14" i="34" s="1"/>
  <c r="F14" i="79" s="1"/>
  <c r="F14" i="80" s="1"/>
  <c r="F14" i="81" s="1"/>
  <c r="F14" i="82" s="1"/>
  <c r="F14" i="83" s="1"/>
  <c r="F14" i="84" s="1"/>
  <c r="F14" i="85" s="1"/>
  <c r="F14" i="86" s="1"/>
  <c r="F14" i="87" s="1"/>
  <c r="F14" i="88" s="1"/>
  <c r="F14" i="89" s="1"/>
  <c r="F14" i="90" s="1"/>
  <c r="F14" i="91" s="1"/>
  <c r="F14" i="92" s="1"/>
  <c r="F14" i="93" s="1"/>
  <c r="F14" i="94" s="1"/>
  <c r="F14" i="95" s="1"/>
  <c r="F14" i="96" s="1"/>
  <c r="F14" i="97" s="1"/>
  <c r="F14" i="98" s="1"/>
  <c r="F14" i="99" s="1"/>
  <c r="F14" i="101" s="1"/>
  <c r="F14" i="100" s="1"/>
  <c r="F14" i="102" s="1"/>
  <c r="F14" i="103" s="1"/>
  <c r="F14" i="104" s="1"/>
  <c r="F14" i="115" s="1"/>
  <c r="F14" i="116" s="1"/>
  <c r="G12" i="33"/>
  <c r="G12" i="34" s="1"/>
  <c r="G12" i="79" s="1"/>
  <c r="G12" i="80" s="1"/>
  <c r="G12" i="81" s="1"/>
  <c r="G12" i="82" s="1"/>
  <c r="G12" i="83" s="1"/>
  <c r="G12" i="84" s="1"/>
  <c r="G12" i="85" s="1"/>
  <c r="G12" i="86" s="1"/>
  <c r="G12" i="87" s="1"/>
  <c r="G12" i="88" s="1"/>
  <c r="G12" i="89" s="1"/>
  <c r="G12" i="90" s="1"/>
  <c r="G12" i="91" s="1"/>
  <c r="G12" i="92" s="1"/>
  <c r="G12" i="93" s="1"/>
  <c r="G12" i="94" s="1"/>
  <c r="G12" i="95" s="1"/>
  <c r="G12" i="96" s="1"/>
  <c r="G12" i="97" s="1"/>
  <c r="G12" i="98" s="1"/>
  <c r="G12" i="99" s="1"/>
  <c r="G12" i="101" s="1"/>
  <c r="G12" i="100" s="1"/>
  <c r="G12" i="102" s="1"/>
  <c r="G12" i="103" s="1"/>
  <c r="G12" i="104" s="1"/>
  <c r="G12" i="115" s="1"/>
  <c r="G12" i="116" s="1"/>
  <c r="F12" i="33"/>
  <c r="F12" i="34" s="1"/>
  <c r="F12" i="79" s="1"/>
  <c r="F12" i="80" s="1"/>
  <c r="F12" i="81" s="1"/>
  <c r="F12" i="82" s="1"/>
  <c r="F12" i="83" s="1"/>
  <c r="F12" i="84" s="1"/>
  <c r="F12" i="85" s="1"/>
  <c r="F12" i="86" s="1"/>
  <c r="F12" i="87" s="1"/>
  <c r="F12" i="88" s="1"/>
  <c r="F12" i="89" s="1"/>
  <c r="F12" i="90" s="1"/>
  <c r="F12" i="91" s="1"/>
  <c r="F12" i="92" s="1"/>
  <c r="F12" i="93" s="1"/>
  <c r="F12" i="94" s="1"/>
  <c r="F12" i="95" s="1"/>
  <c r="F12" i="96" s="1"/>
  <c r="F12" i="97" s="1"/>
  <c r="F12" i="98" s="1"/>
  <c r="F12" i="99" s="1"/>
  <c r="F12" i="101" s="1"/>
  <c r="F12" i="100" s="1"/>
  <c r="F12" i="102" s="1"/>
  <c r="F12" i="103" s="1"/>
  <c r="F12" i="104" s="1"/>
  <c r="F12" i="115" s="1"/>
  <c r="F12" i="116" s="1"/>
  <c r="E11" i="33"/>
  <c r="E13" i="33" s="1"/>
  <c r="E10" i="33"/>
  <c r="F9" i="33"/>
  <c r="G8" i="33"/>
  <c r="G8" i="34" s="1"/>
  <c r="F8" i="33"/>
  <c r="F8" i="34" s="1"/>
  <c r="F8" i="79" s="1"/>
  <c r="G7" i="33"/>
  <c r="G7" i="34" s="1"/>
  <c r="G7" i="79" s="1"/>
  <c r="F7" i="33"/>
  <c r="F7" i="34" s="1"/>
  <c r="E6" i="33"/>
  <c r="E6" i="34" s="1"/>
  <c r="E6" i="79" s="1"/>
  <c r="E6" i="80" s="1"/>
  <c r="E6" i="81" s="1"/>
  <c r="E6" i="82" s="1"/>
  <c r="E6" i="83" s="1"/>
  <c r="E6" i="84" s="1"/>
  <c r="E6" i="85" s="1"/>
  <c r="E6" i="86" s="1"/>
  <c r="E6" i="87" s="1"/>
  <c r="E6" i="88" s="1"/>
  <c r="E6" i="89" s="1"/>
  <c r="E6" i="90" s="1"/>
  <c r="E6" i="91" s="1"/>
  <c r="E6" i="92" s="1"/>
  <c r="E6" i="93" s="1"/>
  <c r="E6" i="94" s="1"/>
  <c r="E6" i="95" s="1"/>
  <c r="E6" i="96" s="1"/>
  <c r="E6" i="97" s="1"/>
  <c r="E6" i="98" s="1"/>
  <c r="E6" i="99" s="1"/>
  <c r="E6" i="101" s="1"/>
  <c r="E6" i="100" s="1"/>
  <c r="E6" i="102" s="1"/>
  <c r="E6" i="103" s="1"/>
  <c r="E6" i="104" s="1"/>
  <c r="E6" i="115" s="1"/>
  <c r="E6" i="116" s="1"/>
  <c r="F32" i="96" l="1"/>
  <c r="F32" i="97" s="1"/>
  <c r="F32" i="98" s="1"/>
  <c r="F32" i="99" s="1"/>
  <c r="F32" i="101" s="1"/>
  <c r="F32" i="100" s="1"/>
  <c r="F32" i="102" s="1"/>
  <c r="F32" i="103" s="1"/>
  <c r="F32" i="104" s="1"/>
  <c r="F32" i="115" s="1"/>
  <c r="F32" i="116" s="1"/>
  <c r="G37" i="102"/>
  <c r="G37" i="103" s="1"/>
  <c r="G37" i="104" s="1"/>
  <c r="G37" i="115" s="1"/>
  <c r="G37" i="116" s="1"/>
  <c r="F37" i="102"/>
  <c r="F37" i="103" s="1"/>
  <c r="F37" i="104" s="1"/>
  <c r="F37" i="115" s="1"/>
  <c r="F37" i="116" s="1"/>
  <c r="G36" i="102"/>
  <c r="G36" i="103" s="1"/>
  <c r="G36" i="104" s="1"/>
  <c r="G36" i="115" s="1"/>
  <c r="G36" i="116" s="1"/>
  <c r="F36" i="102"/>
  <c r="F36" i="103" s="1"/>
  <c r="F36" i="104" s="1"/>
  <c r="F36" i="115" s="1"/>
  <c r="F36" i="116" s="1"/>
  <c r="G35" i="102"/>
  <c r="G35" i="103" s="1"/>
  <c r="G35" i="104" s="1"/>
  <c r="G35" i="115" s="1"/>
  <c r="G35" i="116" s="1"/>
  <c r="F35" i="102"/>
  <c r="F35" i="103" s="1"/>
  <c r="F35" i="104" s="1"/>
  <c r="F35" i="115" s="1"/>
  <c r="F35" i="116" s="1"/>
  <c r="G32" i="102"/>
  <c r="G32" i="103" s="1"/>
  <c r="G32" i="104" s="1"/>
  <c r="G32" i="115" s="1"/>
  <c r="G32" i="116" s="1"/>
  <c r="G31" i="102"/>
  <c r="G31" i="103" s="1"/>
  <c r="G31" i="104" s="1"/>
  <c r="G31" i="115" s="1"/>
  <c r="G31" i="116" s="1"/>
  <c r="F31" i="102"/>
  <c r="F31" i="103" s="1"/>
  <c r="F31" i="104" s="1"/>
  <c r="F31" i="115" s="1"/>
  <c r="F31" i="116" s="1"/>
  <c r="F30" i="102"/>
  <c r="F30" i="103" s="1"/>
  <c r="F30" i="104" s="1"/>
  <c r="F30" i="115" s="1"/>
  <c r="F30" i="116" s="1"/>
  <c r="G30" i="102"/>
  <c r="G30" i="103" s="1"/>
  <c r="G30" i="104" s="1"/>
  <c r="G30" i="115" s="1"/>
  <c r="G30" i="116" s="1"/>
  <c r="F20" i="33"/>
  <c r="F11" i="33"/>
  <c r="F13" i="33" s="1"/>
  <c r="G9" i="33"/>
  <c r="G9" i="34" s="1"/>
  <c r="G9" i="79" s="1"/>
  <c r="G9" i="80" s="1"/>
  <c r="G9" i="81" s="1"/>
  <c r="G9" i="82" s="1"/>
  <c r="G9" i="83" s="1"/>
  <c r="G9" i="84" s="1"/>
  <c r="G9" i="85" s="1"/>
  <c r="G9" i="86" s="1"/>
  <c r="G9" i="87" s="1"/>
  <c r="G9" i="88" s="1"/>
  <c r="G9" i="89" s="1"/>
  <c r="G9" i="90" s="1"/>
  <c r="G9" i="91" s="1"/>
  <c r="G9" i="92" s="1"/>
  <c r="G9" i="93" s="1"/>
  <c r="G9" i="94" s="1"/>
  <c r="G9" i="95" s="1"/>
  <c r="G9" i="96" s="1"/>
  <c r="G9" i="97" s="1"/>
  <c r="G9" i="98" s="1"/>
  <c r="G9" i="99" s="1"/>
  <c r="G9" i="101" s="1"/>
  <c r="G9" i="100" s="1"/>
  <c r="G9" i="102" s="1"/>
  <c r="G9" i="103" s="1"/>
  <c r="G9" i="104" s="1"/>
  <c r="G9" i="115" s="1"/>
  <c r="G9" i="116" s="1"/>
  <c r="G23" i="33"/>
  <c r="G21" i="34"/>
  <c r="F22" i="33"/>
  <c r="F17" i="34"/>
  <c r="F17" i="79" s="1"/>
  <c r="F17" i="80" s="1"/>
  <c r="F7" i="79"/>
  <c r="F21" i="79" s="1"/>
  <c r="F11" i="34"/>
  <c r="F13" i="34" s="1"/>
  <c r="F15" i="79"/>
  <c r="F23" i="34"/>
  <c r="G8" i="79"/>
  <c r="G10" i="34"/>
  <c r="G11" i="79"/>
  <c r="G13" i="79" s="1"/>
  <c r="G7" i="80"/>
  <c r="F9" i="34"/>
  <c r="F9" i="79" s="1"/>
  <c r="F9" i="80" s="1"/>
  <c r="F9" i="81" s="1"/>
  <c r="F9" i="82" s="1"/>
  <c r="F9" i="83" s="1"/>
  <c r="F9" i="84" s="1"/>
  <c r="F9" i="85" s="1"/>
  <c r="F9" i="86" s="1"/>
  <c r="F9" i="87" s="1"/>
  <c r="F9" i="88" s="1"/>
  <c r="F9" i="89" s="1"/>
  <c r="F9" i="90" s="1"/>
  <c r="F9" i="91" s="1"/>
  <c r="F9" i="92" s="1"/>
  <c r="F9" i="93" s="1"/>
  <c r="F9" i="94" s="1"/>
  <c r="F9" i="95" s="1"/>
  <c r="F9" i="96" s="1"/>
  <c r="F9" i="97" s="1"/>
  <c r="F9" i="98" s="1"/>
  <c r="F9" i="99" s="1"/>
  <c r="F9" i="101" s="1"/>
  <c r="F9" i="100" s="1"/>
  <c r="F9" i="102" s="1"/>
  <c r="F9" i="103" s="1"/>
  <c r="F9" i="104" s="1"/>
  <c r="F9" i="115" s="1"/>
  <c r="F9" i="116" s="1"/>
  <c r="G11" i="33"/>
  <c r="G13" i="33" s="1"/>
  <c r="G11" i="34"/>
  <c r="G13" i="34" s="1"/>
  <c r="G26" i="79"/>
  <c r="F8" i="80"/>
  <c r="F26" i="80"/>
  <c r="F10" i="33"/>
  <c r="F23" i="33"/>
  <c r="G10" i="33"/>
  <c r="G23" i="34"/>
  <c r="G17" i="34"/>
  <c r="G20" i="33"/>
  <c r="F21" i="33"/>
  <c r="G22" i="33"/>
  <c r="F10" i="34"/>
  <c r="G21" i="33"/>
  <c r="F21" i="34"/>
  <c r="G15" i="79"/>
  <c r="F22" i="34" l="1"/>
  <c r="F22" i="79"/>
  <c r="F20" i="34"/>
  <c r="F20" i="79"/>
  <c r="F26" i="81"/>
  <c r="F15" i="80"/>
  <c r="F23" i="79"/>
  <c r="G23" i="79"/>
  <c r="G15" i="80"/>
  <c r="G21" i="79"/>
  <c r="G26" i="80"/>
  <c r="F7" i="80"/>
  <c r="F21" i="80" s="1"/>
  <c r="F11" i="79"/>
  <c r="F13" i="79" s="1"/>
  <c r="F8" i="81"/>
  <c r="G22" i="34"/>
  <c r="G17" i="79"/>
  <c r="G20" i="34"/>
  <c r="F17" i="81"/>
  <c r="G8" i="80"/>
  <c r="G10" i="79"/>
  <c r="G7" i="81"/>
  <c r="G11" i="80"/>
  <c r="G13" i="80" s="1"/>
  <c r="F10" i="79"/>
  <c r="F20" i="80" l="1"/>
  <c r="F10" i="80"/>
  <c r="F22" i="80"/>
  <c r="G26" i="81"/>
  <c r="G21" i="80"/>
  <c r="F23" i="80"/>
  <c r="F15" i="81"/>
  <c r="F17" i="82"/>
  <c r="G8" i="81"/>
  <c r="G10" i="80"/>
  <c r="G22" i="79"/>
  <c r="G17" i="80"/>
  <c r="G20" i="79"/>
  <c r="G15" i="81"/>
  <c r="G23" i="80"/>
  <c r="F8" i="82"/>
  <c r="G7" i="82"/>
  <c r="G11" i="81"/>
  <c r="G13" i="81" s="1"/>
  <c r="F7" i="81"/>
  <c r="F10" i="81" s="1"/>
  <c r="F11" i="80"/>
  <c r="F13" i="80" s="1"/>
  <c r="F26" i="82"/>
  <c r="F7" i="82" l="1"/>
  <c r="F20" i="82" s="1"/>
  <c r="F11" i="81"/>
  <c r="F13" i="81" s="1"/>
  <c r="G17" i="81"/>
  <c r="G20" i="80"/>
  <c r="G22" i="80"/>
  <c r="F21" i="81"/>
  <c r="G10" i="81"/>
  <c r="G8" i="82"/>
  <c r="F23" i="81"/>
  <c r="F15" i="82"/>
  <c r="F8" i="83"/>
  <c r="F20" i="81"/>
  <c r="F17" i="83"/>
  <c r="F26" i="83"/>
  <c r="G7" i="83"/>
  <c r="G11" i="82"/>
  <c r="G13" i="82" s="1"/>
  <c r="G23" i="81"/>
  <c r="G15" i="82"/>
  <c r="F22" i="81"/>
  <c r="G26" i="82"/>
  <c r="G21" i="81"/>
  <c r="F10" i="82" l="1"/>
  <c r="F21" i="82"/>
  <c r="F22" i="82"/>
  <c r="G21" i="82"/>
  <c r="G26" i="83"/>
  <c r="G7" i="84"/>
  <c r="G11" i="83"/>
  <c r="G13" i="83" s="1"/>
  <c r="F8" i="84"/>
  <c r="G17" i="82"/>
  <c r="G20" i="81"/>
  <c r="G22" i="81"/>
  <c r="G8" i="83"/>
  <c r="G10" i="82"/>
  <c r="G23" i="82"/>
  <c r="G15" i="83"/>
  <c r="F26" i="84"/>
  <c r="F15" i="83"/>
  <c r="F23" i="82"/>
  <c r="F17" i="84"/>
  <c r="F11" i="82"/>
  <c r="F13" i="82" s="1"/>
  <c r="F7" i="83"/>
  <c r="F21" i="83" s="1"/>
  <c r="F22" i="83" l="1"/>
  <c r="F20" i="83"/>
  <c r="G7" i="85"/>
  <c r="G11" i="84"/>
  <c r="G13" i="84" s="1"/>
  <c r="F17" i="85"/>
  <c r="F26" i="85"/>
  <c r="G8" i="84"/>
  <c r="G10" i="83"/>
  <c r="F8" i="85"/>
  <c r="G21" i="83"/>
  <c r="G26" i="84"/>
  <c r="F15" i="84"/>
  <c r="F23" i="83"/>
  <c r="G22" i="82"/>
  <c r="G17" i="83"/>
  <c r="G20" i="82"/>
  <c r="F7" i="84"/>
  <c r="F20" i="84" s="1"/>
  <c r="F11" i="83"/>
  <c r="F13" i="83" s="1"/>
  <c r="G23" i="83"/>
  <c r="G15" i="84"/>
  <c r="F10" i="83"/>
  <c r="F7" i="85" l="1"/>
  <c r="F10" i="85" s="1"/>
  <c r="F11" i="84"/>
  <c r="F13" i="84" s="1"/>
  <c r="F8" i="86"/>
  <c r="F17" i="86"/>
  <c r="G15" i="85"/>
  <c r="G23" i="84"/>
  <c r="F23" i="84"/>
  <c r="F15" i="85"/>
  <c r="F10" i="84"/>
  <c r="F26" i="86"/>
  <c r="G8" i="85"/>
  <c r="G10" i="84"/>
  <c r="F21" i="84"/>
  <c r="G22" i="83"/>
  <c r="G17" i="84"/>
  <c r="G20" i="83"/>
  <c r="G26" i="85"/>
  <c r="G21" i="84"/>
  <c r="F22" i="84"/>
  <c r="G7" i="86"/>
  <c r="G11" i="85"/>
  <c r="G13" i="85" s="1"/>
  <c r="F21" i="85" l="1"/>
  <c r="F22" i="85"/>
  <c r="F20" i="85"/>
  <c r="G17" i="85"/>
  <c r="G20" i="84"/>
  <c r="G22" i="84"/>
  <c r="F23" i="85"/>
  <c r="F15" i="86"/>
  <c r="F8" i="87"/>
  <c r="F17" i="87"/>
  <c r="G7" i="87"/>
  <c r="G11" i="86"/>
  <c r="G13" i="86" s="1"/>
  <c r="G23" i="85"/>
  <c r="G15" i="86"/>
  <c r="G10" i="85"/>
  <c r="G8" i="86"/>
  <c r="G26" i="86"/>
  <c r="G21" i="85"/>
  <c r="F26" i="87"/>
  <c r="F7" i="86"/>
  <c r="F22" i="86" s="1"/>
  <c r="F11" i="85"/>
  <c r="F13" i="85" s="1"/>
  <c r="F10" i="86" l="1"/>
  <c r="F21" i="86"/>
  <c r="G8" i="87"/>
  <c r="G10" i="86"/>
  <c r="G23" i="86"/>
  <c r="G15" i="87"/>
  <c r="F8" i="88"/>
  <c r="F26" i="88"/>
  <c r="G11" i="87"/>
  <c r="G13" i="87" s="1"/>
  <c r="G7" i="88"/>
  <c r="F17" i="88"/>
  <c r="F7" i="87"/>
  <c r="F21" i="87" s="1"/>
  <c r="F11" i="86"/>
  <c r="F13" i="86" s="1"/>
  <c r="G21" i="86"/>
  <c r="G26" i="87"/>
  <c r="F20" i="86"/>
  <c r="F15" i="87"/>
  <c r="F23" i="86"/>
  <c r="G17" i="86"/>
  <c r="G20" i="85"/>
  <c r="G22" i="85"/>
  <c r="F20" i="87" l="1"/>
  <c r="G23" i="87"/>
  <c r="G15" i="88"/>
  <c r="F15" i="88"/>
  <c r="F23" i="87"/>
  <c r="F17" i="89"/>
  <c r="F7" i="88"/>
  <c r="F11" i="87"/>
  <c r="F13" i="87" s="1"/>
  <c r="G11" i="88"/>
  <c r="G13" i="88" s="1"/>
  <c r="G7" i="89"/>
  <c r="F8" i="89"/>
  <c r="F26" i="89"/>
  <c r="G22" i="86"/>
  <c r="G17" i="87"/>
  <c r="G20" i="86"/>
  <c r="G26" i="88"/>
  <c r="G21" i="87"/>
  <c r="F22" i="87"/>
  <c r="F10" i="87"/>
  <c r="G8" i="88"/>
  <c r="G10" i="87"/>
  <c r="F11" i="88" l="1"/>
  <c r="F13" i="88" s="1"/>
  <c r="F7" i="89"/>
  <c r="F20" i="89" s="1"/>
  <c r="G8" i="89"/>
  <c r="G10" i="88"/>
  <c r="F26" i="90"/>
  <c r="G11" i="89"/>
  <c r="G13" i="89" s="1"/>
  <c r="G7" i="90"/>
  <c r="F15" i="89"/>
  <c r="F23" i="88"/>
  <c r="F21" i="88"/>
  <c r="F17" i="90"/>
  <c r="G15" i="89"/>
  <c r="G23" i="88"/>
  <c r="F8" i="90"/>
  <c r="G26" i="89"/>
  <c r="G21" i="88"/>
  <c r="F22" i="88"/>
  <c r="G22" i="87"/>
  <c r="G17" i="88"/>
  <c r="G20" i="87"/>
  <c r="F10" i="88"/>
  <c r="F20" i="88"/>
  <c r="F10" i="89" l="1"/>
  <c r="F21" i="89"/>
  <c r="F22" i="89"/>
  <c r="G7" i="91"/>
  <c r="G11" i="90"/>
  <c r="G13" i="90" s="1"/>
  <c r="G20" i="88"/>
  <c r="G17" i="89"/>
  <c r="G22" i="88"/>
  <c r="G15" i="90"/>
  <c r="G23" i="89"/>
  <c r="G8" i="90"/>
  <c r="G10" i="89"/>
  <c r="F7" i="90"/>
  <c r="F22" i="90" s="1"/>
  <c r="F11" i="89"/>
  <c r="F13" i="89" s="1"/>
  <c r="F17" i="91"/>
  <c r="G21" i="89"/>
  <c r="G26" i="90"/>
  <c r="F8" i="91"/>
  <c r="F15" i="90"/>
  <c r="F23" i="89"/>
  <c r="F26" i="91"/>
  <c r="F21" i="90" l="1"/>
  <c r="G26" i="91"/>
  <c r="G21" i="90"/>
  <c r="F17" i="92"/>
  <c r="G10" i="90"/>
  <c r="G8" i="91"/>
  <c r="G22" i="89"/>
  <c r="G17" i="90"/>
  <c r="G20" i="89"/>
  <c r="F23" i="90"/>
  <c r="F15" i="91"/>
  <c r="F8" i="92"/>
  <c r="F7" i="91"/>
  <c r="F10" i="91" s="1"/>
  <c r="F11" i="90"/>
  <c r="F13" i="90" s="1"/>
  <c r="G15" i="91"/>
  <c r="G23" i="90"/>
  <c r="F26" i="92"/>
  <c r="F10" i="90"/>
  <c r="F20" i="90"/>
  <c r="G7" i="92"/>
  <c r="G11" i="91"/>
  <c r="G13" i="91" s="1"/>
  <c r="F21" i="91" l="1"/>
  <c r="F23" i="91"/>
  <c r="F15" i="92"/>
  <c r="F17" i="93"/>
  <c r="G7" i="93"/>
  <c r="G11" i="92"/>
  <c r="G13" i="92" s="1"/>
  <c r="F26" i="93"/>
  <c r="F7" i="92"/>
  <c r="F22" i="92" s="1"/>
  <c r="F11" i="91"/>
  <c r="F13" i="91" s="1"/>
  <c r="G10" i="91"/>
  <c r="G8" i="92"/>
  <c r="F22" i="91"/>
  <c r="G23" i="91"/>
  <c r="G15" i="92"/>
  <c r="F8" i="93"/>
  <c r="G17" i="91"/>
  <c r="G20" i="90"/>
  <c r="G22" i="90"/>
  <c r="F20" i="91"/>
  <c r="G26" i="92"/>
  <c r="G21" i="91"/>
  <c r="F10" i="92" l="1"/>
  <c r="F21" i="92"/>
  <c r="G26" i="93"/>
  <c r="G21" i="92"/>
  <c r="G17" i="92"/>
  <c r="G20" i="91"/>
  <c r="G22" i="91"/>
  <c r="F7" i="93"/>
  <c r="F22" i="93" s="1"/>
  <c r="F11" i="92"/>
  <c r="F13" i="92" s="1"/>
  <c r="G7" i="94"/>
  <c r="G11" i="93"/>
  <c r="G13" i="93" s="1"/>
  <c r="F15" i="93"/>
  <c r="F23" i="92"/>
  <c r="G23" i="92"/>
  <c r="G15" i="93"/>
  <c r="F17" i="94"/>
  <c r="F8" i="94"/>
  <c r="G8" i="93"/>
  <c r="G10" i="92"/>
  <c r="F26" i="94"/>
  <c r="F20" i="92"/>
  <c r="F20" i="93" l="1"/>
  <c r="F10" i="93"/>
  <c r="F21" i="93"/>
  <c r="G22" i="92"/>
  <c r="G17" i="93"/>
  <c r="G20" i="92"/>
  <c r="F8" i="95"/>
  <c r="G7" i="95"/>
  <c r="G11" i="94"/>
  <c r="G13" i="94" s="1"/>
  <c r="G8" i="94"/>
  <c r="G10" i="93"/>
  <c r="F17" i="95"/>
  <c r="F15" i="94"/>
  <c r="F23" i="93"/>
  <c r="F7" i="94"/>
  <c r="F21" i="94" s="1"/>
  <c r="F11" i="93"/>
  <c r="F13" i="93" s="1"/>
  <c r="F26" i="95"/>
  <c r="G23" i="93"/>
  <c r="G15" i="94"/>
  <c r="G21" i="93"/>
  <c r="G26" i="94"/>
  <c r="F10" i="94" l="1"/>
  <c r="F22" i="94"/>
  <c r="G15" i="95"/>
  <c r="G23" i="94"/>
  <c r="G8" i="95"/>
  <c r="G10" i="94"/>
  <c r="F20" i="94"/>
  <c r="G26" i="95"/>
  <c r="G21" i="94"/>
  <c r="F17" i="96"/>
  <c r="G7" i="96"/>
  <c r="G11" i="95"/>
  <c r="G13" i="95" s="1"/>
  <c r="G22" i="93"/>
  <c r="G17" i="94"/>
  <c r="G20" i="93"/>
  <c r="F7" i="95"/>
  <c r="F21" i="95" s="1"/>
  <c r="F11" i="94"/>
  <c r="F13" i="94" s="1"/>
  <c r="F26" i="96"/>
  <c r="F23" i="94"/>
  <c r="F15" i="95"/>
  <c r="F8" i="96"/>
  <c r="F22" i="95" l="1"/>
  <c r="G7" i="97"/>
  <c r="G11" i="96"/>
  <c r="G13" i="96" s="1"/>
  <c r="G10" i="95"/>
  <c r="G8" i="96"/>
  <c r="F7" i="96"/>
  <c r="F10" i="96" s="1"/>
  <c r="F11" i="95"/>
  <c r="F13" i="95" s="1"/>
  <c r="F10" i="95"/>
  <c r="F8" i="97"/>
  <c r="F26" i="97"/>
  <c r="G17" i="95"/>
  <c r="G20" i="94"/>
  <c r="G22" i="94"/>
  <c r="F20" i="95"/>
  <c r="G26" i="96"/>
  <c r="G21" i="95"/>
  <c r="F23" i="95"/>
  <c r="F15" i="96"/>
  <c r="F17" i="97"/>
  <c r="G23" i="95"/>
  <c r="G15" i="96"/>
  <c r="F21" i="96" l="1"/>
  <c r="F20" i="96"/>
  <c r="F22" i="96"/>
  <c r="F17" i="98"/>
  <c r="G17" i="96"/>
  <c r="G20" i="95"/>
  <c r="G22" i="95"/>
  <c r="G8" i="97"/>
  <c r="G10" i="96"/>
  <c r="F23" i="96"/>
  <c r="F15" i="97"/>
  <c r="G15" i="97"/>
  <c r="G23" i="96"/>
  <c r="G26" i="97"/>
  <c r="G21" i="96"/>
  <c r="F8" i="98"/>
  <c r="F26" i="98"/>
  <c r="F7" i="97"/>
  <c r="F11" i="96"/>
  <c r="F13" i="96" s="1"/>
  <c r="G7" i="98"/>
  <c r="G11" i="97"/>
  <c r="G13" i="97" s="1"/>
  <c r="F10" i="97" l="1"/>
  <c r="F22" i="97"/>
  <c r="F8" i="99"/>
  <c r="G23" i="97"/>
  <c r="G15" i="98"/>
  <c r="F15" i="98"/>
  <c r="F23" i="97"/>
  <c r="F17" i="99"/>
  <c r="G17" i="97"/>
  <c r="G22" i="97" s="1"/>
  <c r="G22" i="96"/>
  <c r="G20" i="96"/>
  <c r="F11" i="97"/>
  <c r="F13" i="97" s="1"/>
  <c r="F7" i="98"/>
  <c r="G8" i="98"/>
  <c r="G10" i="97"/>
  <c r="F20" i="97"/>
  <c r="F26" i="99"/>
  <c r="G7" i="99"/>
  <c r="G11" i="98"/>
  <c r="G13" i="98" s="1"/>
  <c r="F21" i="97"/>
  <c r="G21" i="97"/>
  <c r="G26" i="98"/>
  <c r="F21" i="98" l="1"/>
  <c r="F22" i="98"/>
  <c r="F20" i="98"/>
  <c r="G21" i="98"/>
  <c r="G26" i="99"/>
  <c r="G15" i="99"/>
  <c r="G23" i="98"/>
  <c r="F26" i="101"/>
  <c r="G20" i="97"/>
  <c r="G17" i="98"/>
  <c r="F8" i="101"/>
  <c r="G7" i="101"/>
  <c r="G11" i="99"/>
  <c r="G13" i="99" s="1"/>
  <c r="G8" i="99"/>
  <c r="G10" i="98"/>
  <c r="F17" i="101"/>
  <c r="F7" i="99"/>
  <c r="F21" i="99" s="1"/>
  <c r="F11" i="98"/>
  <c r="F13" i="98" s="1"/>
  <c r="F15" i="99"/>
  <c r="F23" i="98"/>
  <c r="F10" i="98"/>
  <c r="F17" i="100" l="1"/>
  <c r="G15" i="101"/>
  <c r="G23" i="99"/>
  <c r="F15" i="101"/>
  <c r="F23" i="99"/>
  <c r="F22" i="99"/>
  <c r="G8" i="101"/>
  <c r="G10" i="99"/>
  <c r="F10" i="99"/>
  <c r="G26" i="101"/>
  <c r="G21" i="99"/>
  <c r="G7" i="100"/>
  <c r="G11" i="101"/>
  <c r="G13" i="101" s="1"/>
  <c r="F7" i="101"/>
  <c r="F22" i="101" s="1"/>
  <c r="F11" i="99"/>
  <c r="F13" i="99" s="1"/>
  <c r="F8" i="100"/>
  <c r="F20" i="99"/>
  <c r="G22" i="98"/>
  <c r="G17" i="99"/>
  <c r="G20" i="98"/>
  <c r="F26" i="100"/>
  <c r="F26" i="102" s="1"/>
  <c r="F7" i="100" l="1"/>
  <c r="F20" i="100" s="1"/>
  <c r="F11" i="101"/>
  <c r="F13" i="101" s="1"/>
  <c r="G26" i="100"/>
  <c r="G26" i="102" s="1"/>
  <c r="G21" i="101"/>
  <c r="G23" i="101"/>
  <c r="G15" i="100"/>
  <c r="F8" i="102"/>
  <c r="G7" i="102"/>
  <c r="G11" i="100"/>
  <c r="G13" i="100" s="1"/>
  <c r="F23" i="101"/>
  <c r="F15" i="100"/>
  <c r="F17" i="102"/>
  <c r="F10" i="101"/>
  <c r="F20" i="101"/>
  <c r="G17" i="101"/>
  <c r="G22" i="101" s="1"/>
  <c r="G20" i="99"/>
  <c r="G22" i="99"/>
  <c r="F21" i="101"/>
  <c r="G8" i="100"/>
  <c r="G10" i="101"/>
  <c r="F22" i="100" l="1"/>
  <c r="F21" i="100"/>
  <c r="F10" i="100"/>
  <c r="G8" i="102"/>
  <c r="G10" i="100"/>
  <c r="F26" i="103"/>
  <c r="F8" i="103"/>
  <c r="F17" i="103"/>
  <c r="G23" i="100"/>
  <c r="G15" i="102"/>
  <c r="G17" i="100"/>
  <c r="G20" i="101"/>
  <c r="F23" i="100"/>
  <c r="F15" i="102"/>
  <c r="G21" i="100"/>
  <c r="G7" i="103"/>
  <c r="G11" i="102"/>
  <c r="G13" i="102" s="1"/>
  <c r="F7" i="102"/>
  <c r="F11" i="100"/>
  <c r="F13" i="100" s="1"/>
  <c r="F7" i="103" l="1"/>
  <c r="F22" i="103" s="1"/>
  <c r="F11" i="102"/>
  <c r="F13" i="102" s="1"/>
  <c r="F15" i="103"/>
  <c r="F23" i="102"/>
  <c r="G20" i="100"/>
  <c r="G22" i="100"/>
  <c r="G17" i="102"/>
  <c r="F20" i="102"/>
  <c r="F26" i="104"/>
  <c r="G7" i="104"/>
  <c r="G11" i="103"/>
  <c r="G13" i="103" s="1"/>
  <c r="G15" i="103"/>
  <c r="G23" i="102"/>
  <c r="F22" i="102"/>
  <c r="F21" i="102"/>
  <c r="G26" i="103"/>
  <c r="G21" i="102"/>
  <c r="F8" i="104"/>
  <c r="F17" i="104"/>
  <c r="F10" i="102"/>
  <c r="G8" i="103"/>
  <c r="G10" i="102"/>
  <c r="F20" i="103" l="1"/>
  <c r="F21" i="103"/>
  <c r="F10" i="103"/>
  <c r="G22" i="102"/>
  <c r="G17" i="103"/>
  <c r="G20" i="102"/>
  <c r="F8" i="115"/>
  <c r="G7" i="115"/>
  <c r="G11" i="104"/>
  <c r="G13" i="104" s="1"/>
  <c r="F15" i="104"/>
  <c r="F23" i="103"/>
  <c r="G8" i="104"/>
  <c r="G10" i="103"/>
  <c r="F17" i="115"/>
  <c r="G21" i="103"/>
  <c r="G26" i="104"/>
  <c r="G21" i="104" s="1"/>
  <c r="G23" i="103"/>
  <c r="G15" i="104"/>
  <c r="F26" i="115"/>
  <c r="F7" i="104"/>
  <c r="F11" i="103"/>
  <c r="F13" i="103" s="1"/>
  <c r="F22" i="104" l="1"/>
  <c r="F7" i="115"/>
  <c r="F7" i="116" s="1"/>
  <c r="F10" i="104"/>
  <c r="F21" i="104"/>
  <c r="G26" i="115"/>
  <c r="F26" i="116"/>
  <c r="F23" i="104"/>
  <c r="F15" i="115"/>
  <c r="G15" i="115"/>
  <c r="G23" i="104"/>
  <c r="F17" i="116"/>
  <c r="G10" i="104"/>
  <c r="G8" i="115"/>
  <c r="G7" i="116"/>
  <c r="G11" i="115"/>
  <c r="G13" i="115" s="1"/>
  <c r="G20" i="103"/>
  <c r="G22" i="103"/>
  <c r="G17" i="104"/>
  <c r="F11" i="104"/>
  <c r="F13" i="104" s="1"/>
  <c r="F20" i="104"/>
  <c r="F8" i="116"/>
  <c r="F21" i="115" l="1"/>
  <c r="F11" i="115"/>
  <c r="F13" i="115" s="1"/>
  <c r="F21" i="116"/>
  <c r="F10" i="115"/>
  <c r="F20" i="115"/>
  <c r="G17" i="115"/>
  <c r="G20" i="104"/>
  <c r="G22" i="104"/>
  <c r="G11" i="116"/>
  <c r="G13" i="116" s="1"/>
  <c r="F23" i="115"/>
  <c r="F15" i="116"/>
  <c r="G23" i="115"/>
  <c r="G15" i="116"/>
  <c r="G10" i="115"/>
  <c r="G8" i="116"/>
  <c r="F22" i="115"/>
  <c r="G21" i="115"/>
  <c r="G26" i="116"/>
  <c r="F10" i="116" l="1"/>
  <c r="F20" i="116"/>
  <c r="F22" i="116"/>
  <c r="G23" i="116"/>
  <c r="G10" i="116"/>
  <c r="F23" i="116"/>
  <c r="F11" i="116"/>
  <c r="F13" i="116" s="1"/>
  <c r="G21" i="116"/>
  <c r="G20" i="115"/>
  <c r="G17" i="116"/>
  <c r="G22" i="115"/>
  <c r="G22" i="116" l="1"/>
  <c r="G20" i="116"/>
</calcChain>
</file>

<file path=xl/sharedStrings.xml><?xml version="1.0" encoding="utf-8"?>
<sst xmlns="http://schemas.openxmlformats.org/spreadsheetml/2006/main" count="1981" uniqueCount="53">
  <si>
    <t>1*10 MW CAPTIVE POWER PLANT</t>
  </si>
  <si>
    <t>Sr. NO.</t>
  </si>
  <si>
    <t xml:space="preserve">Description </t>
  </si>
  <si>
    <t xml:space="preserve">Unit </t>
  </si>
  <si>
    <t xml:space="preserve">Month to Date </t>
  </si>
  <si>
    <t xml:space="preserve">Gross Power Generation  </t>
  </si>
  <si>
    <t>kWhr</t>
  </si>
  <si>
    <t>Auxiliary power consumption</t>
  </si>
  <si>
    <t xml:space="preserve">Net Power Exported </t>
  </si>
  <si>
    <t xml:space="preserve">Auxiliary power consumption </t>
  </si>
  <si>
    <t xml:space="preserve">( % ) </t>
  </si>
  <si>
    <t xml:space="preserve">Average Power Generation </t>
  </si>
  <si>
    <t>MWhr</t>
  </si>
  <si>
    <t xml:space="preserve">Plant Running Hours </t>
  </si>
  <si>
    <t>Hrs</t>
  </si>
  <si>
    <t>PLF</t>
  </si>
  <si>
    <t xml:space="preserve">Feed Water consumption </t>
  </si>
  <si>
    <t>MT</t>
  </si>
  <si>
    <t xml:space="preserve">Boiler Steam Generation  </t>
  </si>
  <si>
    <t>Bleed steam</t>
  </si>
  <si>
    <t>Turbine steam consumption</t>
  </si>
  <si>
    <t xml:space="preserve">Condensate Generation </t>
  </si>
  <si>
    <t>Auxilairy steam consumption</t>
  </si>
  <si>
    <t xml:space="preserve">Specific steam consumption </t>
  </si>
  <si>
    <t>Kg/Kwhr</t>
  </si>
  <si>
    <t xml:space="preserve">Specific fuel consumption </t>
  </si>
  <si>
    <t>Heat Rate(TG)2880</t>
  </si>
  <si>
    <t xml:space="preserve">Kcal/Kwh </t>
  </si>
  <si>
    <t xml:space="preserve">Heat Rate ( Plant ) 3300 @ MCR </t>
  </si>
  <si>
    <t>DG Power Generation</t>
  </si>
  <si>
    <t>FUEL Report</t>
  </si>
  <si>
    <t>Coal Consumption</t>
  </si>
  <si>
    <t>GCV ( ADB )</t>
  </si>
  <si>
    <t>Kcal/kg</t>
  </si>
  <si>
    <t xml:space="preserve">WTP Report </t>
  </si>
  <si>
    <t xml:space="preserve">DM water Generation </t>
  </si>
  <si>
    <t>m3</t>
  </si>
  <si>
    <t>DM water Consumption</t>
  </si>
  <si>
    <r>
      <rPr>
        <sz val="14"/>
        <color theme="1"/>
        <rFont val="Calibri"/>
        <charset val="134"/>
        <scheme val="minor"/>
      </rPr>
      <t>m</t>
    </r>
    <r>
      <rPr>
        <vertAlign val="superscript"/>
        <sz val="14"/>
        <color theme="1"/>
        <rFont val="Calibri"/>
        <charset val="134"/>
        <scheme val="minor"/>
      </rPr>
      <t>3</t>
    </r>
  </si>
  <si>
    <t>CT Makeup Water Consumption</t>
  </si>
  <si>
    <t>Fly ash combustible/ GCV</t>
  </si>
  <si>
    <t>% / kcal/kg</t>
  </si>
  <si>
    <t>FLY ASH DISPOSAL REPORT</t>
  </si>
  <si>
    <t>nos</t>
  </si>
  <si>
    <t>Fly ash to Dumpyard(Truck)</t>
  </si>
  <si>
    <r>
      <rPr>
        <sz val="14"/>
        <color theme="1"/>
        <rFont val="Calibri"/>
        <charset val="134"/>
        <scheme val="minor"/>
      </rPr>
      <t>m</t>
    </r>
    <r>
      <rPr>
        <vertAlign val="superscript"/>
        <sz val="14"/>
        <color theme="1"/>
        <rFont val="Calibri"/>
        <charset val="134"/>
        <scheme val="minor"/>
      </rPr>
      <t>2</t>
    </r>
  </si>
  <si>
    <t>Fly ash to cement mill</t>
  </si>
  <si>
    <t>Fly ash to Coal yard(Truck)</t>
  </si>
  <si>
    <t xml:space="preserve">                     1*10 MW CAPTIVE POWER PLANT</t>
  </si>
  <si>
    <t xml:space="preserve"> </t>
  </si>
  <si>
    <t>Fly ash to Coalyard(Truck)</t>
  </si>
  <si>
    <t xml:space="preserve">Daily,Monthly &amp; Yearly Generation Report (FRM-LCL-PP-06) </t>
  </si>
  <si>
    <t xml:space="preserve"> Year to Date(APR2026-MAR2027)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</si>
</sst>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00"/>
    <numFmt numFmtId="166" formatCode="0.0"/>
  </numFmts>
  <fonts count="11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Arial"/>
      <charset val="134"/>
    </font>
    <font>
      <sz val="16"/>
      <color theme="1"/>
      <name val="Calibri"/>
      <charset val="134"/>
      <scheme val="minor"/>
    </font>
    <font>
      <b/>
      <sz val="14"/>
      <color theme="1"/>
      <name val="Arial"/>
      <charset val="134"/>
    </font>
    <font>
      <vertAlign val="superscript"/>
      <sz val="14"/>
      <color theme="1"/>
      <name val="Calibri"/>
      <charset val="134"/>
      <scheme val="minor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3" borderId="5" xfId="0" applyFont="1" applyFill="1" applyBorder="1"/>
    <xf numFmtId="2" fontId="6" fillId="3" borderId="5" xfId="0" applyNumberFormat="1" applyFont="1" applyFill="1" applyBorder="1"/>
    <xf numFmtId="2" fontId="6" fillId="3" borderId="6" xfId="0" applyNumberFormat="1" applyFont="1" applyFill="1" applyBorder="1"/>
    <xf numFmtId="1" fontId="6" fillId="2" borderId="5" xfId="0" applyNumberFormat="1" applyFont="1" applyFill="1" applyBorder="1"/>
    <xf numFmtId="0" fontId="1" fillId="2" borderId="5" xfId="0" applyFont="1" applyFill="1" applyBorder="1" applyAlignment="1">
      <alignment horizontal="center"/>
    </xf>
    <xf numFmtId="165" fontId="6" fillId="3" borderId="5" xfId="0" applyNumberFormat="1" applyFont="1" applyFill="1" applyBorder="1"/>
    <xf numFmtId="165" fontId="6" fillId="3" borderId="6" xfId="0" applyNumberFormat="1" applyFont="1" applyFill="1" applyBorder="1"/>
    <xf numFmtId="166" fontId="6" fillId="3" borderId="5" xfId="0" applyNumberFormat="1" applyFont="1" applyFill="1" applyBorder="1"/>
    <xf numFmtId="0" fontId="1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1" fontId="6" fillId="2" borderId="8" xfId="0" applyNumberFormat="1" applyFont="1" applyFill="1" applyBorder="1"/>
    <xf numFmtId="1" fontId="6" fillId="0" borderId="8" xfId="0" applyNumberFormat="1" applyFont="1" applyBorder="1"/>
    <xf numFmtId="1" fontId="6" fillId="0" borderId="9" xfId="0" applyNumberFormat="1" applyFont="1" applyBorder="1"/>
    <xf numFmtId="1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right"/>
    </xf>
    <xf numFmtId="0" fontId="6" fillId="0" borderId="8" xfId="0" applyFont="1" applyBorder="1"/>
    <xf numFmtId="0" fontId="6" fillId="0" borderId="9" xfId="0" applyFont="1" applyBorder="1"/>
    <xf numFmtId="0" fontId="1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8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right"/>
    </xf>
    <xf numFmtId="0" fontId="6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" fontId="6" fillId="0" borderId="5" xfId="0" applyNumberFormat="1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9" xfId="0" applyFont="1" applyBorder="1" applyAlignment="1">
      <alignment horizontal="right"/>
    </xf>
    <xf numFmtId="0" fontId="1" fillId="0" borderId="22" xfId="0" applyFont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6" fontId="6" fillId="3" borderId="6" xfId="0" applyNumberFormat="1" applyFont="1" applyFill="1" applyBorder="1"/>
    <xf numFmtId="0" fontId="5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5" fillId="0" borderId="8" xfId="0" applyFont="1" applyBorder="1" applyAlignment="1">
      <alignment horizontal="right"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2" borderId="8" xfId="0" applyFont="1" applyFill="1" applyBorder="1" applyAlignment="1">
      <alignment horizontal="right"/>
    </xf>
    <xf numFmtId="0" fontId="6" fillId="2" borderId="8" xfId="0" applyFont="1" applyFill="1" applyBorder="1"/>
    <xf numFmtId="0" fontId="1" fillId="2" borderId="5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2" xfId="0" applyFont="1" applyBorder="1"/>
    <xf numFmtId="0" fontId="9" fillId="2" borderId="5" xfId="0" applyFont="1" applyFill="1" applyBorder="1" applyAlignment="1">
      <alignment horizontal="center" vertical="center"/>
    </xf>
    <xf numFmtId="0" fontId="10" fillId="0" borderId="8" xfId="0" applyFont="1" applyBorder="1"/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614912</xdr:colOff>
      <xdr:row>1</xdr:row>
      <xdr:rowOff>114396</xdr:rowOff>
    </xdr:from>
    <xdr:to>
      <xdr:col>6</xdr:col>
      <xdr:colOff>1815353</xdr:colOff>
      <xdr:row>4</xdr:row>
      <xdr:rowOff>289323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5780" y="507365"/>
          <a:ext cx="1200150" cy="1501140"/>
        </a:xfrm>
        <a:prstGeom prst="rect">
          <a:avLst/>
        </a:prstGeom>
      </xdr:spPr>
    </xdr:pic>
    <xdr:clientData/>
  </xdr:twoCellAnchor>
  <xdr:twoCellAnchor editAs="oneCell">
    <xdr:from>
      <xdr:col>2</xdr:col>
      <xdr:colOff>2680679</xdr:colOff>
      <xdr:row>0</xdr:row>
      <xdr:rowOff>0</xdr:rowOff>
    </xdr:from>
    <xdr:to>
      <xdr:col>5</xdr:col>
      <xdr:colOff>1472127</xdr:colOff>
      <xdr:row>1</xdr:row>
      <xdr:rowOff>95977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110" y="0"/>
          <a:ext cx="4592320" cy="48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582706</xdr:colOff>
      <xdr:row>0</xdr:row>
      <xdr:rowOff>75920</xdr:rowOff>
    </xdr:from>
    <xdr:to>
      <xdr:col>6</xdr:col>
      <xdr:colOff>2061463</xdr:colOff>
      <xdr:row>4</xdr:row>
      <xdr:rowOff>51480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7345" y="7556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2</xdr:col>
      <xdr:colOff>2680679</xdr:colOff>
      <xdr:row>0</xdr:row>
      <xdr:rowOff>390525</xdr:rowOff>
    </xdr:from>
    <xdr:to>
      <xdr:col>5</xdr:col>
      <xdr:colOff>889421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110" y="390525"/>
          <a:ext cx="4590415" cy="4845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1023938</xdr:colOff>
      <xdr:row>0</xdr:row>
      <xdr:rowOff>97631</xdr:rowOff>
    </xdr:from>
    <xdr:to>
      <xdr:col>6</xdr:col>
      <xdr:colOff>2502695</xdr:colOff>
      <xdr:row>4</xdr:row>
      <xdr:rowOff>73191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770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80959</xdr:colOff>
      <xdr:row>0</xdr:row>
      <xdr:rowOff>390525</xdr:rowOff>
    </xdr:from>
    <xdr:to>
      <xdr:col>5</xdr:col>
      <xdr:colOff>1285873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404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1000124</xdr:colOff>
      <xdr:row>0</xdr:row>
      <xdr:rowOff>109538</xdr:rowOff>
    </xdr:from>
    <xdr:to>
      <xdr:col>6</xdr:col>
      <xdr:colOff>2478881</xdr:colOff>
      <xdr:row>4</xdr:row>
      <xdr:rowOff>85098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4590" y="10922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57147</xdr:colOff>
      <xdr:row>0</xdr:row>
      <xdr:rowOff>390525</xdr:rowOff>
    </xdr:from>
    <xdr:to>
      <xdr:col>5</xdr:col>
      <xdr:colOff>1262061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991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940593</xdr:colOff>
      <xdr:row>0</xdr:row>
      <xdr:rowOff>109538</xdr:rowOff>
    </xdr:from>
    <xdr:to>
      <xdr:col>6</xdr:col>
      <xdr:colOff>2419350</xdr:colOff>
      <xdr:row>4</xdr:row>
      <xdr:rowOff>85098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8385" y="10922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57147</xdr:colOff>
      <xdr:row>0</xdr:row>
      <xdr:rowOff>390525</xdr:rowOff>
    </xdr:from>
    <xdr:to>
      <xdr:col>5</xdr:col>
      <xdr:colOff>1262061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276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750093</xdr:colOff>
      <xdr:row>0</xdr:row>
      <xdr:rowOff>0</xdr:rowOff>
    </xdr:from>
    <xdr:to>
      <xdr:col>6</xdr:col>
      <xdr:colOff>2228850</xdr:colOff>
      <xdr:row>4</xdr:row>
      <xdr:rowOff>214313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6410" y="0"/>
          <a:ext cx="1478915" cy="1547495"/>
        </a:xfrm>
        <a:prstGeom prst="rect">
          <a:avLst/>
        </a:prstGeom>
      </xdr:spPr>
    </xdr:pic>
    <xdr:clientData/>
  </xdr:twoCellAnchor>
  <xdr:twoCellAnchor editAs="oneCell">
    <xdr:from>
      <xdr:col>2</xdr:col>
      <xdr:colOff>2819404</xdr:colOff>
      <xdr:row>0</xdr:row>
      <xdr:rowOff>221457</xdr:rowOff>
    </xdr:from>
    <xdr:to>
      <xdr:col>5</xdr:col>
      <xdr:colOff>1059662</xdr:colOff>
      <xdr:row>2</xdr:row>
      <xdr:rowOff>73006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5" y="220980"/>
          <a:ext cx="4592955" cy="4800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928688</xdr:colOff>
      <xdr:row>0</xdr:row>
      <xdr:rowOff>121444</xdr:rowOff>
    </xdr:from>
    <xdr:to>
      <xdr:col>6</xdr:col>
      <xdr:colOff>2407445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3470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45241</xdr:colOff>
      <xdr:row>0</xdr:row>
      <xdr:rowOff>390525</xdr:rowOff>
    </xdr:from>
    <xdr:to>
      <xdr:col>5</xdr:col>
      <xdr:colOff>1250155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848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904875</xdr:colOff>
      <xdr:row>0</xdr:row>
      <xdr:rowOff>145256</xdr:rowOff>
    </xdr:from>
    <xdr:to>
      <xdr:col>6</xdr:col>
      <xdr:colOff>2383632</xdr:colOff>
      <xdr:row>4</xdr:row>
      <xdr:rowOff>120816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300" y="144780"/>
          <a:ext cx="147828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721064</xdr:colOff>
      <xdr:row>1</xdr:row>
      <xdr:rowOff>33337</xdr:rowOff>
    </xdr:from>
    <xdr:to>
      <xdr:col>5</xdr:col>
      <xdr:colOff>1583604</xdr:colOff>
      <xdr:row>2</xdr:row>
      <xdr:rowOff>15548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6085"/>
          <a:ext cx="4243705" cy="4489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156485</xdr:rowOff>
    </xdr:from>
    <xdr:to>
      <xdr:col>6</xdr:col>
      <xdr:colOff>2428874</xdr:colOff>
      <xdr:row>4</xdr:row>
      <xdr:rowOff>61284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980" y="156210"/>
          <a:ext cx="1416685" cy="1624330"/>
        </a:xfrm>
        <a:prstGeom prst="rect">
          <a:avLst/>
        </a:prstGeom>
      </xdr:spPr>
    </xdr:pic>
    <xdr:clientData/>
  </xdr:twoCellAnchor>
  <xdr:twoCellAnchor editAs="oneCell">
    <xdr:from>
      <xdr:col>3</xdr:col>
      <xdr:colOff>88103</xdr:colOff>
      <xdr:row>0</xdr:row>
      <xdr:rowOff>390525</xdr:rowOff>
    </xdr:from>
    <xdr:to>
      <xdr:col>5</xdr:col>
      <xdr:colOff>1293017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340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818030</xdr:colOff>
      <xdr:row>0</xdr:row>
      <xdr:rowOff>31097</xdr:rowOff>
    </xdr:from>
    <xdr:to>
      <xdr:col>6</xdr:col>
      <xdr:colOff>2476500</xdr:colOff>
      <xdr:row>4</xdr:row>
      <xdr:rowOff>6657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7059" y="31097"/>
          <a:ext cx="1658470" cy="1701266"/>
        </a:xfrm>
        <a:prstGeom prst="rect">
          <a:avLst/>
        </a:prstGeom>
      </xdr:spPr>
    </xdr:pic>
    <xdr:clientData/>
  </xdr:twoCellAnchor>
  <xdr:twoCellAnchor editAs="oneCell">
    <xdr:from>
      <xdr:col>4</xdr:col>
      <xdr:colOff>168380</xdr:colOff>
      <xdr:row>1</xdr:row>
      <xdr:rowOff>20731</xdr:rowOff>
    </xdr:from>
    <xdr:to>
      <xdr:col>5</xdr:col>
      <xdr:colOff>1994647</xdr:colOff>
      <xdr:row>2</xdr:row>
      <xdr:rowOff>38267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292" y="412937"/>
          <a:ext cx="4134679" cy="4881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952500</xdr:colOff>
      <xdr:row>0</xdr:row>
      <xdr:rowOff>75921</xdr:rowOff>
    </xdr:from>
    <xdr:to>
      <xdr:col>6</xdr:col>
      <xdr:colOff>2431257</xdr:colOff>
      <xdr:row>4</xdr:row>
      <xdr:rowOff>51481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5" y="75565"/>
          <a:ext cx="147828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15967</xdr:colOff>
      <xdr:row>0</xdr:row>
      <xdr:rowOff>390525</xdr:rowOff>
    </xdr:from>
    <xdr:to>
      <xdr:col>5</xdr:col>
      <xdr:colOff>1218079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600" y="390525"/>
          <a:ext cx="4583430" cy="4845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85725</xdr:rowOff>
    </xdr:from>
    <xdr:to>
      <xdr:col>6</xdr:col>
      <xdr:colOff>2490788</xdr:colOff>
      <xdr:row>4</xdr:row>
      <xdr:rowOff>61285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005" y="8572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97632</xdr:rowOff>
    </xdr:from>
    <xdr:to>
      <xdr:col>6</xdr:col>
      <xdr:colOff>2490788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005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1071562</xdr:colOff>
      <xdr:row>0</xdr:row>
      <xdr:rowOff>204788</xdr:rowOff>
    </xdr:from>
    <xdr:to>
      <xdr:col>6</xdr:col>
      <xdr:colOff>2550319</xdr:colOff>
      <xdr:row>4</xdr:row>
      <xdr:rowOff>180348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9695" y="20447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176207</xdr:colOff>
      <xdr:row>0</xdr:row>
      <xdr:rowOff>390525</xdr:rowOff>
    </xdr:from>
    <xdr:to>
      <xdr:col>5</xdr:col>
      <xdr:colOff>1381121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929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1083469</xdr:colOff>
      <xdr:row>0</xdr:row>
      <xdr:rowOff>278959</xdr:rowOff>
    </xdr:from>
    <xdr:to>
      <xdr:col>6</xdr:col>
      <xdr:colOff>2440781</xdr:colOff>
      <xdr:row>4</xdr:row>
      <xdr:rowOff>59531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278765"/>
          <a:ext cx="1356995" cy="14998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1238249</xdr:colOff>
      <xdr:row>0</xdr:row>
      <xdr:rowOff>385090</xdr:rowOff>
    </xdr:from>
    <xdr:to>
      <xdr:col>6</xdr:col>
      <xdr:colOff>2538412</xdr:colOff>
      <xdr:row>4</xdr:row>
      <xdr:rowOff>156536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6065" y="384810"/>
          <a:ext cx="1300480" cy="14909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1119187</xdr:colOff>
      <xdr:row>0</xdr:row>
      <xdr:rowOff>133350</xdr:rowOff>
    </xdr:from>
    <xdr:to>
      <xdr:col>6</xdr:col>
      <xdr:colOff>2597944</xdr:colOff>
      <xdr:row>4</xdr:row>
      <xdr:rowOff>108910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7320" y="133350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1095374</xdr:colOff>
      <xdr:row>0</xdr:row>
      <xdr:rowOff>157163</xdr:rowOff>
    </xdr:from>
    <xdr:to>
      <xdr:col>6</xdr:col>
      <xdr:colOff>2574131</xdr:colOff>
      <xdr:row>4</xdr:row>
      <xdr:rowOff>132723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1965" y="1568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211925</xdr:colOff>
      <xdr:row>0</xdr:row>
      <xdr:rowOff>390525</xdr:rowOff>
    </xdr:from>
    <xdr:to>
      <xdr:col>4</xdr:col>
      <xdr:colOff>2995268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855" y="390525"/>
          <a:ext cx="4583430" cy="48450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1131093</xdr:colOff>
      <xdr:row>0</xdr:row>
      <xdr:rowOff>157163</xdr:rowOff>
    </xdr:from>
    <xdr:to>
      <xdr:col>6</xdr:col>
      <xdr:colOff>2609850</xdr:colOff>
      <xdr:row>4</xdr:row>
      <xdr:rowOff>132723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9385" y="1568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1083469</xdr:colOff>
      <xdr:row>0</xdr:row>
      <xdr:rowOff>121444</xdr:rowOff>
    </xdr:from>
    <xdr:to>
      <xdr:col>6</xdr:col>
      <xdr:colOff>2562226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176207</xdr:colOff>
      <xdr:row>0</xdr:row>
      <xdr:rowOff>390525</xdr:rowOff>
    </xdr:from>
    <xdr:to>
      <xdr:col>5</xdr:col>
      <xdr:colOff>1381121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929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1035843</xdr:colOff>
      <xdr:row>0</xdr:row>
      <xdr:rowOff>180976</xdr:rowOff>
    </xdr:from>
    <xdr:to>
      <xdr:col>6</xdr:col>
      <xdr:colOff>2514600</xdr:colOff>
      <xdr:row>4</xdr:row>
      <xdr:rowOff>156536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4135" y="18097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0</xdr:row>
      <xdr:rowOff>252413</xdr:rowOff>
    </xdr:from>
    <xdr:to>
      <xdr:col>6</xdr:col>
      <xdr:colOff>2483306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252095"/>
          <a:ext cx="1387475" cy="165798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0</xdr:row>
      <xdr:rowOff>169069</xdr:rowOff>
    </xdr:from>
    <xdr:to>
      <xdr:col>6</xdr:col>
      <xdr:colOff>2621755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168910"/>
          <a:ext cx="1525905" cy="1741170"/>
        </a:xfrm>
        <a:prstGeom prst="rect">
          <a:avLst/>
        </a:prstGeom>
      </xdr:spPr>
    </xdr:pic>
    <xdr:clientData/>
  </xdr:twoCellAnchor>
  <xdr:twoCellAnchor editAs="oneCell">
    <xdr:from>
      <xdr:col>3</xdr:col>
      <xdr:colOff>297655</xdr:colOff>
      <xdr:row>1</xdr:row>
      <xdr:rowOff>24179</xdr:rowOff>
    </xdr:from>
    <xdr:to>
      <xdr:col>5</xdr:col>
      <xdr:colOff>1250155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0580" y="417195"/>
          <a:ext cx="4333875" cy="4578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1083468</xdr:colOff>
      <xdr:row>0</xdr:row>
      <xdr:rowOff>119062</xdr:rowOff>
    </xdr:from>
    <xdr:to>
      <xdr:col>6</xdr:col>
      <xdr:colOff>2562225</xdr:colOff>
      <xdr:row>4</xdr:row>
      <xdr:rowOff>94622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1187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1166812</xdr:colOff>
      <xdr:row>0</xdr:row>
      <xdr:rowOff>121444</xdr:rowOff>
    </xdr:from>
    <xdr:to>
      <xdr:col>6</xdr:col>
      <xdr:colOff>2645569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45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1107280</xdr:colOff>
      <xdr:row>0</xdr:row>
      <xdr:rowOff>192882</xdr:rowOff>
    </xdr:from>
    <xdr:to>
      <xdr:col>6</xdr:col>
      <xdr:colOff>2586037</xdr:colOff>
      <xdr:row>4</xdr:row>
      <xdr:rowOff>168442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5255" y="19240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1166812</xdr:colOff>
      <xdr:row>0</xdr:row>
      <xdr:rowOff>97632</xdr:rowOff>
    </xdr:from>
    <xdr:to>
      <xdr:col>6</xdr:col>
      <xdr:colOff>2645569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45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211925</xdr:colOff>
      <xdr:row>0</xdr:row>
      <xdr:rowOff>390525</xdr:rowOff>
    </xdr:from>
    <xdr:to>
      <xdr:col>5</xdr:col>
      <xdr:colOff>1416839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85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1142999</xdr:colOff>
      <xdr:row>0</xdr:row>
      <xdr:rowOff>145257</xdr:rowOff>
    </xdr:from>
    <xdr:to>
      <xdr:col>6</xdr:col>
      <xdr:colOff>2621756</xdr:colOff>
      <xdr:row>4</xdr:row>
      <xdr:rowOff>120817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0815" y="14478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1309688</xdr:colOff>
      <xdr:row>0</xdr:row>
      <xdr:rowOff>297656</xdr:rowOff>
    </xdr:from>
    <xdr:to>
      <xdr:col>6</xdr:col>
      <xdr:colOff>2609850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7820" y="297180"/>
          <a:ext cx="1300480" cy="1495425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1262062</xdr:colOff>
      <xdr:row>0</xdr:row>
      <xdr:rowOff>226219</xdr:rowOff>
    </xdr:from>
    <xdr:to>
      <xdr:col>6</xdr:col>
      <xdr:colOff>2621755</xdr:colOff>
      <xdr:row>3</xdr:row>
      <xdr:rowOff>358942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0195" y="226060"/>
          <a:ext cx="135953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1333501</xdr:colOff>
      <xdr:row>0</xdr:row>
      <xdr:rowOff>309563</xdr:rowOff>
    </xdr:from>
    <xdr:to>
      <xdr:col>6</xdr:col>
      <xdr:colOff>2657475</xdr:colOff>
      <xdr:row>4</xdr:row>
      <xdr:rowOff>49380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50" y="309245"/>
          <a:ext cx="132397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152395</xdr:colOff>
      <xdr:row>0</xdr:row>
      <xdr:rowOff>390525</xdr:rowOff>
    </xdr:from>
    <xdr:to>
      <xdr:col>5</xdr:col>
      <xdr:colOff>1357309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165" y="390525"/>
          <a:ext cx="4586605" cy="484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9"/>
  <sheetViews>
    <sheetView zoomScale="85" zoomScaleNormal="85" workbookViewId="0">
      <pane xSplit="4" ySplit="1" topLeftCell="E26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4.85546875" style="2" customWidth="1"/>
    <col min="5" max="5" width="25.7109375" style="1" customWidth="1"/>
    <col min="6" max="6" width="26.28515625" style="1" customWidth="1"/>
    <col min="7" max="7" width="39.5703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91"/>
      <c r="C5" s="91"/>
      <c r="D5" s="91"/>
      <c r="E5" s="91"/>
      <c r="F5" s="91"/>
      <c r="G5" s="91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v>46173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177800</v>
      </c>
      <c r="F7" s="12">
        <v>4799800</v>
      </c>
      <c r="G7" s="13">
        <v>9289100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17870</v>
      </c>
      <c r="F8" s="12">
        <v>540770</v>
      </c>
      <c r="G8" s="13">
        <v>1058484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v>159930</v>
      </c>
      <c r="F9" s="12">
        <v>4259030</v>
      </c>
      <c r="G9" s="13">
        <v>8230616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v>10.050618672665916</v>
      </c>
      <c r="F10" s="15">
        <v>11.266511104629359</v>
      </c>
      <c r="G10" s="16">
        <v>11.394903704341647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v>7.4083333333333332</v>
      </c>
      <c r="F11" s="15">
        <v>6.4513440860215052</v>
      </c>
      <c r="G11" s="16">
        <v>6.4210664565274502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v>744</v>
      </c>
      <c r="G12" s="13">
        <v>1446.6599999999999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v>74.083333333333329</v>
      </c>
      <c r="F13" s="15">
        <v>64.513440860215056</v>
      </c>
      <c r="G13" s="16">
        <v>64.210664565274499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816</v>
      </c>
      <c r="F14" s="12">
        <v>22589</v>
      </c>
      <c r="G14" s="13">
        <v>43688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789</v>
      </c>
      <c r="F15" s="12">
        <v>21895</v>
      </c>
      <c r="G15" s="13">
        <v>42389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58</v>
      </c>
      <c r="F16" s="12">
        <v>1253</v>
      </c>
      <c r="G16" s="13">
        <v>2445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744</v>
      </c>
      <c r="F17" s="12">
        <v>19937</v>
      </c>
      <c r="G17" s="13">
        <v>38614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585</v>
      </c>
      <c r="F18" s="12">
        <v>16025</v>
      </c>
      <c r="G18" s="13">
        <v>31206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v>553</v>
      </c>
      <c r="G19" s="13">
        <v>1081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v>4.184476940382452</v>
      </c>
      <c r="F20" s="15">
        <v>4.153714738114088</v>
      </c>
      <c r="G20" s="16">
        <v>4.156915094034944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v>0.89988751406074241</v>
      </c>
      <c r="F21" s="19">
        <v>0.89649568732030505</v>
      </c>
      <c r="G21" s="20">
        <v>0.87974077144179741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v>2818.683914510686</v>
      </c>
      <c r="F22" s="21">
        <v>2798.3376390682947</v>
      </c>
      <c r="G22" s="21">
        <v>2800.7268734323025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v>3828.8266851258977</v>
      </c>
      <c r="F23" s="21">
        <v>3935.8838135349656</v>
      </c>
      <c r="G23" s="21">
        <v>3937.3134876305257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v>0</v>
      </c>
      <c r="G24" s="27"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160</v>
      </c>
      <c r="F26" s="32">
        <v>4303</v>
      </c>
      <c r="G26" s="33">
        <v>8172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4262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14</v>
      </c>
      <c r="F30" s="32">
        <v>465</v>
      </c>
      <c r="G30" s="33">
        <v>955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v>462</v>
      </c>
      <c r="G31" s="13">
        <v>967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v>598</v>
      </c>
      <c r="G32" s="13">
        <v>1136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0</v>
      </c>
      <c r="F33" s="47">
        <v>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93" t="s">
        <v>46</v>
      </c>
      <c r="D35" s="94" t="s">
        <v>17</v>
      </c>
      <c r="E35" s="51">
        <v>36</v>
      </c>
      <c r="F35" s="32">
        <v>739</v>
      </c>
      <c r="G35" s="33">
        <v>1371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2</v>
      </c>
      <c r="F36" s="12">
        <v>89</v>
      </c>
      <c r="G36" s="13">
        <v>155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v>0</v>
      </c>
      <c r="G37" s="48"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40"/>
  <sheetViews>
    <sheetView zoomScale="85" zoomScaleNormal="85" workbookViewId="0">
      <pane xSplit="4" ySplit="6" topLeftCell="E7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4.85546875" style="2" customWidth="1"/>
    <col min="5" max="6" width="34.42578125" style="1" customWidth="1"/>
    <col min="7" max="7" width="39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75" customHeight="1">
      <c r="B6" s="6" t="s">
        <v>1</v>
      </c>
      <c r="C6" s="7" t="s">
        <v>2</v>
      </c>
      <c r="D6" s="7" t="s">
        <v>3</v>
      </c>
      <c r="E6" s="8">
        <f>'0'!E6+1</f>
        <v>46174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181500</v>
      </c>
      <c r="F7" s="12">
        <f>E7</f>
        <v>181500</v>
      </c>
      <c r="G7" s="13">
        <f>E7+'0'!G7</f>
        <v>9470600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17898</v>
      </c>
      <c r="F8" s="12">
        <f t="shared" ref="F8:F9" si="0">E8</f>
        <v>17898</v>
      </c>
      <c r="G8" s="13">
        <f>E8+'0'!G8</f>
        <v>1076382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163602</v>
      </c>
      <c r="F9" s="12">
        <f t="shared" si="0"/>
        <v>163602</v>
      </c>
      <c r="G9" s="13">
        <f>E9+'0'!G9</f>
        <v>8394218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9.8611570247933873</v>
      </c>
      <c r="F10" s="15">
        <f>F8/F7*100</f>
        <v>9.8611570247933873</v>
      </c>
      <c r="G10" s="16">
        <f>G8/G7*100</f>
        <v>11.365510104956392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7.5625</v>
      </c>
      <c r="F11" s="15">
        <f>F7/F12/1000</f>
        <v>7.5625</v>
      </c>
      <c r="G11" s="16">
        <f>G7/G12/1000</f>
        <v>6.4396937429453445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</f>
        <v>24</v>
      </c>
      <c r="G12" s="13">
        <f>E12+'0'!G12</f>
        <v>1470.6599999999999</v>
      </c>
    </row>
    <row r="13" spans="1:12" ht="30.75" customHeight="1">
      <c r="B13" s="9">
        <v>6</v>
      </c>
      <c r="C13" s="10" t="s">
        <v>15</v>
      </c>
      <c r="D13" s="11" t="s">
        <v>10</v>
      </c>
      <c r="E13" s="15">
        <f>E11/10*100</f>
        <v>75.625</v>
      </c>
      <c r="F13" s="15">
        <f>F11/10*100</f>
        <v>75.625</v>
      </c>
      <c r="G13" s="16">
        <f>G11/10*100</f>
        <v>64.396937429453445</v>
      </c>
    </row>
    <row r="14" spans="1:12" ht="30.75" customHeight="1">
      <c r="B14" s="9">
        <v>7</v>
      </c>
      <c r="C14" s="10" t="s">
        <v>16</v>
      </c>
      <c r="D14" s="11" t="s">
        <v>17</v>
      </c>
      <c r="E14" s="12">
        <v>824</v>
      </c>
      <c r="F14" s="12">
        <f>E14</f>
        <v>824</v>
      </c>
      <c r="G14" s="13">
        <f>E14+'0'!G14</f>
        <v>44512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803</v>
      </c>
      <c r="F15" s="12">
        <f t="shared" ref="F15:F19" si="1">E15</f>
        <v>803</v>
      </c>
      <c r="G15" s="13">
        <f>E15+'0'!G15</f>
        <v>43192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12">
        <f t="shared" si="1"/>
        <v>61</v>
      </c>
      <c r="G16" s="13">
        <f>E16+'0'!G16</f>
        <v>2506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759</v>
      </c>
      <c r="F17" s="12">
        <f t="shared" si="1"/>
        <v>759</v>
      </c>
      <c r="G17" s="13">
        <f>E17+'0'!G17</f>
        <v>39373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591</v>
      </c>
      <c r="F18" s="12">
        <f t="shared" si="1"/>
        <v>591</v>
      </c>
      <c r="G18" s="13">
        <f>E18+'0'!G18</f>
        <v>31797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 t="shared" si="1"/>
        <v>18</v>
      </c>
      <c r="G19" s="13">
        <f>E19+'0'!G19</f>
        <v>1099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4.1818181818181817</v>
      </c>
      <c r="F20" s="15">
        <f>F17*1000/F7</f>
        <v>4.1818181818181817</v>
      </c>
      <c r="G20" s="16">
        <f>G17*1000/G7</f>
        <v>4.1573923510654023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0.85950413223140498</v>
      </c>
      <c r="F21" s="19">
        <f>F26*1000/F7</f>
        <v>0.85950413223140498</v>
      </c>
      <c r="G21" s="20">
        <f>G26*1000/G7</f>
        <v>0.87935294490317406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2816.3471074380163</v>
      </c>
      <c r="F22" s="21">
        <f>((F17*(803-130)+F31*(30))*1000)/F7</f>
        <v>2816.3471074380163</v>
      </c>
      <c r="G22" s="78">
        <f>((G17*(803-130)+G31*(30))*1000)/G7</f>
        <v>2801.0262285388467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3817.3271173271173</v>
      </c>
      <c r="F23" s="21">
        <f t="shared" ref="F23:G23" si="2">(F15*(803-130))*1000/(F7*0.78)</f>
        <v>3817.3271173271173</v>
      </c>
      <c r="G23" s="21">
        <f t="shared" si="2"/>
        <v>3935.0140001418695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</f>
        <v>0</v>
      </c>
      <c r="G24" s="13">
        <f>E24+'0'!G24</f>
        <v>0</v>
      </c>
    </row>
    <row r="25" spans="2:8" ht="30.95" customHeight="1">
      <c r="B25" s="108" t="s">
        <v>30</v>
      </c>
      <c r="C25" s="109"/>
      <c r="D25" s="109"/>
      <c r="E25" s="109"/>
      <c r="F25" s="109"/>
      <c r="G25" s="110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156</v>
      </c>
      <c r="F26" s="32">
        <f>E26</f>
        <v>156</v>
      </c>
      <c r="G26" s="13">
        <f>E26+'0'!G26</f>
        <v>8328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4405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8" t="s">
        <v>34</v>
      </c>
      <c r="C29" s="109"/>
      <c r="D29" s="109"/>
      <c r="E29" s="109"/>
      <c r="F29" s="109"/>
      <c r="G29" s="110"/>
    </row>
    <row r="30" spans="2:8" ht="30.95" customHeight="1">
      <c r="B30" s="29">
        <v>1</v>
      </c>
      <c r="C30" s="30" t="s">
        <v>35</v>
      </c>
      <c r="D30" s="42" t="s">
        <v>45</v>
      </c>
      <c r="E30" s="32">
        <v>13</v>
      </c>
      <c r="F30" s="32">
        <f>E30</f>
        <v>13</v>
      </c>
      <c r="G30" s="13">
        <f>E30+'0'!G30</f>
        <v>968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f t="shared" ref="F31:F32" si="3">E31</f>
        <v>12</v>
      </c>
      <c r="G31" s="13">
        <f>E31+'0'!G31</f>
        <v>979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 t="shared" si="3"/>
        <v>18</v>
      </c>
      <c r="G32" s="13">
        <f>E32+'0'!G32</f>
        <v>1154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21.7</v>
      </c>
      <c r="F33" s="47">
        <v>1423</v>
      </c>
      <c r="G33" s="48"/>
    </row>
    <row r="34" spans="2:7" ht="30.95" customHeight="1">
      <c r="B34" s="105" t="s">
        <v>42</v>
      </c>
      <c r="C34" s="106"/>
      <c r="D34" s="106"/>
      <c r="E34" s="106"/>
      <c r="F34" s="106"/>
      <c r="G34" s="107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40</v>
      </c>
      <c r="F35" s="32">
        <f>E35</f>
        <v>40</v>
      </c>
      <c r="G35" s="13">
        <f>E35+'0'!G35</f>
        <v>1411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1</v>
      </c>
      <c r="F36" s="12">
        <f t="shared" ref="F36:F37" si="4">E36</f>
        <v>1</v>
      </c>
      <c r="G36" s="13">
        <f>E36+'0'!G36</f>
        <v>156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 t="shared" si="4"/>
        <v>0</v>
      </c>
      <c r="G37" s="13">
        <f>E37+'0'!G37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7" orientation="portrait"/>
  <ignoredErrors>
    <ignoredError sqref="F1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E27" sqref="E2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.28515625" style="1" customWidth="1"/>
    <col min="7" max="7" width="39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'1'!E6+1</f>
        <v>46175</v>
      </c>
      <c r="F6" s="42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139400</v>
      </c>
      <c r="F7" s="12">
        <f>E7+'1'!F7</f>
        <v>320900</v>
      </c>
      <c r="G7" s="13">
        <f>E7+'1'!G7</f>
        <v>9610000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17330</v>
      </c>
      <c r="F8" s="12">
        <f>E8+'1'!F8</f>
        <v>35228</v>
      </c>
      <c r="G8" s="13">
        <f>E8+'1'!G8</f>
        <v>1093712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122070</v>
      </c>
      <c r="F9" s="12">
        <f>E9+'1'!F9</f>
        <v>285672</v>
      </c>
      <c r="G9" s="13">
        <f>E9+'1'!G9</f>
        <v>8516288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12.431850789096126</v>
      </c>
      <c r="F10" s="15">
        <f>F8/F7*100</f>
        <v>10.977874727329386</v>
      </c>
      <c r="G10" s="16">
        <f>G8/G7*100</f>
        <v>11.380978147762749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5.8083333333333327</v>
      </c>
      <c r="F11" s="15">
        <f>F7/F12/1000</f>
        <v>6.6854166666666668</v>
      </c>
      <c r="G11" s="16">
        <f>G7/G12/1000</f>
        <v>6.4295558856194726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E12+'1'!F12</f>
        <v>48</v>
      </c>
      <c r="G12" s="13">
        <f>E12+'1'!G12</f>
        <v>1494.6599999999999</v>
      </c>
    </row>
    <row r="13" spans="1:12" ht="30.95" customHeight="1">
      <c r="B13" s="9">
        <v>7</v>
      </c>
      <c r="C13" s="10" t="s">
        <v>15</v>
      </c>
      <c r="D13" s="11" t="s">
        <v>10</v>
      </c>
      <c r="E13" s="15">
        <f>E11/10*100</f>
        <v>58.083333333333329</v>
      </c>
      <c r="F13" s="15">
        <f>F11/10*100</f>
        <v>66.854166666666671</v>
      </c>
      <c r="G13" s="16">
        <f>G11/10*100</f>
        <v>64.295558856194717</v>
      </c>
    </row>
    <row r="14" spans="1:12" ht="30.95" customHeight="1">
      <c r="B14" s="9">
        <v>8</v>
      </c>
      <c r="C14" s="10" t="s">
        <v>16</v>
      </c>
      <c r="D14" s="11" t="s">
        <v>17</v>
      </c>
      <c r="E14" s="12">
        <v>679</v>
      </c>
      <c r="F14" s="12">
        <f>E14+'1'!F14</f>
        <v>1503</v>
      </c>
      <c r="G14" s="13">
        <f>E14+'1'!G14</f>
        <v>45191</v>
      </c>
    </row>
    <row r="15" spans="1:12" ht="30.95" customHeight="1">
      <c r="B15" s="9">
        <v>9</v>
      </c>
      <c r="C15" s="10" t="s">
        <v>18</v>
      </c>
      <c r="D15" s="11" t="s">
        <v>17</v>
      </c>
      <c r="E15" s="12">
        <v>650</v>
      </c>
      <c r="F15" s="12">
        <f>E15+'1'!F15</f>
        <v>1453</v>
      </c>
      <c r="G15" s="13">
        <f>E15+'1'!G15</f>
        <v>43842</v>
      </c>
    </row>
    <row r="16" spans="1:12" ht="30.95" customHeight="1">
      <c r="B16" s="9">
        <v>10</v>
      </c>
      <c r="C16" s="10" t="s">
        <v>19</v>
      </c>
      <c r="D16" s="90" t="s">
        <v>17</v>
      </c>
      <c r="E16" s="12">
        <v>26</v>
      </c>
      <c r="F16" s="12">
        <f>E16+'1'!F16</f>
        <v>87</v>
      </c>
      <c r="G16" s="13">
        <f>E16+'1'!G16</f>
        <v>2532</v>
      </c>
    </row>
    <row r="17" spans="2:8" ht="30.95" customHeight="1">
      <c r="B17" s="9">
        <v>11</v>
      </c>
      <c r="C17" s="10" t="s">
        <v>20</v>
      </c>
      <c r="D17" s="11" t="s">
        <v>17</v>
      </c>
      <c r="E17" s="12">
        <v>581</v>
      </c>
      <c r="F17" s="12">
        <f>E17+'1'!F17</f>
        <v>1340</v>
      </c>
      <c r="G17" s="13">
        <f>E17+'1'!G17</f>
        <v>39954</v>
      </c>
    </row>
    <row r="18" spans="2:8" ht="30.95" customHeight="1">
      <c r="B18" s="9">
        <v>12</v>
      </c>
      <c r="C18" s="10" t="s">
        <v>21</v>
      </c>
      <c r="D18" s="11" t="s">
        <v>17</v>
      </c>
      <c r="E18" s="12">
        <v>480</v>
      </c>
      <c r="F18" s="12">
        <f>E18+'1'!F18</f>
        <v>1071</v>
      </c>
      <c r="G18" s="13">
        <f>E18+'1'!G18</f>
        <v>32277</v>
      </c>
    </row>
    <row r="19" spans="2:8" ht="30.95" customHeight="1">
      <c r="B19" s="9">
        <v>13</v>
      </c>
      <c r="C19" s="10" t="s">
        <v>22</v>
      </c>
      <c r="D19" s="18" t="s">
        <v>17</v>
      </c>
      <c r="E19" s="12">
        <v>18</v>
      </c>
      <c r="F19" s="12">
        <f>E19+'1'!F19</f>
        <v>36</v>
      </c>
      <c r="G19" s="13">
        <f>E19+'1'!G19</f>
        <v>1117</v>
      </c>
    </row>
    <row r="20" spans="2:8" ht="30.95" customHeight="1">
      <c r="B20" s="9">
        <v>14</v>
      </c>
      <c r="C20" s="10" t="s">
        <v>23</v>
      </c>
      <c r="D20" s="11" t="s">
        <v>24</v>
      </c>
      <c r="E20" s="15">
        <f>E17*1000/E7</f>
        <v>4.1678622668579628</v>
      </c>
      <c r="F20" s="15">
        <f>F17*1000/F7</f>
        <v>4.1757556871299473</v>
      </c>
      <c r="G20" s="16">
        <f>G17*1000/G7</f>
        <v>4.1575442247658687</v>
      </c>
    </row>
    <row r="21" spans="2:8" ht="30.95" customHeight="1">
      <c r="B21" s="9">
        <v>15</v>
      </c>
      <c r="C21" s="10" t="s">
        <v>25</v>
      </c>
      <c r="D21" s="11" t="s">
        <v>24</v>
      </c>
      <c r="E21" s="19">
        <f>E26*1000/E7</f>
        <v>0.93256814921090392</v>
      </c>
      <c r="F21" s="19">
        <f>F26*1000/F7</f>
        <v>0.89124337799937681</v>
      </c>
      <c r="G21" s="20">
        <f>G26*1000/G7</f>
        <v>0.88012486992715921</v>
      </c>
    </row>
    <row r="22" spans="2:8" ht="30.95" customHeight="1">
      <c r="B22" s="9">
        <v>16</v>
      </c>
      <c r="C22" s="10" t="s">
        <v>26</v>
      </c>
      <c r="D22" s="11" t="s">
        <v>27</v>
      </c>
      <c r="E22" s="21">
        <f>((E17*(803-130)+E31*(30))*1000)/E7</f>
        <v>2807.9842180774749</v>
      </c>
      <c r="F22" s="21">
        <f t="shared" ref="F22:G22" si="0">((F17*(803-130)+F31*(30))*1000)/F7</f>
        <v>2812.7142411966342</v>
      </c>
      <c r="G22" s="21">
        <f t="shared" si="0"/>
        <v>2801.1271592091571</v>
      </c>
    </row>
    <row r="23" spans="2:8" ht="30.95" customHeight="1">
      <c r="B23" s="9">
        <v>17</v>
      </c>
      <c r="C23" s="10" t="s">
        <v>28</v>
      </c>
      <c r="D23" s="11" t="s">
        <v>27</v>
      </c>
      <c r="E23" s="21">
        <f>(E15*(803-130))*1000/(E7*0.78)</f>
        <v>4023.1946437111428</v>
      </c>
      <c r="F23" s="21">
        <f t="shared" ref="F23:G23" si="1">(F15*(803-130))*1000/(F7*0.78)</f>
        <v>3906.7566379813184</v>
      </c>
      <c r="G23" s="21">
        <f t="shared" si="1"/>
        <v>3936.2931241495239</v>
      </c>
    </row>
    <row r="24" spans="2:8" ht="30.95" customHeight="1">
      <c r="B24" s="9">
        <v>18</v>
      </c>
      <c r="C24" s="23" t="s">
        <v>29</v>
      </c>
      <c r="D24" s="24" t="s">
        <v>6</v>
      </c>
      <c r="E24" s="25">
        <v>0</v>
      </c>
      <c r="F24" s="47">
        <f>E24+'1'!F24</f>
        <v>0</v>
      </c>
      <c r="G24" s="48">
        <f>E24+'1'!G24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130</v>
      </c>
      <c r="F26" s="32">
        <f>E26+'1'!F26</f>
        <v>286</v>
      </c>
      <c r="G26" s="33">
        <f>E26+'1'!G26</f>
        <v>8458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4300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13</v>
      </c>
      <c r="F30" s="32">
        <f>E30+'1'!F30</f>
        <v>26</v>
      </c>
      <c r="G30" s="33">
        <f>E30+'1'!G30</f>
        <v>981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E31+'1'!F31</f>
        <v>26</v>
      </c>
      <c r="G31" s="13">
        <f>E31+'1'!G31</f>
        <v>993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E32+'1'!F32</f>
        <v>36</v>
      </c>
      <c r="G32" s="13">
        <f>E32+'1'!G32</f>
        <v>1172</v>
      </c>
    </row>
    <row r="33" spans="2:7" ht="30.95" customHeight="1">
      <c r="B33" s="44">
        <v>4</v>
      </c>
      <c r="C33" s="23" t="s">
        <v>40</v>
      </c>
      <c r="D33" s="45" t="s">
        <v>41</v>
      </c>
      <c r="E33" s="47">
        <v>21</v>
      </c>
      <c r="F33" s="47">
        <v>1423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47</v>
      </c>
      <c r="F35" s="32">
        <f>E35+'1'!F35</f>
        <v>87</v>
      </c>
      <c r="G35" s="33">
        <f>E35+'1'!G35</f>
        <v>1458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E36+'1'!F36</f>
        <v>1</v>
      </c>
      <c r="G36" s="13">
        <f>E36+'1'!G36</f>
        <v>156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E37+'1'!F37</f>
        <v>0</v>
      </c>
      <c r="G37" s="48">
        <f>E37+'1'!G37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L40"/>
  <sheetViews>
    <sheetView zoomScale="80" zoomScaleNormal="80" workbookViewId="0">
      <pane xSplit="4" ySplit="6" topLeftCell="E34" activePane="bottomRight" state="frozen"/>
      <selection pane="topRight"/>
      <selection pane="bottomLeft"/>
      <selection pane="bottomRight" activeCell="F39" sqref="F39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39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'2'!E6+1</f>
        <v>46176</v>
      </c>
      <c r="F6" s="42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152575</v>
      </c>
      <c r="F7" s="12">
        <f>E7+'2'!F7</f>
        <v>473475</v>
      </c>
      <c r="G7" s="13">
        <f>E7+'2'!G7</f>
        <v>9762575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17683</v>
      </c>
      <c r="F8" s="12">
        <f>E8+'2'!F8</f>
        <v>52911</v>
      </c>
      <c r="G8" s="13">
        <f>E8+'2'!G8</f>
        <v>1111395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134892</v>
      </c>
      <c r="F9" s="12">
        <f>E9+'2'!F9</f>
        <v>420564</v>
      </c>
      <c r="G9" s="13">
        <f>E9+'2'!G9</f>
        <v>8651180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11.589709978699</v>
      </c>
      <c r="F10" s="15">
        <f>F8/F7*100</f>
        <v>11.175035640741328</v>
      </c>
      <c r="G10" s="16">
        <f>G8/G7*100</f>
        <v>11.384240325938597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6.3572916666666668</v>
      </c>
      <c r="F11" s="15">
        <f>F7/F12/1000</f>
        <v>6.5760416666666668</v>
      </c>
      <c r="G11" s="16">
        <f>G7/G12/1000</f>
        <v>6.4284138648545435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E12+'2'!F12</f>
        <v>72</v>
      </c>
      <c r="G12" s="13">
        <f>E12+'2'!G12</f>
        <v>1518.6599999999999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63.572916666666671</v>
      </c>
      <c r="F13" s="15">
        <f>F11/10*100</f>
        <v>65.760416666666671</v>
      </c>
      <c r="G13" s="16">
        <f>G11/10*100</f>
        <v>64.284138648545436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724</v>
      </c>
      <c r="F14" s="12">
        <f>E14+'2'!F14</f>
        <v>2227</v>
      </c>
      <c r="G14" s="13">
        <f>E14+'2'!G14</f>
        <v>45915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695</v>
      </c>
      <c r="F15" s="12">
        <f>E15+'2'!F15</f>
        <v>2148</v>
      </c>
      <c r="G15" s="13">
        <f>E15+'2'!G15</f>
        <v>44537</v>
      </c>
    </row>
    <row r="16" spans="1:12" ht="30.95" customHeight="1">
      <c r="B16" s="9">
        <v>9</v>
      </c>
      <c r="C16" s="10" t="s">
        <v>19</v>
      </c>
      <c r="D16" s="90" t="s">
        <v>17</v>
      </c>
      <c r="E16" s="12">
        <v>45</v>
      </c>
      <c r="F16" s="70">
        <f>E16+'2'!F16</f>
        <v>132</v>
      </c>
      <c r="G16" s="13">
        <f>E16+'2'!G16</f>
        <v>2577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637</v>
      </c>
      <c r="F17" s="12">
        <f>E17+'2'!F17</f>
        <v>1977</v>
      </c>
      <c r="G17" s="13">
        <f>E17+'2'!G17</f>
        <v>40591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512</v>
      </c>
      <c r="F18" s="12">
        <f>E18+'2'!F18</f>
        <v>1583</v>
      </c>
      <c r="G18" s="13">
        <f>E18+'2'!G18</f>
        <v>32789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E19+'2'!F19</f>
        <v>53</v>
      </c>
      <c r="G19" s="13">
        <f>E19+'2'!G19</f>
        <v>1134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4.174995903653941</v>
      </c>
      <c r="F20" s="15">
        <f>F17*1000/F7</f>
        <v>4.1755108506256926</v>
      </c>
      <c r="G20" s="16">
        <f>G17*1000/G7</f>
        <v>4.1578169693958813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0.90447320989677205</v>
      </c>
      <c r="F21" s="19">
        <f>F26*1000/F7</f>
        <v>0.89550662653783197</v>
      </c>
      <c r="G21" s="20">
        <f>G26*1000/G7</f>
        <v>0.88050539944635509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2813.5081107651977</v>
      </c>
      <c r="F22" s="21">
        <f t="shared" ref="F22:G22" si="0">((F17*(803-130)+F31*(30))*1000)/F7</f>
        <v>2812.9700617772851</v>
      </c>
      <c r="G22" s="21">
        <f t="shared" si="0"/>
        <v>2801.320655667178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3930.2654852384494</v>
      </c>
      <c r="F23" s="21">
        <f t="shared" ref="F23:G23" si="1">(F15*(803-130))*1000/(F7*0.78)</f>
        <v>3914.3322488800077</v>
      </c>
      <c r="G23" s="21">
        <f t="shared" si="1"/>
        <v>3936.1989208264399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E24+'2'!F24</f>
        <v>0</v>
      </c>
      <c r="G24" s="48">
        <f>E24+'2'!G24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E26+'2'!F26</f>
        <v>424</v>
      </c>
      <c r="G26" s="33">
        <f>E26+'2'!G26</f>
        <v>8596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4327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19</v>
      </c>
      <c r="F30" s="32">
        <f>E30+'2'!F30</f>
        <v>45</v>
      </c>
      <c r="G30" s="33">
        <f>E30+'2'!G30</f>
        <v>1000</v>
      </c>
    </row>
    <row r="31" spans="2:8" ht="30.95" customHeight="1">
      <c r="B31" s="34">
        <v>2</v>
      </c>
      <c r="C31" s="10" t="s">
        <v>37</v>
      </c>
      <c r="D31" s="43" t="s">
        <v>38</v>
      </c>
      <c r="E31" s="35">
        <v>19</v>
      </c>
      <c r="F31" s="12">
        <f>E31+'2'!F31</f>
        <v>45</v>
      </c>
      <c r="G31" s="13">
        <f>E31+'2'!G31</f>
        <v>1012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E32+'2'!F32</f>
        <v>54</v>
      </c>
      <c r="G32" s="13">
        <f>E32+'2'!G32</f>
        <v>1190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7">
        <v>1324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E35+'2'!F35</f>
        <v>87</v>
      </c>
      <c r="G35" s="33">
        <f>E35+'2'!G35</f>
        <v>1458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E36+'2'!F36</f>
        <v>4</v>
      </c>
      <c r="G36" s="13">
        <f>E36+'2'!G36</f>
        <v>159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E37+'2'!F37</f>
        <v>0</v>
      </c>
      <c r="G37" s="48">
        <f>E37+'2'!G37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L40"/>
  <sheetViews>
    <sheetView topLeftCell="B1" zoomScale="70" zoomScaleNormal="70" workbookViewId="0">
      <pane xSplit="3" ySplit="6" topLeftCell="E31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6.140625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" style="1" customWidth="1"/>
    <col min="7" max="7" width="40.140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'3'!E6+1</f>
        <v>46177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178200</v>
      </c>
      <c r="F7" s="12">
        <f>E7+'3'!F7</f>
        <v>651675</v>
      </c>
      <c r="G7" s="13">
        <f>E7+'3'!G7</f>
        <v>9940775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18270</v>
      </c>
      <c r="F8" s="12">
        <f>E8+'3'!F8</f>
        <v>71181</v>
      </c>
      <c r="G8" s="13">
        <f>E8+'3'!G8</f>
        <v>1129665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159930</v>
      </c>
      <c r="F9" s="12">
        <f>E9+'3'!F9</f>
        <v>580494</v>
      </c>
      <c r="G9" s="13">
        <f>E9+'3'!G9</f>
        <v>8811110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10.252525252525253</v>
      </c>
      <c r="F10" s="15">
        <f>F8/F7*100</f>
        <v>10.92277592358154</v>
      </c>
      <c r="G10" s="16">
        <f>G8/G7*100</f>
        <v>11.363953011711864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7.4249999999999998</v>
      </c>
      <c r="F11" s="15">
        <f>F7/F12/1000</f>
        <v>6.7882812499999998</v>
      </c>
      <c r="G11" s="16">
        <f>G7/G12/1000</f>
        <v>6.4439182969675759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E12+'3'!F12</f>
        <v>96</v>
      </c>
      <c r="G12" s="13">
        <f>E12+'3'!G12</f>
        <v>1542.6599999999999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74.25</v>
      </c>
      <c r="F13" s="15">
        <f>F11/10*100</f>
        <v>67.8828125</v>
      </c>
      <c r="G13" s="16">
        <f>G11/10*100</f>
        <v>64.439182969675755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810</v>
      </c>
      <c r="F14" s="12">
        <f>E14+'3'!F14</f>
        <v>3037</v>
      </c>
      <c r="G14" s="13">
        <f>E14+'3'!G14</f>
        <v>46725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790</v>
      </c>
      <c r="F15" s="12">
        <f>E15+'3'!F15</f>
        <v>2938</v>
      </c>
      <c r="G15" s="13">
        <f>E15+'3'!G15</f>
        <v>45327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67</v>
      </c>
      <c r="F16" s="70">
        <f>E16+'3'!F16</f>
        <v>199</v>
      </c>
      <c r="G16" s="13">
        <f>E16+'3'!G16</f>
        <v>2644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742</v>
      </c>
      <c r="F17" s="12">
        <f>E17+'3'!F17</f>
        <v>2719</v>
      </c>
      <c r="G17" s="13">
        <f>E17+'3'!G17</f>
        <v>41333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576</v>
      </c>
      <c r="F18" s="12">
        <f>E18+'3'!F18</f>
        <v>2159</v>
      </c>
      <c r="G18" s="13">
        <f>E18+'3'!G18</f>
        <v>33365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E19+'3'!F19</f>
        <v>71</v>
      </c>
      <c r="G19" s="13">
        <f>E19+'3'!G19</f>
        <v>1152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4.1638608305274971</v>
      </c>
      <c r="F20" s="15">
        <f>F17*1000/F7</f>
        <v>4.1723251620823261</v>
      </c>
      <c r="G20" s="16">
        <f>G17*1000/G7</f>
        <v>4.1579253126642541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0.88664421997755327</v>
      </c>
      <c r="F21" s="19">
        <f>F26*1000/F7</f>
        <v>0.89308320865462076</v>
      </c>
      <c r="G21" s="20">
        <f>G26*1000/G7</f>
        <v>0.88061544497285171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2804.6352413019081</v>
      </c>
      <c r="F22" s="21">
        <f t="shared" ref="F22:G22" si="0">((F17*(803-130)+F31*(30))*1000)/F7</f>
        <v>2810.6909118809222</v>
      </c>
      <c r="G22" s="21">
        <f t="shared" si="0"/>
        <v>2801.3800734852161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3825.0741028518805</v>
      </c>
      <c r="F23" s="21">
        <f t="shared" ref="F23:G23" si="1">(F15*(803-130))*1000/(F7*0.78)</f>
        <v>3889.9246812700603</v>
      </c>
      <c r="G23" s="21">
        <f t="shared" si="1"/>
        <v>3934.2068787006428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E24+'3'!F24</f>
        <v>0</v>
      </c>
      <c r="G24" s="48">
        <f>E24+'3'!G24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158</v>
      </c>
      <c r="F26" s="32">
        <f>E26+'3'!F26</f>
        <v>582</v>
      </c>
      <c r="G26" s="33">
        <f>E26+'3'!G26</f>
        <v>8754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4310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14</v>
      </c>
      <c r="F30" s="32">
        <f>E30+'3'!F30</f>
        <v>59</v>
      </c>
      <c r="G30" s="33">
        <f>E30+'3'!G30</f>
        <v>1014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E31+'3'!F31</f>
        <v>59</v>
      </c>
      <c r="G31" s="13">
        <f>E31+'3'!G31</f>
        <v>1026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7</v>
      </c>
      <c r="F32" s="12">
        <f>E32+'3'!F32</f>
        <v>61</v>
      </c>
      <c r="G32" s="13">
        <f>E32+'3'!G32</f>
        <v>1197</v>
      </c>
    </row>
    <row r="33" spans="2:7" ht="30.95" customHeight="1">
      <c r="B33" s="44">
        <v>4</v>
      </c>
      <c r="C33" s="23" t="s">
        <v>40</v>
      </c>
      <c r="D33" s="45" t="s">
        <v>41</v>
      </c>
      <c r="E33" s="88">
        <v>18</v>
      </c>
      <c r="F33" s="89">
        <v>1322</v>
      </c>
      <c r="G33" s="48"/>
    </row>
    <row r="34" spans="2:7" ht="30.95" customHeight="1">
      <c r="B34" s="96"/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56</v>
      </c>
      <c r="F35" s="32">
        <f>E35+'3'!F35</f>
        <v>143</v>
      </c>
      <c r="G35" s="33">
        <f>E35+'3'!G35</f>
        <v>1514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E36+'3'!F36</f>
        <v>4</v>
      </c>
      <c r="G36" s="13">
        <f>E36+'3'!G36</f>
        <v>159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E37+'3'!F37</f>
        <v>0</v>
      </c>
      <c r="G37" s="48">
        <f>E37+'3'!G37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0"/>
  <sheetViews>
    <sheetView zoomScale="80" zoomScaleNormal="80" workbookViewId="0">
      <pane xSplit="4" ySplit="6" topLeftCell="E28" activePane="bottomRight" state="frozen"/>
      <selection pane="topRight"/>
      <selection pane="bottomLeft"/>
      <selection pane="bottomRight" activeCell="F21" sqref="F21"/>
    </sheetView>
  </sheetViews>
  <sheetFormatPr defaultColWidth="9.140625" defaultRowHeight="30.95" customHeight="1"/>
  <cols>
    <col min="1" max="1" width="6.140625" style="1" customWidth="1"/>
    <col min="2" max="2" width="11.7109375" style="1" customWidth="1"/>
    <col min="3" max="3" width="46.42578125" style="1" customWidth="1"/>
    <col min="4" max="4" width="16.140625" style="2" customWidth="1"/>
    <col min="5" max="5" width="32.7109375" style="1" customWidth="1"/>
    <col min="6" max="6" width="35.28515625" style="1" customWidth="1"/>
    <col min="7" max="7" width="36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1" spans="1:12" ht="20.25" customHeight="1"/>
    <row r="2" spans="1:12" ht="29.2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29.2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26.2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24.7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'4'!E6+1</f>
        <v>46178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161100</v>
      </c>
      <c r="F7" s="12">
        <f>E7+'4'!F7</f>
        <v>812775</v>
      </c>
      <c r="G7" s="13">
        <f>E7+'4'!G7</f>
        <v>10101875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17959</v>
      </c>
      <c r="F8" s="12">
        <f>E8+'4'!F8</f>
        <v>89140</v>
      </c>
      <c r="G8" s="13">
        <f>E8+'4'!G8</f>
        <v>1147624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143141</v>
      </c>
      <c r="F9" s="12">
        <f>E9+'4'!F9</f>
        <v>723635</v>
      </c>
      <c r="G9" s="13">
        <f>E9+'4'!G9</f>
        <v>8954251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11.147734326505276</v>
      </c>
      <c r="F10" s="15">
        <f>F8/F7*100</f>
        <v>10.967364891882747</v>
      </c>
      <c r="G10" s="16">
        <f>G8/G7*100</f>
        <v>11.360504856771639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6.7125000000000004</v>
      </c>
      <c r="F11" s="15">
        <f>F7/F12/1000</f>
        <v>6.7731250000000003</v>
      </c>
      <c r="G11" s="16">
        <f>G7/G12/1000</f>
        <v>6.4480327575862031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E12+'4'!F12</f>
        <v>120</v>
      </c>
      <c r="G12" s="13">
        <f>E12+'4'!G12</f>
        <v>1566.6599999999999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67.125</v>
      </c>
      <c r="F13" s="15">
        <f>F11/10*100</f>
        <v>67.731250000000003</v>
      </c>
      <c r="G13" s="16">
        <f>G11/10*100</f>
        <v>64.480327575862034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745</v>
      </c>
      <c r="F14" s="12">
        <f>E14+'4'!F14</f>
        <v>3782</v>
      </c>
      <c r="G14" s="13">
        <f>E14+'4'!G14</f>
        <v>47470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715</v>
      </c>
      <c r="F15" s="12">
        <f>E15+'4'!F15</f>
        <v>3653</v>
      </c>
      <c r="G15" s="13">
        <f>E15+'4'!G15</f>
        <v>46042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58</v>
      </c>
      <c r="F16" s="70">
        <f>E16+'4'!F16</f>
        <v>257</v>
      </c>
      <c r="G16" s="13">
        <f>E16+'4'!G16</f>
        <v>2702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677</v>
      </c>
      <c r="F17" s="12">
        <f>E17+'4'!F17</f>
        <v>3396</v>
      </c>
      <c r="G17" s="13">
        <f>E17+'4'!G17</f>
        <v>42010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528</v>
      </c>
      <c r="F18" s="12">
        <f>E18+'4'!F18</f>
        <v>2687</v>
      </c>
      <c r="G18" s="13">
        <f>E18+'4'!G18</f>
        <v>33893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E19+'4'!F19</f>
        <v>89</v>
      </c>
      <c r="G19" s="13">
        <f>E19+'4'!G19</f>
        <v>1170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4.2023587833643701</v>
      </c>
      <c r="F20" s="15">
        <f>F17*1000/F7</f>
        <v>4.1782781212512692</v>
      </c>
      <c r="G20" s="16">
        <f>G17*1000/G7</f>
        <v>4.1586339169708593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0.86902545003103659</v>
      </c>
      <c r="F21" s="19">
        <f>F26*1000/F7</f>
        <v>0.88831472424717783</v>
      </c>
      <c r="G21" s="20">
        <f>G26*1000/G7</f>
        <v>0.88043061312875082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2830.794537554314</v>
      </c>
      <c r="F22" s="21">
        <f t="shared" ref="F22:G22" si="0">((F17*(803-130)+F31*(30))*1000)/F7</f>
        <v>2814.6756482421333</v>
      </c>
      <c r="G22" s="21">
        <f t="shared" si="0"/>
        <v>2801.8491616655324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3829.4020277260502</v>
      </c>
      <c r="F23" s="21">
        <f t="shared" ref="F23:G23" si="1">(F15*(803-130))*1000/(F7*0.78)</f>
        <v>3877.928495996227</v>
      </c>
      <c r="G23" s="21">
        <f t="shared" si="1"/>
        <v>3932.5354997247591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E24+'4'!F24</f>
        <v>0</v>
      </c>
      <c r="G24" s="48">
        <f>E24+'4'!G24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140</v>
      </c>
      <c r="F26" s="32">
        <f>E26+'4'!F26</f>
        <v>722</v>
      </c>
      <c r="G26" s="33">
        <f>E26+'4'!G26</f>
        <v>8894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4369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13</v>
      </c>
      <c r="F30" s="32">
        <f>E30+'4'!F30</f>
        <v>72</v>
      </c>
      <c r="G30" s="33">
        <f>E30+'4'!G30</f>
        <v>1027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E31+'4'!F31</f>
        <v>73</v>
      </c>
      <c r="G31" s="13">
        <f>E31+'4'!G31</f>
        <v>1040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35</v>
      </c>
      <c r="F32" s="12">
        <f>E32+'4'!F32</f>
        <v>96</v>
      </c>
      <c r="G32" s="13">
        <f>E32+'4'!G32</f>
        <v>1232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</v>
      </c>
      <c r="F33" s="47">
        <v>1391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30</v>
      </c>
      <c r="F35" s="32">
        <f>E35+'4'!F35</f>
        <v>173</v>
      </c>
      <c r="G35" s="33">
        <f>E35+'4'!G35</f>
        <v>1544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E36+'4'!F36</f>
        <v>4</v>
      </c>
      <c r="G36" s="13">
        <f>E36+'4'!G36</f>
        <v>159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E37+'4'!F37</f>
        <v>0</v>
      </c>
      <c r="G37" s="48">
        <f>E37+'4'!G37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" style="1" customWidth="1"/>
    <col min="7" max="7" width="39.140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'5'!E6+1</f>
        <v>46179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157200</v>
      </c>
      <c r="F7" s="12">
        <f>E7+'5'!F7</f>
        <v>969975</v>
      </c>
      <c r="G7" s="13">
        <f>E7+'5'!G7</f>
        <v>10259075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17838</v>
      </c>
      <c r="F8" s="12">
        <f>E8+'5'!F8</f>
        <v>106978</v>
      </c>
      <c r="G8" s="13">
        <f>E8+'5'!G8</f>
        <v>1165462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139362</v>
      </c>
      <c r="F9" s="12">
        <f>E9+'5'!F9</f>
        <v>862997</v>
      </c>
      <c r="G9" s="13">
        <f>E9+'5'!G9</f>
        <v>9093613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11.347328244274809</v>
      </c>
      <c r="F10" s="15">
        <f>F8/F7*100</f>
        <v>11.028944044949613</v>
      </c>
      <c r="G10" s="16">
        <f>G8/G7*100</f>
        <v>11.360302951289468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6.55</v>
      </c>
      <c r="F11" s="15">
        <f>F7/F12/1000</f>
        <v>6.7359375000000004</v>
      </c>
      <c r="G11" s="16">
        <f>G7/G12/1000</f>
        <v>6.4495712471552693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E12+'5'!F12</f>
        <v>144</v>
      </c>
      <c r="G12" s="13">
        <f>E12+'5'!G12</f>
        <v>1590.6599999999999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65.5</v>
      </c>
      <c r="F13" s="15">
        <f>F11/10*100</f>
        <v>67.359375</v>
      </c>
      <c r="G13" s="16">
        <f>G11/10*100</f>
        <v>64.495712471552693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727</v>
      </c>
      <c r="F14" s="12">
        <f>E14+'5'!F14</f>
        <v>4509</v>
      </c>
      <c r="G14" s="13">
        <f>E14+'5'!G14</f>
        <v>48197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706</v>
      </c>
      <c r="F15" s="12">
        <f>E15+'5'!F15</f>
        <v>4359</v>
      </c>
      <c r="G15" s="13">
        <f>E15+'5'!G15</f>
        <v>46748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52</v>
      </c>
      <c r="F16" s="12">
        <f>E16+'5'!F16</f>
        <v>309</v>
      </c>
      <c r="G16" s="13">
        <f>E16+'5'!G16</f>
        <v>2754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655</v>
      </c>
      <c r="F17" s="12">
        <f>E17+'5'!F17</f>
        <v>4051</v>
      </c>
      <c r="G17" s="13">
        <f>E17+'5'!G17</f>
        <v>42665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515</v>
      </c>
      <c r="F18" s="12">
        <f>E18+'5'!F18</f>
        <v>3202</v>
      </c>
      <c r="G18" s="13">
        <f>E18+'5'!G18</f>
        <v>34408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E19+'5'!F19</f>
        <v>106</v>
      </c>
      <c r="G19" s="13">
        <f>E19+'5'!G19</f>
        <v>1187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4.166666666666667</v>
      </c>
      <c r="F20" s="15">
        <f>F17*1000/F7</f>
        <v>4.1763962988736827</v>
      </c>
      <c r="G20" s="16">
        <f>G17*1000/G7</f>
        <v>4.1587570029461718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0.89058524173027986</v>
      </c>
      <c r="F21" s="19">
        <f>F26*1000/F7</f>
        <v>0.88868269800768063</v>
      </c>
      <c r="G21" s="20">
        <f>G26*1000/G7</f>
        <v>0.88058621269461423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2806.8384223918574</v>
      </c>
      <c r="F22" s="21">
        <f t="shared" ref="F22:G22" si="0">((F17*(803-130)+F31*(30))*1000)/F7</f>
        <v>2813.4055001417564</v>
      </c>
      <c r="G22" s="21">
        <f t="shared" si="0"/>
        <v>2801.9256122018796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3875.0081555425068</v>
      </c>
      <c r="F23" s="21">
        <f t="shared" ref="F23:G23" si="1">(F15*(803-130))*1000/(F7*0.78)</f>
        <v>3877.4552080049643</v>
      </c>
      <c r="G23" s="21">
        <f t="shared" si="1"/>
        <v>3931.6540071432692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/>
      <c r="F24" s="47">
        <f>E24+'5'!F24</f>
        <v>0</v>
      </c>
      <c r="G24" s="48">
        <f>E24+'5'!G24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140</v>
      </c>
      <c r="F26" s="32">
        <f>E26+'5'!F26</f>
        <v>862</v>
      </c>
      <c r="G26" s="33">
        <f>E26+'5'!G26</f>
        <v>9034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4320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15</v>
      </c>
      <c r="F30" s="32">
        <f>E30+'5'!F30</f>
        <v>87</v>
      </c>
      <c r="G30" s="33">
        <f>E30+'5'!G30</f>
        <v>1042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E31+'5'!F31</f>
        <v>87</v>
      </c>
      <c r="G31" s="13">
        <f>E31+'5'!G31</f>
        <v>1054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45</v>
      </c>
      <c r="F32" s="12">
        <f>E32+'5'!F32</f>
        <v>141</v>
      </c>
      <c r="G32" s="13">
        <f>E32+'5'!G32</f>
        <v>1277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7">
        <v>1403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25</v>
      </c>
      <c r="F35" s="32">
        <f>E35+'5'!F35</f>
        <v>198</v>
      </c>
      <c r="G35" s="33">
        <f>E35+'5'!G35</f>
        <v>1569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E36+'5'!F36</f>
        <v>7</v>
      </c>
      <c r="G36" s="13">
        <f>E36+'5'!G36</f>
        <v>162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E37+'5'!F37</f>
        <v>0</v>
      </c>
      <c r="G37" s="48">
        <f>E37+'5'!G37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48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'6'!E6+1</f>
        <v>46180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157900</v>
      </c>
      <c r="F7" s="12">
        <f>E7+'6'!F7</f>
        <v>1127875</v>
      </c>
      <c r="G7" s="13">
        <f>E7+'6'!G7</f>
        <v>10416975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17849</v>
      </c>
      <c r="F8" s="12">
        <f>E8+'6'!F8</f>
        <v>124827</v>
      </c>
      <c r="G8" s="13">
        <f>E8+'6'!G8</f>
        <v>1183311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140051</v>
      </c>
      <c r="F9" s="12">
        <f>E9+'6'!F9</f>
        <v>1003048</v>
      </c>
      <c r="G9" s="13">
        <f>E9+'6'!G9</f>
        <v>9233664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11.303989867004432</v>
      </c>
      <c r="F10" s="15">
        <f>F8/F7*100</f>
        <v>11.067449850382356</v>
      </c>
      <c r="G10" s="16">
        <f>G8/G7*100</f>
        <v>11.359449360298935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6.5791666666666666</v>
      </c>
      <c r="F11" s="15">
        <f>F7/F12/1000</f>
        <v>6.713541666666667</v>
      </c>
      <c r="G11" s="16">
        <f>G7/G12/1000</f>
        <v>6.4514975288915322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E12+'6'!F12</f>
        <v>168</v>
      </c>
      <c r="G12" s="13">
        <f>E12+'6'!G12</f>
        <v>1614.6599999999999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65.791666666666671</v>
      </c>
      <c r="F13" s="15">
        <f>F11/10*100</f>
        <v>67.135416666666671</v>
      </c>
      <c r="G13" s="16">
        <f>G11/10*100</f>
        <v>64.514975288915323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727</v>
      </c>
      <c r="F14" s="12">
        <f>E14+'6'!F14</f>
        <v>5236</v>
      </c>
      <c r="G14" s="13">
        <f>E14+'6'!G14</f>
        <v>48924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700</v>
      </c>
      <c r="F15" s="12">
        <f>E15+'6'!F15</f>
        <v>5059</v>
      </c>
      <c r="G15" s="13">
        <f>E15+'6'!G15</f>
        <v>47448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56</v>
      </c>
      <c r="F16" s="12">
        <f>E16+'6'!F16</f>
        <v>365</v>
      </c>
      <c r="G16" s="13">
        <f>E16+'6'!G16</f>
        <v>2810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661</v>
      </c>
      <c r="F17" s="12">
        <f>E17+'6'!F17</f>
        <v>4712</v>
      </c>
      <c r="G17" s="13">
        <f>E17+'6'!G17</f>
        <v>43326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514</v>
      </c>
      <c r="F18" s="12">
        <f>E18+'6'!F18</f>
        <v>3716</v>
      </c>
      <c r="G18" s="13">
        <f>E18+'6'!G18</f>
        <v>34922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E19+'6'!F19</f>
        <v>124</v>
      </c>
      <c r="G19" s="13">
        <f>E19+'6'!G19</f>
        <v>1205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4.1861937935402151</v>
      </c>
      <c r="F20" s="15">
        <f>F17*1000/F7</f>
        <v>4.1777679264102847</v>
      </c>
      <c r="G20" s="16">
        <f>G17*1000/G7</f>
        <v>4.1591728884825008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0.87397086763774545</v>
      </c>
      <c r="F21" s="19">
        <f>F26*1000/F7</f>
        <v>0.88662307436551036</v>
      </c>
      <c r="G21" s="20">
        <f>G26*1000/G7</f>
        <v>0.88048593761624661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2820.1583280557315</v>
      </c>
      <c r="F22" s="21">
        <f t="shared" ref="F22:G22" si="0">((F17*(803-130)+F31*(30))*1000)/F7</f>
        <v>2814.3508810816802</v>
      </c>
      <c r="G22" s="21">
        <f t="shared" si="0"/>
        <v>2802.2019828213083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3825.043438722983</v>
      </c>
      <c r="F23" s="21">
        <f t="shared" ref="F23:G23" si="1">(F15*(803-130))*1000/(F7*0.78)</f>
        <v>3870.1176764791971</v>
      </c>
      <c r="G23" s="21">
        <f t="shared" si="1"/>
        <v>3930.038009336462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E24+'6'!F24</f>
        <v>0</v>
      </c>
      <c r="G24" s="48">
        <f>E24+'6'!G24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E26+'6'!F26</f>
        <v>1000</v>
      </c>
      <c r="G26" s="33">
        <f>E26+'6'!G26</f>
        <v>9172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4342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/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14</v>
      </c>
      <c r="F30" s="32">
        <f>E30+'6'!F30</f>
        <v>101</v>
      </c>
      <c r="G30" s="33">
        <f>E30+'6'!G30</f>
        <v>1056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E31+'6'!F31</f>
        <v>102</v>
      </c>
      <c r="G31" s="13">
        <f>E31+'6'!G31</f>
        <v>1069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E32+'6'!F32</f>
        <v>159</v>
      </c>
      <c r="G32" s="13">
        <f>E32+'6'!G32</f>
        <v>1295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18.850000000000001</v>
      </c>
      <c r="F33" s="46">
        <v>1392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79">
        <v>30</v>
      </c>
      <c r="F35" s="80">
        <f>E35+'6'!F35</f>
        <v>228</v>
      </c>
      <c r="G35" s="81">
        <f>E35+'6'!G35</f>
        <v>1599</v>
      </c>
    </row>
    <row r="36" spans="2:7" ht="30.95" customHeight="1">
      <c r="B36" s="52">
        <v>6</v>
      </c>
      <c r="C36" s="53" t="s">
        <v>47</v>
      </c>
      <c r="D36" s="54" t="s">
        <v>43</v>
      </c>
      <c r="E36" s="82">
        <v>2</v>
      </c>
      <c r="F36" s="83">
        <f>E36+'6'!F36</f>
        <v>9</v>
      </c>
      <c r="G36" s="84">
        <f>E36+'6'!G36</f>
        <v>164</v>
      </c>
    </row>
    <row r="37" spans="2:7" ht="30.95" customHeight="1">
      <c r="B37" s="44">
        <v>7</v>
      </c>
      <c r="C37" s="56" t="s">
        <v>44</v>
      </c>
      <c r="D37" s="57" t="s">
        <v>43</v>
      </c>
      <c r="E37" s="85">
        <v>0</v>
      </c>
      <c r="F37" s="86">
        <f>E37+'6'!F37</f>
        <v>0</v>
      </c>
      <c r="G37" s="87">
        <f>E37+'6'!G37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'7'!E6+1</f>
        <v>46181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155600</v>
      </c>
      <c r="F7" s="12">
        <f>E7+'7'!F7</f>
        <v>1283475</v>
      </c>
      <c r="G7" s="13">
        <f>E7+'7'!G7</f>
        <v>10572575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17873</v>
      </c>
      <c r="F8" s="12">
        <f>E8+'7'!F8</f>
        <v>142700</v>
      </c>
      <c r="G8" s="13">
        <f>E8+'7'!G8</f>
        <v>1201184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137727</v>
      </c>
      <c r="F9" s="12">
        <f>E9+'7'!F9</f>
        <v>1140775</v>
      </c>
      <c r="G9" s="13">
        <f>E9+'7'!G9</f>
        <v>9371391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11.486503856041132</v>
      </c>
      <c r="F10" s="15">
        <f>F8/F7*100</f>
        <v>11.118253179843784</v>
      </c>
      <c r="G10" s="16">
        <f>G8/G7*100</f>
        <v>11.361319262336753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6.4833333333333334</v>
      </c>
      <c r="F11" s="15">
        <f>F7/F12/1000</f>
        <v>6.6847656249999998</v>
      </c>
      <c r="G11" s="16">
        <f>G7/G12/1000</f>
        <v>6.4519637996899908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E12+'7'!F12</f>
        <v>192</v>
      </c>
      <c r="G12" s="13">
        <f>E12+'7'!G12</f>
        <v>1638.6599999999999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64.833333333333329</v>
      </c>
      <c r="F13" s="15">
        <f>F11/10*100</f>
        <v>66.84765625</v>
      </c>
      <c r="G13" s="16">
        <f>G11/10*100</f>
        <v>64.519637996899903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717</v>
      </c>
      <c r="F14" s="12">
        <f>E14+'7'!F14</f>
        <v>5953</v>
      </c>
      <c r="G14" s="13">
        <f>E14+'7'!G14</f>
        <v>49641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692</v>
      </c>
      <c r="F15" s="12">
        <f>E15+'7'!F15</f>
        <v>5751</v>
      </c>
      <c r="G15" s="13">
        <f>E15+'7'!G15</f>
        <v>48140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54</v>
      </c>
      <c r="F16" s="12">
        <f>E16+'7'!F16</f>
        <v>419</v>
      </c>
      <c r="G16" s="13">
        <f>E16+'7'!G16</f>
        <v>2864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648</v>
      </c>
      <c r="F17" s="12">
        <f>E17+'7'!F17</f>
        <v>5360</v>
      </c>
      <c r="G17" s="13">
        <f>E17+'7'!G17</f>
        <v>43974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507</v>
      </c>
      <c r="F18" s="12">
        <f>E18+'7'!F18</f>
        <v>4223</v>
      </c>
      <c r="G18" s="13">
        <f>E18+'7'!G18</f>
        <v>35429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E19+'7'!F19</f>
        <v>142</v>
      </c>
      <c r="G19" s="13">
        <f>E19+'7'!G19</f>
        <v>1223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4.1645244215938302</v>
      </c>
      <c r="F20" s="15">
        <f>F17*1000/F7</f>
        <v>4.1761623716862424</v>
      </c>
      <c r="G20" s="16">
        <f>G17*1000/G7</f>
        <v>4.1592516487232301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0.88046272493573263</v>
      </c>
      <c r="F21" s="19">
        <f>F26*1000/F7</f>
        <v>0.88587623444165253</v>
      </c>
      <c r="G21" s="20">
        <f>G26*1000/G7</f>
        <v>0.88048559598773246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2805.4241645244215</v>
      </c>
      <c r="F22" s="21">
        <f t="shared" ref="F22:G22" si="0">((F17*(803-130)+F31*(30))*1000)/F7</f>
        <v>2813.2686651473537</v>
      </c>
      <c r="G22" s="21">
        <f t="shared" si="0"/>
        <v>2802.2494047098271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3837.2223320809439</v>
      </c>
      <c r="F23" s="21">
        <f t="shared" ref="F23:G23" si="1">(F15*(803-130))*1000/(F7*0.78)</f>
        <v>3866.1296630092284</v>
      </c>
      <c r="G23" s="21">
        <f t="shared" si="1"/>
        <v>3928.6720110455103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E24+'7'!F24</f>
        <v>0</v>
      </c>
      <c r="G24" s="48">
        <f>E24+'7'!G24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137</v>
      </c>
      <c r="F26" s="32">
        <f>E26+'7'!F26</f>
        <v>1137</v>
      </c>
      <c r="G26" s="33">
        <f>E26+'7'!G26</f>
        <v>9309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4350</v>
      </c>
      <c r="F27" s="36"/>
      <c r="G27" s="37"/>
    </row>
    <row r="28" spans="2:8" ht="30.95" customHeight="1">
      <c r="B28" s="38"/>
      <c r="C28" s="23"/>
      <c r="D28" s="39"/>
      <c r="E28" s="95"/>
      <c r="F28" s="95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15</v>
      </c>
      <c r="F30" s="32">
        <f>E30+'7'!F30</f>
        <v>116</v>
      </c>
      <c r="G30" s="33">
        <f>E30+'7'!G30</f>
        <v>1071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E31+'7'!F31</f>
        <v>116</v>
      </c>
      <c r="G31" s="13">
        <f>E31+'7'!G31</f>
        <v>1083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f>E32+'7'!F32</f>
        <v>176</v>
      </c>
      <c r="G32" s="13">
        <f>E32+'7'!G32</f>
        <v>1312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19.38</v>
      </c>
      <c r="F33" s="46">
        <v>1389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10</v>
      </c>
      <c r="F35" s="32">
        <f>E35+'7'!F35</f>
        <v>238</v>
      </c>
      <c r="G35" s="33">
        <f>E35+'7'!G35</f>
        <v>1609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E36+'7'!F36</f>
        <v>13</v>
      </c>
      <c r="G36" s="13">
        <f>E36+'7'!G36</f>
        <v>168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E37+'7'!F37</f>
        <v>0</v>
      </c>
      <c r="G37" s="48">
        <f>E37+'7'!G37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40"/>
  <sheetViews>
    <sheetView zoomScale="85" zoomScaleNormal="85" workbookViewId="0">
      <pane xSplit="4" ySplit="6" topLeftCell="E7" activePane="bottomRight" state="frozen"/>
      <selection pane="topRight"/>
      <selection pane="bottomLeft"/>
      <selection pane="bottomRight" activeCell="I5" sqref="I5"/>
    </sheetView>
  </sheetViews>
  <sheetFormatPr defaultColWidth="9.140625" defaultRowHeight="30.95" customHeight="1"/>
  <cols>
    <col min="1" max="1" width="6.28515625" style="1" customWidth="1"/>
    <col min="2" max="2" width="10.140625" style="1" customWidth="1"/>
    <col min="3" max="3" width="29.42578125" style="1" customWidth="1"/>
    <col min="4" max="4" width="14.5703125" style="2" customWidth="1"/>
    <col min="5" max="5" width="34.5703125" style="1" customWidth="1"/>
    <col min="6" max="6" width="37.28515625" style="1" customWidth="1"/>
    <col min="7" max="7" width="38.28515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'8'!E6+1</f>
        <v>46182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160200</v>
      </c>
      <c r="F7" s="12">
        <f>E7+'8'!F7</f>
        <v>1443675</v>
      </c>
      <c r="G7" s="13">
        <f>E7+'8'!G7</f>
        <v>10732775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17769</v>
      </c>
      <c r="F8" s="12">
        <f>E8+'8'!F8</f>
        <v>160469</v>
      </c>
      <c r="G8" s="13">
        <f>E8+'8'!G8</f>
        <v>1218953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142431</v>
      </c>
      <c r="F9" s="12">
        <f>E9+'8'!F9</f>
        <v>1283206</v>
      </c>
      <c r="G9" s="13">
        <f>E9+'8'!G9</f>
        <v>9513822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11.091760299625468</v>
      </c>
      <c r="F10" s="15">
        <f>F8/F7*100</f>
        <v>11.115313349611235</v>
      </c>
      <c r="G10" s="16">
        <f>G8/G7*100</f>
        <v>11.357295759950246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6.6749999999999998</v>
      </c>
      <c r="F11" s="15">
        <f>F7/F12/1000</f>
        <v>6.6836805555555561</v>
      </c>
      <c r="G11" s="16">
        <f>G7/G12/1000</f>
        <v>6.4551832605583828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E12+'8'!F12</f>
        <v>216</v>
      </c>
      <c r="G12" s="13">
        <f>E12+'8'!G12</f>
        <v>1662.6599999999999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66.75</v>
      </c>
      <c r="F13" s="15">
        <f>F11/10*100</f>
        <v>66.836805555555557</v>
      </c>
      <c r="G13" s="16">
        <f>G11/10*100</f>
        <v>64.551832605583826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740</v>
      </c>
      <c r="F14" s="12">
        <f>E14+'8'!F14</f>
        <v>6693</v>
      </c>
      <c r="G14" s="13">
        <f>E14+'8'!G14</f>
        <v>50381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712</v>
      </c>
      <c r="F15" s="12">
        <f>E15+'8'!F15</f>
        <v>6463</v>
      </c>
      <c r="G15" s="13">
        <f>E15+'8'!G15</f>
        <v>48852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12">
        <f>E16+'8'!F16</f>
        <v>476</v>
      </c>
      <c r="G16" s="13">
        <f>E16+'8'!G16</f>
        <v>2921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670</v>
      </c>
      <c r="F17" s="12">
        <f>E17+'8'!F17</f>
        <v>6030</v>
      </c>
      <c r="G17" s="13">
        <f>E17+'8'!G17</f>
        <v>44644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523</v>
      </c>
      <c r="F18" s="12">
        <f>E18+'8'!F18</f>
        <v>4746</v>
      </c>
      <c r="G18" s="13">
        <f>E18+'8'!G18</f>
        <v>35952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E19+'8'!F19</f>
        <v>160</v>
      </c>
      <c r="G19" s="13">
        <f>E19+'8'!G19</f>
        <v>1241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4.1822721598002497</v>
      </c>
      <c r="F20" s="15">
        <f>F17*1000/F7</f>
        <v>4.1768403553431348</v>
      </c>
      <c r="G20" s="16">
        <f>G17*1000/G7</f>
        <v>4.159595258449003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0.81148564294631709</v>
      </c>
      <c r="F21" s="19">
        <f>F26*1000/F7</f>
        <v>0.87762134829514948</v>
      </c>
      <c r="G21" s="20">
        <f>G26*1000/G7</f>
        <v>0.87945568597124224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2818.0399500624221</v>
      </c>
      <c r="F22" s="21">
        <f t="shared" ref="F22:G22" si="0">((F17*(803-130)+F31*(30))*1000)/F7</f>
        <v>2813.798119382825</v>
      </c>
      <c r="G22" s="78">
        <f t="shared" si="0"/>
        <v>2802.4850982155126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3834.7578347578346</v>
      </c>
      <c r="F23" s="21">
        <f t="shared" ref="F23:G23" si="1">(F15*(803-130))*1000/(F7*0.78)</f>
        <v>3862.6484315091516</v>
      </c>
      <c r="G23" s="21">
        <f t="shared" si="1"/>
        <v>3927.2702252965978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E24+'8'!F24</f>
        <v>0</v>
      </c>
      <c r="G24" s="48">
        <f>E24+'8'!G24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130</v>
      </c>
      <c r="F26" s="32">
        <f>E26+'8'!F26</f>
        <v>1267</v>
      </c>
      <c r="G26" s="33">
        <f>E26+'8'!G26</f>
        <v>9439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4693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14</v>
      </c>
      <c r="F30" s="32">
        <f>E30+'8'!F30</f>
        <v>130</v>
      </c>
      <c r="G30" s="33">
        <f>E30+'8'!G30</f>
        <v>1085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18</v>
      </c>
      <c r="F31" s="12">
        <f>E31+'8'!F31</f>
        <v>134</v>
      </c>
      <c r="G31" s="13">
        <f>E31+'8'!G31</f>
        <v>1101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E32+'8'!F32</f>
        <v>194</v>
      </c>
      <c r="G32" s="13">
        <f>E32+'8'!G32</f>
        <v>1330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21</v>
      </c>
      <c r="F33" s="46">
        <v>1439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E35+'8'!F35</f>
        <v>238</v>
      </c>
      <c r="G35" s="33">
        <f>E35+'8'!G35</f>
        <v>1609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E36+'8'!F36</f>
        <v>18</v>
      </c>
      <c r="G36" s="13">
        <f>E36+'8'!G36</f>
        <v>173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E37+'8'!F37</f>
        <v>0</v>
      </c>
      <c r="G37" s="48">
        <f>E37+'8'!G37</f>
        <v>0</v>
      </c>
    </row>
    <row r="38" spans="2:7" ht="30.95" customHeight="1">
      <c r="D38" s="1"/>
      <c r="G38" s="1" t="s">
        <v>49</v>
      </c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45" top="0.75" bottom="0.75" header="0.3" footer="0.3"/>
  <pageSetup scale="4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L40"/>
  <sheetViews>
    <sheetView topLeftCell="C1" zoomScale="85" zoomScaleNormal="85" workbookViewId="0">
      <pane xSplit="2" ySplit="6" topLeftCell="E7" activePane="bottomRight" state="frozen"/>
      <selection pane="topRight"/>
      <selection pane="bottomLeft"/>
      <selection pane="bottomRight" activeCell="F24" sqref="F24"/>
    </sheetView>
  </sheetViews>
  <sheetFormatPr defaultColWidth="9.140625" defaultRowHeight="30.95" customHeight="1"/>
  <cols>
    <col min="1" max="1" width="6.7109375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6" width="38.7109375" style="1" customWidth="1"/>
    <col min="7" max="7" width="38.855468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'9'!E6+1</f>
        <v>46183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163000</v>
      </c>
      <c r="F7" s="36">
        <f>E7+'9'!F7</f>
        <v>1606675</v>
      </c>
      <c r="G7" s="13">
        <f>E7+'9'!G7</f>
        <v>10895775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17865</v>
      </c>
      <c r="F8" s="12">
        <f>E8+'9'!F8</f>
        <v>178334</v>
      </c>
      <c r="G8" s="13">
        <f>E8+'9'!G8</f>
        <v>1236818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145135</v>
      </c>
      <c r="F9" s="12">
        <f>E9+'9'!F9</f>
        <v>1428341</v>
      </c>
      <c r="G9" s="13">
        <f>E9+'9'!G9</f>
        <v>9658957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10.960122699386503</v>
      </c>
      <c r="F10" s="15">
        <f>F8/F7*100</f>
        <v>11.099568985638042</v>
      </c>
      <c r="G10" s="16">
        <f>G8/G7*100</f>
        <v>11.35135407990712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6.791666666666667</v>
      </c>
      <c r="F11" s="15">
        <f>F7/F12/1000</f>
        <v>6.6944791666666665</v>
      </c>
      <c r="G11" s="16">
        <f>G7/G12/1000</f>
        <v>6.4599711856568609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E12+'9'!F12</f>
        <v>240</v>
      </c>
      <c r="G12" s="13">
        <f>E12+'9'!G12</f>
        <v>1686.6599999999999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67.916666666666671</v>
      </c>
      <c r="F13" s="15">
        <f>F11/10*100</f>
        <v>66.944791666666674</v>
      </c>
      <c r="G13" s="16">
        <f>G11/10*100</f>
        <v>64.599711856568604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748</v>
      </c>
      <c r="F14" s="12">
        <f>E14+'9'!F14</f>
        <v>7441</v>
      </c>
      <c r="G14" s="13">
        <f>E14+'9'!G14</f>
        <v>51129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729</v>
      </c>
      <c r="F15" s="12">
        <f>E15+'9'!F15</f>
        <v>7192</v>
      </c>
      <c r="G15" s="13">
        <f>E15+'9'!G15</f>
        <v>49581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58</v>
      </c>
      <c r="F16" s="70">
        <f>E16+'9'!F16</f>
        <v>534</v>
      </c>
      <c r="G16" s="13">
        <f>E16+'9'!G16</f>
        <v>2979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679</v>
      </c>
      <c r="F17" s="12">
        <f>E17+'9'!F17</f>
        <v>6709</v>
      </c>
      <c r="G17" s="13">
        <f>E17+'9'!G17</f>
        <v>45323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530</v>
      </c>
      <c r="F18" s="12">
        <f>E18+'9'!F18</f>
        <v>5276</v>
      </c>
      <c r="G18" s="13">
        <f>E18+'9'!G18</f>
        <v>36482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E19+'9'!F19</f>
        <v>177</v>
      </c>
      <c r="G19" s="13">
        <f>E19+'9'!G19</f>
        <v>1258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4.1656441717791415</v>
      </c>
      <c r="F20" s="15">
        <f>F17*1000/F7</f>
        <v>4.1757044828605663</v>
      </c>
      <c r="G20" s="16">
        <f>G17*1000/G7</f>
        <v>4.159685749751624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0.80368098159509205</v>
      </c>
      <c r="F21" s="19">
        <f>F26*1000/F7</f>
        <v>0.8701199682574261</v>
      </c>
      <c r="G21" s="20">
        <f>G26*1000/G7</f>
        <v>0.87832210191565074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2805.8711656441719</v>
      </c>
      <c r="F22" s="21">
        <f t="shared" ref="F22:G22" si="0">((F17*(803-130)+F31*(30))*1000)/F7</f>
        <v>2812.9939160066597</v>
      </c>
      <c r="G22" s="78">
        <f t="shared" si="0"/>
        <v>2802.5357535374951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3858.8721094856064</v>
      </c>
      <c r="F23" s="21">
        <f t="shared" ref="F23:G23" si="1">(F15*(803-130))*1000/(F7*0.78)</f>
        <v>3862.2653170088088</v>
      </c>
      <c r="G23" s="21">
        <f t="shared" si="1"/>
        <v>3926.2469944683921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E24+'9'!F24</f>
        <v>0</v>
      </c>
      <c r="G24" s="48">
        <f>E24+'9'!G24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131</v>
      </c>
      <c r="F26" s="32">
        <f>E26+'9'!F26</f>
        <v>1398</v>
      </c>
      <c r="G26" s="33">
        <f>E26+'9'!G26</f>
        <v>9570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4798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11</v>
      </c>
      <c r="F30" s="32">
        <f>E30+'9'!F30</f>
        <v>141</v>
      </c>
      <c r="G30" s="33">
        <f>E30+'9'!G30</f>
        <v>1096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E31+'9'!F31</f>
        <v>147</v>
      </c>
      <c r="G31" s="13">
        <f>E31+'9'!G31</f>
        <v>1114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E32+'9'!F32</f>
        <v>212</v>
      </c>
      <c r="G32" s="13">
        <f>E32+'9'!G32</f>
        <v>1348</v>
      </c>
    </row>
    <row r="33" spans="2:7" ht="30.95" customHeight="1">
      <c r="B33" s="44">
        <v>4</v>
      </c>
      <c r="C33" s="23" t="s">
        <v>40</v>
      </c>
      <c r="D33" s="45" t="s">
        <v>41</v>
      </c>
      <c r="E33" s="35">
        <v>20</v>
      </c>
      <c r="F33" s="35">
        <v>1426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E35+'9'!F35</f>
        <v>238</v>
      </c>
      <c r="G35" s="33">
        <f>E35+'9'!G35</f>
        <v>1609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E36+'9'!F36</f>
        <v>22</v>
      </c>
      <c r="G36" s="13">
        <f>E36+'9'!G36</f>
        <v>177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E37+'9'!F37</f>
        <v>0</v>
      </c>
      <c r="G37" s="48">
        <f>E37+'9'!G37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45" right="0.45" top="0.75" bottom="0.75" header="0.3" footer="0.3"/>
  <pageSetup scale="5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B34" sqref="B34:G34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'10'!E6+1</f>
        <v>46184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156800</v>
      </c>
      <c r="F7" s="12">
        <f>E7+'10'!F7</f>
        <v>1763475</v>
      </c>
      <c r="G7" s="13">
        <f>E7+'10'!G7</f>
        <v>11052575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17906</v>
      </c>
      <c r="F8" s="12">
        <f>E8+'10'!F8</f>
        <v>196240</v>
      </c>
      <c r="G8" s="13">
        <f>E8+'10'!G8</f>
        <v>1254724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138894</v>
      </c>
      <c r="F9" s="12">
        <f>E9+'10'!F9</f>
        <v>1567235</v>
      </c>
      <c r="G9" s="13">
        <f>E9+'10'!G9</f>
        <v>9797851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11.419642857142858</v>
      </c>
      <c r="F10" s="15">
        <f>F8/F7*100</f>
        <v>11.128028466522066</v>
      </c>
      <c r="G10" s="16">
        <f>G8/G7*100</f>
        <v>11.352322874986145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6.5333333333333332</v>
      </c>
      <c r="F11" s="15">
        <f>F7/F12/1000</f>
        <v>6.6798295454545453</v>
      </c>
      <c r="G11" s="16">
        <f>G7/G12/1000</f>
        <v>6.4610004325815771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E12+'10'!F12</f>
        <v>264</v>
      </c>
      <c r="G12" s="13">
        <f>E12+'10'!G12</f>
        <v>1710.6599999999999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65.333333333333329</v>
      </c>
      <c r="F13" s="15">
        <f>F11/10*100</f>
        <v>66.798295454545453</v>
      </c>
      <c r="G13" s="16">
        <f>G11/10*100</f>
        <v>64.61000432581578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739</v>
      </c>
      <c r="F14" s="12">
        <f>E14+'10'!F14</f>
        <v>8180</v>
      </c>
      <c r="G14" s="13">
        <f>E14+'10'!G14</f>
        <v>51868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704</v>
      </c>
      <c r="F15" s="12">
        <f>E15+'10'!F15</f>
        <v>7896</v>
      </c>
      <c r="G15" s="13">
        <f>E15+'10'!G15</f>
        <v>50285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52</v>
      </c>
      <c r="F16" s="70">
        <f>E16+'10'!F16</f>
        <v>586</v>
      </c>
      <c r="G16" s="13">
        <f>E16+'10'!G16</f>
        <v>3031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658</v>
      </c>
      <c r="F17" s="12">
        <f>E17+'10'!F17</f>
        <v>7367</v>
      </c>
      <c r="G17" s="13">
        <f>E17+'10'!G17</f>
        <v>45981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523</v>
      </c>
      <c r="F18" s="12">
        <f>E18+'10'!F18</f>
        <v>5799</v>
      </c>
      <c r="G18" s="13">
        <f>E18+'10'!G18</f>
        <v>37005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E19+'10'!F19</f>
        <v>195</v>
      </c>
      <c r="G19" s="13">
        <f>E19+'10'!G19</f>
        <v>1276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4.1964285714285712</v>
      </c>
      <c r="F20" s="15">
        <f>F17*1000/F7</f>
        <v>4.1775471724861424</v>
      </c>
      <c r="G20" s="16">
        <f>G17*1000/G7</f>
        <v>4.1602070105835063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0.87372448979591832</v>
      </c>
      <c r="F21" s="19">
        <f>F26*1000/F7</f>
        <v>0.87044046555806009</v>
      </c>
      <c r="G21" s="20">
        <f>G26*1000/G7</f>
        <v>0.87825687679115505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2827.2576530612246</v>
      </c>
      <c r="F22" s="21">
        <f t="shared" ref="F22:G22" si="0">((F17*(803-130)+F31*(30))*1000)/F7</f>
        <v>2814.2621812047237</v>
      </c>
      <c r="G22" s="21">
        <f t="shared" si="0"/>
        <v>2802.8864766807733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3873.8880167451598</v>
      </c>
      <c r="F23" s="21">
        <f t="shared" ref="F23:G23" si="1">(F15*(803-130))*1000/(F7*0.78)</f>
        <v>3863.2987534446302</v>
      </c>
      <c r="G23" s="21">
        <f t="shared" si="1"/>
        <v>3925.5041913019804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E24+'10'!F24</f>
        <v>0</v>
      </c>
      <c r="G24" s="48">
        <f>E24+'10'!G24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137</v>
      </c>
      <c r="F26" s="32">
        <f>E26+'10'!F26</f>
        <v>1535</v>
      </c>
      <c r="G26" s="33">
        <f>E26+'10'!G26</f>
        <v>9707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4411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8" t="s">
        <v>34</v>
      </c>
      <c r="C29" s="109"/>
      <c r="D29" s="109"/>
      <c r="E29" s="109"/>
      <c r="F29" s="109"/>
      <c r="G29" s="110"/>
    </row>
    <row r="30" spans="2:8" ht="30.95" customHeight="1">
      <c r="B30" s="74">
        <v>1</v>
      </c>
      <c r="C30" s="75" t="s">
        <v>35</v>
      </c>
      <c r="D30" s="76" t="s">
        <v>38</v>
      </c>
      <c r="E30" s="71">
        <v>17</v>
      </c>
      <c r="F30" s="71">
        <f>E30+'10'!F30</f>
        <v>158</v>
      </c>
      <c r="G30" s="72">
        <f>E30+'10'!G30</f>
        <v>1113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16</v>
      </c>
      <c r="F31" s="12">
        <f>E31+'10'!F31</f>
        <v>163</v>
      </c>
      <c r="G31" s="13">
        <f>E31+'10'!G31</f>
        <v>1130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20</v>
      </c>
      <c r="F32" s="12">
        <f>E32+'10'!F32</f>
        <v>232</v>
      </c>
      <c r="G32" s="13">
        <f>E32+'10'!G32</f>
        <v>1368</v>
      </c>
    </row>
    <row r="33" spans="2:7" ht="30.95" customHeight="1">
      <c r="B33" s="44">
        <v>4</v>
      </c>
      <c r="C33" s="23" t="s">
        <v>40</v>
      </c>
      <c r="D33" s="45" t="s">
        <v>41</v>
      </c>
      <c r="E33" s="35">
        <v>19</v>
      </c>
      <c r="F33" s="35">
        <v>1420</v>
      </c>
      <c r="G33" s="73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E35+'10'!F35</f>
        <v>238</v>
      </c>
      <c r="G35" s="33">
        <f>E35+'10'!G35</f>
        <v>1609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E36+'10'!F36</f>
        <v>27</v>
      </c>
      <c r="G36" s="13">
        <f>E36+'10'!G36</f>
        <v>182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E37+'10'!F37</f>
        <v>0</v>
      </c>
      <c r="G37" s="48">
        <f>E37+'10'!G37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L40"/>
  <sheetViews>
    <sheetView topLeftCell="C1" zoomScale="80" zoomScaleNormal="80" workbookViewId="0">
      <pane xSplit="2" ySplit="6" topLeftCell="E16" activePane="bottomRight" state="frozen"/>
      <selection pane="topRight"/>
      <selection pane="bottomLeft"/>
      <selection pane="bottomRight" activeCell="E16" sqref="E1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'11'!E6+1</f>
        <v>46185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158600</v>
      </c>
      <c r="F7" s="12">
        <f>E7+'11'!F7</f>
        <v>1922075</v>
      </c>
      <c r="G7" s="13">
        <f>E7+'11'!G7</f>
        <v>11211175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17938</v>
      </c>
      <c r="F8" s="12">
        <f>E8+'11'!F8</f>
        <v>214178</v>
      </c>
      <c r="G8" s="13">
        <f>E8+'11'!G8</f>
        <v>1272662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140662</v>
      </c>
      <c r="F9" s="12">
        <f>E9+'11'!F9</f>
        <v>1707897</v>
      </c>
      <c r="G9" s="13">
        <f>E9+'11'!G9</f>
        <v>9938513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11.310214375788147</v>
      </c>
      <c r="F10" s="15">
        <f>F8/F7*100</f>
        <v>11.143061535059767</v>
      </c>
      <c r="G10" s="16">
        <f>G8/G7*100</f>
        <v>11.351727182922398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6.6083333333333334</v>
      </c>
      <c r="F11" s="15">
        <f>F7/F12/1000</f>
        <v>6.6738715277777771</v>
      </c>
      <c r="G11" s="16">
        <f>G7/G12/1000</f>
        <v>6.4630388664060971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E12+'11'!F12</f>
        <v>288</v>
      </c>
      <c r="G12" s="13">
        <f>E12+'11'!G12</f>
        <v>1734.6599999999999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66.083333333333343</v>
      </c>
      <c r="F13" s="15">
        <f>F11/10*100</f>
        <v>66.738715277777771</v>
      </c>
      <c r="G13" s="16">
        <f>G11/10*100</f>
        <v>64.630388664060973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733</v>
      </c>
      <c r="F14" s="12">
        <f>E14+'11'!F14</f>
        <v>8913</v>
      </c>
      <c r="G14" s="13">
        <f>E14+'11'!G14</f>
        <v>52601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710</v>
      </c>
      <c r="F15" s="12">
        <f>E15+'11'!F15</f>
        <v>8606</v>
      </c>
      <c r="G15" s="13">
        <f>E15+'11'!G15</f>
        <v>50995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54</v>
      </c>
      <c r="F16" s="70">
        <f>E16+'11'!F16</f>
        <v>640</v>
      </c>
      <c r="G16" s="13">
        <f>E16+'11'!G16</f>
        <v>3085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664</v>
      </c>
      <c r="F17" s="12">
        <f>E17+'11'!F17</f>
        <v>8031</v>
      </c>
      <c r="G17" s="13">
        <f>E17+'11'!G17</f>
        <v>46645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520</v>
      </c>
      <c r="F18" s="12">
        <f>E18+'11'!F18</f>
        <v>6319</v>
      </c>
      <c r="G18" s="13">
        <f>E18+'11'!G18</f>
        <v>37525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E19+'11'!F19</f>
        <v>213</v>
      </c>
      <c r="G19" s="13">
        <f>E19+'11'!G19</f>
        <v>1294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4.1866330390920554</v>
      </c>
      <c r="F20" s="15">
        <f>F17*1000/F7</f>
        <v>4.1782968926810868</v>
      </c>
      <c r="G20" s="16">
        <f>G17*1000/G7</f>
        <v>4.160580849018948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0.86380832282471631</v>
      </c>
      <c r="F21" s="19">
        <f>F26*1000/F7</f>
        <v>0.86989321436468403</v>
      </c>
      <c r="G21" s="20">
        <f>G26*1000/G7</f>
        <v>0.87805247888825211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2821.0088272383355</v>
      </c>
      <c r="F22" s="21">
        <f t="shared" ref="F22:G22" si="0">((F17*(803-130)+F31*(30))*1000)/F7</f>
        <v>2814.8188806368116</v>
      </c>
      <c r="G22" s="21">
        <f t="shared" si="0"/>
        <v>2803.1428463118273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3862.5634558799752</v>
      </c>
      <c r="F23" s="21">
        <f t="shared" ref="F23:G23" si="1">(F15*(803-130))*1000/(F7*0.78)</f>
        <v>3863.2380803732076</v>
      </c>
      <c r="G23" s="21">
        <f t="shared" si="1"/>
        <v>3924.613793940604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E24+'11'!F24</f>
        <v>0</v>
      </c>
      <c r="G24" s="48">
        <f>E24+'11'!G24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137</v>
      </c>
      <c r="F26" s="32">
        <f>E26+'11'!F26</f>
        <v>1672</v>
      </c>
      <c r="G26" s="33">
        <f>E26+'11'!G26</f>
        <v>9844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4450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17</v>
      </c>
      <c r="F30" s="32">
        <f>E30+'11'!F30</f>
        <v>175</v>
      </c>
      <c r="G30" s="33">
        <f>E30+'11'!G30</f>
        <v>1130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18</v>
      </c>
      <c r="F31" s="12">
        <f>E31+'11'!F31</f>
        <v>181</v>
      </c>
      <c r="G31" s="13">
        <f>E31+'11'!G31</f>
        <v>1148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E32+'11'!F32</f>
        <v>250</v>
      </c>
      <c r="G32" s="13">
        <f>E32+'11'!G32</f>
        <v>1386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20</v>
      </c>
      <c r="F33" s="46">
        <v>1449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E35+'11'!F35</f>
        <v>238</v>
      </c>
      <c r="G35" s="33">
        <f>E35+'11'!G35</f>
        <v>1609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E36+'11'!F36</f>
        <v>32</v>
      </c>
      <c r="G36" s="13">
        <f>E36+'11'!G36</f>
        <v>187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E37+'11'!F37</f>
        <v>0</v>
      </c>
      <c r="G37" s="48">
        <f>E37+'11'!G37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L40"/>
  <sheetViews>
    <sheetView topLeftCell="C1" zoomScale="85" zoomScaleNormal="85" workbookViewId="0">
      <pane xSplit="2" ySplit="6" topLeftCell="E34" activePane="bottomRight" state="frozen"/>
      <selection pane="topRight"/>
      <selection pane="bottomLeft"/>
      <selection pane="bottomRight" activeCell="F38" sqref="F3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'12'!E6+1</f>
        <v>46186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144100</v>
      </c>
      <c r="F7" s="12">
        <f>E7+'12'!F7</f>
        <v>2066175</v>
      </c>
      <c r="G7" s="13">
        <f>E7+'12'!G7</f>
        <v>11355275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17641</v>
      </c>
      <c r="F8" s="12">
        <f>E8+'12'!F8</f>
        <v>231819</v>
      </c>
      <c r="G8" s="13">
        <f>E8+'12'!G8</f>
        <v>1290303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126459</v>
      </c>
      <c r="F9" s="12">
        <f>E9+'12'!F9</f>
        <v>1834356</v>
      </c>
      <c r="G9" s="13">
        <f>E9+'12'!G9</f>
        <v>10064972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12.242192921582234</v>
      </c>
      <c r="F10" s="15">
        <f>F8/F7*100</f>
        <v>11.219717594105049</v>
      </c>
      <c r="G10" s="16">
        <f>G8/G7*100</f>
        <v>11.363027315498744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6.0041666666666673</v>
      </c>
      <c r="F11" s="15">
        <f>F7/F12/1000</f>
        <v>6.6223557692307695</v>
      </c>
      <c r="G11" s="16">
        <f>G7/G12/1000</f>
        <v>6.4567767504804801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E12+'12'!F12</f>
        <v>312</v>
      </c>
      <c r="G12" s="13">
        <f>E12+'12'!G12</f>
        <v>1758.6599999999999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60.041666666666671</v>
      </c>
      <c r="F13" s="15">
        <f>F11/10*100</f>
        <v>66.223557692307693</v>
      </c>
      <c r="G13" s="16">
        <f>G11/10*100</f>
        <v>64.567767504804792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689</v>
      </c>
      <c r="F14" s="12">
        <f>E14+'12'!F14</f>
        <v>9602</v>
      </c>
      <c r="G14" s="13">
        <f>E14+'12'!G14</f>
        <v>53290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660</v>
      </c>
      <c r="F15" s="12">
        <f>E15+'12'!F15</f>
        <v>9266</v>
      </c>
      <c r="G15" s="13">
        <f>E15+'12'!G15</f>
        <v>51655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32</v>
      </c>
      <c r="F16" s="12">
        <f>E16+'12'!F16</f>
        <v>672</v>
      </c>
      <c r="G16" s="13">
        <f>E16+'12'!G16</f>
        <v>3117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597</v>
      </c>
      <c r="F17" s="12">
        <f>E17+'12'!F17</f>
        <v>8628</v>
      </c>
      <c r="G17" s="13">
        <f>E17+'12'!G17</f>
        <v>47242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519</v>
      </c>
      <c r="F18" s="12">
        <f>E18+'12'!F18</f>
        <v>6838</v>
      </c>
      <c r="G18" s="13">
        <f>E18+'12'!G18</f>
        <v>38044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E19+'12'!F19</f>
        <v>231</v>
      </c>
      <c r="G19" s="13">
        <f>E19+'12'!G19</f>
        <v>1312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4.1429562803608606</v>
      </c>
      <c r="F20" s="15">
        <f>F17*1000/F7</f>
        <v>4.1758321536171916</v>
      </c>
      <c r="G20" s="16">
        <f>G17*1000/G7</f>
        <v>4.1603571908210064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0.87439278278972932</v>
      </c>
      <c r="F21" s="19">
        <f>F26*1000/F7</f>
        <v>0.87020702505838088</v>
      </c>
      <c r="G21" s="20">
        <f>G26*1000/G7</f>
        <v>0.87800603684190826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2792.1651630811934</v>
      </c>
      <c r="F22" s="21">
        <f t="shared" ref="F22:G22" si="0">((F17*(803-130)+F31*(30))*1000)/F7</f>
        <v>2813.2389560419615</v>
      </c>
      <c r="G22" s="21">
        <f t="shared" si="0"/>
        <v>2803.0035380032627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3951.8496770405168</v>
      </c>
      <c r="F23" s="21">
        <f t="shared" ref="F23:G23" si="1">(F15*(803-130))*1000/(F7*0.78)</f>
        <v>3869.418065650234</v>
      </c>
      <c r="G23" s="21">
        <f t="shared" si="1"/>
        <v>3924.9594210394366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E24+'12'!F24</f>
        <v>0</v>
      </c>
      <c r="G24" s="48">
        <f>E24+'12'!G24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126</v>
      </c>
      <c r="F26" s="32">
        <f>E26+'12'!F26</f>
        <v>1798</v>
      </c>
      <c r="G26" s="33">
        <f>E26+'12'!G26</f>
        <v>9970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4510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18</v>
      </c>
      <c r="F30" s="32">
        <f>E30+'12'!F30</f>
        <v>193</v>
      </c>
      <c r="G30" s="33">
        <f>E30+'12'!G30</f>
        <v>1148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19</v>
      </c>
      <c r="F31" s="12">
        <f>E31+'12'!F31</f>
        <v>200</v>
      </c>
      <c r="G31" s="13">
        <f>E31+'12'!G31</f>
        <v>1167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E32+'12'!F32</f>
        <v>268</v>
      </c>
      <c r="G32" s="13">
        <f>E32+'12'!G32</f>
        <v>1404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19</v>
      </c>
      <c r="F33" s="46">
        <v>1412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E35+'12'!F35</f>
        <v>238</v>
      </c>
      <c r="G35" s="33">
        <f>E35+'12'!G35</f>
        <v>1609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E36+'12'!F36</f>
        <v>36</v>
      </c>
      <c r="G36" s="13">
        <f>E36+'12'!G36</f>
        <v>191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E37+'12'!F37</f>
        <v>0</v>
      </c>
      <c r="G37" s="48">
        <f>E37+'12'!G37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D38" sqref="D3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'13'!E6+1</f>
        <v>46187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151800</v>
      </c>
      <c r="F7" s="12">
        <f>E7+'13'!F7</f>
        <v>2217975</v>
      </c>
      <c r="G7" s="13">
        <f>E7+'13'!G7</f>
        <v>11507075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17947</v>
      </c>
      <c r="F8" s="12">
        <f>E8+'13'!F8</f>
        <v>249766</v>
      </c>
      <c r="G8" s="13">
        <f>E8+'13'!G8</f>
        <v>1308250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133853</v>
      </c>
      <c r="F9" s="12">
        <f>E9+'13'!F9</f>
        <v>1968209</v>
      </c>
      <c r="G9" s="13">
        <f>E9+'13'!G9</f>
        <v>10198825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11.822793148880105</v>
      </c>
      <c r="F10" s="15">
        <f>F8/F7*100</f>
        <v>11.260992572053336</v>
      </c>
      <c r="G10" s="16">
        <f>G8/G7*100</f>
        <v>11.369092493096639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6.3250000000000002</v>
      </c>
      <c r="F11" s="15">
        <f>F7/F12/1000</f>
        <v>6.6011160714285717</v>
      </c>
      <c r="G11" s="16">
        <f>G7/G12/1000</f>
        <v>6.4550026365094864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E12+'13'!F12</f>
        <v>336</v>
      </c>
      <c r="G12" s="13">
        <f>E12+'13'!G12</f>
        <v>1782.6599999999999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63.250000000000007</v>
      </c>
      <c r="F13" s="15">
        <f>F11/10*100</f>
        <v>66.011160714285722</v>
      </c>
      <c r="G13" s="16">
        <f>G11/10*100</f>
        <v>64.550026365094865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724</v>
      </c>
      <c r="F14" s="12">
        <f>E14+'13'!F14</f>
        <v>10326</v>
      </c>
      <c r="G14" s="13">
        <f>E14+'13'!G14</f>
        <v>54014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697</v>
      </c>
      <c r="F15" s="12">
        <f>E15+'13'!F15</f>
        <v>9963</v>
      </c>
      <c r="G15" s="13">
        <f>E15+'13'!G15</f>
        <v>52352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31</v>
      </c>
      <c r="F16" s="12">
        <f>E16+'13'!F16</f>
        <v>703</v>
      </c>
      <c r="G16" s="13">
        <f>E16+'13'!G16</f>
        <v>3148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626</v>
      </c>
      <c r="F17" s="12">
        <f>E17+'13'!F17</f>
        <v>9254</v>
      </c>
      <c r="G17" s="13">
        <f>E17+'13'!G17</f>
        <v>47868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537</v>
      </c>
      <c r="F18" s="12">
        <f>E18+'13'!F18</f>
        <v>7375</v>
      </c>
      <c r="G18" s="13">
        <f>E18+'13'!G18</f>
        <v>38581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E19+'13'!F19</f>
        <v>249</v>
      </c>
      <c r="G19" s="13">
        <f>E19+'13'!G19</f>
        <v>1330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4.1238471673254278</v>
      </c>
      <c r="F20" s="15">
        <f>F17*1000/F7</f>
        <v>4.1722742591778541</v>
      </c>
      <c r="G20" s="16">
        <f>G17*1000/G7</f>
        <v>4.1598755548217072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0.85638998682476941</v>
      </c>
      <c r="F21" s="19">
        <f>F26*1000/F7</f>
        <v>0.86926137580450635</v>
      </c>
      <c r="G21" s="20">
        <f>G26*1000/G7</f>
        <v>0.87772088041487517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2777.9183135704875</v>
      </c>
      <c r="F22" s="21">
        <f t="shared" ref="F22:G22" si="0">((F17*(803-130)+F31*(30))*1000)/F7</f>
        <v>2810.8215827500312</v>
      </c>
      <c r="G22" s="21">
        <f t="shared" si="0"/>
        <v>2802.6726166293347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3961.6989290902334</v>
      </c>
      <c r="F23" s="21">
        <f t="shared" ref="F23:G23" si="1">(F15*(803-130))*1000/(F7*0.78)</f>
        <v>3875.7338424602485</v>
      </c>
      <c r="G23" s="21">
        <f t="shared" si="1"/>
        <v>3925.444084372396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E24+'13'!F24</f>
        <v>0</v>
      </c>
      <c r="G24" s="48">
        <f>E24+'13'!G24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130</v>
      </c>
      <c r="F26" s="32">
        <f>E26+'13'!F26</f>
        <v>1928</v>
      </c>
      <c r="G26" s="33">
        <f>E26+'13'!G26</f>
        <v>10100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4622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16</v>
      </c>
      <c r="F30" s="32">
        <f>E30+'13'!F30</f>
        <v>209</v>
      </c>
      <c r="G30" s="33">
        <f>E30+'13'!G30</f>
        <v>1164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13</v>
      </c>
      <c r="F31" s="12">
        <f>E31+'13'!F31</f>
        <v>213</v>
      </c>
      <c r="G31" s="13">
        <f>E31+'13'!G31</f>
        <v>1180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10</v>
      </c>
      <c r="F32" s="12">
        <f>E32+'13'!F32</f>
        <v>278</v>
      </c>
      <c r="G32" s="13">
        <f>E32+'13'!G32</f>
        <v>1414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18.8</v>
      </c>
      <c r="F33" s="46">
        <v>1387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E35+'13'!F35</f>
        <v>238</v>
      </c>
      <c r="G35" s="33">
        <f>E35+'13'!G35</f>
        <v>1609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E36+'13'!F36</f>
        <v>41</v>
      </c>
      <c r="G36" s="13">
        <f>E36+'13'!G36</f>
        <v>196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E37+'13'!F37</f>
        <v>0</v>
      </c>
      <c r="G37" s="48">
        <f>E37+'13'!G37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L40"/>
  <sheetViews>
    <sheetView topLeftCell="C1" zoomScale="80" zoomScaleNormal="80" workbookViewId="0">
      <pane xSplit="2" ySplit="6" topLeftCell="E33" activePane="bottomRight" state="frozen"/>
      <selection pane="topRight"/>
      <selection pane="bottomLeft"/>
      <selection pane="bottomRight" activeCell="F38" sqref="F3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'14'!E6+1</f>
        <v>46188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176400</v>
      </c>
      <c r="F7" s="12">
        <f>E7+'14'!F7</f>
        <v>2394375</v>
      </c>
      <c r="G7" s="13">
        <f>E7+'14'!G7</f>
        <v>11683475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18560</v>
      </c>
      <c r="F8" s="12">
        <f>E8+'14'!F8</f>
        <v>268326</v>
      </c>
      <c r="G8" s="13">
        <f>E8+'14'!G8</f>
        <v>1326810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157840</v>
      </c>
      <c r="F9" s="12">
        <f>E9+'14'!F9</f>
        <v>2126049</v>
      </c>
      <c r="G9" s="13">
        <f>E9+'14'!G9</f>
        <v>10356665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10.521541950113379</v>
      </c>
      <c r="F10" s="15">
        <f>F8/F7*100</f>
        <v>11.206515270164449</v>
      </c>
      <c r="G10" s="16">
        <f>G8/G7*100</f>
        <v>11.356295965027527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7.35</v>
      </c>
      <c r="F11" s="15">
        <f>F7/F12/1000</f>
        <v>6.651041666666667</v>
      </c>
      <c r="G11" s="16">
        <f>G7/G12/1000</f>
        <v>6.466891944250718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E12+'14'!F12</f>
        <v>360</v>
      </c>
      <c r="G12" s="13">
        <f>E12+'14'!G12</f>
        <v>1806.6599999999999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73.5</v>
      </c>
      <c r="F13" s="15">
        <f>F11/10*100</f>
        <v>66.510416666666671</v>
      </c>
      <c r="G13" s="16">
        <f>G11/10*100</f>
        <v>64.668919442507175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808</v>
      </c>
      <c r="F14" s="12">
        <f>E14+'14'!F14</f>
        <v>11134</v>
      </c>
      <c r="G14" s="13">
        <f>E14+'14'!G14</f>
        <v>54822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785</v>
      </c>
      <c r="F15" s="12">
        <f>E15+'14'!F15</f>
        <v>10748</v>
      </c>
      <c r="G15" s="13">
        <f>E15+'14'!G15</f>
        <v>53137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59</v>
      </c>
      <c r="F16" s="12">
        <f>E16+'14'!F16</f>
        <v>762</v>
      </c>
      <c r="G16" s="13">
        <f>E16+'14'!G16</f>
        <v>3207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735</v>
      </c>
      <c r="F17" s="12">
        <f>E17+'14'!F17</f>
        <v>9989</v>
      </c>
      <c r="G17" s="13">
        <f>E17+'14'!G17</f>
        <v>48603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580</v>
      </c>
      <c r="F18" s="12">
        <f>E18+'14'!F18</f>
        <v>7955</v>
      </c>
      <c r="G18" s="13">
        <f>E18+'14'!G18</f>
        <v>39161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E19+'14'!F19</f>
        <v>266</v>
      </c>
      <c r="G19" s="13">
        <f>E19+'14'!G19</f>
        <v>1347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4.166666666666667</v>
      </c>
      <c r="F20" s="15">
        <f>F17*1000/F7</f>
        <v>4.1718611328634818</v>
      </c>
      <c r="G20" s="16">
        <f>G17*1000/G7</f>
        <v>4.1599780887107647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0.83333333333333337</v>
      </c>
      <c r="F21" s="19">
        <f>F26*1000/F7</f>
        <v>0.86661446097624639</v>
      </c>
      <c r="G21" s="20">
        <f>G26*1000/G7</f>
        <v>0.87705070623252068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2807.0578231292516</v>
      </c>
      <c r="F22" s="21">
        <f t="shared" ref="F22:G22" si="0">((F17*(803-130)+F31*(30))*1000)/F7</f>
        <v>2810.5442965283214</v>
      </c>
      <c r="G22" s="21">
        <f t="shared" si="0"/>
        <v>2802.738825563456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3839.6491075062504</v>
      </c>
      <c r="F23" s="21">
        <f t="shared" ref="F23:G23" si="1">(F15*(803-130))*1000/(F7*0.78)</f>
        <v>3873.0753836783592</v>
      </c>
      <c r="G23" s="21">
        <f t="shared" si="1"/>
        <v>3924.1487305569267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E24+'14'!F24</f>
        <v>0</v>
      </c>
      <c r="G24" s="48">
        <f>E24+'14'!G24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147</v>
      </c>
      <c r="F26" s="32">
        <f>E26+'14'!F26</f>
        <v>2075</v>
      </c>
      <c r="G26" s="33">
        <f>E26+'14'!G26</f>
        <v>10247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4587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16</v>
      </c>
      <c r="F30" s="32">
        <f>E30+'14'!F30</f>
        <v>225</v>
      </c>
      <c r="G30" s="33">
        <f>E30+'14'!G30</f>
        <v>1180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17</v>
      </c>
      <c r="F31" s="12">
        <f>E31+'14'!F31</f>
        <v>230</v>
      </c>
      <c r="G31" s="13">
        <f>E31+'14'!G31</f>
        <v>1197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E32+'14'!F32</f>
        <v>296</v>
      </c>
      <c r="G32" s="13">
        <f>E32+'14'!G32</f>
        <v>1432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21</v>
      </c>
      <c r="F33" s="46">
        <v>1468</v>
      </c>
      <c r="G33" s="73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E35+'14'!F35</f>
        <v>238</v>
      </c>
      <c r="G35" s="33">
        <f>E35+'14'!G35</f>
        <v>1609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E36+'14'!F36</f>
        <v>46</v>
      </c>
      <c r="G36" s="13">
        <f>E36+'14'!G36</f>
        <v>201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E37+'14'!F37</f>
        <v>0</v>
      </c>
      <c r="G37" s="48">
        <f>E37+'14'!G37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L40"/>
  <sheetViews>
    <sheetView topLeftCell="C1" zoomScale="80" zoomScaleNormal="80" workbookViewId="0">
      <pane xSplit="2" ySplit="6" topLeftCell="E28" activePane="bottomRight" state="frozen"/>
      <selection pane="topRight"/>
      <selection pane="bottomLeft"/>
      <selection pane="bottomRight" activeCell="I30" sqref="I30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'15'!E6+1</f>
        <v>46189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207600</v>
      </c>
      <c r="F7" s="12">
        <f>E7+'15'!F7</f>
        <v>2601975</v>
      </c>
      <c r="G7" s="13">
        <f>E7+'15'!G7</f>
        <v>11891075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19101</v>
      </c>
      <c r="F8" s="12">
        <f>E8+'15'!F8</f>
        <v>287427</v>
      </c>
      <c r="G8" s="13">
        <f>E8+'15'!G8</f>
        <v>1345911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188499</v>
      </c>
      <c r="F9" s="12">
        <f>E9+'15'!F9</f>
        <v>2314548</v>
      </c>
      <c r="G9" s="13">
        <f>E9+'15'!G9</f>
        <v>10545164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9.2008670520231224</v>
      </c>
      <c r="F10" s="15">
        <f>F8/F7*100</f>
        <v>11.046493528953967</v>
      </c>
      <c r="G10" s="16">
        <f>G8/G7*100</f>
        <v>11.318665469690503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8.65</v>
      </c>
      <c r="F11" s="15">
        <f>F7/F12/1000</f>
        <v>6.7759765625000004</v>
      </c>
      <c r="G11" s="16">
        <f>G7/G12/1000</f>
        <v>6.495512547387281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E12+'15'!F12</f>
        <v>384</v>
      </c>
      <c r="G12" s="13">
        <f>E12+'15'!G12</f>
        <v>1830.6599999999999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86.5</v>
      </c>
      <c r="F13" s="15">
        <f>F11/10*100</f>
        <v>67.759765625</v>
      </c>
      <c r="G13" s="16">
        <f>G11/10*100</f>
        <v>64.955125473872812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939</v>
      </c>
      <c r="F14" s="12">
        <f>E14+'15'!F14</f>
        <v>12073</v>
      </c>
      <c r="G14" s="13">
        <f>E14+'15'!G14</f>
        <v>55761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906</v>
      </c>
      <c r="F15" s="12">
        <f>E15+'15'!F15</f>
        <v>11654</v>
      </c>
      <c r="G15" s="13">
        <f>E15+'15'!G15</f>
        <v>54043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75</v>
      </c>
      <c r="F16" s="70">
        <f>E16+'15'!F16</f>
        <v>837</v>
      </c>
      <c r="G16" s="13">
        <f>E16+'15'!G16</f>
        <v>3282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867</v>
      </c>
      <c r="F17" s="12">
        <f>E17+'15'!F17</f>
        <v>10856</v>
      </c>
      <c r="G17" s="13">
        <f>E17+'15'!G17</f>
        <v>49470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679</v>
      </c>
      <c r="F18" s="12">
        <f>E18+'15'!F18</f>
        <v>8634</v>
      </c>
      <c r="G18" s="13">
        <f>E18+'15'!G18</f>
        <v>39840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E19+'15'!F19</f>
        <v>285</v>
      </c>
      <c r="G19" s="13">
        <f>E19+'15'!G19</f>
        <v>1366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4.1763005780346818</v>
      </c>
      <c r="F20" s="15">
        <f>F17*1000/F7</f>
        <v>4.1722153364271373</v>
      </c>
      <c r="G20" s="16">
        <f>G17*1000/G7</f>
        <v>4.1602630544336821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0.82851637764932562</v>
      </c>
      <c r="F21" s="19">
        <f>F26*1000/F7</f>
        <v>0.86357478453866776</v>
      </c>
      <c r="G21" s="20">
        <f>G26*1000/G7</f>
        <v>0.87620337101565671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2812.6734104046241</v>
      </c>
      <c r="F22" s="21">
        <f t="shared" ref="F22:G22" si="0">((F17*(803-130)+F31*(30))*1000)/F7</f>
        <v>2810.7141690446679</v>
      </c>
      <c r="G22" s="21">
        <f t="shared" si="0"/>
        <v>2802.9122682347897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3765.4883651993478</v>
      </c>
      <c r="F23" s="21">
        <f t="shared" ref="F23:G23" si="1">(F15*(803-130))*1000/(F7*0.78)</f>
        <v>3864.4914945033124</v>
      </c>
      <c r="G23" s="21">
        <f t="shared" si="1"/>
        <v>3921.3787630099864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E24+'15'!F24</f>
        <v>0</v>
      </c>
      <c r="G24" s="48">
        <f>E24+'15'!G24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172</v>
      </c>
      <c r="F26" s="32">
        <f>E26+'15'!F26</f>
        <v>2247</v>
      </c>
      <c r="G26" s="33">
        <f>E26+'15'!G26</f>
        <v>10419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4527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14</v>
      </c>
      <c r="F30" s="32">
        <f>E30+'15'!F30</f>
        <v>239</v>
      </c>
      <c r="G30" s="33">
        <f>E30+'15'!G30</f>
        <v>1194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14</v>
      </c>
      <c r="F31" s="12">
        <f>E31+'15'!F31</f>
        <v>244</v>
      </c>
      <c r="G31" s="13">
        <f>E31+'15'!G31</f>
        <v>1211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E32+'15'!F32</f>
        <v>314</v>
      </c>
      <c r="G32" s="13">
        <f>E32+'15'!G32</f>
        <v>1450</v>
      </c>
    </row>
    <row r="33" spans="2:7" ht="30.95" customHeight="1">
      <c r="B33" s="67">
        <v>4</v>
      </c>
      <c r="C33" s="10" t="s">
        <v>40</v>
      </c>
      <c r="D33" s="43" t="s">
        <v>41</v>
      </c>
      <c r="E33" s="35">
        <v>18</v>
      </c>
      <c r="F33" s="35">
        <v>1358</v>
      </c>
      <c r="G33" s="12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5">
        <v>0</v>
      </c>
      <c r="F35" s="12">
        <f>E35+'15'!F35</f>
        <v>238</v>
      </c>
      <c r="G35" s="12">
        <f>E35+'15'!G35</f>
        <v>1609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E36+'15'!F36</f>
        <v>51</v>
      </c>
      <c r="G36" s="13">
        <f>E36+'15'!G36</f>
        <v>206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E37+'15'!F37</f>
        <v>0</v>
      </c>
      <c r="G37" s="48">
        <f>E37+'15'!G37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39" right="0.7" top="0.75" bottom="0.75" header="0.3" footer="0.3"/>
  <pageSetup scale="45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L40"/>
  <sheetViews>
    <sheetView topLeftCell="C1" zoomScale="78" zoomScaleNormal="78" workbookViewId="0">
      <pane xSplit="2" ySplit="6" topLeftCell="E28" activePane="bottomRight" state="frozen"/>
      <selection pane="topRight"/>
      <selection pane="bottomLeft"/>
      <selection pane="bottomRight" activeCell="F35" sqref="F3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27" style="2" customWidth="1"/>
    <col min="5" max="5" width="45.140625" style="1" customWidth="1"/>
    <col min="6" max="6" width="44" style="1" customWidth="1"/>
    <col min="7" max="7" width="43.855468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'16'!E6+1</f>
        <v>46190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190000</v>
      </c>
      <c r="F7" s="12">
        <f>E7+'16'!F7</f>
        <v>2791975</v>
      </c>
      <c r="G7" s="13">
        <f>E7+'16'!G7</f>
        <v>12081075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18408</v>
      </c>
      <c r="F8" s="12">
        <f>E8+'16'!F8</f>
        <v>305835</v>
      </c>
      <c r="G8" s="13">
        <f>E8+'16'!G8</f>
        <v>1364319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171592</v>
      </c>
      <c r="F9" s="12">
        <f>E9+'16'!F9</f>
        <v>2486140</v>
      </c>
      <c r="G9" s="13">
        <f>E9+'16'!G9</f>
        <v>10716756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9.688421052631579</v>
      </c>
      <c r="F10" s="15">
        <f>F8/F7*100</f>
        <v>10.954073729170211</v>
      </c>
      <c r="G10" s="16">
        <f>G8/G7*100</f>
        <v>11.293026489778434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7.916666666666667</v>
      </c>
      <c r="F11" s="15">
        <f>F7/F12/1000</f>
        <v>6.8430759803921566</v>
      </c>
      <c r="G11" s="16">
        <f>G7/G12/1000</f>
        <v>6.5139028177671383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E12+'16'!F12</f>
        <v>408</v>
      </c>
      <c r="G12" s="13">
        <f>E12+'16'!G12</f>
        <v>1854.6599999999999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79.166666666666671</v>
      </c>
      <c r="F13" s="15">
        <f>F11/10*100</f>
        <v>68.430759803921575</v>
      </c>
      <c r="G13" s="16">
        <f>G11/10*100</f>
        <v>65.139028177671392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866</v>
      </c>
      <c r="F14" s="12">
        <f>E14+'16'!F14</f>
        <v>12939</v>
      </c>
      <c r="G14" s="13">
        <f>E14+'16'!G14</f>
        <v>56627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838</v>
      </c>
      <c r="F15" s="12">
        <f>E15+'16'!F15</f>
        <v>12492</v>
      </c>
      <c r="G15" s="13">
        <f>E15+'16'!G15</f>
        <v>54881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65</v>
      </c>
      <c r="F16" s="70">
        <f>E16+'16'!F16</f>
        <v>902</v>
      </c>
      <c r="G16" s="13">
        <f>E16+'16'!G16</f>
        <v>3347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791</v>
      </c>
      <c r="F17" s="12">
        <f>E17+'16'!F17</f>
        <v>11647</v>
      </c>
      <c r="G17" s="13">
        <f>E17+'16'!G17</f>
        <v>50261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624</v>
      </c>
      <c r="F18" s="12">
        <f>E18+'16'!F18</f>
        <v>9258</v>
      </c>
      <c r="G18" s="13">
        <f>E18+'16'!G18</f>
        <v>40464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E19+'16'!F19</f>
        <v>302</v>
      </c>
      <c r="G19" s="13">
        <f>E19+'16'!G19</f>
        <v>1383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4.1631578947368419</v>
      </c>
      <c r="F20" s="15">
        <f>F17*1000/F7</f>
        <v>4.1715989577270571</v>
      </c>
      <c r="G20" s="16">
        <f>G17*1000/G7</f>
        <v>4.1603085818108072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0.81578947368421051</v>
      </c>
      <c r="F21" s="19">
        <f>F26*1000/F7</f>
        <v>0.86032288971068871</v>
      </c>
      <c r="G21" s="20">
        <f>G26*1000/G7</f>
        <v>0.87525323698429158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2804.1736842105265</v>
      </c>
      <c r="F22" s="21">
        <f t="shared" ref="F22:G22" si="0">((F17*(803-130)+F31*(30))*1000)/F7</f>
        <v>2810.2690747589072</v>
      </c>
      <c r="G22" s="21">
        <f t="shared" si="0"/>
        <v>2802.9321066213065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3805.4925775978409</v>
      </c>
      <c r="F23" s="21">
        <f t="shared" ref="F23:G23" si="1">(F15*(803-130))*1000/(F7*0.78)</f>
        <v>3860.4764892786811</v>
      </c>
      <c r="G23" s="21">
        <f t="shared" si="1"/>
        <v>3919.5562120177688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E24+'16'!F24</f>
        <v>0</v>
      </c>
      <c r="G24" s="48">
        <f>E24+'16'!G24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155</v>
      </c>
      <c r="F26" s="32">
        <f>E26+'16'!F26</f>
        <v>2402</v>
      </c>
      <c r="G26" s="33">
        <f>E26+'16'!G26</f>
        <v>10574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4672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14</v>
      </c>
      <c r="F30" s="32">
        <f>E30+'16'!F30</f>
        <v>253</v>
      </c>
      <c r="G30" s="33">
        <f>E30+'16'!G30</f>
        <v>1208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15</v>
      </c>
      <c r="F31" s="12">
        <f>E31+'16'!F31</f>
        <v>259</v>
      </c>
      <c r="G31" s="13">
        <f>E31+'16'!G31</f>
        <v>1226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20</v>
      </c>
      <c r="F32" s="12">
        <f>E32+'16'!F32</f>
        <v>334</v>
      </c>
      <c r="G32" s="13">
        <f>E32+'16'!G32</f>
        <v>1470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18</v>
      </c>
      <c r="F33" s="46">
        <v>1362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E35+'16'!F35</f>
        <v>238</v>
      </c>
      <c r="G35" s="33">
        <f>E35+'16'!G35</f>
        <v>1609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E36+'16'!F36</f>
        <v>55</v>
      </c>
      <c r="G36" s="13">
        <f>E36+'16'!G36</f>
        <v>210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E37+'16'!F37</f>
        <v>0</v>
      </c>
      <c r="G37" s="48">
        <f>E37+'16'!G37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L40"/>
  <sheetViews>
    <sheetView topLeftCell="C1" zoomScale="85" zoomScaleNormal="85" workbookViewId="0">
      <pane xSplit="2" ySplit="6" topLeftCell="E28" activePane="bottomRight" state="frozen"/>
      <selection pane="topRight"/>
      <selection pane="bottomLeft"/>
      <selection pane="bottomRight" activeCell="E31" sqref="E31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11.285156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'17'!E6+1</f>
        <v>46191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200400</v>
      </c>
      <c r="F7" s="12">
        <f>E7+'17'!F7</f>
        <v>2992375</v>
      </c>
      <c r="G7" s="13">
        <f>E7+'17'!G7</f>
        <v>12281475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18940</v>
      </c>
      <c r="F8" s="12">
        <f>E8+'17'!F8</f>
        <v>324775</v>
      </c>
      <c r="G8" s="13">
        <f>E8+'17'!G8</f>
        <v>1383259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181460</v>
      </c>
      <c r="F9" s="12">
        <f>E9+'17'!F9</f>
        <v>2667600</v>
      </c>
      <c r="G9" s="13">
        <f>E9+'17'!G9</f>
        <v>10898216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9.4510978043912175</v>
      </c>
      <c r="F10" s="15">
        <f>F8/F7*100</f>
        <v>10.853419106896697</v>
      </c>
      <c r="G10" s="16">
        <f>G8/G7*100</f>
        <v>11.262971263630792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8.35</v>
      </c>
      <c r="F11" s="15">
        <f>F7/F12/1000</f>
        <v>6.9267939814814818</v>
      </c>
      <c r="G11" s="16">
        <f>G7/G12/1000</f>
        <v>6.5373590750854333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E12+'17'!F12</f>
        <v>432</v>
      </c>
      <c r="G12" s="13">
        <f>E12+'17'!G12</f>
        <v>1878.6599999999999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83.5</v>
      </c>
      <c r="F13" s="15">
        <f>F11/10*100</f>
        <v>69.26793981481481</v>
      </c>
      <c r="G13" s="16">
        <f>G11/10*100</f>
        <v>65.373590750854333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909</v>
      </c>
      <c r="F14" s="12">
        <f>E14+'17'!F14</f>
        <v>13848</v>
      </c>
      <c r="G14" s="13">
        <f>E14+'17'!G14</f>
        <v>57536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880</v>
      </c>
      <c r="F15" s="12">
        <f>E15+'17'!F15</f>
        <v>13372</v>
      </c>
      <c r="G15" s="13">
        <f>E15+'17'!G15</f>
        <v>55761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70</v>
      </c>
      <c r="F16" s="70">
        <f>E16+'17'!F16</f>
        <v>972</v>
      </c>
      <c r="G16" s="13">
        <f>E16+'17'!G16</f>
        <v>3417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838</v>
      </c>
      <c r="F17" s="12">
        <f>E17+'17'!F17</f>
        <v>12485</v>
      </c>
      <c r="G17" s="13">
        <f>E17+'17'!G17</f>
        <v>51099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656</v>
      </c>
      <c r="F18" s="12">
        <f>E18+'17'!F18</f>
        <v>9914</v>
      </c>
      <c r="G18" s="13">
        <f>E18+'17'!G18</f>
        <v>41120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E19+'17'!F19</f>
        <v>320</v>
      </c>
      <c r="G19" s="13">
        <f>E19+'17'!G19</f>
        <v>1401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4.1816367265469063</v>
      </c>
      <c r="F20" s="15">
        <f>F17*1000/F7</f>
        <v>4.1722711892727347</v>
      </c>
      <c r="G20" s="16">
        <f>G17*1000/G7</f>
        <v>4.1606565986577344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0.81836327345309379</v>
      </c>
      <c r="F21" s="19">
        <f>F26*1000/F7</f>
        <v>0.85751284514808468</v>
      </c>
      <c r="G21" s="20">
        <f>G26*1000/G7</f>
        <v>0.87432494875411948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2816.3373253493014</v>
      </c>
      <c r="F22" s="21">
        <f t="shared" ref="F22:G22" si="0">((F17*(803-130)+F31*(30))*1000)/F7</f>
        <v>2810.6754668114791</v>
      </c>
      <c r="G22" s="21">
        <f t="shared" si="0"/>
        <v>2803.1508430379899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3788.832591227801</v>
      </c>
      <c r="F23" s="21">
        <f t="shared" ref="F23:G23" si="1">(F15*(803-130))*1000/(F7*0.78)</f>
        <v>3855.6784819535978</v>
      </c>
      <c r="G23" s="21">
        <f t="shared" si="1"/>
        <v>3917.4231609301501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E24+'17'!F24</f>
        <v>0</v>
      </c>
      <c r="G24" s="48">
        <f>E24+'17'!G24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164</v>
      </c>
      <c r="F26" s="32">
        <f>E26+'17'!F26</f>
        <v>2566</v>
      </c>
      <c r="G26" s="33">
        <f>E26+'17'!G26</f>
        <v>10738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4616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13</v>
      </c>
      <c r="F30" s="32">
        <f>E30+'17'!F30</f>
        <v>266</v>
      </c>
      <c r="G30" s="33">
        <f>E30+'17'!G30</f>
        <v>1221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14</v>
      </c>
      <c r="F31" s="12">
        <f>E31+'17'!F31</f>
        <v>273</v>
      </c>
      <c r="G31" s="13">
        <f>E31+'17'!G31</f>
        <v>1240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17</v>
      </c>
      <c r="F32" s="12">
        <f>E32+'17'!F32</f>
        <v>351</v>
      </c>
      <c r="G32" s="13">
        <f>E32+'17'!G32</f>
        <v>1487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18</v>
      </c>
      <c r="F33" s="47">
        <v>1323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29</v>
      </c>
      <c r="F35" s="32">
        <f>E35+'17'!F35</f>
        <v>267</v>
      </c>
      <c r="G35" s="33">
        <f>E35+'17'!G35</f>
        <v>1638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E36+'17'!F36</f>
        <v>57</v>
      </c>
      <c r="G36" s="13">
        <f>E36+'17'!G36</f>
        <v>212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E37+'17'!F37</f>
        <v>0</v>
      </c>
      <c r="G37" s="48">
        <f>E37+'17'!G37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L40"/>
  <sheetViews>
    <sheetView topLeftCell="C1" zoomScale="80" zoomScaleNormal="80" workbookViewId="0">
      <pane xSplit="2" ySplit="6" topLeftCell="E15" activePane="bottomRight" state="frozen"/>
      <selection pane="topRight"/>
      <selection pane="bottomLeft"/>
      <selection pane="bottomRight" activeCell="E35" sqref="E3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'18'!E6+1</f>
        <v>46192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207600</v>
      </c>
      <c r="F7" s="12">
        <f>E7+'18'!F7</f>
        <v>3199975</v>
      </c>
      <c r="G7" s="13">
        <f>E7+'18'!G7</f>
        <v>12489075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19377</v>
      </c>
      <c r="F8" s="12">
        <f>E8+'18'!F8</f>
        <v>344152</v>
      </c>
      <c r="G8" s="13">
        <f>E8+'18'!G8</f>
        <v>1402636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188223</v>
      </c>
      <c r="F9" s="12">
        <f>E9+'18'!F9</f>
        <v>2855823</v>
      </c>
      <c r="G9" s="13">
        <f>E9+'18'!G9</f>
        <v>11086439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9.3338150289017339</v>
      </c>
      <c r="F10" s="15">
        <f>F8/F7*100</f>
        <v>10.754834022140798</v>
      </c>
      <c r="G10" s="16">
        <f>G8/G7*100</f>
        <v>11.230903809929879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8.65</v>
      </c>
      <c r="F11" s="15">
        <f>F7/F12/1000</f>
        <v>7.0174890350877197</v>
      </c>
      <c r="G11" s="16">
        <f>G7/G12/1000</f>
        <v>6.5640077575604678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E12+'18'!F12</f>
        <v>456</v>
      </c>
      <c r="G12" s="13">
        <f>E12+'18'!G12</f>
        <v>1902.6599999999999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86.5</v>
      </c>
      <c r="F13" s="15">
        <f>F11/10*100</f>
        <v>70.174890350877192</v>
      </c>
      <c r="G13" s="16">
        <f>G11/10*100</f>
        <v>65.640077575604678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940</v>
      </c>
      <c r="F14" s="12">
        <f>E14+'18'!F14</f>
        <v>14788</v>
      </c>
      <c r="G14" s="13">
        <f>E14+'18'!G14</f>
        <v>58476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907</v>
      </c>
      <c r="F15" s="12">
        <f>E15+'18'!F15</f>
        <v>14279</v>
      </c>
      <c r="G15" s="13">
        <f>E15+'18'!G15</f>
        <v>56668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70</v>
      </c>
      <c r="F16" s="70">
        <f>E16+'18'!F16</f>
        <v>1042</v>
      </c>
      <c r="G16" s="13">
        <f>E16+'18'!G16</f>
        <v>3487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858</v>
      </c>
      <c r="F17" s="12">
        <f>E17+'18'!F17</f>
        <v>13343</v>
      </c>
      <c r="G17" s="13">
        <f>E17+'18'!G17</f>
        <v>51957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684</v>
      </c>
      <c r="F18" s="12">
        <f>E18+'18'!F18</f>
        <v>10598</v>
      </c>
      <c r="G18" s="13">
        <f>E18+'18'!G18</f>
        <v>41804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E19+'18'!F19</f>
        <v>338</v>
      </c>
      <c r="G19" s="13">
        <f>E19+'18'!G19</f>
        <v>1419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4.1329479768786124</v>
      </c>
      <c r="F20" s="15">
        <f>F17*1000/F7</f>
        <v>4.169720075938093</v>
      </c>
      <c r="G20" s="16">
        <f>G17*1000/G7</f>
        <v>4.1601960113138885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0.82851637764932562</v>
      </c>
      <c r="F21" s="19">
        <f>F26*1000/F7</f>
        <v>0.85563168462253614</v>
      </c>
      <c r="G21" s="20">
        <f>G26*1000/G7</f>
        <v>0.87356349449418791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2784.2196531791906</v>
      </c>
      <c r="F22" s="21">
        <f t="shared" ref="F22:G22" si="0">((F17*(803-130)+F31*(30))*1000)/F7</f>
        <v>2808.9591324932226</v>
      </c>
      <c r="G22" s="21">
        <f t="shared" si="0"/>
        <v>2802.8361588027938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3769.644533372857</v>
      </c>
      <c r="F23" s="21">
        <f t="shared" ref="F23:G23" si="1">(F15*(803-130))*1000/(F7*0.78)</f>
        <v>3850.0969859339848</v>
      </c>
      <c r="G23" s="21">
        <f t="shared" si="1"/>
        <v>3914.9667065425438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E24+'18'!F24</f>
        <v>0</v>
      </c>
      <c r="G24" s="48">
        <f>E24+'18'!G24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172</v>
      </c>
      <c r="F26" s="32">
        <f>E26+'18'!F26</f>
        <v>2738</v>
      </c>
      <c r="G26" s="33">
        <f>E26+'18'!G26</f>
        <v>10910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4529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18</v>
      </c>
      <c r="F30" s="32">
        <f>E30+'18'!F30</f>
        <v>284</v>
      </c>
      <c r="G30" s="33">
        <f>E30+'18'!G30</f>
        <v>1239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19</v>
      </c>
      <c r="F31" s="12">
        <f>E31+'18'!F31</f>
        <v>292</v>
      </c>
      <c r="G31" s="13">
        <f>E31+'18'!G31</f>
        <v>1259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E32+'18'!F32</f>
        <v>369</v>
      </c>
      <c r="G32" s="13">
        <f>E32+'18'!G32</f>
        <v>1505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19</v>
      </c>
      <c r="F33" s="47">
        <v>1398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53</v>
      </c>
      <c r="F35" s="32">
        <f>E35+'18'!F35</f>
        <v>320</v>
      </c>
      <c r="G35" s="33">
        <f>E35+'18'!G35</f>
        <v>1691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E36+'18'!F36</f>
        <v>57</v>
      </c>
      <c r="G36" s="13">
        <f>E36+'18'!G36</f>
        <v>212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E37+'18'!F37</f>
        <v>0</v>
      </c>
      <c r="G37" s="48">
        <f>E37+'18'!G37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L40"/>
  <sheetViews>
    <sheetView topLeftCell="C1" zoomScale="80" zoomScaleNormal="80" workbookViewId="0">
      <pane xSplit="2" ySplit="6" topLeftCell="E34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'19'!E6+1</f>
        <v>46193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195200</v>
      </c>
      <c r="F7" s="12">
        <f>E7+'19'!F7</f>
        <v>3395175</v>
      </c>
      <c r="G7" s="13">
        <f>E7+'19'!G7</f>
        <v>12684275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18903</v>
      </c>
      <c r="F8" s="12">
        <f>E8+'19'!F8</f>
        <v>363055</v>
      </c>
      <c r="G8" s="13">
        <f>E8+'19'!G8</f>
        <v>1421539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176297</v>
      </c>
      <c r="F9" s="12">
        <f>E9+'19'!F9</f>
        <v>3032120</v>
      </c>
      <c r="G9" s="13">
        <f>E9+'19'!G9</f>
        <v>11262736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9.6839139344262293</v>
      </c>
      <c r="F10" s="15">
        <f>F8/F7*100</f>
        <v>10.693263233853925</v>
      </c>
      <c r="G10" s="16">
        <f>G8/G7*100</f>
        <v>11.207096976374292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8.1333333333333329</v>
      </c>
      <c r="F11" s="15">
        <f>F7/F12/1000</f>
        <v>7.07328125</v>
      </c>
      <c r="G11" s="16">
        <f>G7/G12/1000</f>
        <v>6.5835565174966009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E12+'19'!F12</f>
        <v>480</v>
      </c>
      <c r="G12" s="13">
        <f>E12+'19'!G12</f>
        <v>1926.6599999999999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81.333333333333329</v>
      </c>
      <c r="F13" s="15">
        <f>F11/10*100</f>
        <v>70.732812499999994</v>
      </c>
      <c r="G13" s="16">
        <f>G11/10*100</f>
        <v>65.835565174966007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885</v>
      </c>
      <c r="F14" s="12">
        <f>E14+'19'!F14</f>
        <v>15673</v>
      </c>
      <c r="G14" s="13">
        <f>E14+'19'!G14</f>
        <v>59361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858</v>
      </c>
      <c r="F15" s="12">
        <f>E15+'19'!F15</f>
        <v>15137</v>
      </c>
      <c r="G15" s="13">
        <f>E15+'19'!G15</f>
        <v>57526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63</v>
      </c>
      <c r="F16" s="12">
        <f>E16+'19'!F16</f>
        <v>1105</v>
      </c>
      <c r="G16" s="13">
        <f>E16+'19'!G16</f>
        <v>3550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810</v>
      </c>
      <c r="F17" s="12">
        <f>E17+'19'!F17</f>
        <v>14153</v>
      </c>
      <c r="G17" s="13">
        <f>E17+'19'!G17</f>
        <v>52767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643</v>
      </c>
      <c r="F18" s="12">
        <f>E18+'19'!F18</f>
        <v>11241</v>
      </c>
      <c r="G18" s="13">
        <f>E18+'19'!G18</f>
        <v>42447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E19+'19'!F19</f>
        <v>355</v>
      </c>
      <c r="G19" s="13">
        <f>E19+'19'!G19</f>
        <v>1436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4.1495901639344259</v>
      </c>
      <c r="F20" s="15">
        <f>F17*1000/F7</f>
        <v>4.1685627397704099</v>
      </c>
      <c r="G20" s="16">
        <f>G17*1000/G7</f>
        <v>4.1600327965137938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0.87602459016393441</v>
      </c>
      <c r="F21" s="19">
        <f>F26*1000/F7</f>
        <v>0.8568041411709264</v>
      </c>
      <c r="G21" s="20">
        <f>G26*1000/G7</f>
        <v>0.87360136862374871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2794.9795081967213</v>
      </c>
      <c r="F22" s="21">
        <f t="shared" ref="F22:G22" si="0">((F17*(803-130)+F31*(30))*1000)/F7</f>
        <v>2808.1553969972092</v>
      </c>
      <c r="G22" s="21">
        <f t="shared" si="0"/>
        <v>2802.7152517585751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3792.5204918032787</v>
      </c>
      <c r="F23" s="21">
        <f t="shared" ref="F23:G23" si="1">(F15*(803-130))*1000/(F7*0.78)</f>
        <v>3846.7867201437634</v>
      </c>
      <c r="G23" s="21">
        <f t="shared" si="1"/>
        <v>3913.0823654101491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E24+'19'!F24</f>
        <v>0</v>
      </c>
      <c r="G24" s="48">
        <f>E24+'19'!G24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171</v>
      </c>
      <c r="F26" s="32">
        <f>E26+'19'!F26</f>
        <v>2909</v>
      </c>
      <c r="G26" s="33">
        <f>E26+'19'!G26</f>
        <v>11081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4334</v>
      </c>
      <c r="F27" s="36">
        <v>0</v>
      </c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17</v>
      </c>
      <c r="F30" s="32">
        <f>E30+'19'!F30</f>
        <v>301</v>
      </c>
      <c r="G30" s="33">
        <f>E30+'19'!G30</f>
        <v>1256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15</v>
      </c>
      <c r="F31" s="12">
        <f>E31+'19'!F31</f>
        <v>307</v>
      </c>
      <c r="G31" s="13">
        <f>E31+'19'!G31</f>
        <v>1274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E32+'19'!F32</f>
        <v>387</v>
      </c>
      <c r="G32" s="13">
        <f>E32+'19'!G32</f>
        <v>1523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17.510000000000002</v>
      </c>
      <c r="F33" s="47">
        <v>1341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60</v>
      </c>
      <c r="F35" s="32">
        <f>E35+'19'!F35</f>
        <v>380</v>
      </c>
      <c r="G35" s="33">
        <f>E35+'19'!G35</f>
        <v>1751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E36+'19'!F36</f>
        <v>57</v>
      </c>
      <c r="G36" s="13">
        <f>E36+'19'!G36</f>
        <v>212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E37+'19'!F37</f>
        <v>0</v>
      </c>
      <c r="G37" s="48">
        <f>E37+'19'!G37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F36" sqref="F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'20'!E6+1</f>
        <v>46194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189200</v>
      </c>
      <c r="F7" s="12">
        <f>E7+'20'!F7</f>
        <v>3584375</v>
      </c>
      <c r="G7" s="13">
        <f>E7+'20'!G7</f>
        <v>12873475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18882</v>
      </c>
      <c r="F8" s="12">
        <f>E8+'20'!F8</f>
        <v>381937</v>
      </c>
      <c r="G8" s="13">
        <f>E8+'20'!G8</f>
        <v>1440421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170318</v>
      </c>
      <c r="F9" s="12">
        <f>E9+'20'!F9</f>
        <v>3202438</v>
      </c>
      <c r="G9" s="13">
        <f>E9+'20'!G9</f>
        <v>11433054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9.9799154334038054</v>
      </c>
      <c r="F10" s="15">
        <f>F8/F7*100</f>
        <v>10.655609415867479</v>
      </c>
      <c r="G10" s="16">
        <f>G8/G7*100</f>
        <v>11.189061228611545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7.8833333333333329</v>
      </c>
      <c r="F11" s="15">
        <f>F7/F12/1000</f>
        <v>7.1118551587301591</v>
      </c>
      <c r="G11" s="16">
        <f>G7/G12/1000</f>
        <v>6.5995483579916545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E12+'20'!F12</f>
        <v>504</v>
      </c>
      <c r="G12" s="13">
        <f>E12+'20'!G12</f>
        <v>1950.6599999999999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78.833333333333329</v>
      </c>
      <c r="F13" s="15">
        <f>F11/10*100</f>
        <v>71.118551587301596</v>
      </c>
      <c r="G13" s="16">
        <f>G11/10*100</f>
        <v>65.995483579916552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873</v>
      </c>
      <c r="F14" s="12">
        <f>E14+'20'!F14</f>
        <v>16546</v>
      </c>
      <c r="G14" s="13">
        <f>E14+'20'!G14</f>
        <v>60234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842</v>
      </c>
      <c r="F15" s="12">
        <f>E15+'20'!F15</f>
        <v>15979</v>
      </c>
      <c r="G15" s="13">
        <f>E15+'20'!G15</f>
        <v>58368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64</v>
      </c>
      <c r="F16" s="12">
        <f>E16+'20'!F16</f>
        <v>1169</v>
      </c>
      <c r="G16" s="13">
        <f>E16+'20'!G16</f>
        <v>3614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792</v>
      </c>
      <c r="F17" s="12">
        <f>E17+'20'!F17</f>
        <v>14945</v>
      </c>
      <c r="G17" s="13">
        <f>E17+'20'!G17</f>
        <v>53559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632</v>
      </c>
      <c r="F18" s="12">
        <f>E18+'20'!F18</f>
        <v>11873</v>
      </c>
      <c r="G18" s="13">
        <f>E18+'20'!G18</f>
        <v>43079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E19+'20'!F19</f>
        <v>374</v>
      </c>
      <c r="G19" s="13">
        <f>E19+'20'!G19</f>
        <v>1455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4.1860465116279073</v>
      </c>
      <c r="F20" s="15">
        <f>F17*1000/F7</f>
        <v>4.1694856146469048</v>
      </c>
      <c r="G20" s="16">
        <f>G17*1000/G7</f>
        <v>4.1604151171303787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0.7610993657505285</v>
      </c>
      <c r="F21" s="19">
        <f>F26*1000/F7</f>
        <v>0.85175239755884913</v>
      </c>
      <c r="G21" s="20">
        <f>G26*1000/G7</f>
        <v>0.87194793946467442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2819.9048625792811</v>
      </c>
      <c r="F22" s="21">
        <f t="shared" ref="F22:G22" si="0">((F17*(803-130)+F31*(30))*1000)/F7</f>
        <v>2808.7755884917174</v>
      </c>
      <c r="G22" s="21">
        <f t="shared" si="0"/>
        <v>2802.9678855165371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3839.8249037783921</v>
      </c>
      <c r="F23" s="21">
        <f t="shared" ref="F23:G23" si="1">(F15*(803-130))*1000/(F7*0.78)</f>
        <v>3846.4192430644043</v>
      </c>
      <c r="G23" s="21">
        <f t="shared" si="1"/>
        <v>3912.0057088165931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E24+'20'!F24</f>
        <v>0</v>
      </c>
      <c r="G24" s="48">
        <f>E24+'20'!G24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144</v>
      </c>
      <c r="F26" s="32">
        <f>E26+'20'!F26</f>
        <v>3053</v>
      </c>
      <c r="G26" s="33">
        <f>E26+'20'!G26</f>
        <v>11225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5030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/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16</v>
      </c>
      <c r="F30" s="32">
        <f>E30+'20'!F30</f>
        <v>317</v>
      </c>
      <c r="G30" s="33">
        <f>E30+'20'!G30</f>
        <v>1272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17</v>
      </c>
      <c r="F31" s="12">
        <f>E31+'20'!F31</f>
        <v>324</v>
      </c>
      <c r="G31" s="13">
        <f>E31+'20'!G31</f>
        <v>1291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E32+'20'!F32</f>
        <v>405</v>
      </c>
      <c r="G32" s="13">
        <f>E32+'20'!G32</f>
        <v>1541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14</v>
      </c>
      <c r="F33" s="47">
        <v>1125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41</v>
      </c>
      <c r="F35" s="32">
        <f>E35+'20'!F35</f>
        <v>421</v>
      </c>
      <c r="G35" s="33">
        <f>E35+'20'!G35</f>
        <v>1792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E36+'20'!F36</f>
        <v>57</v>
      </c>
      <c r="G36" s="13">
        <f>E36+'20'!G36</f>
        <v>212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E37+'20'!F37</f>
        <v>0</v>
      </c>
      <c r="G37" s="48">
        <f>E37+'20'!G37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L40"/>
  <sheetViews>
    <sheetView topLeftCell="C1" zoomScale="80" zoomScaleNormal="80" workbookViewId="0">
      <pane xSplit="2" ySplit="6" topLeftCell="E30" activePane="bottomRight" state="frozen"/>
      <selection pane="topRight"/>
      <selection pane="bottomLeft"/>
      <selection pane="bottomRight" activeCell="J33" sqref="J33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69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'21'!E6+1</f>
        <v>46195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186200</v>
      </c>
      <c r="F7" s="12">
        <f>E7+'21'!F7</f>
        <v>3770575</v>
      </c>
      <c r="G7" s="13">
        <f>E7+'21'!G7</f>
        <v>13059675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18623</v>
      </c>
      <c r="F8" s="12">
        <f>E8+'21'!F8</f>
        <v>400560</v>
      </c>
      <c r="G8" s="13">
        <f>E8+'21'!G8</f>
        <v>1459044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167577</v>
      </c>
      <c r="F9" s="12">
        <f>E9+'21'!F9</f>
        <v>3370015</v>
      </c>
      <c r="G9" s="13">
        <f>E9+'21'!G9</f>
        <v>11600631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10.001611170784102</v>
      </c>
      <c r="F10" s="15">
        <f>F8/F7*100</f>
        <v>10.62331342036692</v>
      </c>
      <c r="G10" s="16">
        <f>G8/G7*100</f>
        <v>11.172131006322898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7.7583333333333329</v>
      </c>
      <c r="F11" s="15">
        <f>F7/F12/1000</f>
        <v>7.1412405303030297</v>
      </c>
      <c r="G11" s="16">
        <f>G7/G12/1000</f>
        <v>6.6136322202303193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E12+'21'!F12</f>
        <v>528</v>
      </c>
      <c r="G12" s="13">
        <f>E12+'21'!G12</f>
        <v>1974.6599999999999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77.583333333333329</v>
      </c>
      <c r="F13" s="15">
        <f>F11/10*100</f>
        <v>71.412405303030297</v>
      </c>
      <c r="G13" s="16">
        <f>G11/10*100</f>
        <v>66.136322202303191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865</v>
      </c>
      <c r="F14" s="12">
        <f>E14+'21'!F14</f>
        <v>17411</v>
      </c>
      <c r="G14" s="13">
        <f>E14+'21'!G14</f>
        <v>61099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831</v>
      </c>
      <c r="F15" s="12">
        <f>E15+'21'!F15</f>
        <v>16810</v>
      </c>
      <c r="G15" s="13">
        <f>E15+'21'!G15</f>
        <v>59199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67</v>
      </c>
      <c r="F16" s="12">
        <f>E16+'21'!F16</f>
        <v>1236</v>
      </c>
      <c r="G16" s="13">
        <f>E16+'21'!G16</f>
        <v>3681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781</v>
      </c>
      <c r="F17" s="12">
        <f>E17+'21'!F17</f>
        <v>15726</v>
      </c>
      <c r="G17" s="13">
        <f>E17+'21'!G17</f>
        <v>54340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622</v>
      </c>
      <c r="F18" s="12">
        <f>E18+'21'!F18</f>
        <v>12495</v>
      </c>
      <c r="G18" s="13">
        <f>E18+'21'!G18</f>
        <v>43701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E19+'21'!F19</f>
        <v>391</v>
      </c>
      <c r="G19" s="13">
        <f>E19+'21'!G19</f>
        <v>1472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4.1944146079484428</v>
      </c>
      <c r="F20" s="15">
        <f>F17*1000/F7</f>
        <v>4.1707166678822194</v>
      </c>
      <c r="G20" s="16">
        <f>G17*1000/G7</f>
        <v>4.1608998692540204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0.86466165413533835</v>
      </c>
      <c r="F21" s="19">
        <f>F26*1000/F7</f>
        <v>0.85238988748400446</v>
      </c>
      <c r="G21" s="20">
        <f>G26*1000/G7</f>
        <v>0.87184405431222445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2825.9022556390978</v>
      </c>
      <c r="F22" s="21">
        <f>((F17*(803-130)+F31*(30))*1000)/F7</f>
        <v>2809.6213442246872</v>
      </c>
      <c r="G22" s="21">
        <f t="shared" ref="G22" si="0">((G17*(803-130)+G31*(30))*1000)/G7</f>
        <v>2803.2948752553184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3850.7188300421385</v>
      </c>
      <c r="F23" s="21">
        <f t="shared" ref="F23:G23" si="1">(F15*(803-130))*1000/(F7*0.78)</f>
        <v>3846.6315669394776</v>
      </c>
      <c r="G23" s="21">
        <f t="shared" si="1"/>
        <v>3911.1319032412016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E24+'21'!F24</f>
        <v>0</v>
      </c>
      <c r="G24" s="48">
        <f>E24+'21'!G24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161</v>
      </c>
      <c r="F26" s="32">
        <f>E26+'21'!F26</f>
        <v>3214</v>
      </c>
      <c r="G26" s="33">
        <f>E26+'21'!G26</f>
        <v>11386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4445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20</v>
      </c>
      <c r="F30" s="32">
        <f>E30+'21'!F30</f>
        <v>337</v>
      </c>
      <c r="G30" s="33">
        <f>E30+'21'!G30</f>
        <v>1292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19</v>
      </c>
      <c r="F31" s="12">
        <f>E31+'21'!F31</f>
        <v>343</v>
      </c>
      <c r="G31" s="13">
        <f>E31+'21'!G31</f>
        <v>1310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E32+'21'!F32</f>
        <v>423</v>
      </c>
      <c r="G32" s="13">
        <f>E32+'21'!G32</f>
        <v>1559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12</v>
      </c>
      <c r="F33" s="47">
        <v>877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54</v>
      </c>
      <c r="F35" s="32">
        <f>E35+'21'!F35</f>
        <v>475</v>
      </c>
      <c r="G35" s="33">
        <f>E35+'21'!G35</f>
        <v>1846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E36+'21'!F36</f>
        <v>57</v>
      </c>
      <c r="G36" s="13">
        <f>E36+'21'!G36</f>
        <v>212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E37+'21'!F37</f>
        <v>0</v>
      </c>
      <c r="G37" s="48">
        <f>E37+'21'!G37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L40"/>
  <sheetViews>
    <sheetView topLeftCell="C1" zoomScale="80" zoomScaleNormal="80" workbookViewId="0">
      <pane xSplit="2" ySplit="6" topLeftCell="E25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'22'!E6+1</f>
        <v>46196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107600</v>
      </c>
      <c r="F7" s="12">
        <f>E7+'22'!F7</f>
        <v>3878175</v>
      </c>
      <c r="G7" s="13">
        <f>E7+'22'!G7</f>
        <v>13167275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16876</v>
      </c>
      <c r="F8" s="12">
        <f>E8+'22'!F8</f>
        <v>417436</v>
      </c>
      <c r="G8" s="13">
        <f>E8+'22'!G8</f>
        <v>1475920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90724</v>
      </c>
      <c r="F9" s="12">
        <f>E9+'22'!F9</f>
        <v>3460739</v>
      </c>
      <c r="G9" s="13">
        <f>E9+'22'!G9</f>
        <v>11691355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15.684014869888477</v>
      </c>
      <c r="F10" s="15">
        <f>F8/F7*100</f>
        <v>10.76372262726669</v>
      </c>
      <c r="G10" s="16">
        <f>G8/G7*100</f>
        <v>11.209001103113589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4.4833333333333334</v>
      </c>
      <c r="F11" s="15">
        <f>F7/F12/1000</f>
        <v>7.0256793478260873</v>
      </c>
      <c r="G11" s="16">
        <f>G7/G12/1000</f>
        <v>6.5880514945013164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E12+'22'!F12</f>
        <v>552</v>
      </c>
      <c r="G12" s="13">
        <f>E12+'22'!G12</f>
        <v>1998.6599999999999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44.833333333333336</v>
      </c>
      <c r="F13" s="15">
        <f>F11/10*100</f>
        <v>70.256793478260875</v>
      </c>
      <c r="G13" s="16">
        <f>G11/10*100</f>
        <v>65.880514945013175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541</v>
      </c>
      <c r="F14" s="12">
        <f>E14+'22'!F14</f>
        <v>17952</v>
      </c>
      <c r="G14" s="13">
        <f>E14+'22'!G14</f>
        <v>61640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525</v>
      </c>
      <c r="F15" s="12">
        <f>E15+'22'!F15</f>
        <v>17335</v>
      </c>
      <c r="G15" s="13">
        <f>E15+'22'!G15</f>
        <v>59724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29</v>
      </c>
      <c r="F16" s="12">
        <f>E16+'22'!F16</f>
        <v>1265</v>
      </c>
      <c r="G16" s="13">
        <f>E16+'22'!G16</f>
        <v>3710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473</v>
      </c>
      <c r="F17" s="12">
        <f>E17+'22'!F17</f>
        <v>16199</v>
      </c>
      <c r="G17" s="13">
        <f>E17+'22'!G17</f>
        <v>54813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377</v>
      </c>
      <c r="F18" s="12">
        <f>E18+'22'!F18</f>
        <v>12872</v>
      </c>
      <c r="G18" s="13">
        <f>E18+'22'!G18</f>
        <v>44078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E19+'22'!F19</f>
        <v>409</v>
      </c>
      <c r="G19" s="13">
        <f>E19+'22'!G19</f>
        <v>1490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4.3959107806691451</v>
      </c>
      <c r="F20" s="15">
        <f>F17*1000/F7</f>
        <v>4.1769646805520635</v>
      </c>
      <c r="G20" s="16">
        <f>G17*1000/G7</f>
        <v>4.1628203253900296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0.87360594795539037</v>
      </c>
      <c r="F21" s="19">
        <f>F26*1000/F7</f>
        <v>0.8529785272712036</v>
      </c>
      <c r="G21" s="20">
        <f>G26*1000/G7</f>
        <v>0.87185845210949109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2961.7936802973977</v>
      </c>
      <c r="F22" s="21">
        <f t="shared" ref="F22:G22" si="0">((F17*(803-130)+F31*(30))*1000)/F7</f>
        <v>2813.8433670476447</v>
      </c>
      <c r="G22" s="21">
        <f t="shared" si="0"/>
        <v>2804.5900917236104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4209.858450100086</v>
      </c>
      <c r="F23" s="21">
        <f t="shared" ref="F23:G23" si="1">(F15*(803-130))*1000/(F7*0.78)</f>
        <v>3856.7093000557193</v>
      </c>
      <c r="G23" s="21">
        <f t="shared" si="1"/>
        <v>3913.5730291721184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E24+'22'!F24</f>
        <v>0</v>
      </c>
      <c r="G24" s="48">
        <f>E24+'22'!G24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94</v>
      </c>
      <c r="F26" s="32">
        <f>E26+'22'!F26</f>
        <v>3308</v>
      </c>
      <c r="G26" s="33">
        <f>E26+'22'!G26</f>
        <v>11480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4799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13</v>
      </c>
      <c r="F30" s="32">
        <f>E30+'22'!F30</f>
        <v>350</v>
      </c>
      <c r="G30" s="33">
        <f>E30+'22'!G30</f>
        <v>1305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12</v>
      </c>
      <c r="F31" s="12">
        <f>E31+'22'!F31</f>
        <v>355</v>
      </c>
      <c r="G31" s="13">
        <f>E31+'22'!G31</f>
        <v>1322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E32+'22'!F32</f>
        <v>441</v>
      </c>
      <c r="G32" s="13">
        <f>E32+'22'!G32</f>
        <v>1577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12.57</v>
      </c>
      <c r="F33" s="47">
        <v>1012</v>
      </c>
      <c r="G33" s="48"/>
    </row>
    <row r="34" spans="2:7" ht="30.95" customHeight="1">
      <c r="B34" s="96"/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28</v>
      </c>
      <c r="F35" s="32">
        <f>E35+'22'!F35</f>
        <v>503</v>
      </c>
      <c r="G35" s="33">
        <f>E35+'22'!G35</f>
        <v>1874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E36+'22'!F36</f>
        <v>57</v>
      </c>
      <c r="G36" s="13">
        <f>E36+'22'!G36</f>
        <v>212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E37+'22'!F37</f>
        <v>0</v>
      </c>
      <c r="G37" s="48">
        <f>E37+'22'!G37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L40"/>
  <sheetViews>
    <sheetView topLeftCell="B1" zoomScale="80" zoomScaleNormal="80" workbookViewId="0">
      <pane xSplit="3" ySplit="6" topLeftCell="E34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4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'23'!E6+1</f>
        <v>46197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160800</v>
      </c>
      <c r="F7" s="12">
        <f>E7+'23'!F7</f>
        <v>4038975</v>
      </c>
      <c r="G7" s="13">
        <f>E7+'23'!G7</f>
        <v>13328075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18489</v>
      </c>
      <c r="F8" s="12">
        <f>E8+'23'!F8</f>
        <v>435925</v>
      </c>
      <c r="G8" s="13">
        <f>E8+'23'!G8</f>
        <v>1494409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142311</v>
      </c>
      <c r="F9" s="12">
        <f>E9+'23'!F9</f>
        <v>3603050</v>
      </c>
      <c r="G9" s="13">
        <f>E9+'23'!G9</f>
        <v>11833666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11.498134328358208</v>
      </c>
      <c r="F10" s="15">
        <f>F8/F7*100</f>
        <v>10.792961085423901</v>
      </c>
      <c r="G10" s="16">
        <f>G8/G7*100</f>
        <v>11.212489425517189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6.7</v>
      </c>
      <c r="F11" s="15">
        <f>F7/F12/1000</f>
        <v>7.0121093749999996</v>
      </c>
      <c r="G11" s="16">
        <f>G7/G12/1000</f>
        <v>6.5893798265650183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E12+'23'!F12</f>
        <v>576</v>
      </c>
      <c r="G12" s="13">
        <f>E12+'23'!G12</f>
        <v>2022.6599999999999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67</v>
      </c>
      <c r="F13" s="15">
        <f>F11/10*100</f>
        <v>70.12109375</v>
      </c>
      <c r="G13" s="16">
        <f>G11/10*100</f>
        <v>65.89379826565019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747</v>
      </c>
      <c r="F14" s="12">
        <f>E14+'23'!F14</f>
        <v>18699</v>
      </c>
      <c r="G14" s="13">
        <f>E14+'23'!G14</f>
        <v>62387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718</v>
      </c>
      <c r="F15" s="12">
        <f>E15+'23'!F15</f>
        <v>18053</v>
      </c>
      <c r="G15" s="13">
        <f>E15+'23'!G15</f>
        <v>60442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53</v>
      </c>
      <c r="F16" s="12">
        <f>E16+'23'!F16</f>
        <v>1318</v>
      </c>
      <c r="G16" s="13">
        <f>E16+'23'!G16</f>
        <v>3763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678</v>
      </c>
      <c r="F17" s="12">
        <f>E17+'23'!F17</f>
        <v>16877</v>
      </c>
      <c r="G17" s="13">
        <f>E17+'23'!G17</f>
        <v>55491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533</v>
      </c>
      <c r="F18" s="12">
        <f>E18+'23'!F18</f>
        <v>13405</v>
      </c>
      <c r="G18" s="13">
        <f>E18+'23'!G18</f>
        <v>44611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E19+'23'!F19</f>
        <v>426</v>
      </c>
      <c r="G19" s="13">
        <f>E19+'23'!G19</f>
        <v>1507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4.2164179104477615</v>
      </c>
      <c r="F20" s="15">
        <f>F17*1000/F7</f>
        <v>4.1785353957377804</v>
      </c>
      <c r="G20" s="16">
        <f>G17*1000/G7</f>
        <v>4.1634669672852231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0.82089552238805974</v>
      </c>
      <c r="F21" s="19">
        <f>F26*1000/F7</f>
        <v>0.8517012360809364</v>
      </c>
      <c r="G21" s="20">
        <f>G26*1000/G7</f>
        <v>0.87124359669344598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2840.2611940298507</v>
      </c>
      <c r="F22" s="21">
        <f t="shared" ref="F22:G22" si="0">((F17*(803-130)+F31*(30))*1000)/F7</f>
        <v>2814.8951157162401</v>
      </c>
      <c r="G22" s="21">
        <f t="shared" si="0"/>
        <v>2805.0204549419177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3852.6438321214441</v>
      </c>
      <c r="F23" s="21">
        <f t="shared" ref="F23:G23" si="1">(F15*(803-130))*1000/(F7*0.78)</f>
        <v>3856.5474453168731</v>
      </c>
      <c r="G23" s="21">
        <f t="shared" si="1"/>
        <v>3912.8379331521946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E24+'23'!F24</f>
        <v>0</v>
      </c>
      <c r="G24" s="48">
        <f>E24+'23'!G24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132</v>
      </c>
      <c r="F26" s="32">
        <f>E26+'23'!F26</f>
        <v>3440</v>
      </c>
      <c r="G26" s="33">
        <f>E26+'23'!G26</f>
        <v>11612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4693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15</v>
      </c>
      <c r="F30" s="32">
        <f>E30+'23'!F30</f>
        <v>365</v>
      </c>
      <c r="G30" s="33">
        <f>E30+'23'!G30</f>
        <v>1320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E31+'23'!F31</f>
        <v>369</v>
      </c>
      <c r="G31" s="13">
        <f>E31+'23'!G31</f>
        <v>1336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53</v>
      </c>
      <c r="F32" s="12">
        <f>E32+'23'!F32</f>
        <v>494</v>
      </c>
      <c r="G32" s="13">
        <f>E32+'23'!G32</f>
        <v>1630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11.7</v>
      </c>
      <c r="F33" s="61">
        <v>951</v>
      </c>
      <c r="G33" s="62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20</v>
      </c>
      <c r="F35" s="32">
        <f>E35+'23'!F35</f>
        <v>523</v>
      </c>
      <c r="G35" s="33">
        <f>E35+'23'!G35</f>
        <v>1894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E36+'23'!F36</f>
        <v>59</v>
      </c>
      <c r="G36" s="13">
        <f>E36+'23'!G36</f>
        <v>214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E37+'23'!F37</f>
        <v>0</v>
      </c>
      <c r="G37" s="48">
        <f>E37+'23'!G37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L39"/>
  <sheetViews>
    <sheetView zoomScale="80" zoomScaleNormal="80" workbookViewId="0">
      <pane xSplit="4" ySplit="6" topLeftCell="E35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'24'!E6+1</f>
        <v>46198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176200</v>
      </c>
      <c r="F7" s="12">
        <f>E7+'24'!F7</f>
        <v>4215175</v>
      </c>
      <c r="G7" s="13">
        <f>E7+'24'!G7</f>
        <v>13504275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18271</v>
      </c>
      <c r="F8" s="12">
        <f>E8+'24'!F8</f>
        <v>454196</v>
      </c>
      <c r="G8" s="13">
        <f>E8+'24'!G8</f>
        <v>1512680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157929</v>
      </c>
      <c r="F9" s="12">
        <f>E9+'24'!F9</f>
        <v>3760979</v>
      </c>
      <c r="G9" s="13">
        <f>E9+'24'!G9</f>
        <v>11991595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10.369466515323495</v>
      </c>
      <c r="F10" s="15">
        <f>F8/F7*100</f>
        <v>10.775258441227233</v>
      </c>
      <c r="G10" s="16">
        <f>G8/G7*100</f>
        <v>11.201489898569157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7.3416666666666668</v>
      </c>
      <c r="F11" s="15">
        <f>F7/F12/1000</f>
        <v>7.0252916666666669</v>
      </c>
      <c r="G11" s="16">
        <f>G7/G12/1000</f>
        <v>6.5982014599396095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E12+'24'!F12</f>
        <v>600</v>
      </c>
      <c r="G12" s="13">
        <f>E12+'24'!G12</f>
        <v>2046.6599999999999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73.416666666666657</v>
      </c>
      <c r="F13" s="15">
        <f>F11/10*100</f>
        <v>70.252916666666664</v>
      </c>
      <c r="G13" s="16">
        <f>G11/10*100</f>
        <v>65.982014599396095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802</v>
      </c>
      <c r="F14" s="12">
        <f>E14+'24'!F14</f>
        <v>19501</v>
      </c>
      <c r="G14" s="13">
        <f>E14+'24'!G14</f>
        <v>63189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788</v>
      </c>
      <c r="F15" s="12">
        <f>E15+'24'!F15</f>
        <v>18841</v>
      </c>
      <c r="G15" s="13">
        <f>E15+'24'!G15</f>
        <v>61230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12">
        <f>E16+'24'!F16</f>
        <v>1379</v>
      </c>
      <c r="G16" s="13">
        <f>E16+'24'!G16</f>
        <v>3824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738</v>
      </c>
      <c r="F17" s="12">
        <f>E17+'24'!F17</f>
        <v>17615</v>
      </c>
      <c r="G17" s="13">
        <f>E17+'24'!G17</f>
        <v>56229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576</v>
      </c>
      <c r="F18" s="12">
        <f>E18+'24'!F18</f>
        <v>13981</v>
      </c>
      <c r="G18" s="13">
        <f>E18+'24'!G18</f>
        <v>45187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E19+'24'!F19</f>
        <v>445</v>
      </c>
      <c r="G19" s="13">
        <f>E19+'24'!G19</f>
        <v>1526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4.1884222474460842</v>
      </c>
      <c r="F20" s="15">
        <f>F17*1000/F7</f>
        <v>4.1789486794735691</v>
      </c>
      <c r="G20" s="16">
        <f>G17*1000/G7</f>
        <v>4.1637925767951263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0.83995459704880815</v>
      </c>
      <c r="F21" s="19">
        <f>F26*1000/F7</f>
        <v>0.85121021072671954</v>
      </c>
      <c r="G21" s="20">
        <f>G26*1000/G7</f>
        <v>0.87083534658469264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2821.021566401816</v>
      </c>
      <c r="F22" s="21">
        <f t="shared" ref="F22:G22" si="0">((F17*(803-130)+F31*(30))*1000)/F7</f>
        <v>2815.1512096176316</v>
      </c>
      <c r="G22" s="21">
        <f t="shared" si="0"/>
        <v>2805.2292329651168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3858.6978666433829</v>
      </c>
      <c r="F23" s="21">
        <f t="shared" ref="F23:G23" si="1">(F15*(803-130))*1000/(F7*0.78)</f>
        <v>3856.6373358285914</v>
      </c>
      <c r="G23" s="21">
        <f t="shared" si="1"/>
        <v>3912.1315287196094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E24+'24'!F24</f>
        <v>0</v>
      </c>
      <c r="G24" s="48">
        <f>E24+'24'!G24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148</v>
      </c>
      <c r="F26" s="32">
        <f>E26+'24'!F26</f>
        <v>3588</v>
      </c>
      <c r="G26" s="33">
        <f>E26+'24'!G26</f>
        <v>11760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4593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13</v>
      </c>
      <c r="F30" s="32">
        <f>E30+'24'!F30</f>
        <v>378</v>
      </c>
      <c r="G30" s="33">
        <f>E30+'24'!G30</f>
        <v>1333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E31+'24'!F31</f>
        <v>382</v>
      </c>
      <c r="G31" s="13">
        <f>E31+'24'!G31</f>
        <v>1349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59</v>
      </c>
      <c r="F32" s="12">
        <f>E32+'24'!F32</f>
        <v>553</v>
      </c>
      <c r="G32" s="13">
        <f>E32+'24'!G32</f>
        <v>1689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16</v>
      </c>
      <c r="F33" s="47">
        <v>1115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47</v>
      </c>
      <c r="F35" s="32">
        <f>E35+'24'!F35</f>
        <v>570</v>
      </c>
      <c r="G35" s="33">
        <f>E35+'24'!G35</f>
        <v>1941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E36+'24'!F36</f>
        <v>59</v>
      </c>
      <c r="G36" s="13">
        <f>E36+'24'!G36</f>
        <v>214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E37+'24'!F37</f>
        <v>0</v>
      </c>
      <c r="G37" s="48">
        <f>E37+'24'!G37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L39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'25'!E6+1</f>
        <v>46199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170200</v>
      </c>
      <c r="F7" s="12">
        <f>E7+'25'!F7</f>
        <v>4385375</v>
      </c>
      <c r="G7" s="13">
        <f>E7+'25'!G7</f>
        <v>13674475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18058</v>
      </c>
      <c r="F8" s="12">
        <f>E8+'25'!F8</f>
        <v>472254</v>
      </c>
      <c r="G8" s="13">
        <f>E8+'25'!G8</f>
        <v>1530738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152142</v>
      </c>
      <c r="F9" s="12">
        <f>E9+'25'!F9</f>
        <v>3913121</v>
      </c>
      <c r="G9" s="13">
        <f>E9+'25'!G9</f>
        <v>12143737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10.609870740305523</v>
      </c>
      <c r="F10" s="15">
        <f>F8/F7*100</f>
        <v>10.768839608927401</v>
      </c>
      <c r="G10" s="16">
        <f>G8/G7*100</f>
        <v>11.19412628272749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7.0916666666666668</v>
      </c>
      <c r="F11" s="15">
        <f>F7/F12/1000</f>
        <v>7.027844551282052</v>
      </c>
      <c r="G11" s="16">
        <f>G7/G12/1000</f>
        <v>6.6039209720572192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E12+'25'!F12</f>
        <v>624</v>
      </c>
      <c r="G12" s="13">
        <f>E12+'25'!G12</f>
        <v>2070.66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70.916666666666671</v>
      </c>
      <c r="F13" s="15">
        <f>F11/10*100</f>
        <v>70.278445512820525</v>
      </c>
      <c r="G13" s="16">
        <f>G11/10*100</f>
        <v>66.039209720572188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778</v>
      </c>
      <c r="F14" s="12">
        <f>E14+'25'!F14</f>
        <v>20279</v>
      </c>
      <c r="G14" s="13">
        <f>E14+'25'!G14</f>
        <v>63967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758</v>
      </c>
      <c r="F15" s="12">
        <f>E15+'25'!F15</f>
        <v>19599</v>
      </c>
      <c r="G15" s="13">
        <f>E15+'25'!G15</f>
        <v>61988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60</v>
      </c>
      <c r="F16" s="12">
        <f>E16+'25'!F16</f>
        <v>1439</v>
      </c>
      <c r="G16" s="13">
        <f>E16+'25'!G16</f>
        <v>3884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709</v>
      </c>
      <c r="F17" s="12">
        <f>E17+'25'!F17</f>
        <v>18324</v>
      </c>
      <c r="G17" s="13">
        <f>E17+'25'!G17</f>
        <v>56938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555</v>
      </c>
      <c r="F18" s="12">
        <f>E18+'25'!F18</f>
        <v>14536</v>
      </c>
      <c r="G18" s="13">
        <f>E18+'25'!G18</f>
        <v>45742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E19+'25'!F19</f>
        <v>462</v>
      </c>
      <c r="G19" s="13">
        <f>E19+'25'!G19</f>
        <v>1543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4.1656874265569916</v>
      </c>
      <c r="F20" s="15">
        <f>F17*1000/F7</f>
        <v>4.178433999372916</v>
      </c>
      <c r="G20" s="16">
        <f>G17*1000/G7</f>
        <v>4.1638161611323286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0.82256169212690955</v>
      </c>
      <c r="F21" s="19">
        <f>F26*1000/F7</f>
        <v>0.8500983382264915</v>
      </c>
      <c r="G21" s="20">
        <f>G26*1000/G7</f>
        <v>0.87023450626075227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2805.7990599294949</v>
      </c>
      <c r="F22" s="21">
        <f t="shared" ref="F22:G22" si="0">((F17*(803-130)+F31*(30))*1000)/F7</f>
        <v>2814.788245018955</v>
      </c>
      <c r="G22" s="21">
        <f t="shared" si="0"/>
        <v>2805.2363253433859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3842.6436469914729</v>
      </c>
      <c r="F23" s="21">
        <f t="shared" ref="F23:G23" si="1">(F15*(803-130))*1000/(F7*0.78)</f>
        <v>3856.0942292892241</v>
      </c>
      <c r="G23" s="21">
        <f t="shared" si="1"/>
        <v>3911.266644512345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E24+'25'!F24</f>
        <v>0</v>
      </c>
      <c r="G24" s="48">
        <f>E24+'25'!G24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140</v>
      </c>
      <c r="F26" s="32">
        <f>E26+'25'!F26</f>
        <v>3728</v>
      </c>
      <c r="G26" s="33">
        <f>E26+'25'!G26</f>
        <v>11900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4664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3" t="s">
        <v>38</v>
      </c>
      <c r="E30" s="32">
        <v>11</v>
      </c>
      <c r="F30" s="32">
        <f>E30+'25'!F30</f>
        <v>389</v>
      </c>
      <c r="G30" s="33">
        <f>E30+'25'!G30</f>
        <v>1344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E31+'25'!F31</f>
        <v>395</v>
      </c>
      <c r="G31" s="13">
        <f>E31+'25'!G31</f>
        <v>1362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E32+'25'!F32</f>
        <v>571</v>
      </c>
      <c r="G32" s="13">
        <f>E32+'25'!G32</f>
        <v>1707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</v>
      </c>
      <c r="F33" s="47">
        <v>1189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46</v>
      </c>
      <c r="F35" s="32">
        <f>E35+'25'!F35</f>
        <v>616</v>
      </c>
      <c r="G35" s="33">
        <f>E35+'25'!G35</f>
        <v>1987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E36+'25'!F36</f>
        <v>59</v>
      </c>
      <c r="G36" s="13">
        <f>E36+'25'!G36</f>
        <v>214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E37+'25'!F37</f>
        <v>0</v>
      </c>
      <c r="G37" s="48">
        <f>E37+'25'!G37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L39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'26'!E6+1</f>
        <v>46200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168600</v>
      </c>
      <c r="F7" s="12">
        <f>E7+'26'!F7</f>
        <v>4553975</v>
      </c>
      <c r="G7" s="13">
        <f>E7+'26'!G7</f>
        <v>13843075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18014</v>
      </c>
      <c r="F8" s="12">
        <f>E8+'26'!F8</f>
        <v>490268</v>
      </c>
      <c r="G8" s="13">
        <f>E8+'26'!G8</f>
        <v>1548752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150586</v>
      </c>
      <c r="F9" s="12">
        <f>E9+'26'!F9</f>
        <v>4063707</v>
      </c>
      <c r="G9" s="13">
        <f>E9+'26'!G9</f>
        <v>12294323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10.684460260972717</v>
      </c>
      <c r="F10" s="15">
        <f>F8/F7*100</f>
        <v>10.765715665984112</v>
      </c>
      <c r="G10" s="16">
        <f>G8/G7*100</f>
        <v>11.187918869181884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7.0250000000000004</v>
      </c>
      <c r="F11" s="15">
        <f>F7/F12/1000</f>
        <v>7.0277391975308641</v>
      </c>
      <c r="G11" s="16">
        <f>G7/G12/1000</f>
        <v>6.60874557207375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E12+'26'!F12</f>
        <v>648</v>
      </c>
      <c r="G12" s="13">
        <f>E12+'26'!G12</f>
        <v>2094.66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70.25</v>
      </c>
      <c r="F13" s="15">
        <f>F11/10*100</f>
        <v>70.277391975308646</v>
      </c>
      <c r="G13" s="16">
        <f>G11/10*100</f>
        <v>66.087455720737495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774</v>
      </c>
      <c r="F14" s="12">
        <f>E14+'26'!F14</f>
        <v>21053</v>
      </c>
      <c r="G14" s="13">
        <f>E14+'26'!G14</f>
        <v>64741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753</v>
      </c>
      <c r="F15" s="12">
        <f>E15+'26'!F15</f>
        <v>20352</v>
      </c>
      <c r="G15" s="13">
        <f>E15+'26'!G15</f>
        <v>62741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66</v>
      </c>
      <c r="F16" s="12">
        <f>E16+'26'!F16</f>
        <v>1505</v>
      </c>
      <c r="G16" s="13">
        <f>E16+'26'!G16</f>
        <v>3950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703</v>
      </c>
      <c r="F17" s="12">
        <f>E17+'26'!F17</f>
        <v>19027</v>
      </c>
      <c r="G17" s="13">
        <f>E17+'26'!G17</f>
        <v>57641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549</v>
      </c>
      <c r="F18" s="12">
        <f>E18+'26'!F18</f>
        <v>15085</v>
      </c>
      <c r="G18" s="13">
        <f>E18+'26'!G18</f>
        <v>46291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E19+'26'!F19</f>
        <v>480</v>
      </c>
      <c r="G19" s="13">
        <f>E19+'26'!G19</f>
        <v>1561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4.1696322657176745</v>
      </c>
      <c r="F20" s="15">
        <f>F17*1000/F7</f>
        <v>4.1781081362985084</v>
      </c>
      <c r="G20" s="16">
        <f>G17*1000/G7</f>
        <v>4.16388699765045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0.8481613285883749</v>
      </c>
      <c r="F21" s="19">
        <f>F26*1000/F7</f>
        <v>0.85002662509126647</v>
      </c>
      <c r="G21" s="20">
        <f>G26*1000/G7</f>
        <v>0.86996566875495507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2809.009489916963</v>
      </c>
      <c r="F22" s="21">
        <f t="shared" ref="F22:G22" si="0">((F17*(803-130)+F31*(30))*1000)/F7</f>
        <v>2814.5743004737619</v>
      </c>
      <c r="G22" s="21">
        <f t="shared" si="0"/>
        <v>2805.2822801292341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3853.5222191805824</v>
      </c>
      <c r="F23" s="21">
        <f t="shared" ref="F23:G23" si="1">(F15*(803-130))*1000/(F7*0.78)</f>
        <v>3855.9990067848589</v>
      </c>
      <c r="G23" s="21">
        <f t="shared" si="1"/>
        <v>3910.5633535086527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E24+'26'!F24</f>
        <v>0</v>
      </c>
      <c r="G24" s="48">
        <f>E24+'26'!G24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143</v>
      </c>
      <c r="F26" s="32">
        <f>E26+'26'!F26</f>
        <v>3871</v>
      </c>
      <c r="G26" s="33">
        <f>E26+'26'!G26</f>
        <v>12043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4532</v>
      </c>
      <c r="F27" s="36">
        <v>0</v>
      </c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3" t="s">
        <v>38</v>
      </c>
      <c r="E30" s="32">
        <v>18</v>
      </c>
      <c r="F30" s="32">
        <f>E30+'26'!F30</f>
        <v>407</v>
      </c>
      <c r="G30" s="33">
        <f>E30+'26'!G30</f>
        <v>1362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16</v>
      </c>
      <c r="F31" s="12">
        <f>E31+'26'!F31</f>
        <v>411</v>
      </c>
      <c r="G31" s="13">
        <f>E31+'26'!G31</f>
        <v>1378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20</v>
      </c>
      <c r="F32" s="12">
        <f>E32+'26'!F32</f>
        <v>591</v>
      </c>
      <c r="G32" s="13">
        <f>E32+'26'!G32</f>
        <v>1727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</v>
      </c>
      <c r="F33" s="47">
        <v>1325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48</v>
      </c>
      <c r="F35" s="32">
        <f>E35+'26'!F35</f>
        <v>664</v>
      </c>
      <c r="G35" s="33">
        <f>E35+'26'!G35</f>
        <v>2035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E36+'26'!F36</f>
        <v>59</v>
      </c>
      <c r="G36" s="13">
        <f>E36+'26'!G36</f>
        <v>214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E37+'26'!F37</f>
        <v>0</v>
      </c>
      <c r="G37" s="48">
        <f>E37+'26'!G37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E7" sqref="E7:G24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'27'!E6+1</f>
        <v>46201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170400</v>
      </c>
      <c r="F7" s="12">
        <f>E7+'27'!F7</f>
        <v>4724375</v>
      </c>
      <c r="G7" s="13">
        <f>E7+'27'!G7</f>
        <v>14013475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18125</v>
      </c>
      <c r="F8" s="12">
        <f>E8+'27'!F8</f>
        <v>508393</v>
      </c>
      <c r="G8" s="13">
        <f>E8+'27'!G8</f>
        <v>1566877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152275</v>
      </c>
      <c r="F9" s="12">
        <f>E9+'27'!F9</f>
        <v>4215982</v>
      </c>
      <c r="G9" s="13">
        <f>E9+'27'!G9</f>
        <v>12446598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10.636737089201878</v>
      </c>
      <c r="F10" s="15">
        <f>F8/F7*100</f>
        <v>10.761063632755656</v>
      </c>
      <c r="G10" s="16">
        <f>G8/G7*100</f>
        <v>11.181216650402559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7.1</v>
      </c>
      <c r="F11" s="15">
        <f>F7/F12/1000</f>
        <v>7.0303199404761907</v>
      </c>
      <c r="G11" s="16">
        <f>G7/G12/1000</f>
        <v>6.6143104603853384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E12+'27'!F12</f>
        <v>672</v>
      </c>
      <c r="G12" s="13">
        <f>E12+'27'!G12</f>
        <v>2118.66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71</v>
      </c>
      <c r="F13" s="15">
        <f>F11/10*100</f>
        <v>70.303199404761912</v>
      </c>
      <c r="G13" s="16">
        <f>G11/10*100</f>
        <v>66.143104603853388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780</v>
      </c>
      <c r="F14" s="12">
        <f>E14+'27'!F14</f>
        <v>21833</v>
      </c>
      <c r="G14" s="13">
        <f>E14+'27'!G14</f>
        <v>65521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757</v>
      </c>
      <c r="F15" s="12">
        <f>E15+'27'!F15</f>
        <v>21109</v>
      </c>
      <c r="G15" s="13">
        <f>E15+'27'!G15</f>
        <v>63498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12">
        <f>E16+'27'!F16</f>
        <v>1562</v>
      </c>
      <c r="G16" s="13">
        <f>E16+'27'!G16</f>
        <v>4007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713</v>
      </c>
      <c r="F17" s="12">
        <f>E17+'27'!F17</f>
        <v>19740</v>
      </c>
      <c r="G17" s="13">
        <f>E17+'27'!G17</f>
        <v>58354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559</v>
      </c>
      <c r="F18" s="12">
        <f>E18+'27'!F18</f>
        <v>15644</v>
      </c>
      <c r="G18" s="13">
        <f>E18+'27'!G18</f>
        <v>46850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E19+'27'!F19</f>
        <v>497</v>
      </c>
      <c r="G19" s="13">
        <f>E19+'27'!G19</f>
        <v>1578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4.184272300469484</v>
      </c>
      <c r="F20" s="15">
        <f>F17*1000/F7</f>
        <v>4.1783304669929882</v>
      </c>
      <c r="G20" s="16">
        <f>G17*1000/G7</f>
        <v>4.1641348773234332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0.85093896713615025</v>
      </c>
      <c r="F21" s="19">
        <f>F26*1000/F7</f>
        <v>0.85005953168408521</v>
      </c>
      <c r="G21" s="20">
        <f>G26*1000/G7</f>
        <v>0.86973430929872853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2819.0082159624412</v>
      </c>
      <c r="F22" s="21">
        <f t="shared" ref="F22:G22" si="0">((F17*(803-130)+F31*(30))*1000)/F7</f>
        <v>2814.7342241037172</v>
      </c>
      <c r="G22" s="21">
        <f t="shared" si="0"/>
        <v>2805.4491837320866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3833.0700012038042</v>
      </c>
      <c r="F23" s="21">
        <f t="shared" ref="F23:G23" si="1">(F15*(803-130))*1000/(F7*0.78)</f>
        <v>3855.1719973812842</v>
      </c>
      <c r="G23" s="21">
        <f t="shared" si="1"/>
        <v>3909.6210556679853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E24+'27'!F24</f>
        <v>0</v>
      </c>
      <c r="G24" s="48">
        <f>E24+'27'!G24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145</v>
      </c>
      <c r="F26" s="32">
        <f>E26+'27'!F26</f>
        <v>4016</v>
      </c>
      <c r="G26" s="33">
        <f>E26+'27'!G26</f>
        <v>12188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4498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18</v>
      </c>
      <c r="F30" s="32">
        <f>E30+'27'!F30</f>
        <v>425</v>
      </c>
      <c r="G30" s="33">
        <f>E30+'27'!G30</f>
        <v>1380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17</v>
      </c>
      <c r="F31" s="12">
        <f>E31+'27'!F31</f>
        <v>428</v>
      </c>
      <c r="G31" s="13">
        <f>E31+'27'!G31</f>
        <v>1395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19</v>
      </c>
      <c r="F32" s="12">
        <f>E32+'27'!F32</f>
        <v>610</v>
      </c>
      <c r="G32" s="13">
        <f>E32+'27'!G32</f>
        <v>1746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17</v>
      </c>
      <c r="F33" s="47">
        <v>1187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51</v>
      </c>
      <c r="F35" s="32">
        <f>E35+'27'!F35</f>
        <v>715</v>
      </c>
      <c r="G35" s="33">
        <f>E35+'27'!G35</f>
        <v>2086</v>
      </c>
    </row>
    <row r="36" spans="2:7" ht="30.95" customHeight="1">
      <c r="B36" s="59">
        <v>6</v>
      </c>
      <c r="C36" s="53" t="s">
        <v>50</v>
      </c>
      <c r="D36" s="54" t="s">
        <v>43</v>
      </c>
      <c r="E36" s="60">
        <v>0</v>
      </c>
      <c r="F36" s="12">
        <f>E36+'27'!F36</f>
        <v>59</v>
      </c>
      <c r="G36" s="13">
        <f>E36+'27'!G36</f>
        <v>214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E37+'27'!F37</f>
        <v>0</v>
      </c>
      <c r="G37" s="48">
        <f>E37+'27'!G37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F39" sqref="F39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'28'!E6+1</f>
        <v>46202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175890</v>
      </c>
      <c r="F7" s="12">
        <f>E7+'28'!F7</f>
        <v>4900265</v>
      </c>
      <c r="G7" s="13">
        <f>E7+'28'!G7</f>
        <v>14189365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18202</v>
      </c>
      <c r="F8" s="12">
        <f>E8+'28'!F8</f>
        <v>526595</v>
      </c>
      <c r="G8" s="13">
        <f>E8+'28'!G8</f>
        <v>1585079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157688</v>
      </c>
      <c r="F9" s="12">
        <f>E9+'28'!F9</f>
        <v>4373670</v>
      </c>
      <c r="G9" s="13">
        <f>E9+'28'!G9</f>
        <v>12604286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10.348513275342544</v>
      </c>
      <c r="F10" s="15">
        <f>F8/F7*100</f>
        <v>10.746255559648304</v>
      </c>
      <c r="G10" s="16">
        <f>G8/G7*100</f>
        <v>11.170894539678132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7.817333333333333</v>
      </c>
      <c r="F11" s="15">
        <f>F7/F12/1000</f>
        <v>7.0558171346292289</v>
      </c>
      <c r="G11" s="16">
        <f>G7/G12/1000</f>
        <v>6.6269522128192202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22.5</v>
      </c>
      <c r="F12" s="12">
        <f>E12+'28'!F12</f>
        <v>694.5</v>
      </c>
      <c r="G12" s="13">
        <f>E12+'28'!G12</f>
        <v>2141.16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78.173333333333332</v>
      </c>
      <c r="F13" s="15">
        <f>F11/10*100</f>
        <v>70.558171346292283</v>
      </c>
      <c r="G13" s="16">
        <f>G11/10*100</f>
        <v>66.269522128192207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804</v>
      </c>
      <c r="F14" s="12">
        <f>E14+'28'!F14</f>
        <v>22637</v>
      </c>
      <c r="G14" s="13">
        <f>E14+'28'!G14</f>
        <v>66325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778</v>
      </c>
      <c r="F15" s="12">
        <f>E15+'28'!F15</f>
        <v>21887</v>
      </c>
      <c r="G15" s="13">
        <f>E15+'28'!G15</f>
        <v>64276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60</v>
      </c>
      <c r="F16" s="12">
        <f>E16+'28'!F16</f>
        <v>1622</v>
      </c>
      <c r="G16" s="13">
        <f>E16+'28'!G16</f>
        <v>4067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729</v>
      </c>
      <c r="F17" s="12">
        <f>E17+'28'!F17</f>
        <v>20469</v>
      </c>
      <c r="G17" s="13">
        <f>E17+'28'!G17</f>
        <v>59083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572</v>
      </c>
      <c r="F18" s="12">
        <f>E18+'28'!F18</f>
        <v>16216</v>
      </c>
      <c r="G18" s="13">
        <f>E18+'28'!G18</f>
        <v>47422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E19+'28'!F19</f>
        <v>516</v>
      </c>
      <c r="G19" s="13">
        <f>E19+'28'!G19</f>
        <v>1597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4.1446358519529252</v>
      </c>
      <c r="F20" s="15">
        <f>F17*1000/F7</f>
        <v>4.1771210332502422</v>
      </c>
      <c r="G20" s="16">
        <f>G17*1000/G7</f>
        <v>4.1638931692855881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0.85280573085451139</v>
      </c>
      <c r="F21" s="19">
        <f>F26*1000/F7</f>
        <v>0.85015810369439204</v>
      </c>
      <c r="G21" s="20">
        <f>G26*1000/G7</f>
        <v>0.86952446427306651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2791.5572232645404</v>
      </c>
      <c r="F22" s="21">
        <f t="shared" ref="F22:G22" si="0">((F17*(803-130)+F31*(30))*1000)/F7</f>
        <v>2813.9023093649016</v>
      </c>
      <c r="G22" s="21">
        <f t="shared" si="0"/>
        <v>2805.2769803299866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3816.4441353934785</v>
      </c>
      <c r="F23" s="21">
        <f t="shared" ref="F23:G23" si="1">(F15*(803-130))*1000/(F7*0.78)</f>
        <v>3853.7819003875429</v>
      </c>
      <c r="G23" s="21">
        <f t="shared" si="1"/>
        <v>3908.4660435510168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E24+'28'!F24</f>
        <v>0</v>
      </c>
      <c r="G24" s="27">
        <f>E24+'28'!G24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150</v>
      </c>
      <c r="F26" s="32">
        <f>E26+'28'!F26</f>
        <v>4166</v>
      </c>
      <c r="G26" s="33">
        <f>E26+'28'!G26</f>
        <v>12338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4451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12</v>
      </c>
      <c r="F30" s="32">
        <f>E30+'28'!F30</f>
        <v>437</v>
      </c>
      <c r="G30" s="33">
        <f>E30+'28'!G30</f>
        <v>1392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E31+'28'!F31</f>
        <v>441</v>
      </c>
      <c r="G31" s="13">
        <f>E31+'28'!G31</f>
        <v>1408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E32+'28'!F32</f>
        <v>628</v>
      </c>
      <c r="G32" s="13">
        <f>E32+'28'!G32</f>
        <v>1764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7">
        <v>1423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52</v>
      </c>
      <c r="F35" s="32">
        <f>E35+'28'!F35</f>
        <v>767</v>
      </c>
      <c r="G35" s="33">
        <f>E35+'28'!G35</f>
        <v>2138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E36+'28'!F36</f>
        <v>59</v>
      </c>
      <c r="G36" s="13">
        <f>E36+'28'!G36</f>
        <v>214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E37+'28'!F37</f>
        <v>0</v>
      </c>
      <c r="G37" s="48">
        <f>E37+'28'!G37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L40"/>
  <sheetViews>
    <sheetView tabSelected="1" zoomScale="80" zoomScaleNormal="80" workbookViewId="0">
      <pane xSplit="4" ySplit="6" topLeftCell="E13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'29'!E6+1</f>
        <v>46203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130600</v>
      </c>
      <c r="F7" s="12">
        <f>E7+'29'!F7</f>
        <v>5030865</v>
      </c>
      <c r="G7" s="13">
        <f>E7+'29'!G7</f>
        <v>14319965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17516</v>
      </c>
      <c r="F8" s="12">
        <f>E8+'29'!F8</f>
        <v>544111</v>
      </c>
      <c r="G8" s="13">
        <f>E8+'29'!G8</f>
        <v>1602595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113084</v>
      </c>
      <c r="F9" s="12">
        <f>E9+'29'!F9</f>
        <v>4486754</v>
      </c>
      <c r="G9" s="13">
        <f>E9+'29'!G9</f>
        <v>12717370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13.411944869831546</v>
      </c>
      <c r="F10" s="15">
        <f>F8/F7*100</f>
        <v>10.815456188945639</v>
      </c>
      <c r="G10" s="16">
        <f>G8/G7*100</f>
        <v>11.19133321904069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5.8044444444444441</v>
      </c>
      <c r="F11" s="15">
        <f>F7/F12/1000</f>
        <v>7.0165481171548114</v>
      </c>
      <c r="G11" s="16">
        <f>G7/G12/1000</f>
        <v>6.6183989166504906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22.5</v>
      </c>
      <c r="F12" s="12">
        <f>E12+'29'!F12</f>
        <v>717</v>
      </c>
      <c r="G12" s="13">
        <f>E12+'29'!G12</f>
        <v>2163.66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58.044444444444444</v>
      </c>
      <c r="F13" s="15">
        <f>F11/10*100</f>
        <v>70.165481171548123</v>
      </c>
      <c r="G13" s="16">
        <f>G11/10*100</f>
        <v>66.183989166504915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675</v>
      </c>
      <c r="F14" s="12">
        <f>E14+'29'!F14</f>
        <v>23312</v>
      </c>
      <c r="G14" s="13">
        <f>E14+'29'!G14</f>
        <v>67000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637</v>
      </c>
      <c r="F15" s="12">
        <f>E15+'29'!F15</f>
        <v>22524</v>
      </c>
      <c r="G15" s="13">
        <f>E15+'29'!G15</f>
        <v>64913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21</v>
      </c>
      <c r="F16" s="12">
        <f>E16+'29'!F16</f>
        <v>1643</v>
      </c>
      <c r="G16" s="13">
        <f>E16+'29'!G16</f>
        <v>4088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543</v>
      </c>
      <c r="F17" s="12">
        <f>E17+'29'!F17</f>
        <v>21012</v>
      </c>
      <c r="G17" s="13">
        <f>E17+'29'!G17</f>
        <v>59626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462</v>
      </c>
      <c r="F18" s="12">
        <f>E18+'29'!F18</f>
        <v>16678</v>
      </c>
      <c r="G18" s="13">
        <f>E18+'29'!G18</f>
        <v>47884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E19+'29'!F19</f>
        <v>534</v>
      </c>
      <c r="G19" s="13">
        <f>E19+'29'!G19</f>
        <v>1615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4.1577335375191424</v>
      </c>
      <c r="F20" s="15">
        <f>F17*1000/F7</f>
        <v>4.1766177386990107</v>
      </c>
      <c r="G20" s="16">
        <f>G17*1000/G7</f>
        <v>4.1638369926183483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0.93415007656967841</v>
      </c>
      <c r="F21" s="19">
        <f>F26*1000/F7</f>
        <v>0.85233851435091179</v>
      </c>
      <c r="G21" s="20">
        <f>G26*1000/G7</f>
        <v>0.87011385851850898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2807.343032159265</v>
      </c>
      <c r="F22" s="21">
        <f t="shared" ref="F22:G22" si="0">((F17*(803-130)+F31*(30))*1000)/F7</f>
        <v>2813.7320321654429</v>
      </c>
      <c r="G22" s="21">
        <f t="shared" si="0"/>
        <v>2805.2958229995675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4208.3971413986728</v>
      </c>
      <c r="F23" s="21">
        <f t="shared" ref="F23:G23" si="1">(F15*(803-130))*1000/(F7*0.78)</f>
        <v>3862.9876235536494</v>
      </c>
      <c r="G23" s="21">
        <f t="shared" si="1"/>
        <v>3911.2014553609552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1468</v>
      </c>
      <c r="F24" s="26">
        <f>E24+'29'!F24</f>
        <v>1468</v>
      </c>
      <c r="G24" s="27">
        <f>E24+'29'!G24</f>
        <v>1468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122</v>
      </c>
      <c r="F26" s="32">
        <f>E26+'29'!F26</f>
        <v>4288</v>
      </c>
      <c r="G26" s="33">
        <f>E26+'29'!G26</f>
        <v>12460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4509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41</v>
      </c>
      <c r="F30" s="32">
        <f>E30+'29'!F30</f>
        <v>478</v>
      </c>
      <c r="G30" s="33">
        <f>E30+'29'!G30</f>
        <v>1433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40</v>
      </c>
      <c r="F31" s="12">
        <f>E31+'29'!F31</f>
        <v>481</v>
      </c>
      <c r="G31" s="13">
        <f>E31+'29'!G31</f>
        <v>1448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E32+'29'!F32</f>
        <v>646</v>
      </c>
      <c r="G32" s="13">
        <f>E32+'29'!G32</f>
        <v>1782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20.62</v>
      </c>
      <c r="F33" s="47">
        <v>1421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20</v>
      </c>
      <c r="F35" s="32">
        <f>E35+'29'!F35</f>
        <v>787</v>
      </c>
      <c r="G35" s="33">
        <f>E35+'29'!G35</f>
        <v>2158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2</v>
      </c>
      <c r="F36" s="12">
        <f>E36+'29'!F36</f>
        <v>61</v>
      </c>
      <c r="G36" s="13">
        <f>E36+'29'!G36</f>
        <v>216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E37+'29'!F37</f>
        <v>0</v>
      </c>
      <c r="G37" s="48">
        <f>E37+'29'!G37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31</vt:i4>
      </vt:variant>
    </vt:vector>
  </HeadingPairs>
  <TitlesOfParts>
    <vt:vector size="62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'0'!Print_Area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shishupal_2</dc:creator>
  <cp:lastModifiedBy>POWER PLANT</cp:lastModifiedBy>
  <cp:lastPrinted>2018-03-31T06:53:00Z</cp:lastPrinted>
  <dcterms:created xsi:type="dcterms:W3CDTF">2014-07-10T19:27:00Z</dcterms:created>
  <dcterms:modified xsi:type="dcterms:W3CDTF">2026-07-01T12:44:02Z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4D0260AB3DDA40C18C57D4897C40BC09</vt:lpwstr>
  </property>
  <property fmtid="{D5CDD505-2E9C-101B-9397-08002B2CF9AE}" pid="3" name="KSOProductBuildVer">
    <vt:lpwstr>1033-11.2.0.11156</vt:lpwstr>
  </property>
</Properties>
</file>