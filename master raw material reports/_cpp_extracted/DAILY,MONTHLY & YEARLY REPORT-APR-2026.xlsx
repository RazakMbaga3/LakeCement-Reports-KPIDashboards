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POWER PLANT\Desktop\MIS REPORT DONT DELETE\2026\APRIL-2026\"/>
    </mc:Choice>
  </mc:AlternateContent>
  <xr:revisionPtr revIDLastSave="0" documentId="13_ncr:1_{82E44A8A-365A-4E32-826E-5280D3FA4C02}" xr6:coauthVersionLast="41" xr6:coauthVersionMax="47" xr10:uidLastSave="{00000000-0000-0000-0000-000000000000}"/>
  <bookViews>
    <workbookView xWindow="-120" yWindow="-120" windowWidth="20730" windowHeight="11160" tabRatio="946" activeTab="12" xr2:uid="{00000000-000D-0000-FFFF-FFFF00000000}"/>
  </bookViews>
  <sheets>
    <sheet name="0" sheetId="114" r:id="rId1"/>
    <sheet name="1" sheetId="33" r:id="rId2"/>
    <sheet name="2" sheetId="34" r:id="rId3"/>
    <sheet name="3" sheetId="79" r:id="rId4"/>
    <sheet name="4" sheetId="80" r:id="rId5"/>
    <sheet name="5" sheetId="81" r:id="rId6"/>
    <sheet name="6" sheetId="82" r:id="rId7"/>
    <sheet name="7" sheetId="83" r:id="rId8"/>
    <sheet name="8" sheetId="84" r:id="rId9"/>
    <sheet name="9" sheetId="85" r:id="rId10"/>
    <sheet name="10" sheetId="86" r:id="rId11"/>
    <sheet name="11" sheetId="87" r:id="rId12"/>
    <sheet name="12" sheetId="88" r:id="rId13"/>
    <sheet name="13" sheetId="89" r:id="rId14"/>
    <sheet name="14" sheetId="90" r:id="rId15"/>
    <sheet name="15" sheetId="91" r:id="rId16"/>
    <sheet name="16" sheetId="92" r:id="rId17"/>
    <sheet name="17" sheetId="93" r:id="rId18"/>
    <sheet name="18" sheetId="94" r:id="rId19"/>
    <sheet name="19" sheetId="95" r:id="rId20"/>
    <sheet name="20" sheetId="96" r:id="rId21"/>
    <sheet name="21" sheetId="97" r:id="rId22"/>
    <sheet name="22" sheetId="98" r:id="rId23"/>
    <sheet name="23" sheetId="99" r:id="rId24"/>
    <sheet name="24" sheetId="101" r:id="rId25"/>
    <sheet name="25" sheetId="100" r:id="rId26"/>
    <sheet name="26" sheetId="102" r:id="rId27"/>
    <sheet name="27" sheetId="103" r:id="rId28"/>
    <sheet name="28" sheetId="104" r:id="rId29"/>
    <sheet name="29" sheetId="115" r:id="rId30"/>
    <sheet name="30" sheetId="116" r:id="rId31"/>
  </sheets>
  <definedNames>
    <definedName name="_xlnm.Print_Area" localSheetId="0">'0'!$A$1:$H$1</definedName>
    <definedName name="_xlnm.Print_Area" localSheetId="1">'1'!$A$1:$H$41</definedName>
    <definedName name="_xlnm.Print_Area" localSheetId="10">'10'!$A$1:$H$41</definedName>
    <definedName name="_xlnm.Print_Area" localSheetId="11">'11'!$A$1:$H$41</definedName>
    <definedName name="_xlnm.Print_Area" localSheetId="12">'12'!$A$1:$H$41</definedName>
    <definedName name="_xlnm.Print_Area" localSheetId="13">'13'!$A$1:$H$41</definedName>
    <definedName name="_xlnm.Print_Area" localSheetId="14">'14'!$A$1:$H$41</definedName>
    <definedName name="_xlnm.Print_Area" localSheetId="15">'15'!$A$1:$H$41</definedName>
    <definedName name="_xlnm.Print_Area" localSheetId="16">'16'!$A$1:$H$41</definedName>
    <definedName name="_xlnm.Print_Area" localSheetId="17">'17'!$A$1:$H$41</definedName>
    <definedName name="_xlnm.Print_Area" localSheetId="18">'18'!$A$1:$H$41</definedName>
    <definedName name="_xlnm.Print_Area" localSheetId="19">'19'!$A$1:$H$41</definedName>
    <definedName name="_xlnm.Print_Area" localSheetId="2">'2'!$A$1:$H$41</definedName>
    <definedName name="_xlnm.Print_Area" localSheetId="20">'20'!$A$1:$H$41</definedName>
    <definedName name="_xlnm.Print_Area" localSheetId="21">'21'!$A$1:$H$41</definedName>
    <definedName name="_xlnm.Print_Area" localSheetId="22">'22'!$A$1:$H$41</definedName>
    <definedName name="_xlnm.Print_Area" localSheetId="23">'23'!$A$1:$H$41</definedName>
    <definedName name="_xlnm.Print_Area" localSheetId="24">'24'!$A$1:$H$41</definedName>
    <definedName name="_xlnm.Print_Area" localSheetId="25">'25'!$A$1:$H$40</definedName>
    <definedName name="_xlnm.Print_Area" localSheetId="26">'26'!$A$1:$H$40</definedName>
    <definedName name="_xlnm.Print_Area" localSheetId="27">'27'!$A$1:$H$40</definedName>
    <definedName name="_xlnm.Print_Area" localSheetId="28">'28'!$A$1:$H$41</definedName>
    <definedName name="_xlnm.Print_Area" localSheetId="29">'29'!$A$1:$H$41</definedName>
    <definedName name="_xlnm.Print_Area" localSheetId="3">'3'!$A$1:$H$41</definedName>
    <definedName name="_xlnm.Print_Area" localSheetId="30">'30'!$A$1:$H$41</definedName>
    <definedName name="_xlnm.Print_Area" localSheetId="4">'4'!$A$1:$H$41</definedName>
    <definedName name="_xlnm.Print_Area" localSheetId="5">'5'!$A$1:$H$41</definedName>
    <definedName name="_xlnm.Print_Area" localSheetId="6">'6'!$A$1:$H$41</definedName>
    <definedName name="_xlnm.Print_Area" localSheetId="7">'7'!$A$1:$H$41</definedName>
    <definedName name="_xlnm.Print_Area" localSheetId="8">'8'!$A$1:$H$41</definedName>
    <definedName name="_xlnm.Print_Area" localSheetId="9">'9'!$A$1:$H$41</definedName>
  </definedNames>
  <calcPr calcId="191029"/>
</workbook>
</file>

<file path=xl/calcChain.xml><?xml version="1.0" encoding="utf-8"?>
<calcChain xmlns="http://schemas.openxmlformats.org/spreadsheetml/2006/main">
  <c r="E9" i="83" l="1"/>
  <c r="E22" i="101" l="1"/>
  <c r="E22" i="97" l="1"/>
  <c r="E23" i="116" l="1"/>
  <c r="E22" i="116"/>
  <c r="E21" i="116"/>
  <c r="E20" i="116"/>
  <c r="E11" i="116"/>
  <c r="E13" i="116" s="1"/>
  <c r="E10" i="116"/>
  <c r="E9" i="116"/>
  <c r="E23" i="115"/>
  <c r="E22" i="115"/>
  <c r="E21" i="115"/>
  <c r="E20" i="115"/>
  <c r="E11" i="115"/>
  <c r="E13" i="115" s="1"/>
  <c r="E10" i="115"/>
  <c r="E9" i="115"/>
  <c r="E23" i="104"/>
  <c r="E22" i="104"/>
  <c r="E21" i="104"/>
  <c r="E20" i="104"/>
  <c r="E11" i="104"/>
  <c r="E13" i="104" s="1"/>
  <c r="E10" i="104"/>
  <c r="E9" i="104"/>
  <c r="E23" i="103"/>
  <c r="E22" i="103"/>
  <c r="E21" i="103"/>
  <c r="E20" i="103"/>
  <c r="E11" i="103"/>
  <c r="E13" i="103" s="1"/>
  <c r="E10" i="103"/>
  <c r="E9" i="103"/>
  <c r="E23" i="102"/>
  <c r="E22" i="102"/>
  <c r="E21" i="102"/>
  <c r="E20" i="102"/>
  <c r="E11" i="102"/>
  <c r="E13" i="102" s="1"/>
  <c r="E10" i="102"/>
  <c r="E9" i="102"/>
  <c r="E23" i="100"/>
  <c r="E22" i="100"/>
  <c r="E21" i="100"/>
  <c r="E20" i="100"/>
  <c r="E11" i="100"/>
  <c r="E13" i="100" s="1"/>
  <c r="E10" i="100"/>
  <c r="E9" i="100"/>
  <c r="E23" i="101"/>
  <c r="E21" i="101"/>
  <c r="E20" i="101"/>
  <c r="E11" i="101"/>
  <c r="E13" i="101" s="1"/>
  <c r="E10" i="101"/>
  <c r="E9" i="101"/>
  <c r="E23" i="99"/>
  <c r="E22" i="99"/>
  <c r="E21" i="99"/>
  <c r="E20" i="99"/>
  <c r="E11" i="99"/>
  <c r="E13" i="99" s="1"/>
  <c r="E10" i="99"/>
  <c r="E9" i="99"/>
  <c r="E23" i="98"/>
  <c r="E22" i="98"/>
  <c r="E21" i="98"/>
  <c r="E20" i="98"/>
  <c r="E11" i="98"/>
  <c r="E13" i="98" s="1"/>
  <c r="E10" i="98"/>
  <c r="E9" i="98"/>
  <c r="E23" i="97"/>
  <c r="E21" i="97"/>
  <c r="E20" i="97"/>
  <c r="E11" i="97"/>
  <c r="E13" i="97" s="1"/>
  <c r="E10" i="97"/>
  <c r="E9" i="97"/>
  <c r="E23" i="96"/>
  <c r="E22" i="96"/>
  <c r="E21" i="96"/>
  <c r="E20" i="96"/>
  <c r="E11" i="96"/>
  <c r="E13" i="96" s="1"/>
  <c r="E10" i="96"/>
  <c r="E9" i="96"/>
  <c r="E23" i="95"/>
  <c r="E22" i="95"/>
  <c r="E21" i="95"/>
  <c r="E20" i="95"/>
  <c r="E11" i="95"/>
  <c r="E13" i="95" s="1"/>
  <c r="E10" i="95"/>
  <c r="E9" i="95"/>
  <c r="E23" i="94"/>
  <c r="E22" i="94"/>
  <c r="E21" i="94"/>
  <c r="E20" i="94"/>
  <c r="E11" i="94"/>
  <c r="E13" i="94" s="1"/>
  <c r="E10" i="94"/>
  <c r="E9" i="94"/>
  <c r="E23" i="93"/>
  <c r="E22" i="93"/>
  <c r="E21" i="93"/>
  <c r="E20" i="93"/>
  <c r="E11" i="93"/>
  <c r="E13" i="93" s="1"/>
  <c r="E10" i="93"/>
  <c r="E9" i="93"/>
  <c r="E23" i="92"/>
  <c r="E22" i="92"/>
  <c r="E21" i="92"/>
  <c r="E20" i="92"/>
  <c r="E11" i="92"/>
  <c r="E13" i="92" s="1"/>
  <c r="E10" i="92"/>
  <c r="E9" i="92"/>
  <c r="E23" i="91"/>
  <c r="E22" i="91"/>
  <c r="E21" i="91"/>
  <c r="E20" i="91"/>
  <c r="E11" i="91"/>
  <c r="E13" i="91" s="1"/>
  <c r="E10" i="91"/>
  <c r="E9" i="91"/>
  <c r="E23" i="90"/>
  <c r="E22" i="90"/>
  <c r="E21" i="90"/>
  <c r="E20" i="90"/>
  <c r="E11" i="90"/>
  <c r="E13" i="90" s="1"/>
  <c r="E10" i="90"/>
  <c r="E9" i="90"/>
  <c r="E23" i="89"/>
  <c r="E22" i="89"/>
  <c r="E21" i="89"/>
  <c r="E20" i="89"/>
  <c r="E11" i="89"/>
  <c r="E13" i="89" s="1"/>
  <c r="E10" i="89"/>
  <c r="E9" i="89"/>
  <c r="E23" i="88"/>
  <c r="E22" i="88"/>
  <c r="E21" i="88"/>
  <c r="E20" i="88"/>
  <c r="E11" i="88"/>
  <c r="E13" i="88" s="1"/>
  <c r="E10" i="88"/>
  <c r="E9" i="88"/>
  <c r="E23" i="87"/>
  <c r="E22" i="87"/>
  <c r="E21" i="87"/>
  <c r="E20" i="87"/>
  <c r="E11" i="87"/>
  <c r="E13" i="87" s="1"/>
  <c r="E10" i="87"/>
  <c r="E9" i="87"/>
  <c r="E23" i="86"/>
  <c r="E22" i="86"/>
  <c r="E21" i="86"/>
  <c r="E20" i="86"/>
  <c r="E11" i="86"/>
  <c r="E13" i="86" s="1"/>
  <c r="E10" i="86"/>
  <c r="E9" i="86"/>
  <c r="E23" i="85"/>
  <c r="E22" i="85"/>
  <c r="E21" i="85"/>
  <c r="E20" i="85"/>
  <c r="E11" i="85"/>
  <c r="E13" i="85" s="1"/>
  <c r="E10" i="85"/>
  <c r="E9" i="85"/>
  <c r="E23" i="84"/>
  <c r="E22" i="84"/>
  <c r="E21" i="84"/>
  <c r="E20" i="84"/>
  <c r="E11" i="84"/>
  <c r="E13" i="84" s="1"/>
  <c r="E10" i="84"/>
  <c r="E9" i="84"/>
  <c r="E23" i="83"/>
  <c r="E22" i="83"/>
  <c r="E21" i="83"/>
  <c r="E20" i="83"/>
  <c r="E11" i="83"/>
  <c r="E13" i="83" s="1"/>
  <c r="E10" i="83"/>
  <c r="E23" i="82"/>
  <c r="E22" i="82"/>
  <c r="E21" i="82"/>
  <c r="E20" i="82"/>
  <c r="E11" i="82"/>
  <c r="E13" i="82" s="1"/>
  <c r="E10" i="82"/>
  <c r="E9" i="82"/>
  <c r="E23" i="81"/>
  <c r="E22" i="81"/>
  <c r="E21" i="81"/>
  <c r="E20" i="81"/>
  <c r="E11" i="81"/>
  <c r="E13" i="81" s="1"/>
  <c r="E10" i="81"/>
  <c r="E9" i="81"/>
  <c r="E23" i="80"/>
  <c r="E22" i="80"/>
  <c r="E21" i="80"/>
  <c r="E20" i="80"/>
  <c r="E11" i="80"/>
  <c r="E13" i="80" s="1"/>
  <c r="E10" i="80"/>
  <c r="E9" i="80"/>
  <c r="E23" i="79"/>
  <c r="E22" i="79"/>
  <c r="E21" i="79"/>
  <c r="E20" i="79"/>
  <c r="E11" i="79"/>
  <c r="E13" i="79" s="1"/>
  <c r="E10" i="79"/>
  <c r="E9" i="79"/>
  <c r="E23" i="34"/>
  <c r="E22" i="34"/>
  <c r="E21" i="34"/>
  <c r="E20" i="34"/>
  <c r="E11" i="34"/>
  <c r="E13" i="34" s="1"/>
  <c r="E10" i="34"/>
  <c r="E9" i="34"/>
  <c r="G37" i="33"/>
  <c r="G37" i="34" s="1"/>
  <c r="G37" i="79" s="1"/>
  <c r="G37" i="80" s="1"/>
  <c r="G37" i="81" s="1"/>
  <c r="G37" i="82" s="1"/>
  <c r="G37" i="83" s="1"/>
  <c r="G37" i="84" s="1"/>
  <c r="G37" i="85" s="1"/>
  <c r="G37" i="86" s="1"/>
  <c r="G37" i="87" s="1"/>
  <c r="G37" i="88" s="1"/>
  <c r="G37" i="89" s="1"/>
  <c r="G37" i="90" s="1"/>
  <c r="G37" i="91" s="1"/>
  <c r="G37" i="92" s="1"/>
  <c r="G37" i="93" s="1"/>
  <c r="G37" i="94" s="1"/>
  <c r="G37" i="95" s="1"/>
  <c r="G37" i="96" s="1"/>
  <c r="G37" i="97" s="1"/>
  <c r="G37" i="98" s="1"/>
  <c r="G37" i="99" s="1"/>
  <c r="G37" i="101" s="1"/>
  <c r="G37" i="100" s="1"/>
  <c r="F37" i="33"/>
  <c r="F37" i="34" s="1"/>
  <c r="F37" i="79" s="1"/>
  <c r="F37" i="80" s="1"/>
  <c r="F37" i="81" s="1"/>
  <c r="F37" i="82" s="1"/>
  <c r="F37" i="83" s="1"/>
  <c r="F37" i="84" s="1"/>
  <c r="F37" i="85" s="1"/>
  <c r="F37" i="86" s="1"/>
  <c r="F37" i="87" s="1"/>
  <c r="F37" i="88" s="1"/>
  <c r="F37" i="89" s="1"/>
  <c r="F37" i="90" s="1"/>
  <c r="F37" i="91" s="1"/>
  <c r="F37" i="92" s="1"/>
  <c r="F37" i="93" s="1"/>
  <c r="F37" i="94" s="1"/>
  <c r="F37" i="95" s="1"/>
  <c r="F37" i="96" s="1"/>
  <c r="F37" i="97" s="1"/>
  <c r="F37" i="98" s="1"/>
  <c r="F37" i="99" s="1"/>
  <c r="F37" i="101" s="1"/>
  <c r="F37" i="100" s="1"/>
  <c r="G36" i="33"/>
  <c r="G36" i="34" s="1"/>
  <c r="G36" i="79" s="1"/>
  <c r="G36" i="80" s="1"/>
  <c r="G36" i="81" s="1"/>
  <c r="G36" i="82" s="1"/>
  <c r="G36" i="83" s="1"/>
  <c r="G36" i="84" s="1"/>
  <c r="G36" i="85" s="1"/>
  <c r="G36" i="86" s="1"/>
  <c r="G36" i="87" s="1"/>
  <c r="G36" i="88" s="1"/>
  <c r="G36" i="89" s="1"/>
  <c r="G36" i="90" s="1"/>
  <c r="G36" i="91" s="1"/>
  <c r="G36" i="92" s="1"/>
  <c r="G36" i="93" s="1"/>
  <c r="G36" i="94" s="1"/>
  <c r="G36" i="95" s="1"/>
  <c r="G36" i="96" s="1"/>
  <c r="G36" i="97" s="1"/>
  <c r="G36" i="98" s="1"/>
  <c r="G36" i="99" s="1"/>
  <c r="G36" i="101" s="1"/>
  <c r="G36" i="100" s="1"/>
  <c r="F36" i="33"/>
  <c r="F36" i="34" s="1"/>
  <c r="F36" i="79" s="1"/>
  <c r="F36" i="80" s="1"/>
  <c r="F36" i="81" s="1"/>
  <c r="F36" i="82" s="1"/>
  <c r="F36" i="83" s="1"/>
  <c r="F36" i="84" s="1"/>
  <c r="F36" i="85" s="1"/>
  <c r="F36" i="86" s="1"/>
  <c r="F36" i="87" s="1"/>
  <c r="F36" i="88" s="1"/>
  <c r="F36" i="89" s="1"/>
  <c r="F36" i="90" s="1"/>
  <c r="F36" i="91" s="1"/>
  <c r="F36" i="92" s="1"/>
  <c r="F36" i="93" s="1"/>
  <c r="F36" i="94" s="1"/>
  <c r="F36" i="95" s="1"/>
  <c r="F36" i="96" s="1"/>
  <c r="F36" i="97" s="1"/>
  <c r="F36" i="98" s="1"/>
  <c r="F36" i="99" s="1"/>
  <c r="F36" i="101" s="1"/>
  <c r="F36" i="100" s="1"/>
  <c r="G35" i="33"/>
  <c r="G35" i="34" s="1"/>
  <c r="G35" i="79" s="1"/>
  <c r="G35" i="80" s="1"/>
  <c r="G35" i="81" s="1"/>
  <c r="G35" i="82" s="1"/>
  <c r="G35" i="83" s="1"/>
  <c r="G35" i="84" s="1"/>
  <c r="G35" i="85" s="1"/>
  <c r="G35" i="86" s="1"/>
  <c r="G35" i="87" s="1"/>
  <c r="G35" i="88" s="1"/>
  <c r="G35" i="89" s="1"/>
  <c r="G35" i="90" s="1"/>
  <c r="G35" i="91" s="1"/>
  <c r="G35" i="92" s="1"/>
  <c r="G35" i="93" s="1"/>
  <c r="G35" i="94" s="1"/>
  <c r="G35" i="95" s="1"/>
  <c r="G35" i="96" s="1"/>
  <c r="G35" i="97" s="1"/>
  <c r="G35" i="98" s="1"/>
  <c r="G35" i="99" s="1"/>
  <c r="G35" i="101" s="1"/>
  <c r="G35" i="100" s="1"/>
  <c r="F35" i="33"/>
  <c r="F35" i="34" s="1"/>
  <c r="F35" i="79" s="1"/>
  <c r="F35" i="80" s="1"/>
  <c r="F35" i="81" s="1"/>
  <c r="F35" i="82" s="1"/>
  <c r="F35" i="83" s="1"/>
  <c r="F35" i="84" s="1"/>
  <c r="F35" i="85" s="1"/>
  <c r="F35" i="86" s="1"/>
  <c r="F35" i="87" s="1"/>
  <c r="F35" i="88" s="1"/>
  <c r="F35" i="89" s="1"/>
  <c r="F35" i="90" s="1"/>
  <c r="F35" i="91" s="1"/>
  <c r="F35" i="92" s="1"/>
  <c r="F35" i="93" s="1"/>
  <c r="F35" i="94" s="1"/>
  <c r="F35" i="95" s="1"/>
  <c r="F35" i="96" s="1"/>
  <c r="F35" i="97" s="1"/>
  <c r="F35" i="98" s="1"/>
  <c r="F35" i="99" s="1"/>
  <c r="F35" i="101" s="1"/>
  <c r="F35" i="100" s="1"/>
  <c r="G32" i="33"/>
  <c r="G32" i="34" s="1"/>
  <c r="G32" i="79" s="1"/>
  <c r="G32" i="80" s="1"/>
  <c r="G32" i="81" s="1"/>
  <c r="G32" i="82" s="1"/>
  <c r="G32" i="83" s="1"/>
  <c r="G32" i="84" s="1"/>
  <c r="G32" i="85" s="1"/>
  <c r="G32" i="86" s="1"/>
  <c r="G32" i="87" s="1"/>
  <c r="G32" i="88" s="1"/>
  <c r="G32" i="89" s="1"/>
  <c r="G32" i="90" s="1"/>
  <c r="G32" i="91" s="1"/>
  <c r="G32" i="92" s="1"/>
  <c r="G32" i="93" s="1"/>
  <c r="G32" i="94" s="1"/>
  <c r="G32" i="95" s="1"/>
  <c r="G32" i="96" s="1"/>
  <c r="G32" i="97" s="1"/>
  <c r="G32" i="98" s="1"/>
  <c r="G32" i="99" s="1"/>
  <c r="G32" i="101" s="1"/>
  <c r="G32" i="100" s="1"/>
  <c r="F32" i="33"/>
  <c r="F32" i="34" s="1"/>
  <c r="F32" i="79" s="1"/>
  <c r="F32" i="80" s="1"/>
  <c r="F32" i="81" s="1"/>
  <c r="F32" i="82" s="1"/>
  <c r="F32" i="83" s="1"/>
  <c r="F32" i="84" s="1"/>
  <c r="F32" i="85" s="1"/>
  <c r="F32" i="86" s="1"/>
  <c r="F32" i="87" s="1"/>
  <c r="F32" i="88" s="1"/>
  <c r="F32" i="89" s="1"/>
  <c r="F32" i="90" s="1"/>
  <c r="F32" i="91" s="1"/>
  <c r="F32" i="92" s="1"/>
  <c r="F32" i="93" s="1"/>
  <c r="F32" i="94" s="1"/>
  <c r="F32" i="95" s="1"/>
  <c r="G31" i="33"/>
  <c r="G31" i="34" s="1"/>
  <c r="G31" i="79" s="1"/>
  <c r="G31" i="80" s="1"/>
  <c r="G31" i="81" s="1"/>
  <c r="G31" i="82" s="1"/>
  <c r="G31" i="83" s="1"/>
  <c r="G31" i="84" s="1"/>
  <c r="G31" i="85" s="1"/>
  <c r="G31" i="86" s="1"/>
  <c r="G31" i="87" s="1"/>
  <c r="G31" i="88" s="1"/>
  <c r="G31" i="89" s="1"/>
  <c r="G31" i="90" s="1"/>
  <c r="G31" i="91" s="1"/>
  <c r="G31" i="92" s="1"/>
  <c r="G31" i="93" s="1"/>
  <c r="G31" i="94" s="1"/>
  <c r="G31" i="95" s="1"/>
  <c r="G31" i="96" s="1"/>
  <c r="G31" i="97" s="1"/>
  <c r="G31" i="98" s="1"/>
  <c r="G31" i="99" s="1"/>
  <c r="G31" i="101" s="1"/>
  <c r="G31" i="100" s="1"/>
  <c r="F31" i="33"/>
  <c r="F31" i="34" s="1"/>
  <c r="F31" i="79" s="1"/>
  <c r="F31" i="80" s="1"/>
  <c r="F31" i="81" s="1"/>
  <c r="F31" i="82" s="1"/>
  <c r="F31" i="83" s="1"/>
  <c r="F31" i="84" s="1"/>
  <c r="F31" i="85" s="1"/>
  <c r="F31" i="86" s="1"/>
  <c r="F31" i="87" s="1"/>
  <c r="F31" i="88" s="1"/>
  <c r="F31" i="89" s="1"/>
  <c r="F31" i="90" s="1"/>
  <c r="F31" i="91" s="1"/>
  <c r="F31" i="92" s="1"/>
  <c r="F31" i="93" s="1"/>
  <c r="F31" i="94" s="1"/>
  <c r="F31" i="95" s="1"/>
  <c r="F31" i="96" s="1"/>
  <c r="F31" i="97" s="1"/>
  <c r="F31" i="98" s="1"/>
  <c r="F31" i="99" s="1"/>
  <c r="F31" i="101" s="1"/>
  <c r="F31" i="100" s="1"/>
  <c r="G30" i="33"/>
  <c r="G30" i="34" s="1"/>
  <c r="G30" i="79" s="1"/>
  <c r="G30" i="80" s="1"/>
  <c r="G30" i="81" s="1"/>
  <c r="G30" i="82" s="1"/>
  <c r="G30" i="83" s="1"/>
  <c r="G30" i="84" s="1"/>
  <c r="G30" i="85" s="1"/>
  <c r="G30" i="86" s="1"/>
  <c r="G30" i="87" s="1"/>
  <c r="G30" i="88" s="1"/>
  <c r="G30" i="89" s="1"/>
  <c r="G30" i="90" s="1"/>
  <c r="G30" i="91" s="1"/>
  <c r="G30" i="92" s="1"/>
  <c r="G30" i="93" s="1"/>
  <c r="G30" i="94" s="1"/>
  <c r="G30" i="95" s="1"/>
  <c r="G30" i="96" s="1"/>
  <c r="G30" i="97" s="1"/>
  <c r="G30" i="98" s="1"/>
  <c r="G30" i="99" s="1"/>
  <c r="G30" i="101" s="1"/>
  <c r="G30" i="100" s="1"/>
  <c r="F30" i="33"/>
  <c r="F30" i="34" s="1"/>
  <c r="F30" i="79" s="1"/>
  <c r="F30" i="80" s="1"/>
  <c r="F30" i="81" s="1"/>
  <c r="F30" i="82" s="1"/>
  <c r="F30" i="83" s="1"/>
  <c r="F30" i="84" s="1"/>
  <c r="F30" i="85" s="1"/>
  <c r="F30" i="86" s="1"/>
  <c r="F30" i="87" s="1"/>
  <c r="F30" i="88" s="1"/>
  <c r="F30" i="89" s="1"/>
  <c r="F30" i="90" s="1"/>
  <c r="F30" i="91" s="1"/>
  <c r="F30" i="92" s="1"/>
  <c r="F30" i="93" s="1"/>
  <c r="F30" i="94" s="1"/>
  <c r="F30" i="95" s="1"/>
  <c r="F30" i="96" s="1"/>
  <c r="F30" i="97" s="1"/>
  <c r="F30" i="98" s="1"/>
  <c r="F30" i="99" s="1"/>
  <c r="F30" i="101" s="1"/>
  <c r="F30" i="100" s="1"/>
  <c r="G26" i="33"/>
  <c r="G26" i="34" s="1"/>
  <c r="F26" i="33"/>
  <c r="F26" i="34" s="1"/>
  <c r="F26" i="79" s="1"/>
  <c r="G24" i="33"/>
  <c r="G24" i="34" s="1"/>
  <c r="G24" i="79" s="1"/>
  <c r="G24" i="80" s="1"/>
  <c r="G24" i="81" s="1"/>
  <c r="G24" i="82" s="1"/>
  <c r="G24" i="83" s="1"/>
  <c r="G24" i="84" s="1"/>
  <c r="G24" i="85" s="1"/>
  <c r="G24" i="86" s="1"/>
  <c r="G24" i="87" s="1"/>
  <c r="G24" i="88" s="1"/>
  <c r="G24" i="89" s="1"/>
  <c r="G24" i="90" s="1"/>
  <c r="G24" i="91" s="1"/>
  <c r="G24" i="92" s="1"/>
  <c r="G24" i="93" s="1"/>
  <c r="G24" i="94" s="1"/>
  <c r="G24" i="95" s="1"/>
  <c r="G24" i="96" s="1"/>
  <c r="G24" i="97" s="1"/>
  <c r="G24" i="98" s="1"/>
  <c r="G24" i="99" s="1"/>
  <c r="G24" i="101" s="1"/>
  <c r="G24" i="100" s="1"/>
  <c r="G24" i="102" s="1"/>
  <c r="G24" i="103" s="1"/>
  <c r="G24" i="104" s="1"/>
  <c r="G24" i="115" s="1"/>
  <c r="G24" i="116" s="1"/>
  <c r="F24" i="33"/>
  <c r="F24" i="34" s="1"/>
  <c r="F24" i="79" s="1"/>
  <c r="F24" i="80" s="1"/>
  <c r="F24" i="81" s="1"/>
  <c r="F24" i="82" s="1"/>
  <c r="F24" i="83" s="1"/>
  <c r="F24" i="84" s="1"/>
  <c r="F24" i="85" s="1"/>
  <c r="F24" i="86" s="1"/>
  <c r="F24" i="87" s="1"/>
  <c r="F24" i="88" s="1"/>
  <c r="F24" i="89" s="1"/>
  <c r="F24" i="90" s="1"/>
  <c r="F24" i="91" s="1"/>
  <c r="F24" i="92" s="1"/>
  <c r="F24" i="93" s="1"/>
  <c r="F24" i="94" s="1"/>
  <c r="F24" i="95" s="1"/>
  <c r="F24" i="96" s="1"/>
  <c r="F24" i="97" s="1"/>
  <c r="F24" i="98" s="1"/>
  <c r="F24" i="99" s="1"/>
  <c r="F24" i="101" s="1"/>
  <c r="F24" i="100" s="1"/>
  <c r="F24" i="102" s="1"/>
  <c r="F24" i="103" s="1"/>
  <c r="F24" i="104" s="1"/>
  <c r="F24" i="115" s="1"/>
  <c r="F24" i="116" s="1"/>
  <c r="E23" i="33"/>
  <c r="E22" i="33"/>
  <c r="E21" i="33"/>
  <c r="E20" i="33"/>
  <c r="G19" i="33"/>
  <c r="G19" i="34" s="1"/>
  <c r="G19" i="79" s="1"/>
  <c r="G19" i="80" s="1"/>
  <c r="G19" i="81" s="1"/>
  <c r="G19" i="82" s="1"/>
  <c r="G19" i="83" s="1"/>
  <c r="G19" i="84" s="1"/>
  <c r="G19" i="85" s="1"/>
  <c r="G19" i="86" s="1"/>
  <c r="G19" i="87" s="1"/>
  <c r="G19" i="88" s="1"/>
  <c r="G19" i="89" s="1"/>
  <c r="G19" i="90" s="1"/>
  <c r="G19" i="91" s="1"/>
  <c r="G19" i="92" s="1"/>
  <c r="G19" i="93" s="1"/>
  <c r="G19" i="94" s="1"/>
  <c r="G19" i="95" s="1"/>
  <c r="G19" i="96" s="1"/>
  <c r="G19" i="97" s="1"/>
  <c r="G19" i="98" s="1"/>
  <c r="G19" i="99" s="1"/>
  <c r="G19" i="101" s="1"/>
  <c r="G19" i="100" s="1"/>
  <c r="G19" i="102" s="1"/>
  <c r="G19" i="103" s="1"/>
  <c r="G19" i="104" s="1"/>
  <c r="G19" i="115" s="1"/>
  <c r="G19" i="116" s="1"/>
  <c r="F19" i="33"/>
  <c r="F19" i="34" s="1"/>
  <c r="F19" i="79" s="1"/>
  <c r="F19" i="80" s="1"/>
  <c r="F19" i="81" s="1"/>
  <c r="F19" i="82" s="1"/>
  <c r="F19" i="83" s="1"/>
  <c r="F19" i="84" s="1"/>
  <c r="F19" i="85" s="1"/>
  <c r="F19" i="86" s="1"/>
  <c r="F19" i="87" s="1"/>
  <c r="F19" i="88" s="1"/>
  <c r="F19" i="89" s="1"/>
  <c r="F19" i="90" s="1"/>
  <c r="F19" i="91" s="1"/>
  <c r="F19" i="92" s="1"/>
  <c r="F19" i="93" s="1"/>
  <c r="F19" i="94" s="1"/>
  <c r="F19" i="95" s="1"/>
  <c r="F19" i="96" s="1"/>
  <c r="F19" i="97" s="1"/>
  <c r="F19" i="98" s="1"/>
  <c r="F19" i="99" s="1"/>
  <c r="F19" i="101" s="1"/>
  <c r="F19" i="100" s="1"/>
  <c r="F19" i="102" s="1"/>
  <c r="F19" i="103" s="1"/>
  <c r="F19" i="104" s="1"/>
  <c r="F19" i="115" s="1"/>
  <c r="F19" i="116" s="1"/>
  <c r="G18" i="33"/>
  <c r="G18" i="34" s="1"/>
  <c r="G18" i="79" s="1"/>
  <c r="G18" i="80" s="1"/>
  <c r="G18" i="81" s="1"/>
  <c r="G18" i="82" s="1"/>
  <c r="G18" i="83" s="1"/>
  <c r="G18" i="84" s="1"/>
  <c r="G18" i="85" s="1"/>
  <c r="G18" i="86" s="1"/>
  <c r="G18" i="87" s="1"/>
  <c r="G18" i="88" s="1"/>
  <c r="G18" i="89" s="1"/>
  <c r="G18" i="90" s="1"/>
  <c r="G18" i="91" s="1"/>
  <c r="G18" i="92" s="1"/>
  <c r="G18" i="93" s="1"/>
  <c r="G18" i="94" s="1"/>
  <c r="G18" i="95" s="1"/>
  <c r="G18" i="96" s="1"/>
  <c r="G18" i="97" s="1"/>
  <c r="G18" i="98" s="1"/>
  <c r="G18" i="99" s="1"/>
  <c r="G18" i="101" s="1"/>
  <c r="G18" i="100" s="1"/>
  <c r="G18" i="102" s="1"/>
  <c r="G18" i="103" s="1"/>
  <c r="G18" i="104" s="1"/>
  <c r="G18" i="115" s="1"/>
  <c r="G18" i="116" s="1"/>
  <c r="F18" i="33"/>
  <c r="F18" i="34" s="1"/>
  <c r="F18" i="79" s="1"/>
  <c r="F18" i="80" s="1"/>
  <c r="F18" i="81" s="1"/>
  <c r="F18" i="82" s="1"/>
  <c r="F18" i="83" s="1"/>
  <c r="F18" i="84" s="1"/>
  <c r="F18" i="85" s="1"/>
  <c r="F18" i="86" s="1"/>
  <c r="F18" i="87" s="1"/>
  <c r="F18" i="88" s="1"/>
  <c r="F18" i="89" s="1"/>
  <c r="F18" i="90" s="1"/>
  <c r="F18" i="91" s="1"/>
  <c r="F18" i="92" s="1"/>
  <c r="F18" i="93" s="1"/>
  <c r="F18" i="94" s="1"/>
  <c r="F18" i="95" s="1"/>
  <c r="F18" i="96" s="1"/>
  <c r="F18" i="97" s="1"/>
  <c r="F18" i="98" s="1"/>
  <c r="F18" i="99" s="1"/>
  <c r="F18" i="101" s="1"/>
  <c r="F18" i="100" s="1"/>
  <c r="F18" i="102" s="1"/>
  <c r="F18" i="103" s="1"/>
  <c r="F18" i="104" s="1"/>
  <c r="F18" i="115" s="1"/>
  <c r="F18" i="116" s="1"/>
  <c r="G17" i="33"/>
  <c r="F17" i="33"/>
  <c r="G16" i="33"/>
  <c r="G16" i="34" s="1"/>
  <c r="G16" i="79" s="1"/>
  <c r="G16" i="80" s="1"/>
  <c r="G16" i="81" s="1"/>
  <c r="G16" i="82" s="1"/>
  <c r="G16" i="83" s="1"/>
  <c r="G16" i="84" s="1"/>
  <c r="G16" i="85" s="1"/>
  <c r="G16" i="86" s="1"/>
  <c r="G16" i="87" s="1"/>
  <c r="G16" i="88" s="1"/>
  <c r="G16" i="89" s="1"/>
  <c r="G16" i="90" s="1"/>
  <c r="G16" i="91" s="1"/>
  <c r="G16" i="92" s="1"/>
  <c r="G16" i="93" s="1"/>
  <c r="G16" i="94" s="1"/>
  <c r="G16" i="95" s="1"/>
  <c r="G16" i="96" s="1"/>
  <c r="G16" i="97" s="1"/>
  <c r="G16" i="98" s="1"/>
  <c r="G16" i="99" s="1"/>
  <c r="G16" i="101" s="1"/>
  <c r="G16" i="100" s="1"/>
  <c r="G16" i="102" s="1"/>
  <c r="G16" i="103" s="1"/>
  <c r="G16" i="104" s="1"/>
  <c r="G16" i="115" s="1"/>
  <c r="G16" i="116" s="1"/>
  <c r="F16" i="33"/>
  <c r="F16" i="34" s="1"/>
  <c r="F16" i="79" s="1"/>
  <c r="F16" i="80" s="1"/>
  <c r="F16" i="81" s="1"/>
  <c r="F16" i="82" s="1"/>
  <c r="F16" i="83" s="1"/>
  <c r="F16" i="84" s="1"/>
  <c r="F16" i="85" s="1"/>
  <c r="F16" i="86" s="1"/>
  <c r="F16" i="87" s="1"/>
  <c r="F16" i="88" s="1"/>
  <c r="F16" i="89" s="1"/>
  <c r="F16" i="90" s="1"/>
  <c r="F16" i="91" s="1"/>
  <c r="F16" i="92" s="1"/>
  <c r="F16" i="93" s="1"/>
  <c r="F16" i="94" s="1"/>
  <c r="F16" i="95" s="1"/>
  <c r="F16" i="96" s="1"/>
  <c r="F16" i="97" s="1"/>
  <c r="F16" i="98" s="1"/>
  <c r="F16" i="99" s="1"/>
  <c r="F16" i="101" s="1"/>
  <c r="F16" i="100" s="1"/>
  <c r="F16" i="102" s="1"/>
  <c r="F16" i="103" s="1"/>
  <c r="F16" i="104" s="1"/>
  <c r="F16" i="115" s="1"/>
  <c r="F16" i="116" s="1"/>
  <c r="G15" i="33"/>
  <c r="G15" i="34" s="1"/>
  <c r="F15" i="33"/>
  <c r="F15" i="34" s="1"/>
  <c r="G14" i="33"/>
  <c r="G14" i="34" s="1"/>
  <c r="G14" i="79" s="1"/>
  <c r="G14" i="80" s="1"/>
  <c r="G14" i="81" s="1"/>
  <c r="G14" i="82" s="1"/>
  <c r="G14" i="83" s="1"/>
  <c r="G14" i="84" s="1"/>
  <c r="G14" i="85" s="1"/>
  <c r="G14" i="86" s="1"/>
  <c r="G14" i="87" s="1"/>
  <c r="G14" i="88" s="1"/>
  <c r="G14" i="89" s="1"/>
  <c r="G14" i="90" s="1"/>
  <c r="G14" i="91" s="1"/>
  <c r="G14" i="92" s="1"/>
  <c r="G14" i="93" s="1"/>
  <c r="G14" i="94" s="1"/>
  <c r="G14" i="95" s="1"/>
  <c r="G14" i="96" s="1"/>
  <c r="G14" i="97" s="1"/>
  <c r="G14" i="98" s="1"/>
  <c r="G14" i="99" s="1"/>
  <c r="G14" i="101" s="1"/>
  <c r="G14" i="100" s="1"/>
  <c r="G14" i="102" s="1"/>
  <c r="G14" i="103" s="1"/>
  <c r="G14" i="104" s="1"/>
  <c r="G14" i="115" s="1"/>
  <c r="G14" i="116" s="1"/>
  <c r="F14" i="33"/>
  <c r="F14" i="34" s="1"/>
  <c r="F14" i="79" s="1"/>
  <c r="F14" i="80" s="1"/>
  <c r="F14" i="81" s="1"/>
  <c r="F14" i="82" s="1"/>
  <c r="F14" i="83" s="1"/>
  <c r="F14" i="84" s="1"/>
  <c r="F14" i="85" s="1"/>
  <c r="F14" i="86" s="1"/>
  <c r="F14" i="87" s="1"/>
  <c r="F14" i="88" s="1"/>
  <c r="F14" i="89" s="1"/>
  <c r="F14" i="90" s="1"/>
  <c r="F14" i="91" s="1"/>
  <c r="F14" i="92" s="1"/>
  <c r="F14" i="93" s="1"/>
  <c r="F14" i="94" s="1"/>
  <c r="F14" i="95" s="1"/>
  <c r="F14" i="96" s="1"/>
  <c r="F14" i="97" s="1"/>
  <c r="F14" i="98" s="1"/>
  <c r="F14" i="99" s="1"/>
  <c r="F14" i="101" s="1"/>
  <c r="F14" i="100" s="1"/>
  <c r="F14" i="102" s="1"/>
  <c r="F14" i="103" s="1"/>
  <c r="F14" i="104" s="1"/>
  <c r="F14" i="115" s="1"/>
  <c r="F14" i="116" s="1"/>
  <c r="G12" i="33"/>
  <c r="G12" i="34" s="1"/>
  <c r="G12" i="79" s="1"/>
  <c r="G12" i="80" s="1"/>
  <c r="G12" i="81" s="1"/>
  <c r="G12" i="82" s="1"/>
  <c r="G12" i="83" s="1"/>
  <c r="G12" i="84" s="1"/>
  <c r="G12" i="85" s="1"/>
  <c r="G12" i="86" s="1"/>
  <c r="G12" i="87" s="1"/>
  <c r="G12" i="88" s="1"/>
  <c r="G12" i="89" s="1"/>
  <c r="G12" i="90" s="1"/>
  <c r="G12" i="91" s="1"/>
  <c r="G12" i="92" s="1"/>
  <c r="G12" i="93" s="1"/>
  <c r="G12" i="94" s="1"/>
  <c r="G12" i="95" s="1"/>
  <c r="G12" i="96" s="1"/>
  <c r="G12" i="97" s="1"/>
  <c r="G12" i="98" s="1"/>
  <c r="G12" i="99" s="1"/>
  <c r="G12" i="101" s="1"/>
  <c r="G12" i="100" s="1"/>
  <c r="G12" i="102" s="1"/>
  <c r="G12" i="103" s="1"/>
  <c r="G12" i="104" s="1"/>
  <c r="G12" i="115" s="1"/>
  <c r="G12" i="116" s="1"/>
  <c r="F12" i="33"/>
  <c r="F12" i="34" s="1"/>
  <c r="F12" i="79" s="1"/>
  <c r="F12" i="80" s="1"/>
  <c r="F12" i="81" s="1"/>
  <c r="F12" i="82" s="1"/>
  <c r="F12" i="83" s="1"/>
  <c r="F12" i="84" s="1"/>
  <c r="F12" i="85" s="1"/>
  <c r="F12" i="86" s="1"/>
  <c r="F12" i="87" s="1"/>
  <c r="F12" i="88" s="1"/>
  <c r="F12" i="89" s="1"/>
  <c r="F12" i="90" s="1"/>
  <c r="F12" i="91" s="1"/>
  <c r="F12" i="92" s="1"/>
  <c r="F12" i="93" s="1"/>
  <c r="F12" i="94" s="1"/>
  <c r="F12" i="95" s="1"/>
  <c r="F12" i="96" s="1"/>
  <c r="F12" i="97" s="1"/>
  <c r="F12" i="98" s="1"/>
  <c r="F12" i="99" s="1"/>
  <c r="F12" i="101" s="1"/>
  <c r="F12" i="100" s="1"/>
  <c r="F12" i="102" s="1"/>
  <c r="F12" i="103" s="1"/>
  <c r="F12" i="104" s="1"/>
  <c r="F12" i="115" s="1"/>
  <c r="F12" i="116" s="1"/>
  <c r="E11" i="33"/>
  <c r="E13" i="33" s="1"/>
  <c r="E10" i="33"/>
  <c r="E9" i="33"/>
  <c r="F9" i="33" s="1"/>
  <c r="G8" i="33"/>
  <c r="G8" i="34" s="1"/>
  <c r="F8" i="33"/>
  <c r="F8" i="34" s="1"/>
  <c r="F8" i="79" s="1"/>
  <c r="G7" i="33"/>
  <c r="G7" i="34" s="1"/>
  <c r="G7" i="79" s="1"/>
  <c r="F7" i="33"/>
  <c r="F7" i="34" s="1"/>
  <c r="E6" i="33"/>
  <c r="E6" i="34" s="1"/>
  <c r="E6" i="79" s="1"/>
  <c r="E6" i="80" s="1"/>
  <c r="E6" i="81" s="1"/>
  <c r="E6" i="82" s="1"/>
  <c r="E6" i="83" s="1"/>
  <c r="E6" i="84" s="1"/>
  <c r="E6" i="85" s="1"/>
  <c r="E6" i="86" s="1"/>
  <c r="E6" i="87" s="1"/>
  <c r="E6" i="88" s="1"/>
  <c r="E6" i="89" s="1"/>
  <c r="E6" i="90" s="1"/>
  <c r="E6" i="91" s="1"/>
  <c r="E6" i="92" s="1"/>
  <c r="E6" i="93" s="1"/>
  <c r="E6" i="94" s="1"/>
  <c r="E6" i="95" s="1"/>
  <c r="E6" i="96" s="1"/>
  <c r="E6" i="97" s="1"/>
  <c r="E6" i="98" s="1"/>
  <c r="E6" i="99" s="1"/>
  <c r="E6" i="101" s="1"/>
  <c r="E6" i="100" s="1"/>
  <c r="E6" i="102" s="1"/>
  <c r="E6" i="103" s="1"/>
  <c r="E6" i="104" s="1"/>
  <c r="E6" i="115" s="1"/>
  <c r="E6" i="116" s="1"/>
  <c r="F32" i="96" l="1"/>
  <c r="F32" i="97" s="1"/>
  <c r="F32" i="98" s="1"/>
  <c r="F32" i="99" s="1"/>
  <c r="F32" i="101" s="1"/>
  <c r="F32" i="100" s="1"/>
  <c r="F32" i="102" s="1"/>
  <c r="F32" i="103" s="1"/>
  <c r="F32" i="104" s="1"/>
  <c r="F32" i="115" s="1"/>
  <c r="F32" i="116" s="1"/>
  <c r="G37" i="102"/>
  <c r="G37" i="103" s="1"/>
  <c r="G37" i="104" s="1"/>
  <c r="G37" i="115" s="1"/>
  <c r="G37" i="116" s="1"/>
  <c r="F37" i="102"/>
  <c r="F37" i="103" s="1"/>
  <c r="F37" i="104" s="1"/>
  <c r="F37" i="115" s="1"/>
  <c r="F37" i="116" s="1"/>
  <c r="G36" i="102"/>
  <c r="G36" i="103" s="1"/>
  <c r="G36" i="104" s="1"/>
  <c r="G36" i="115" s="1"/>
  <c r="G36" i="116" s="1"/>
  <c r="F36" i="102"/>
  <c r="F36" i="103" s="1"/>
  <c r="F36" i="104" s="1"/>
  <c r="F36" i="115" s="1"/>
  <c r="F36" i="116" s="1"/>
  <c r="G35" i="102"/>
  <c r="G35" i="103" s="1"/>
  <c r="G35" i="104" s="1"/>
  <c r="G35" i="115" s="1"/>
  <c r="G35" i="116" s="1"/>
  <c r="F35" i="102"/>
  <c r="F35" i="103" s="1"/>
  <c r="F35" i="104" s="1"/>
  <c r="F35" i="115" s="1"/>
  <c r="F35" i="116" s="1"/>
  <c r="G32" i="102"/>
  <c r="G32" i="103" s="1"/>
  <c r="G32" i="104" s="1"/>
  <c r="G32" i="115" s="1"/>
  <c r="G32" i="116" s="1"/>
  <c r="G31" i="102"/>
  <c r="G31" i="103" s="1"/>
  <c r="G31" i="104" s="1"/>
  <c r="G31" i="115" s="1"/>
  <c r="G31" i="116" s="1"/>
  <c r="F31" i="102"/>
  <c r="F31" i="103" s="1"/>
  <c r="F31" i="104" s="1"/>
  <c r="F31" i="115" s="1"/>
  <c r="F31" i="116" s="1"/>
  <c r="F30" i="102"/>
  <c r="F30" i="103" s="1"/>
  <c r="F30" i="104" s="1"/>
  <c r="F30" i="115" s="1"/>
  <c r="F30" i="116" s="1"/>
  <c r="G30" i="102"/>
  <c r="G30" i="103" s="1"/>
  <c r="G30" i="104" s="1"/>
  <c r="G30" i="115" s="1"/>
  <c r="G30" i="116" s="1"/>
  <c r="F20" i="33"/>
  <c r="F11" i="33"/>
  <c r="F13" i="33" s="1"/>
  <c r="G9" i="33"/>
  <c r="G9" i="34" s="1"/>
  <c r="G9" i="79" s="1"/>
  <c r="G9" i="80" s="1"/>
  <c r="G9" i="81" s="1"/>
  <c r="G9" i="82" s="1"/>
  <c r="G9" i="83" s="1"/>
  <c r="G9" i="84" s="1"/>
  <c r="G9" i="85" s="1"/>
  <c r="G9" i="86" s="1"/>
  <c r="G9" i="87" s="1"/>
  <c r="G9" i="88" s="1"/>
  <c r="G9" i="89" s="1"/>
  <c r="G9" i="90" s="1"/>
  <c r="G9" i="91" s="1"/>
  <c r="G9" i="92" s="1"/>
  <c r="G9" i="93" s="1"/>
  <c r="G9" i="94" s="1"/>
  <c r="G9" i="95" s="1"/>
  <c r="G9" i="96" s="1"/>
  <c r="G9" i="97" s="1"/>
  <c r="G9" i="98" s="1"/>
  <c r="G9" i="99" s="1"/>
  <c r="G9" i="101" s="1"/>
  <c r="G9" i="100" s="1"/>
  <c r="G9" i="102" s="1"/>
  <c r="G9" i="103" s="1"/>
  <c r="G9" i="104" s="1"/>
  <c r="G9" i="115" s="1"/>
  <c r="G9" i="116" s="1"/>
  <c r="G23" i="33"/>
  <c r="G21" i="34"/>
  <c r="F22" i="33"/>
  <c r="F17" i="34"/>
  <c r="F17" i="79" s="1"/>
  <c r="F17" i="80" s="1"/>
  <c r="F7" i="79"/>
  <c r="F21" i="79" s="1"/>
  <c r="F11" i="34"/>
  <c r="F13" i="34" s="1"/>
  <c r="F15" i="79"/>
  <c r="F23" i="34"/>
  <c r="G8" i="79"/>
  <c r="G10" i="34"/>
  <c r="G11" i="79"/>
  <c r="G13" i="79" s="1"/>
  <c r="G7" i="80"/>
  <c r="F9" i="34"/>
  <c r="F9" i="79" s="1"/>
  <c r="F9" i="80" s="1"/>
  <c r="F9" i="81" s="1"/>
  <c r="F9" i="82" s="1"/>
  <c r="F9" i="83" s="1"/>
  <c r="F9" i="84" s="1"/>
  <c r="F9" i="85" s="1"/>
  <c r="F9" i="86" s="1"/>
  <c r="F9" i="87" s="1"/>
  <c r="F9" i="88" s="1"/>
  <c r="F9" i="89" s="1"/>
  <c r="F9" i="90" s="1"/>
  <c r="F9" i="91" s="1"/>
  <c r="F9" i="92" s="1"/>
  <c r="F9" i="93" s="1"/>
  <c r="F9" i="94" s="1"/>
  <c r="F9" i="95" s="1"/>
  <c r="F9" i="96" s="1"/>
  <c r="F9" i="97" s="1"/>
  <c r="F9" i="98" s="1"/>
  <c r="F9" i="99" s="1"/>
  <c r="F9" i="101" s="1"/>
  <c r="F9" i="100" s="1"/>
  <c r="F9" i="102" s="1"/>
  <c r="F9" i="103" s="1"/>
  <c r="F9" i="104" s="1"/>
  <c r="F9" i="115" s="1"/>
  <c r="F9" i="116" s="1"/>
  <c r="G11" i="33"/>
  <c r="G13" i="33" s="1"/>
  <c r="G11" i="34"/>
  <c r="G13" i="34" s="1"/>
  <c r="G26" i="79"/>
  <c r="F8" i="80"/>
  <c r="F26" i="80"/>
  <c r="F10" i="33"/>
  <c r="F23" i="33"/>
  <c r="G10" i="33"/>
  <c r="G23" i="34"/>
  <c r="G17" i="34"/>
  <c r="G20" i="33"/>
  <c r="F21" i="33"/>
  <c r="G22" i="33"/>
  <c r="F10" i="34"/>
  <c r="G21" i="33"/>
  <c r="F21" i="34"/>
  <c r="G15" i="79"/>
  <c r="F22" i="34" l="1"/>
  <c r="F22" i="79"/>
  <c r="F20" i="34"/>
  <c r="F20" i="79"/>
  <c r="F26" i="81"/>
  <c r="F15" i="80"/>
  <c r="F23" i="79"/>
  <c r="G23" i="79"/>
  <c r="G15" i="80"/>
  <c r="G21" i="79"/>
  <c r="G26" i="80"/>
  <c r="F7" i="80"/>
  <c r="F21" i="80" s="1"/>
  <c r="F11" i="79"/>
  <c r="F13" i="79" s="1"/>
  <c r="F8" i="81"/>
  <c r="G22" i="34"/>
  <c r="G17" i="79"/>
  <c r="G20" i="34"/>
  <c r="F17" i="81"/>
  <c r="G8" i="80"/>
  <c r="G10" i="79"/>
  <c r="G7" i="81"/>
  <c r="G11" i="80"/>
  <c r="G13" i="80" s="1"/>
  <c r="F10" i="79"/>
  <c r="F20" i="80" l="1"/>
  <c r="F10" i="80"/>
  <c r="F22" i="80"/>
  <c r="G26" i="81"/>
  <c r="G21" i="80"/>
  <c r="F23" i="80"/>
  <c r="F15" i="81"/>
  <c r="F17" i="82"/>
  <c r="G8" i="81"/>
  <c r="G10" i="80"/>
  <c r="G22" i="79"/>
  <c r="G17" i="80"/>
  <c r="G20" i="79"/>
  <c r="G15" i="81"/>
  <c r="G23" i="80"/>
  <c r="F8" i="82"/>
  <c r="G7" i="82"/>
  <c r="G11" i="81"/>
  <c r="G13" i="81" s="1"/>
  <c r="F7" i="81"/>
  <c r="F10" i="81" s="1"/>
  <c r="F11" i="80"/>
  <c r="F13" i="80" s="1"/>
  <c r="F26" i="82"/>
  <c r="F7" i="82" l="1"/>
  <c r="F20" i="82" s="1"/>
  <c r="F11" i="81"/>
  <c r="F13" i="81" s="1"/>
  <c r="G17" i="81"/>
  <c r="G20" i="80"/>
  <c r="G22" i="80"/>
  <c r="F21" i="81"/>
  <c r="G10" i="81"/>
  <c r="G8" i="82"/>
  <c r="F23" i="81"/>
  <c r="F15" i="82"/>
  <c r="F8" i="83"/>
  <c r="F20" i="81"/>
  <c r="F17" i="83"/>
  <c r="F26" i="83"/>
  <c r="G7" i="83"/>
  <c r="G11" i="82"/>
  <c r="G13" i="82" s="1"/>
  <c r="G23" i="81"/>
  <c r="G15" i="82"/>
  <c r="F22" i="81"/>
  <c r="G26" i="82"/>
  <c r="G21" i="81"/>
  <c r="F10" i="82" l="1"/>
  <c r="F21" i="82"/>
  <c r="F22" i="82"/>
  <c r="G21" i="82"/>
  <c r="G26" i="83"/>
  <c r="G7" i="84"/>
  <c r="G11" i="83"/>
  <c r="G13" i="83" s="1"/>
  <c r="F8" i="84"/>
  <c r="G17" i="82"/>
  <c r="G20" i="81"/>
  <c r="G22" i="81"/>
  <c r="G8" i="83"/>
  <c r="G10" i="82"/>
  <c r="G23" i="82"/>
  <c r="G15" i="83"/>
  <c r="F26" i="84"/>
  <c r="F15" i="83"/>
  <c r="F23" i="82"/>
  <c r="F17" i="84"/>
  <c r="F11" i="82"/>
  <c r="F13" i="82" s="1"/>
  <c r="F7" i="83"/>
  <c r="F21" i="83" s="1"/>
  <c r="F22" i="83" l="1"/>
  <c r="F20" i="83"/>
  <c r="G7" i="85"/>
  <c r="G11" i="84"/>
  <c r="G13" i="84" s="1"/>
  <c r="F17" i="85"/>
  <c r="F26" i="85"/>
  <c r="G8" i="84"/>
  <c r="G10" i="83"/>
  <c r="F8" i="85"/>
  <c r="G21" i="83"/>
  <c r="G26" i="84"/>
  <c r="F15" i="84"/>
  <c r="F23" i="83"/>
  <c r="G22" i="82"/>
  <c r="G17" i="83"/>
  <c r="G20" i="82"/>
  <c r="F7" i="84"/>
  <c r="F20" i="84" s="1"/>
  <c r="F11" i="83"/>
  <c r="F13" i="83" s="1"/>
  <c r="G23" i="83"/>
  <c r="G15" i="84"/>
  <c r="F10" i="83"/>
  <c r="F7" i="85" l="1"/>
  <c r="F10" i="85" s="1"/>
  <c r="F11" i="84"/>
  <c r="F13" i="84" s="1"/>
  <c r="F8" i="86"/>
  <c r="F17" i="86"/>
  <c r="G15" i="85"/>
  <c r="G23" i="84"/>
  <c r="F23" i="84"/>
  <c r="F15" i="85"/>
  <c r="F10" i="84"/>
  <c r="F26" i="86"/>
  <c r="G8" i="85"/>
  <c r="G10" i="84"/>
  <c r="F21" i="84"/>
  <c r="G22" i="83"/>
  <c r="G17" i="84"/>
  <c r="G20" i="83"/>
  <c r="G26" i="85"/>
  <c r="G21" i="84"/>
  <c r="F22" i="84"/>
  <c r="G7" i="86"/>
  <c r="G11" i="85"/>
  <c r="G13" i="85" s="1"/>
  <c r="F21" i="85" l="1"/>
  <c r="F22" i="85"/>
  <c r="F20" i="85"/>
  <c r="G17" i="85"/>
  <c r="G20" i="84"/>
  <c r="G22" i="84"/>
  <c r="F23" i="85"/>
  <c r="F15" i="86"/>
  <c r="F8" i="87"/>
  <c r="F17" i="87"/>
  <c r="G7" i="87"/>
  <c r="G11" i="86"/>
  <c r="G13" i="86" s="1"/>
  <c r="G23" i="85"/>
  <c r="G15" i="86"/>
  <c r="G10" i="85"/>
  <c r="G8" i="86"/>
  <c r="G26" i="86"/>
  <c r="G21" i="85"/>
  <c r="F26" i="87"/>
  <c r="F7" i="86"/>
  <c r="F22" i="86" s="1"/>
  <c r="F11" i="85"/>
  <c r="F13" i="85" s="1"/>
  <c r="F10" i="86" l="1"/>
  <c r="F21" i="86"/>
  <c r="G8" i="87"/>
  <c r="G10" i="86"/>
  <c r="G23" i="86"/>
  <c r="G15" i="87"/>
  <c r="F8" i="88"/>
  <c r="F26" i="88"/>
  <c r="G11" i="87"/>
  <c r="G13" i="87" s="1"/>
  <c r="G7" i="88"/>
  <c r="F17" i="88"/>
  <c r="F7" i="87"/>
  <c r="F21" i="87" s="1"/>
  <c r="F11" i="86"/>
  <c r="F13" i="86" s="1"/>
  <c r="G21" i="86"/>
  <c r="G26" i="87"/>
  <c r="F20" i="86"/>
  <c r="F15" i="87"/>
  <c r="F23" i="86"/>
  <c r="G17" i="86"/>
  <c r="G20" i="85"/>
  <c r="G22" i="85"/>
  <c r="F20" i="87" l="1"/>
  <c r="G23" i="87"/>
  <c r="G15" i="88"/>
  <c r="F15" i="88"/>
  <c r="F23" i="87"/>
  <c r="F17" i="89"/>
  <c r="F7" i="88"/>
  <c r="F11" i="87"/>
  <c r="F13" i="87" s="1"/>
  <c r="G11" i="88"/>
  <c r="G13" i="88" s="1"/>
  <c r="G7" i="89"/>
  <c r="F8" i="89"/>
  <c r="F26" i="89"/>
  <c r="G22" i="86"/>
  <c r="G17" i="87"/>
  <c r="G20" i="86"/>
  <c r="G26" i="88"/>
  <c r="G21" i="87"/>
  <c r="F22" i="87"/>
  <c r="F10" i="87"/>
  <c r="G8" i="88"/>
  <c r="G10" i="87"/>
  <c r="F11" i="88" l="1"/>
  <c r="F13" i="88" s="1"/>
  <c r="F7" i="89"/>
  <c r="F20" i="89" s="1"/>
  <c r="G8" i="89"/>
  <c r="G10" i="88"/>
  <c r="F26" i="90"/>
  <c r="G11" i="89"/>
  <c r="G13" i="89" s="1"/>
  <c r="G7" i="90"/>
  <c r="F15" i="89"/>
  <c r="F23" i="88"/>
  <c r="F21" i="88"/>
  <c r="F17" i="90"/>
  <c r="G15" i="89"/>
  <c r="G23" i="88"/>
  <c r="F8" i="90"/>
  <c r="G26" i="89"/>
  <c r="G21" i="88"/>
  <c r="F22" i="88"/>
  <c r="G22" i="87"/>
  <c r="G17" i="88"/>
  <c r="G20" i="87"/>
  <c r="F10" i="88"/>
  <c r="F20" i="88"/>
  <c r="F10" i="89" l="1"/>
  <c r="F21" i="89"/>
  <c r="F22" i="89"/>
  <c r="G7" i="91"/>
  <c r="G11" i="90"/>
  <c r="G13" i="90" s="1"/>
  <c r="G20" i="88"/>
  <c r="G17" i="89"/>
  <c r="G22" i="88"/>
  <c r="G15" i="90"/>
  <c r="G23" i="89"/>
  <c r="G8" i="90"/>
  <c r="G10" i="89"/>
  <c r="F7" i="90"/>
  <c r="F22" i="90" s="1"/>
  <c r="F11" i="89"/>
  <c r="F13" i="89" s="1"/>
  <c r="F17" i="91"/>
  <c r="G21" i="89"/>
  <c r="G26" i="90"/>
  <c r="F8" i="91"/>
  <c r="F15" i="90"/>
  <c r="F23" i="89"/>
  <c r="F26" i="91"/>
  <c r="F21" i="90" l="1"/>
  <c r="G26" i="91"/>
  <c r="G21" i="90"/>
  <c r="F17" i="92"/>
  <c r="G10" i="90"/>
  <c r="G8" i="91"/>
  <c r="G22" i="89"/>
  <c r="G17" i="90"/>
  <c r="G20" i="89"/>
  <c r="F23" i="90"/>
  <c r="F15" i="91"/>
  <c r="F8" i="92"/>
  <c r="F7" i="91"/>
  <c r="F10" i="91" s="1"/>
  <c r="F11" i="90"/>
  <c r="F13" i="90" s="1"/>
  <c r="G15" i="91"/>
  <c r="G23" i="90"/>
  <c r="F26" i="92"/>
  <c r="F10" i="90"/>
  <c r="F20" i="90"/>
  <c r="G7" i="92"/>
  <c r="G11" i="91"/>
  <c r="G13" i="91" s="1"/>
  <c r="F21" i="91" l="1"/>
  <c r="F23" i="91"/>
  <c r="F15" i="92"/>
  <c r="F17" i="93"/>
  <c r="G7" i="93"/>
  <c r="G11" i="92"/>
  <c r="G13" i="92" s="1"/>
  <c r="F26" i="93"/>
  <c r="F7" i="92"/>
  <c r="F22" i="92" s="1"/>
  <c r="F11" i="91"/>
  <c r="F13" i="91" s="1"/>
  <c r="G10" i="91"/>
  <c r="G8" i="92"/>
  <c r="F22" i="91"/>
  <c r="G23" i="91"/>
  <c r="G15" i="92"/>
  <c r="F8" i="93"/>
  <c r="G17" i="91"/>
  <c r="G20" i="90"/>
  <c r="G22" i="90"/>
  <c r="F20" i="91"/>
  <c r="G26" i="92"/>
  <c r="G21" i="91"/>
  <c r="F10" i="92" l="1"/>
  <c r="F21" i="92"/>
  <c r="G26" i="93"/>
  <c r="G21" i="92"/>
  <c r="G17" i="92"/>
  <c r="G20" i="91"/>
  <c r="G22" i="91"/>
  <c r="F7" i="93"/>
  <c r="F22" i="93" s="1"/>
  <c r="F11" i="92"/>
  <c r="F13" i="92" s="1"/>
  <c r="G7" i="94"/>
  <c r="G11" i="93"/>
  <c r="G13" i="93" s="1"/>
  <c r="F15" i="93"/>
  <c r="F23" i="92"/>
  <c r="G23" i="92"/>
  <c r="G15" i="93"/>
  <c r="F17" i="94"/>
  <c r="F8" i="94"/>
  <c r="G8" i="93"/>
  <c r="G10" i="92"/>
  <c r="F26" i="94"/>
  <c r="F20" i="92"/>
  <c r="F20" i="93" l="1"/>
  <c r="F10" i="93"/>
  <c r="F21" i="93"/>
  <c r="G22" i="92"/>
  <c r="G17" i="93"/>
  <c r="G20" i="92"/>
  <c r="F8" i="95"/>
  <c r="G7" i="95"/>
  <c r="G11" i="94"/>
  <c r="G13" i="94" s="1"/>
  <c r="G8" i="94"/>
  <c r="G10" i="93"/>
  <c r="F17" i="95"/>
  <c r="F15" i="94"/>
  <c r="F23" i="93"/>
  <c r="F7" i="94"/>
  <c r="F21" i="94" s="1"/>
  <c r="F11" i="93"/>
  <c r="F13" i="93" s="1"/>
  <c r="F26" i="95"/>
  <c r="G23" i="93"/>
  <c r="G15" i="94"/>
  <c r="G21" i="93"/>
  <c r="G26" i="94"/>
  <c r="F10" i="94" l="1"/>
  <c r="F22" i="94"/>
  <c r="G15" i="95"/>
  <c r="G23" i="94"/>
  <c r="G8" i="95"/>
  <c r="G10" i="94"/>
  <c r="F20" i="94"/>
  <c r="G26" i="95"/>
  <c r="G21" i="94"/>
  <c r="F17" i="96"/>
  <c r="G7" i="96"/>
  <c r="G11" i="95"/>
  <c r="G13" i="95" s="1"/>
  <c r="G22" i="93"/>
  <c r="G17" i="94"/>
  <c r="G20" i="93"/>
  <c r="F7" i="95"/>
  <c r="F21" i="95" s="1"/>
  <c r="F11" i="94"/>
  <c r="F13" i="94" s="1"/>
  <c r="F26" i="96"/>
  <c r="F23" i="94"/>
  <c r="F15" i="95"/>
  <c r="F8" i="96"/>
  <c r="F22" i="95" l="1"/>
  <c r="G7" i="97"/>
  <c r="G11" i="96"/>
  <c r="G13" i="96" s="1"/>
  <c r="G10" i="95"/>
  <c r="G8" i="96"/>
  <c r="F7" i="96"/>
  <c r="F10" i="96" s="1"/>
  <c r="F11" i="95"/>
  <c r="F13" i="95" s="1"/>
  <c r="F10" i="95"/>
  <c r="F8" i="97"/>
  <c r="F26" i="97"/>
  <c r="G17" i="95"/>
  <c r="G20" i="94"/>
  <c r="G22" i="94"/>
  <c r="F20" i="95"/>
  <c r="G26" i="96"/>
  <c r="G21" i="95"/>
  <c r="F23" i="95"/>
  <c r="F15" i="96"/>
  <c r="F17" i="97"/>
  <c r="G23" i="95"/>
  <c r="G15" i="96"/>
  <c r="F21" i="96" l="1"/>
  <c r="F20" i="96"/>
  <c r="F22" i="96"/>
  <c r="F17" i="98"/>
  <c r="G17" i="96"/>
  <c r="G20" i="95"/>
  <c r="G22" i="95"/>
  <c r="G8" i="97"/>
  <c r="G10" i="96"/>
  <c r="F23" i="96"/>
  <c r="F15" i="97"/>
  <c r="G15" i="97"/>
  <c r="G23" i="96"/>
  <c r="G26" i="97"/>
  <c r="G21" i="96"/>
  <c r="F8" i="98"/>
  <c r="F26" i="98"/>
  <c r="F7" i="97"/>
  <c r="F11" i="96"/>
  <c r="F13" i="96" s="1"/>
  <c r="G7" i="98"/>
  <c r="G11" i="97"/>
  <c r="G13" i="97" s="1"/>
  <c r="F10" i="97" l="1"/>
  <c r="F22" i="97"/>
  <c r="F8" i="99"/>
  <c r="G23" i="97"/>
  <c r="G15" i="98"/>
  <c r="F15" i="98"/>
  <c r="F23" i="97"/>
  <c r="F17" i="99"/>
  <c r="G17" i="97"/>
  <c r="G22" i="97" s="1"/>
  <c r="G22" i="96"/>
  <c r="G20" i="96"/>
  <c r="F11" i="97"/>
  <c r="F13" i="97" s="1"/>
  <c r="F7" i="98"/>
  <c r="G8" i="98"/>
  <c r="G10" i="97"/>
  <c r="F20" i="97"/>
  <c r="F26" i="99"/>
  <c r="G7" i="99"/>
  <c r="G11" i="98"/>
  <c r="G13" i="98" s="1"/>
  <c r="F21" i="97"/>
  <c r="G21" i="97"/>
  <c r="G26" i="98"/>
  <c r="F21" i="98" l="1"/>
  <c r="F22" i="98"/>
  <c r="F20" i="98"/>
  <c r="G21" i="98"/>
  <c r="G26" i="99"/>
  <c r="G15" i="99"/>
  <c r="G23" i="98"/>
  <c r="F26" i="101"/>
  <c r="G20" i="97"/>
  <c r="G17" i="98"/>
  <c r="F8" i="101"/>
  <c r="G7" i="101"/>
  <c r="G11" i="99"/>
  <c r="G13" i="99" s="1"/>
  <c r="G8" i="99"/>
  <c r="G10" i="98"/>
  <c r="F17" i="101"/>
  <c r="F7" i="99"/>
  <c r="F21" i="99" s="1"/>
  <c r="F11" i="98"/>
  <c r="F13" i="98" s="1"/>
  <c r="F15" i="99"/>
  <c r="F23" i="98"/>
  <c r="F10" i="98"/>
  <c r="F17" i="100" l="1"/>
  <c r="G15" i="101"/>
  <c r="G23" i="99"/>
  <c r="F15" i="101"/>
  <c r="F23" i="99"/>
  <c r="F22" i="99"/>
  <c r="G8" i="101"/>
  <c r="G10" i="99"/>
  <c r="F10" i="99"/>
  <c r="G26" i="101"/>
  <c r="G21" i="99"/>
  <c r="G7" i="100"/>
  <c r="G11" i="101"/>
  <c r="G13" i="101" s="1"/>
  <c r="F7" i="101"/>
  <c r="F22" i="101" s="1"/>
  <c r="F11" i="99"/>
  <c r="F13" i="99" s="1"/>
  <c r="F8" i="100"/>
  <c r="F20" i="99"/>
  <c r="G22" i="98"/>
  <c r="G17" i="99"/>
  <c r="G20" i="98"/>
  <c r="F26" i="100"/>
  <c r="F26" i="102" s="1"/>
  <c r="F7" i="100" l="1"/>
  <c r="F20" i="100" s="1"/>
  <c r="F11" i="101"/>
  <c r="F13" i="101" s="1"/>
  <c r="G26" i="100"/>
  <c r="G26" i="102" s="1"/>
  <c r="G21" i="101"/>
  <c r="G23" i="101"/>
  <c r="G15" i="100"/>
  <c r="F8" i="102"/>
  <c r="G7" i="102"/>
  <c r="G11" i="100"/>
  <c r="G13" i="100" s="1"/>
  <c r="F23" i="101"/>
  <c r="F15" i="100"/>
  <c r="F17" i="102"/>
  <c r="F10" i="101"/>
  <c r="F20" i="101"/>
  <c r="G17" i="101"/>
  <c r="G22" i="101" s="1"/>
  <c r="G20" i="99"/>
  <c r="G22" i="99"/>
  <c r="F21" i="101"/>
  <c r="G8" i="100"/>
  <c r="G10" i="101"/>
  <c r="F22" i="100" l="1"/>
  <c r="F21" i="100"/>
  <c r="F10" i="100"/>
  <c r="G8" i="102"/>
  <c r="G10" i="100"/>
  <c r="F26" i="103"/>
  <c r="F8" i="103"/>
  <c r="F17" i="103"/>
  <c r="G23" i="100"/>
  <c r="G15" i="102"/>
  <c r="G17" i="100"/>
  <c r="G20" i="101"/>
  <c r="F23" i="100"/>
  <c r="F15" i="102"/>
  <c r="G21" i="100"/>
  <c r="G7" i="103"/>
  <c r="G11" i="102"/>
  <c r="G13" i="102" s="1"/>
  <c r="F7" i="102"/>
  <c r="F11" i="100"/>
  <c r="F13" i="100" s="1"/>
  <c r="F7" i="103" l="1"/>
  <c r="F22" i="103" s="1"/>
  <c r="F11" i="102"/>
  <c r="F13" i="102" s="1"/>
  <c r="F15" i="103"/>
  <c r="F23" i="102"/>
  <c r="G20" i="100"/>
  <c r="G22" i="100"/>
  <c r="G17" i="102"/>
  <c r="F20" i="102"/>
  <c r="F26" i="104"/>
  <c r="G7" i="104"/>
  <c r="G11" i="103"/>
  <c r="G13" i="103" s="1"/>
  <c r="G15" i="103"/>
  <c r="G23" i="102"/>
  <c r="F22" i="102"/>
  <c r="F21" i="102"/>
  <c r="G26" i="103"/>
  <c r="G21" i="102"/>
  <c r="F8" i="104"/>
  <c r="F17" i="104"/>
  <c r="F10" i="102"/>
  <c r="G8" i="103"/>
  <c r="G10" i="102"/>
  <c r="F20" i="103" l="1"/>
  <c r="F21" i="103"/>
  <c r="F10" i="103"/>
  <c r="G22" i="102"/>
  <c r="G17" i="103"/>
  <c r="G20" i="102"/>
  <c r="F8" i="115"/>
  <c r="G7" i="115"/>
  <c r="G11" i="104"/>
  <c r="G13" i="104" s="1"/>
  <c r="F15" i="104"/>
  <c r="F23" i="103"/>
  <c r="G8" i="104"/>
  <c r="G10" i="103"/>
  <c r="F17" i="115"/>
  <c r="G21" i="103"/>
  <c r="G26" i="104"/>
  <c r="G21" i="104" s="1"/>
  <c r="G23" i="103"/>
  <c r="G15" i="104"/>
  <c r="F26" i="115"/>
  <c r="F7" i="104"/>
  <c r="F11" i="103"/>
  <c r="F13" i="103" s="1"/>
  <c r="F22" i="104" l="1"/>
  <c r="F7" i="115"/>
  <c r="F7" i="116" s="1"/>
  <c r="F10" i="104"/>
  <c r="F21" i="104"/>
  <c r="G26" i="115"/>
  <c r="F26" i="116"/>
  <c r="F23" i="104"/>
  <c r="F15" i="115"/>
  <c r="G15" i="115"/>
  <c r="G23" i="104"/>
  <c r="F17" i="116"/>
  <c r="G10" i="104"/>
  <c r="G8" i="115"/>
  <c r="G7" i="116"/>
  <c r="G11" i="115"/>
  <c r="G13" i="115" s="1"/>
  <c r="G20" i="103"/>
  <c r="G22" i="103"/>
  <c r="G17" i="104"/>
  <c r="F11" i="104"/>
  <c r="F13" i="104" s="1"/>
  <c r="F20" i="104"/>
  <c r="F8" i="116"/>
  <c r="F21" i="115" l="1"/>
  <c r="F11" i="115"/>
  <c r="F13" i="115" s="1"/>
  <c r="F21" i="116"/>
  <c r="F10" i="115"/>
  <c r="F20" i="115"/>
  <c r="G17" i="115"/>
  <c r="G20" i="104"/>
  <c r="G22" i="104"/>
  <c r="G11" i="116"/>
  <c r="G13" i="116" s="1"/>
  <c r="F23" i="115"/>
  <c r="F15" i="116"/>
  <c r="G23" i="115"/>
  <c r="G15" i="116"/>
  <c r="G10" i="115"/>
  <c r="G8" i="116"/>
  <c r="F22" i="115"/>
  <c r="G21" i="115"/>
  <c r="G26" i="116"/>
  <c r="F10" i="116" l="1"/>
  <c r="F20" i="116"/>
  <c r="F22" i="116"/>
  <c r="G23" i="116"/>
  <c r="G10" i="116"/>
  <c r="F23" i="116"/>
  <c r="F11" i="116"/>
  <c r="F13" i="116" s="1"/>
  <c r="G21" i="116"/>
  <c r="G20" i="115"/>
  <c r="G17" i="116"/>
  <c r="G22" i="115"/>
  <c r="G22" i="116" l="1"/>
  <c r="G20" i="116"/>
</calcChain>
</file>

<file path=xl/sharedStrings.xml><?xml version="1.0" encoding="utf-8"?>
<sst xmlns="http://schemas.openxmlformats.org/spreadsheetml/2006/main" count="1981" uniqueCount="53">
  <si>
    <t>1*10 MW CAPTIVE POWER PLANT</t>
  </si>
  <si>
    <t>Sr. NO.</t>
  </si>
  <si>
    <t xml:space="preserve">Description </t>
  </si>
  <si>
    <t xml:space="preserve">Unit </t>
  </si>
  <si>
    <t xml:space="preserve">Month to Date </t>
  </si>
  <si>
    <t xml:space="preserve">Gross Power Generation  </t>
  </si>
  <si>
    <t>kWhr</t>
  </si>
  <si>
    <t>Auxiliary power consumption</t>
  </si>
  <si>
    <t xml:space="preserve">Net Power Exported </t>
  </si>
  <si>
    <t xml:space="preserve">Auxiliary power consumption </t>
  </si>
  <si>
    <t xml:space="preserve">( % ) </t>
  </si>
  <si>
    <t xml:space="preserve">Average Power Generation </t>
  </si>
  <si>
    <t>MWhr</t>
  </si>
  <si>
    <t xml:space="preserve">Plant Running Hours </t>
  </si>
  <si>
    <t>Hrs</t>
  </si>
  <si>
    <t>PLF</t>
  </si>
  <si>
    <t xml:space="preserve">Feed Water consumption </t>
  </si>
  <si>
    <t>MT</t>
  </si>
  <si>
    <t xml:space="preserve">Boiler Steam Generation  </t>
  </si>
  <si>
    <t>Bleed steam</t>
  </si>
  <si>
    <t>Turbine steam consumption</t>
  </si>
  <si>
    <t xml:space="preserve">Condensate Generation </t>
  </si>
  <si>
    <t>Auxilairy steam consumption</t>
  </si>
  <si>
    <t xml:space="preserve">Specific steam consumption </t>
  </si>
  <si>
    <t>Kg/Kwhr</t>
  </si>
  <si>
    <t xml:space="preserve">Specific fuel consumption </t>
  </si>
  <si>
    <t>Heat Rate(TG)2880</t>
  </si>
  <si>
    <t xml:space="preserve">Kcal/Kwh </t>
  </si>
  <si>
    <t xml:space="preserve">Heat Rate ( Plant ) 3300 @ MCR </t>
  </si>
  <si>
    <t>DG Power Generation</t>
  </si>
  <si>
    <t>FUEL Report</t>
  </si>
  <si>
    <t>Coal Consumption</t>
  </si>
  <si>
    <t>GCV ( ADB )</t>
  </si>
  <si>
    <t>Kcal/kg</t>
  </si>
  <si>
    <t xml:space="preserve">WTP Report </t>
  </si>
  <si>
    <t xml:space="preserve">DM water Generation </t>
  </si>
  <si>
    <t>m3</t>
  </si>
  <si>
    <t>DM water Consumption</t>
  </si>
  <si>
    <r>
      <rPr>
        <sz val="14"/>
        <color theme="1"/>
        <rFont val="Calibri"/>
        <family val="2"/>
        <scheme val="minor"/>
      </rPr>
      <t>m</t>
    </r>
    <r>
      <rPr>
        <vertAlign val="superscript"/>
        <sz val="14"/>
        <color theme="1"/>
        <rFont val="Calibri"/>
        <family val="2"/>
        <scheme val="minor"/>
      </rPr>
      <t>3</t>
    </r>
  </si>
  <si>
    <t>CT Makeup Water Consumption</t>
  </si>
  <si>
    <t>Fly ash combustible/ GCV</t>
  </si>
  <si>
    <t>% / kcal/kg</t>
  </si>
  <si>
    <t>FLY ASH DISPOSAL REPORT</t>
  </si>
  <si>
    <t>nos</t>
  </si>
  <si>
    <t>Fly ash to Dumpyard(Truck)</t>
  </si>
  <si>
    <r>
      <rPr>
        <sz val="14"/>
        <color theme="1"/>
        <rFont val="Calibri"/>
        <family val="2"/>
        <scheme val="minor"/>
      </rPr>
      <t>m</t>
    </r>
    <r>
      <rPr>
        <vertAlign val="superscript"/>
        <sz val="14"/>
        <color theme="1"/>
        <rFont val="Calibri"/>
        <family val="2"/>
        <scheme val="minor"/>
      </rPr>
      <t>2</t>
    </r>
  </si>
  <si>
    <t>Fly ash to cement mill</t>
  </si>
  <si>
    <t>Fly ash to Coal yard(Truck)</t>
  </si>
  <si>
    <t xml:space="preserve">                     1*10 MW CAPTIVE POWER PLANT</t>
  </si>
  <si>
    <t xml:space="preserve"> </t>
  </si>
  <si>
    <t>Fly ash to Coalyard(Truck)</t>
  </si>
  <si>
    <t xml:space="preserve">Daily,Monthly &amp; Yearly Generation Report (FRM-LCL-PP-06) </t>
  </si>
  <si>
    <t xml:space="preserve"> Year to Date(APR2026-MAR2027)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</si>
</sst>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00"/>
    <numFmt numFmtId="166" formatCode="0.0"/>
  </numFmts>
  <fonts count="11"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vertAlign val="superscript"/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3" borderId="5" xfId="0" applyFont="1" applyFill="1" applyBorder="1"/>
    <xf numFmtId="2" fontId="6" fillId="3" borderId="5" xfId="0" applyNumberFormat="1" applyFont="1" applyFill="1" applyBorder="1"/>
    <xf numFmtId="2" fontId="6" fillId="3" borderId="6" xfId="0" applyNumberFormat="1" applyFont="1" applyFill="1" applyBorder="1"/>
    <xf numFmtId="1" fontId="6" fillId="2" borderId="5" xfId="0" applyNumberFormat="1" applyFont="1" applyFill="1" applyBorder="1"/>
    <xf numFmtId="0" fontId="1" fillId="2" borderId="5" xfId="0" applyFont="1" applyFill="1" applyBorder="1" applyAlignment="1">
      <alignment horizontal="center"/>
    </xf>
    <xf numFmtId="165" fontId="6" fillId="3" borderId="5" xfId="0" applyNumberFormat="1" applyFont="1" applyFill="1" applyBorder="1"/>
    <xf numFmtId="165" fontId="6" fillId="3" borderId="6" xfId="0" applyNumberFormat="1" applyFont="1" applyFill="1" applyBorder="1"/>
    <xf numFmtId="166" fontId="6" fillId="3" borderId="5" xfId="0" applyNumberFormat="1" applyFont="1" applyFill="1" applyBorder="1"/>
    <xf numFmtId="0" fontId="1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1" fontId="6" fillId="2" borderId="8" xfId="0" applyNumberFormat="1" applyFont="1" applyFill="1" applyBorder="1"/>
    <xf numFmtId="1" fontId="6" fillId="0" borderId="8" xfId="0" applyNumberFormat="1" applyFont="1" applyBorder="1"/>
    <xf numFmtId="1" fontId="6" fillId="0" borderId="9" xfId="0" applyNumberFormat="1" applyFont="1" applyBorder="1"/>
    <xf numFmtId="1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1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right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right"/>
    </xf>
    <xf numFmtId="0" fontId="6" fillId="0" borderId="8" xfId="0" applyFont="1" applyBorder="1"/>
    <xf numFmtId="0" fontId="6" fillId="0" borderId="9" xfId="0" applyFont="1" applyBorder="1"/>
    <xf numFmtId="0" fontId="1" fillId="0" borderId="1" xfId="0" applyFont="1" applyBorder="1" applyAlignment="1">
      <alignment horizontal="center"/>
    </xf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5" fillId="0" borderId="8" xfId="0" applyFont="1" applyBorder="1"/>
    <xf numFmtId="0" fontId="5" fillId="0" borderId="8" xfId="0" applyFont="1" applyBorder="1" applyAlignment="1">
      <alignment horizontal="center"/>
    </xf>
    <xf numFmtId="0" fontId="5" fillId="0" borderId="8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right"/>
    </xf>
    <xf numFmtId="0" fontId="6" fillId="0" borderId="8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1" fillId="0" borderId="16" xfId="0" applyFont="1" applyBorder="1" applyAlignment="1">
      <alignment horizontal="center"/>
    </xf>
    <xf numFmtId="0" fontId="5" fillId="2" borderId="7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" fontId="6" fillId="0" borderId="5" xfId="0" applyNumberFormat="1" applyFont="1" applyBorder="1"/>
    <xf numFmtId="0" fontId="6" fillId="0" borderId="17" xfId="0" applyFont="1" applyBorder="1"/>
    <xf numFmtId="0" fontId="6" fillId="0" borderId="18" xfId="0" applyFont="1" applyBorder="1"/>
    <xf numFmtId="0" fontId="6" fillId="0" borderId="9" xfId="0" applyFont="1" applyBorder="1" applyAlignment="1">
      <alignment horizontal="right"/>
    </xf>
    <xf numFmtId="0" fontId="1" fillId="0" borderId="22" xfId="0" applyFont="1" applyBorder="1" applyAlignment="1">
      <alignment horizontal="center" vertical="center"/>
    </xf>
    <xf numFmtId="0" fontId="5" fillId="2" borderId="17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66" fontId="6" fillId="3" borderId="6" xfId="0" applyNumberFormat="1" applyFont="1" applyFill="1" applyBorder="1"/>
    <xf numFmtId="0" fontId="5" fillId="0" borderId="2" xfId="0" applyFont="1" applyBorder="1" applyAlignment="1">
      <alignment horizontal="right"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5" fillId="0" borderId="5" xfId="0" applyFont="1" applyBorder="1" applyAlignment="1">
      <alignment horizontal="right"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5" fillId="0" borderId="8" xfId="0" applyFont="1" applyBorder="1" applyAlignment="1">
      <alignment horizontal="right" wrapText="1"/>
    </xf>
    <xf numFmtId="0" fontId="6" fillId="0" borderId="8" xfId="0" applyFont="1" applyBorder="1" applyAlignment="1">
      <alignment wrapText="1"/>
    </xf>
    <xf numFmtId="0" fontId="6" fillId="0" borderId="9" xfId="0" applyFont="1" applyBorder="1" applyAlignment="1">
      <alignment wrapText="1"/>
    </xf>
    <xf numFmtId="0" fontId="6" fillId="2" borderId="8" xfId="0" applyFont="1" applyFill="1" applyBorder="1" applyAlignment="1">
      <alignment horizontal="right"/>
    </xf>
    <xf numFmtId="0" fontId="6" fillId="2" borderId="8" xfId="0" applyFont="1" applyFill="1" applyBorder="1"/>
    <xf numFmtId="0" fontId="1" fillId="2" borderId="5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2" xfId="0" applyFont="1" applyBorder="1"/>
    <xf numFmtId="0" fontId="9" fillId="2" borderId="5" xfId="0" applyFont="1" applyFill="1" applyBorder="1" applyAlignment="1">
      <alignment horizontal="center" vertical="center"/>
    </xf>
    <xf numFmtId="0" fontId="10" fillId="0" borderId="8" xfId="0" applyFont="1" applyBorder="1"/>
    <xf numFmtId="0" fontId="7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614912</xdr:colOff>
      <xdr:row>1</xdr:row>
      <xdr:rowOff>114396</xdr:rowOff>
    </xdr:from>
    <xdr:to>
      <xdr:col>6</xdr:col>
      <xdr:colOff>1815353</xdr:colOff>
      <xdr:row>4</xdr:row>
      <xdr:rowOff>289323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5780" y="507365"/>
          <a:ext cx="1200150" cy="1501140"/>
        </a:xfrm>
        <a:prstGeom prst="rect">
          <a:avLst/>
        </a:prstGeom>
      </xdr:spPr>
    </xdr:pic>
    <xdr:clientData/>
  </xdr:twoCellAnchor>
  <xdr:twoCellAnchor editAs="oneCell">
    <xdr:from>
      <xdr:col>2</xdr:col>
      <xdr:colOff>2680679</xdr:colOff>
      <xdr:row>0</xdr:row>
      <xdr:rowOff>0</xdr:rowOff>
    </xdr:from>
    <xdr:to>
      <xdr:col>5</xdr:col>
      <xdr:colOff>1472127</xdr:colOff>
      <xdr:row>1</xdr:row>
      <xdr:rowOff>95977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110" y="0"/>
          <a:ext cx="4592320" cy="4889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582706</xdr:colOff>
      <xdr:row>0</xdr:row>
      <xdr:rowOff>75920</xdr:rowOff>
    </xdr:from>
    <xdr:to>
      <xdr:col>6</xdr:col>
      <xdr:colOff>2061463</xdr:colOff>
      <xdr:row>4</xdr:row>
      <xdr:rowOff>51480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07345" y="7556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2</xdr:col>
      <xdr:colOff>2680679</xdr:colOff>
      <xdr:row>0</xdr:row>
      <xdr:rowOff>390525</xdr:rowOff>
    </xdr:from>
    <xdr:to>
      <xdr:col>5</xdr:col>
      <xdr:colOff>889421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8110" y="390525"/>
          <a:ext cx="4590415" cy="4845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1023938</xdr:colOff>
      <xdr:row>0</xdr:row>
      <xdr:rowOff>97631</xdr:rowOff>
    </xdr:from>
    <xdr:to>
      <xdr:col>6</xdr:col>
      <xdr:colOff>2502695</xdr:colOff>
      <xdr:row>4</xdr:row>
      <xdr:rowOff>73191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770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80959</xdr:colOff>
      <xdr:row>0</xdr:row>
      <xdr:rowOff>390525</xdr:rowOff>
    </xdr:from>
    <xdr:to>
      <xdr:col>5</xdr:col>
      <xdr:colOff>1285873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404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1000124</xdr:colOff>
      <xdr:row>0</xdr:row>
      <xdr:rowOff>109538</xdr:rowOff>
    </xdr:from>
    <xdr:to>
      <xdr:col>6</xdr:col>
      <xdr:colOff>2478881</xdr:colOff>
      <xdr:row>4</xdr:row>
      <xdr:rowOff>85098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24590" y="10922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57147</xdr:colOff>
      <xdr:row>0</xdr:row>
      <xdr:rowOff>390525</xdr:rowOff>
    </xdr:from>
    <xdr:to>
      <xdr:col>5</xdr:col>
      <xdr:colOff>1262061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991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940593</xdr:colOff>
      <xdr:row>0</xdr:row>
      <xdr:rowOff>109538</xdr:rowOff>
    </xdr:from>
    <xdr:to>
      <xdr:col>6</xdr:col>
      <xdr:colOff>2419350</xdr:colOff>
      <xdr:row>4</xdr:row>
      <xdr:rowOff>85098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8385" y="10922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57147</xdr:colOff>
      <xdr:row>0</xdr:row>
      <xdr:rowOff>390525</xdr:rowOff>
    </xdr:from>
    <xdr:to>
      <xdr:col>5</xdr:col>
      <xdr:colOff>1262061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276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750093</xdr:colOff>
      <xdr:row>0</xdr:row>
      <xdr:rowOff>0</xdr:rowOff>
    </xdr:from>
    <xdr:to>
      <xdr:col>6</xdr:col>
      <xdr:colOff>2228850</xdr:colOff>
      <xdr:row>4</xdr:row>
      <xdr:rowOff>214313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6410" y="0"/>
          <a:ext cx="1478915" cy="1547495"/>
        </a:xfrm>
        <a:prstGeom prst="rect">
          <a:avLst/>
        </a:prstGeom>
      </xdr:spPr>
    </xdr:pic>
    <xdr:clientData/>
  </xdr:twoCellAnchor>
  <xdr:twoCellAnchor editAs="oneCell">
    <xdr:from>
      <xdr:col>2</xdr:col>
      <xdr:colOff>2819404</xdr:colOff>
      <xdr:row>0</xdr:row>
      <xdr:rowOff>221457</xdr:rowOff>
    </xdr:from>
    <xdr:to>
      <xdr:col>5</xdr:col>
      <xdr:colOff>1059662</xdr:colOff>
      <xdr:row>2</xdr:row>
      <xdr:rowOff>73006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0025" y="220980"/>
          <a:ext cx="4592955" cy="48006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928688</xdr:colOff>
      <xdr:row>0</xdr:row>
      <xdr:rowOff>121444</xdr:rowOff>
    </xdr:from>
    <xdr:to>
      <xdr:col>6</xdr:col>
      <xdr:colOff>2407445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53470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45241</xdr:colOff>
      <xdr:row>0</xdr:row>
      <xdr:rowOff>390525</xdr:rowOff>
    </xdr:from>
    <xdr:to>
      <xdr:col>5</xdr:col>
      <xdr:colOff>1250155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848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904875</xdr:colOff>
      <xdr:row>0</xdr:row>
      <xdr:rowOff>145256</xdr:rowOff>
    </xdr:from>
    <xdr:to>
      <xdr:col>6</xdr:col>
      <xdr:colOff>2383632</xdr:colOff>
      <xdr:row>4</xdr:row>
      <xdr:rowOff>120816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3300" y="144780"/>
          <a:ext cx="147828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721064</xdr:colOff>
      <xdr:row>1</xdr:row>
      <xdr:rowOff>33337</xdr:rowOff>
    </xdr:from>
    <xdr:to>
      <xdr:col>5</xdr:col>
      <xdr:colOff>1583604</xdr:colOff>
      <xdr:row>2</xdr:row>
      <xdr:rowOff>15548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16500" y="426085"/>
          <a:ext cx="4243705" cy="4489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156485</xdr:rowOff>
    </xdr:from>
    <xdr:to>
      <xdr:col>6</xdr:col>
      <xdr:colOff>2428874</xdr:colOff>
      <xdr:row>4</xdr:row>
      <xdr:rowOff>61284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9980" y="156210"/>
          <a:ext cx="1416685" cy="1624330"/>
        </a:xfrm>
        <a:prstGeom prst="rect">
          <a:avLst/>
        </a:prstGeom>
      </xdr:spPr>
    </xdr:pic>
    <xdr:clientData/>
  </xdr:twoCellAnchor>
  <xdr:twoCellAnchor editAs="oneCell">
    <xdr:from>
      <xdr:col>3</xdr:col>
      <xdr:colOff>88103</xdr:colOff>
      <xdr:row>0</xdr:row>
      <xdr:rowOff>390525</xdr:rowOff>
    </xdr:from>
    <xdr:to>
      <xdr:col>5</xdr:col>
      <xdr:colOff>1293017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340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997325</xdr:colOff>
      <xdr:row>0</xdr:row>
      <xdr:rowOff>31097</xdr:rowOff>
    </xdr:from>
    <xdr:to>
      <xdr:col>6</xdr:col>
      <xdr:colOff>1609307</xdr:colOff>
      <xdr:row>4</xdr:row>
      <xdr:rowOff>6657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64850" y="3048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4</xdr:col>
      <xdr:colOff>168380</xdr:colOff>
      <xdr:row>1</xdr:row>
      <xdr:rowOff>20731</xdr:rowOff>
    </xdr:from>
    <xdr:to>
      <xdr:col>5</xdr:col>
      <xdr:colOff>1994647</xdr:colOff>
      <xdr:row>2</xdr:row>
      <xdr:rowOff>38267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292" y="412937"/>
          <a:ext cx="4134679" cy="48818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952500</xdr:colOff>
      <xdr:row>0</xdr:row>
      <xdr:rowOff>75921</xdr:rowOff>
    </xdr:from>
    <xdr:to>
      <xdr:col>6</xdr:col>
      <xdr:colOff>2431257</xdr:colOff>
      <xdr:row>4</xdr:row>
      <xdr:rowOff>51481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1875" y="75565"/>
          <a:ext cx="1478280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15967</xdr:colOff>
      <xdr:row>0</xdr:row>
      <xdr:rowOff>390525</xdr:rowOff>
    </xdr:from>
    <xdr:to>
      <xdr:col>5</xdr:col>
      <xdr:colOff>1218079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2600" y="390525"/>
          <a:ext cx="4583430" cy="4845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85725</xdr:rowOff>
    </xdr:from>
    <xdr:to>
      <xdr:col>6</xdr:col>
      <xdr:colOff>2490788</xdr:colOff>
      <xdr:row>4</xdr:row>
      <xdr:rowOff>61285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005" y="8572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1012031</xdr:colOff>
      <xdr:row>0</xdr:row>
      <xdr:rowOff>97632</xdr:rowOff>
    </xdr:from>
    <xdr:to>
      <xdr:col>6</xdr:col>
      <xdr:colOff>2490788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70005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1071562</xdr:colOff>
      <xdr:row>0</xdr:row>
      <xdr:rowOff>204788</xdr:rowOff>
    </xdr:from>
    <xdr:to>
      <xdr:col>6</xdr:col>
      <xdr:colOff>2550319</xdr:colOff>
      <xdr:row>4</xdr:row>
      <xdr:rowOff>180348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9695" y="20447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176207</xdr:colOff>
      <xdr:row>0</xdr:row>
      <xdr:rowOff>390525</xdr:rowOff>
    </xdr:from>
    <xdr:to>
      <xdr:col>5</xdr:col>
      <xdr:colOff>1381121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929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1083469</xdr:colOff>
      <xdr:row>0</xdr:row>
      <xdr:rowOff>278959</xdr:rowOff>
    </xdr:from>
    <xdr:to>
      <xdr:col>6</xdr:col>
      <xdr:colOff>2440781</xdr:colOff>
      <xdr:row>4</xdr:row>
      <xdr:rowOff>59531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278765"/>
          <a:ext cx="1356995" cy="149987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1238249</xdr:colOff>
      <xdr:row>0</xdr:row>
      <xdr:rowOff>385090</xdr:rowOff>
    </xdr:from>
    <xdr:to>
      <xdr:col>6</xdr:col>
      <xdr:colOff>2538412</xdr:colOff>
      <xdr:row>4</xdr:row>
      <xdr:rowOff>156536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96065" y="384810"/>
          <a:ext cx="1300480" cy="149098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1119187</xdr:colOff>
      <xdr:row>0</xdr:row>
      <xdr:rowOff>133350</xdr:rowOff>
    </xdr:from>
    <xdr:to>
      <xdr:col>6</xdr:col>
      <xdr:colOff>2597944</xdr:colOff>
      <xdr:row>4</xdr:row>
      <xdr:rowOff>108910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77320" y="133350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1095374</xdr:colOff>
      <xdr:row>0</xdr:row>
      <xdr:rowOff>157163</xdr:rowOff>
    </xdr:from>
    <xdr:to>
      <xdr:col>6</xdr:col>
      <xdr:colOff>2574131</xdr:colOff>
      <xdr:row>4</xdr:row>
      <xdr:rowOff>132723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81965" y="1568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211925</xdr:colOff>
      <xdr:row>0</xdr:row>
      <xdr:rowOff>390525</xdr:rowOff>
    </xdr:from>
    <xdr:to>
      <xdr:col>4</xdr:col>
      <xdr:colOff>2995268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855" y="390525"/>
          <a:ext cx="4583430" cy="484505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1131093</xdr:colOff>
      <xdr:row>0</xdr:row>
      <xdr:rowOff>157163</xdr:rowOff>
    </xdr:from>
    <xdr:to>
      <xdr:col>6</xdr:col>
      <xdr:colOff>2609850</xdr:colOff>
      <xdr:row>4</xdr:row>
      <xdr:rowOff>132723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9385" y="1568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1083469</xdr:colOff>
      <xdr:row>0</xdr:row>
      <xdr:rowOff>121444</xdr:rowOff>
    </xdr:from>
    <xdr:to>
      <xdr:col>6</xdr:col>
      <xdr:colOff>2562226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176207</xdr:colOff>
      <xdr:row>0</xdr:row>
      <xdr:rowOff>390525</xdr:rowOff>
    </xdr:from>
    <xdr:to>
      <xdr:col>5</xdr:col>
      <xdr:colOff>1381121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19295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1035843</xdr:colOff>
      <xdr:row>0</xdr:row>
      <xdr:rowOff>180976</xdr:rowOff>
    </xdr:from>
    <xdr:to>
      <xdr:col>6</xdr:col>
      <xdr:colOff>2514600</xdr:colOff>
      <xdr:row>4</xdr:row>
      <xdr:rowOff>156536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94135" y="18097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0</xdr:row>
      <xdr:rowOff>252413</xdr:rowOff>
    </xdr:from>
    <xdr:to>
      <xdr:col>6</xdr:col>
      <xdr:colOff>2483306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252095"/>
          <a:ext cx="1387475" cy="165798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1095375</xdr:colOff>
      <xdr:row>0</xdr:row>
      <xdr:rowOff>169069</xdr:rowOff>
    </xdr:from>
    <xdr:to>
      <xdr:col>6</xdr:col>
      <xdr:colOff>2621755</xdr:colOff>
      <xdr:row>4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53825" y="168910"/>
          <a:ext cx="1525905" cy="1741170"/>
        </a:xfrm>
        <a:prstGeom prst="rect">
          <a:avLst/>
        </a:prstGeom>
      </xdr:spPr>
    </xdr:pic>
    <xdr:clientData/>
  </xdr:twoCellAnchor>
  <xdr:twoCellAnchor editAs="oneCell">
    <xdr:from>
      <xdr:col>3</xdr:col>
      <xdr:colOff>297655</xdr:colOff>
      <xdr:row>1</xdr:row>
      <xdr:rowOff>24179</xdr:rowOff>
    </xdr:from>
    <xdr:to>
      <xdr:col>5</xdr:col>
      <xdr:colOff>1250155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0580" y="417195"/>
          <a:ext cx="4333875" cy="45783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1083468</xdr:colOff>
      <xdr:row>0</xdr:row>
      <xdr:rowOff>119062</xdr:rowOff>
    </xdr:from>
    <xdr:to>
      <xdr:col>6</xdr:col>
      <xdr:colOff>2562225</xdr:colOff>
      <xdr:row>4</xdr:row>
      <xdr:rowOff>94622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41760" y="11874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200019</xdr:colOff>
      <xdr:row>0</xdr:row>
      <xdr:rowOff>390525</xdr:rowOff>
    </xdr:from>
    <xdr:to>
      <xdr:col>5</xdr:col>
      <xdr:colOff>1404933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2790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1166812</xdr:colOff>
      <xdr:row>0</xdr:row>
      <xdr:rowOff>121444</xdr:rowOff>
    </xdr:from>
    <xdr:to>
      <xdr:col>6</xdr:col>
      <xdr:colOff>2645569</xdr:colOff>
      <xdr:row>4</xdr:row>
      <xdr:rowOff>97004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45" y="121285"/>
          <a:ext cx="1478915" cy="1694815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1107280</xdr:colOff>
      <xdr:row>0</xdr:row>
      <xdr:rowOff>192882</xdr:rowOff>
    </xdr:from>
    <xdr:to>
      <xdr:col>6</xdr:col>
      <xdr:colOff>2586037</xdr:colOff>
      <xdr:row>4</xdr:row>
      <xdr:rowOff>168442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65255" y="19240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1166812</xdr:colOff>
      <xdr:row>0</xdr:row>
      <xdr:rowOff>97632</xdr:rowOff>
    </xdr:from>
    <xdr:to>
      <xdr:col>6</xdr:col>
      <xdr:colOff>2645569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24945" y="97155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211925</xdr:colOff>
      <xdr:row>0</xdr:row>
      <xdr:rowOff>390525</xdr:rowOff>
    </xdr:from>
    <xdr:to>
      <xdr:col>5</xdr:col>
      <xdr:colOff>1416839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4855" y="390525"/>
          <a:ext cx="4586605" cy="48450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1142999</xdr:colOff>
      <xdr:row>0</xdr:row>
      <xdr:rowOff>145257</xdr:rowOff>
    </xdr:from>
    <xdr:to>
      <xdr:col>6</xdr:col>
      <xdr:colOff>2621756</xdr:colOff>
      <xdr:row>4</xdr:row>
      <xdr:rowOff>120817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0815" y="144780"/>
          <a:ext cx="1478915" cy="1695450"/>
        </a:xfrm>
        <a:prstGeom prst="rect">
          <a:avLst/>
        </a:prstGeom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1309688</xdr:colOff>
      <xdr:row>0</xdr:row>
      <xdr:rowOff>297656</xdr:rowOff>
    </xdr:from>
    <xdr:to>
      <xdr:col>6</xdr:col>
      <xdr:colOff>2609850</xdr:colOff>
      <xdr:row>4</xdr:row>
      <xdr:rowOff>73192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67820" y="297180"/>
          <a:ext cx="1300480" cy="1495425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1262062</xdr:colOff>
      <xdr:row>0</xdr:row>
      <xdr:rowOff>226219</xdr:rowOff>
    </xdr:from>
    <xdr:to>
      <xdr:col>6</xdr:col>
      <xdr:colOff>2621755</xdr:colOff>
      <xdr:row>3</xdr:row>
      <xdr:rowOff>358942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20195" y="226060"/>
          <a:ext cx="135953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188113</xdr:colOff>
      <xdr:row>0</xdr:row>
      <xdr:rowOff>390525</xdr:rowOff>
    </xdr:from>
    <xdr:to>
      <xdr:col>5</xdr:col>
      <xdr:colOff>1393027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360" y="390525"/>
          <a:ext cx="4585970" cy="48450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1333501</xdr:colOff>
      <xdr:row>0</xdr:row>
      <xdr:rowOff>309563</xdr:rowOff>
    </xdr:from>
    <xdr:to>
      <xdr:col>6</xdr:col>
      <xdr:colOff>2657475</xdr:colOff>
      <xdr:row>4</xdr:row>
      <xdr:rowOff>49380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1950" y="309245"/>
          <a:ext cx="1323975" cy="1459230"/>
        </a:xfrm>
        <a:prstGeom prst="rect">
          <a:avLst/>
        </a:prstGeom>
        <a:effectLst>
          <a:outerShdw blurRad="50800" dist="50800" dir="5400000" algn="ctr" rotWithShape="0">
            <a:schemeClr val="tx1">
              <a:alpha val="99000"/>
            </a:schemeClr>
          </a:outerShdw>
        </a:effectLst>
      </xdr:spPr>
    </xdr:pic>
    <xdr:clientData/>
  </xdr:twoCellAnchor>
  <xdr:twoCellAnchor editAs="oneCell">
    <xdr:from>
      <xdr:col>3</xdr:col>
      <xdr:colOff>152395</xdr:colOff>
      <xdr:row>0</xdr:row>
      <xdr:rowOff>390525</xdr:rowOff>
    </xdr:from>
    <xdr:to>
      <xdr:col>5</xdr:col>
      <xdr:colOff>1357309</xdr:colOff>
      <xdr:row>2</xdr:row>
      <xdr:rowOff>15855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95165" y="390525"/>
          <a:ext cx="4586605" cy="4845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39"/>
  <sheetViews>
    <sheetView zoomScale="85" zoomScaleNormal="85" workbookViewId="0">
      <pane xSplit="4" ySplit="1" topLeftCell="E2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4.85546875" style="2" customWidth="1"/>
    <col min="5" max="5" width="25.7109375" style="1" customWidth="1"/>
    <col min="6" max="6" width="26.28515625" style="1" customWidth="1"/>
    <col min="7" max="7" width="39.5703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91"/>
      <c r="C5" s="91"/>
      <c r="D5" s="91"/>
      <c r="E5" s="91"/>
      <c r="F5" s="91"/>
      <c r="G5" s="91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v>46112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/>
      <c r="F7" s="12"/>
      <c r="G7" s="13"/>
    </row>
    <row r="8" spans="1:12" ht="30.95" customHeight="1">
      <c r="B8" s="9">
        <v>2</v>
      </c>
      <c r="C8" s="10" t="s">
        <v>7</v>
      </c>
      <c r="D8" s="11" t="s">
        <v>6</v>
      </c>
      <c r="E8" s="12"/>
      <c r="F8" s="12"/>
      <c r="G8" s="13"/>
    </row>
    <row r="9" spans="1:12" ht="30.95" customHeight="1">
      <c r="B9" s="9">
        <v>3</v>
      </c>
      <c r="C9" s="10" t="s">
        <v>8</v>
      </c>
      <c r="D9" s="11" t="s">
        <v>6</v>
      </c>
      <c r="E9" s="14">
        <v>0</v>
      </c>
      <c r="F9" s="12">
        <v>0</v>
      </c>
      <c r="G9" s="13">
        <v>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v>0</v>
      </c>
      <c r="F10" s="15">
        <v>0</v>
      </c>
      <c r="G10" s="16">
        <v>0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v>0</v>
      </c>
      <c r="F11" s="15">
        <v>0</v>
      </c>
      <c r="G11" s="16">
        <v>0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0</v>
      </c>
      <c r="F12" s="12">
        <v>0</v>
      </c>
      <c r="G12" s="13">
        <v>0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v>0</v>
      </c>
      <c r="F13" s="15">
        <v>0</v>
      </c>
      <c r="G13" s="16">
        <v>0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/>
      <c r="F14" s="12"/>
      <c r="G14" s="13"/>
    </row>
    <row r="15" spans="1:12" ht="30.95" customHeight="1">
      <c r="B15" s="9">
        <v>8</v>
      </c>
      <c r="C15" s="10" t="s">
        <v>18</v>
      </c>
      <c r="D15" s="11" t="s">
        <v>17</v>
      </c>
      <c r="E15" s="12"/>
      <c r="F15" s="12"/>
      <c r="G15" s="13"/>
    </row>
    <row r="16" spans="1:12" ht="30.95" customHeight="1">
      <c r="B16" s="9">
        <v>9</v>
      </c>
      <c r="C16" s="10" t="s">
        <v>19</v>
      </c>
      <c r="D16" s="90" t="s">
        <v>17</v>
      </c>
      <c r="E16" s="17"/>
      <c r="F16" s="12"/>
      <c r="G16" s="13"/>
    </row>
    <row r="17" spans="2:8" ht="30.95" customHeight="1">
      <c r="B17" s="9">
        <v>10</v>
      </c>
      <c r="C17" s="10" t="s">
        <v>20</v>
      </c>
      <c r="D17" s="11" t="s">
        <v>17</v>
      </c>
      <c r="E17" s="12"/>
      <c r="F17" s="12"/>
      <c r="G17" s="13"/>
    </row>
    <row r="18" spans="2:8" ht="30.95" customHeight="1">
      <c r="B18" s="9">
        <v>11</v>
      </c>
      <c r="C18" s="10" t="s">
        <v>21</v>
      </c>
      <c r="D18" s="11" t="s">
        <v>17</v>
      </c>
      <c r="E18" s="12"/>
      <c r="F18" s="12"/>
      <c r="G18" s="13"/>
    </row>
    <row r="19" spans="2:8" ht="30.95" customHeight="1">
      <c r="B19" s="9">
        <v>12</v>
      </c>
      <c r="C19" s="10" t="s">
        <v>22</v>
      </c>
      <c r="D19" s="18" t="s">
        <v>17</v>
      </c>
      <c r="E19" s="12"/>
      <c r="F19" s="12"/>
      <c r="G19" s="13"/>
    </row>
    <row r="20" spans="2:8" ht="30.95" customHeight="1">
      <c r="B20" s="9">
        <v>13</v>
      </c>
      <c r="C20" s="10" t="s">
        <v>23</v>
      </c>
      <c r="D20" s="11" t="s">
        <v>24</v>
      </c>
      <c r="E20" s="15">
        <v>0</v>
      </c>
      <c r="F20" s="15">
        <v>0</v>
      </c>
      <c r="G20" s="16">
        <v>0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v>0</v>
      </c>
      <c r="F21" s="19">
        <v>0</v>
      </c>
      <c r="G21" s="20">
        <v>0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v>0</v>
      </c>
      <c r="F22" s="21">
        <v>0</v>
      </c>
      <c r="G22" s="21">
        <v>0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v>0</v>
      </c>
      <c r="F23" s="21">
        <v>0</v>
      </c>
      <c r="G23" s="21">
        <v>0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v>0</v>
      </c>
      <c r="G24" s="27"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0</v>
      </c>
      <c r="F26" s="32">
        <v>0</v>
      </c>
      <c r="G26" s="33">
        <v>0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/>
      <c r="F30" s="32"/>
      <c r="G30" s="33"/>
    </row>
    <row r="31" spans="2:8" ht="30.95" customHeight="1">
      <c r="B31" s="34">
        <v>2</v>
      </c>
      <c r="C31" s="10" t="s">
        <v>37</v>
      </c>
      <c r="D31" s="43" t="s">
        <v>38</v>
      </c>
      <c r="E31" s="12"/>
      <c r="F31" s="12"/>
      <c r="G31" s="13"/>
    </row>
    <row r="32" spans="2:8" ht="30.95" customHeight="1">
      <c r="B32" s="34">
        <v>3</v>
      </c>
      <c r="C32" s="10" t="s">
        <v>39</v>
      </c>
      <c r="D32" s="43" t="s">
        <v>38</v>
      </c>
      <c r="E32" s="12"/>
      <c r="F32" s="12"/>
      <c r="G32" s="13"/>
    </row>
    <row r="33" spans="2:7" ht="30.95" customHeight="1">
      <c r="B33" s="44">
        <v>4</v>
      </c>
      <c r="C33" s="23" t="s">
        <v>40</v>
      </c>
      <c r="D33" s="45" t="s">
        <v>41</v>
      </c>
      <c r="E33" s="46"/>
      <c r="F33" s="47"/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93" t="s">
        <v>46</v>
      </c>
      <c r="D35" s="94" t="s">
        <v>17</v>
      </c>
      <c r="E35" s="51"/>
      <c r="F35" s="32"/>
      <c r="G35" s="33"/>
    </row>
    <row r="36" spans="2:7" ht="30.95" customHeight="1">
      <c r="B36" s="52">
        <v>6</v>
      </c>
      <c r="C36" s="53" t="s">
        <v>50</v>
      </c>
      <c r="D36" s="54" t="s">
        <v>43</v>
      </c>
      <c r="E36" s="55"/>
      <c r="F36" s="12"/>
      <c r="G36" s="13"/>
    </row>
    <row r="37" spans="2:7" ht="30.95" customHeight="1">
      <c r="B37" s="44">
        <v>7</v>
      </c>
      <c r="C37" s="56" t="s">
        <v>44</v>
      </c>
      <c r="D37" s="57" t="s">
        <v>43</v>
      </c>
      <c r="E37" s="58"/>
      <c r="F37" s="47"/>
      <c r="G37" s="48"/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L40"/>
  <sheetViews>
    <sheetView zoomScale="85" zoomScaleNormal="85" workbookViewId="0">
      <pane xSplit="4" ySplit="6" topLeftCell="E22" activePane="bottomRight" state="frozen"/>
      <selection pane="topRight"/>
      <selection pane="bottomLeft"/>
      <selection pane="bottomRight" activeCell="E10" sqref="E10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4.85546875" style="2" customWidth="1"/>
    <col min="5" max="6" width="34.42578125" style="1" customWidth="1"/>
    <col min="7" max="7" width="39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75" customHeight="1">
      <c r="B6" s="6" t="s">
        <v>1</v>
      </c>
      <c r="C6" s="7" t="s">
        <v>2</v>
      </c>
      <c r="D6" s="7" t="s">
        <v>3</v>
      </c>
      <c r="E6" s="8">
        <f>'0'!E6+1</f>
        <v>46113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29100</v>
      </c>
      <c r="F7" s="12">
        <f>E7</f>
        <v>29100</v>
      </c>
      <c r="G7" s="13">
        <f>E7+'0'!G7</f>
        <v>29100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6960</v>
      </c>
      <c r="F8" s="12">
        <f t="shared" ref="F8:F9" si="0">E8</f>
        <v>6960</v>
      </c>
      <c r="G8" s="13">
        <f>E8+'0'!G8</f>
        <v>6960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22140</v>
      </c>
      <c r="F9" s="12">
        <f t="shared" si="0"/>
        <v>22140</v>
      </c>
      <c r="G9" s="13">
        <f>E9+'0'!G9</f>
        <v>22140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23.917525773195877</v>
      </c>
      <c r="F10" s="15">
        <f>F8/F7*100</f>
        <v>23.917525773195877</v>
      </c>
      <c r="G10" s="16">
        <f>G8/G7*100</f>
        <v>23.917525773195877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4.3693693693693696</v>
      </c>
      <c r="F11" s="15">
        <f>F7/F12/1000</f>
        <v>4.3693693693693696</v>
      </c>
      <c r="G11" s="16">
        <f>G7/G12/1000</f>
        <v>4.3693693693693696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6.66</v>
      </c>
      <c r="F12" s="12">
        <f>E12</f>
        <v>6.66</v>
      </c>
      <c r="G12" s="13">
        <f>E12+'0'!G12</f>
        <v>6.66</v>
      </c>
    </row>
    <row r="13" spans="1:12" ht="30.75" customHeight="1">
      <c r="B13" s="9">
        <v>6</v>
      </c>
      <c r="C13" s="10" t="s">
        <v>15</v>
      </c>
      <c r="D13" s="11" t="s">
        <v>10</v>
      </c>
      <c r="E13" s="15">
        <f>E11/10*100</f>
        <v>43.693693693693696</v>
      </c>
      <c r="F13" s="15">
        <f>F11/10*100</f>
        <v>43.693693693693696</v>
      </c>
      <c r="G13" s="16">
        <f>G11/10*100</f>
        <v>43.693693693693696</v>
      </c>
    </row>
    <row r="14" spans="1:12" ht="30.75" customHeight="1">
      <c r="B14" s="9">
        <v>7</v>
      </c>
      <c r="C14" s="10" t="s">
        <v>16</v>
      </c>
      <c r="D14" s="11" t="s">
        <v>17</v>
      </c>
      <c r="E14" s="12">
        <v>177</v>
      </c>
      <c r="F14" s="12">
        <f>E14</f>
        <v>177</v>
      </c>
      <c r="G14" s="13">
        <f>E14+'0'!G14</f>
        <v>177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157</v>
      </c>
      <c r="F15" s="12">
        <f t="shared" ref="F15:F19" si="1">E15</f>
        <v>157</v>
      </c>
      <c r="G15" s="13">
        <f>E15+'0'!G15</f>
        <v>157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 t="shared" si="1"/>
        <v>0</v>
      </c>
      <c r="G16" s="13">
        <f>E16+'0'!G16</f>
        <v>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124</v>
      </c>
      <c r="F17" s="12">
        <f t="shared" si="1"/>
        <v>124</v>
      </c>
      <c r="G17" s="13">
        <f>E17+'0'!G17</f>
        <v>124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119</v>
      </c>
      <c r="F18" s="12">
        <f t="shared" si="1"/>
        <v>119</v>
      </c>
      <c r="G18" s="13">
        <f>E18+'0'!G18</f>
        <v>119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5</v>
      </c>
      <c r="F19" s="12">
        <f t="shared" si="1"/>
        <v>5</v>
      </c>
      <c r="G19" s="13">
        <f>E19+'0'!G19</f>
        <v>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4.261168384879725</v>
      </c>
      <c r="F20" s="15">
        <f>F17*1000/F7</f>
        <v>4.261168384879725</v>
      </c>
      <c r="G20" s="16">
        <f>G17*1000/G7</f>
        <v>4.261168384879725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0.75601374570446733</v>
      </c>
      <c r="F21" s="19">
        <f>F26*1000/F7</f>
        <v>0.75601374570446733</v>
      </c>
      <c r="G21" s="20">
        <f>G26*1000/G7</f>
        <v>0.75601374570446733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2938.9003436426115</v>
      </c>
      <c r="F22" s="21">
        <f>((F17*(803-130)+F31*(30))*1000)/F7</f>
        <v>2938.9003436426115</v>
      </c>
      <c r="G22" s="78">
        <f>((G17*(803-130)+G31*(30))*1000)/G7</f>
        <v>2938.9003436426115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4655.079742708609</v>
      </c>
      <c r="F23" s="21">
        <f t="shared" ref="F23:G23" si="2">(F15*(803-130))*1000/(F7*0.78)</f>
        <v>4655.079742708609</v>
      </c>
      <c r="G23" s="21">
        <f t="shared" si="2"/>
        <v>4655.079742708609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</f>
        <v>0</v>
      </c>
      <c r="G24" s="13">
        <f>E24+'0'!G24</f>
        <v>0</v>
      </c>
    </row>
    <row r="25" spans="2:8" ht="30.95" customHeight="1">
      <c r="B25" s="108" t="s">
        <v>30</v>
      </c>
      <c r="C25" s="109"/>
      <c r="D25" s="109"/>
      <c r="E25" s="109"/>
      <c r="F25" s="109"/>
      <c r="G25" s="110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22</v>
      </c>
      <c r="F26" s="32">
        <f>E26</f>
        <v>22</v>
      </c>
      <c r="G26" s="13">
        <f>E26+'0'!G26</f>
        <v>22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4929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8" t="s">
        <v>34</v>
      </c>
      <c r="C29" s="109"/>
      <c r="D29" s="109"/>
      <c r="E29" s="109"/>
      <c r="F29" s="109"/>
      <c r="G29" s="110"/>
    </row>
    <row r="30" spans="2:8" ht="30.95" customHeight="1">
      <c r="B30" s="29">
        <v>1</v>
      </c>
      <c r="C30" s="30" t="s">
        <v>35</v>
      </c>
      <c r="D30" s="42" t="s">
        <v>45</v>
      </c>
      <c r="E30" s="32">
        <v>47</v>
      </c>
      <c r="F30" s="32">
        <f>E30</f>
        <v>47</v>
      </c>
      <c r="G30" s="13">
        <f>E30+'0'!G30</f>
        <v>47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69</v>
      </c>
      <c r="F31" s="12">
        <f t="shared" ref="F31:F32" si="3">E31</f>
        <v>69</v>
      </c>
      <c r="G31" s="13">
        <f>E31+'0'!G31</f>
        <v>69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28</v>
      </c>
      <c r="F32" s="12">
        <f t="shared" si="3"/>
        <v>28</v>
      </c>
      <c r="G32" s="13">
        <f>E32+'0'!G32</f>
        <v>28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26</v>
      </c>
      <c r="F33" s="47">
        <v>1557</v>
      </c>
      <c r="G33" s="48"/>
    </row>
    <row r="34" spans="2:7" ht="30.95" customHeight="1">
      <c r="B34" s="105" t="s">
        <v>42</v>
      </c>
      <c r="C34" s="106"/>
      <c r="D34" s="106"/>
      <c r="E34" s="106"/>
      <c r="F34" s="106"/>
      <c r="G34" s="107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6</v>
      </c>
      <c r="F35" s="32">
        <f>E35</f>
        <v>6</v>
      </c>
      <c r="G35" s="13">
        <f>E35+'0'!G35</f>
        <v>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 t="shared" ref="F36:F37" si="4">E36</f>
        <v>0</v>
      </c>
      <c r="G36" s="13">
        <f>E36+'0'!G36</f>
        <v>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 t="shared" si="4"/>
        <v>0</v>
      </c>
      <c r="G37" s="13">
        <f>E37+'0'!G37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7" orientation="portrait"/>
  <ignoredErrors>
    <ignoredError sqref="F13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L40"/>
  <sheetViews>
    <sheetView topLeftCell="B1" zoomScale="80" zoomScaleNormal="80" workbookViewId="0">
      <pane xSplit="3" ySplit="6" topLeftCell="E19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.28515625" style="1" customWidth="1"/>
    <col min="7" max="7" width="39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'1'!E6+1</f>
        <v>46114</v>
      </c>
      <c r="F6" s="42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159500</v>
      </c>
      <c r="F7" s="12">
        <f>E7+'1'!F7</f>
        <v>188600</v>
      </c>
      <c r="G7" s="13">
        <f>E7+'1'!G7</f>
        <v>188600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17514</v>
      </c>
      <c r="F8" s="12">
        <f>E8+'1'!F8</f>
        <v>24474</v>
      </c>
      <c r="G8" s="13">
        <f>E8+'1'!G8</f>
        <v>24474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141986</v>
      </c>
      <c r="F9" s="12">
        <f>E9+'1'!F9</f>
        <v>164126</v>
      </c>
      <c r="G9" s="13">
        <f>E9+'1'!G9</f>
        <v>164126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10.980564263322885</v>
      </c>
      <c r="F10" s="15">
        <f>F8/F7*100</f>
        <v>12.976670201484625</v>
      </c>
      <c r="G10" s="16">
        <f>G8/G7*100</f>
        <v>12.976670201484625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6.645833333333333</v>
      </c>
      <c r="F11" s="15">
        <f>F7/F12/1000</f>
        <v>6.1513372472276577</v>
      </c>
      <c r="G11" s="16">
        <f>G7/G12/1000</f>
        <v>6.1513372472276577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E12+'1'!F12</f>
        <v>30.66</v>
      </c>
      <c r="G12" s="13">
        <f>E12+'1'!G12</f>
        <v>30.66</v>
      </c>
    </row>
    <row r="13" spans="1:12" ht="30.95" customHeight="1">
      <c r="B13" s="9">
        <v>7</v>
      </c>
      <c r="C13" s="10" t="s">
        <v>15</v>
      </c>
      <c r="D13" s="11" t="s">
        <v>10</v>
      </c>
      <c r="E13" s="15">
        <f>E11/10*100</f>
        <v>66.458333333333329</v>
      </c>
      <c r="F13" s="15">
        <f>F11/10*100</f>
        <v>61.513372472276572</v>
      </c>
      <c r="G13" s="16">
        <f>G11/10*100</f>
        <v>61.513372472276572</v>
      </c>
    </row>
    <row r="14" spans="1:12" ht="30.95" customHeight="1">
      <c r="B14" s="9">
        <v>8</v>
      </c>
      <c r="C14" s="10" t="s">
        <v>16</v>
      </c>
      <c r="D14" s="11" t="s">
        <v>17</v>
      </c>
      <c r="E14" s="12">
        <v>757</v>
      </c>
      <c r="F14" s="12">
        <f>E14+'1'!F14</f>
        <v>934</v>
      </c>
      <c r="G14" s="13">
        <f>E14+'1'!G14</f>
        <v>934</v>
      </c>
    </row>
    <row r="15" spans="1:12" ht="30.95" customHeight="1">
      <c r="B15" s="9">
        <v>9</v>
      </c>
      <c r="C15" s="10" t="s">
        <v>18</v>
      </c>
      <c r="D15" s="11" t="s">
        <v>17</v>
      </c>
      <c r="E15" s="12">
        <v>740</v>
      </c>
      <c r="F15" s="12">
        <f>E15+'1'!F15</f>
        <v>897</v>
      </c>
      <c r="G15" s="13">
        <f>E15+'1'!G15</f>
        <v>897</v>
      </c>
    </row>
    <row r="16" spans="1:12" ht="30.95" customHeight="1">
      <c r="B16" s="9">
        <v>10</v>
      </c>
      <c r="C16" s="10" t="s">
        <v>19</v>
      </c>
      <c r="D16" s="90" t="s">
        <v>17</v>
      </c>
      <c r="E16" s="12">
        <v>14</v>
      </c>
      <c r="F16" s="12">
        <f>E16+'1'!F16</f>
        <v>14</v>
      </c>
      <c r="G16" s="13">
        <f>E16+'1'!G16</f>
        <v>14</v>
      </c>
    </row>
    <row r="17" spans="2:8" ht="30.95" customHeight="1">
      <c r="B17" s="9">
        <v>11</v>
      </c>
      <c r="C17" s="10" t="s">
        <v>20</v>
      </c>
      <c r="D17" s="11" t="s">
        <v>17</v>
      </c>
      <c r="E17" s="12">
        <v>666</v>
      </c>
      <c r="F17" s="12">
        <f>E17+'1'!F17</f>
        <v>790</v>
      </c>
      <c r="G17" s="13">
        <f>E17+'1'!G17</f>
        <v>790</v>
      </c>
    </row>
    <row r="18" spans="2:8" ht="30.95" customHeight="1">
      <c r="B18" s="9">
        <v>12</v>
      </c>
      <c r="C18" s="10" t="s">
        <v>21</v>
      </c>
      <c r="D18" s="11" t="s">
        <v>17</v>
      </c>
      <c r="E18" s="12">
        <v>565</v>
      </c>
      <c r="F18" s="12">
        <f>E18+'1'!F18</f>
        <v>684</v>
      </c>
      <c r="G18" s="13">
        <f>E18+'1'!G18</f>
        <v>684</v>
      </c>
    </row>
    <row r="19" spans="2:8" ht="30.95" customHeight="1">
      <c r="B19" s="9">
        <v>13</v>
      </c>
      <c r="C19" s="10" t="s">
        <v>22</v>
      </c>
      <c r="D19" s="18" t="s">
        <v>17</v>
      </c>
      <c r="E19" s="12">
        <v>18</v>
      </c>
      <c r="F19" s="12">
        <f>E19+'1'!F19</f>
        <v>23</v>
      </c>
      <c r="G19" s="13">
        <f>E19+'1'!G19</f>
        <v>23</v>
      </c>
    </row>
    <row r="20" spans="2:8" ht="30.95" customHeight="1">
      <c r="B20" s="9">
        <v>14</v>
      </c>
      <c r="C20" s="10" t="s">
        <v>23</v>
      </c>
      <c r="D20" s="11" t="s">
        <v>24</v>
      </c>
      <c r="E20" s="15">
        <f>E17*1000/E7</f>
        <v>4.1755485893416928</v>
      </c>
      <c r="F20" s="15">
        <f>F17*1000/F7</f>
        <v>4.1887592788971366</v>
      </c>
      <c r="G20" s="16">
        <f>G17*1000/G7</f>
        <v>4.1887592788971366</v>
      </c>
    </row>
    <row r="21" spans="2:8" ht="30.95" customHeight="1">
      <c r="B21" s="9">
        <v>15</v>
      </c>
      <c r="C21" s="10" t="s">
        <v>25</v>
      </c>
      <c r="D21" s="11" t="s">
        <v>24</v>
      </c>
      <c r="E21" s="19">
        <f>E26*1000/E7</f>
        <v>0.86520376175548586</v>
      </c>
      <c r="F21" s="19">
        <f>F26*1000/F7</f>
        <v>0.84835630965005304</v>
      </c>
      <c r="G21" s="20">
        <f>G26*1000/G7</f>
        <v>0.84835630965005304</v>
      </c>
    </row>
    <row r="22" spans="2:8" ht="30.95" customHeight="1">
      <c r="B22" s="9">
        <v>16</v>
      </c>
      <c r="C22" s="10" t="s">
        <v>26</v>
      </c>
      <c r="D22" s="11" t="s">
        <v>27</v>
      </c>
      <c r="E22" s="21">
        <f>((E17*(803-130)+E31*(30))*1000)/E7</f>
        <v>2812.4012539184955</v>
      </c>
      <c r="F22" s="21">
        <f t="shared" ref="F22:G22" si="0">((F17*(803-130)+F31*(30))*1000)/F7</f>
        <v>2831.9194061505832</v>
      </c>
      <c r="G22" s="21">
        <f t="shared" si="0"/>
        <v>2831.9194061505832</v>
      </c>
    </row>
    <row r="23" spans="2:8" ht="30.95" customHeight="1">
      <c r="B23" s="9">
        <v>17</v>
      </c>
      <c r="C23" s="10" t="s">
        <v>28</v>
      </c>
      <c r="D23" s="11" t="s">
        <v>27</v>
      </c>
      <c r="E23" s="21">
        <f>(E15*(803-130))*1000/(E7*0.78)</f>
        <v>4003.0544168475203</v>
      </c>
      <c r="F23" s="21">
        <f t="shared" ref="F23:G23" si="1">(F15*(803-130))*1000/(F7*0.78)</f>
        <v>4103.6585365853662</v>
      </c>
      <c r="G23" s="21">
        <f t="shared" si="1"/>
        <v>4103.6585365853662</v>
      </c>
    </row>
    <row r="24" spans="2:8" ht="30.95" customHeight="1">
      <c r="B24" s="9">
        <v>18</v>
      </c>
      <c r="C24" s="23" t="s">
        <v>29</v>
      </c>
      <c r="D24" s="24" t="s">
        <v>6</v>
      </c>
      <c r="E24" s="25">
        <v>0</v>
      </c>
      <c r="F24" s="47">
        <f>E24+'1'!F24</f>
        <v>0</v>
      </c>
      <c r="G24" s="48">
        <f>E24+'1'!G24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E26+'1'!F26</f>
        <v>160</v>
      </c>
      <c r="G26" s="33">
        <f>E26+'1'!G26</f>
        <v>160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4607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18</v>
      </c>
      <c r="F30" s="32">
        <f>E30+'1'!F30</f>
        <v>65</v>
      </c>
      <c r="G30" s="33">
        <f>E30+'1'!G30</f>
        <v>65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f>E31+'1'!F31</f>
        <v>81</v>
      </c>
      <c r="G31" s="13">
        <f>E31+'1'!G31</f>
        <v>81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E32+'1'!F32</f>
        <v>46</v>
      </c>
      <c r="G32" s="13">
        <f>E32+'1'!G32</f>
        <v>46</v>
      </c>
    </row>
    <row r="33" spans="2:7" ht="30.95" customHeight="1">
      <c r="B33" s="44">
        <v>4</v>
      </c>
      <c r="C33" s="23" t="s">
        <v>40</v>
      </c>
      <c r="D33" s="45" t="s">
        <v>41</v>
      </c>
      <c r="E33" s="47">
        <v>21</v>
      </c>
      <c r="F33" s="47">
        <v>1422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47</v>
      </c>
      <c r="F35" s="32">
        <f>E35+'1'!F35</f>
        <v>53</v>
      </c>
      <c r="G35" s="33">
        <f>E35+'1'!G35</f>
        <v>53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E36+'1'!F36</f>
        <v>0</v>
      </c>
      <c r="G36" s="13">
        <f>E36+'1'!G36</f>
        <v>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E37+'1'!F37</f>
        <v>0</v>
      </c>
      <c r="G37" s="48">
        <f>E37+'1'!G37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L40"/>
  <sheetViews>
    <sheetView zoomScale="80" zoomScaleNormal="80" workbookViewId="0">
      <pane xSplit="4" ySplit="6" topLeftCell="E22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39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'2'!E6+1</f>
        <v>46115</v>
      </c>
      <c r="F6" s="42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146400</v>
      </c>
      <c r="F7" s="12">
        <f>E7+'2'!F7</f>
        <v>335000</v>
      </c>
      <c r="G7" s="13">
        <f>E7+'2'!G7</f>
        <v>335000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17481</v>
      </c>
      <c r="F8" s="12">
        <f>E8+'2'!F8</f>
        <v>41955</v>
      </c>
      <c r="G8" s="13">
        <f>E8+'2'!G8</f>
        <v>41955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128919</v>
      </c>
      <c r="F9" s="12">
        <f>E9+'2'!F9</f>
        <v>293045</v>
      </c>
      <c r="G9" s="13">
        <f>E9+'2'!G9</f>
        <v>293045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11.940573770491804</v>
      </c>
      <c r="F10" s="15">
        <f>F8/F7*100</f>
        <v>12.523880597014925</v>
      </c>
      <c r="G10" s="16">
        <f>G8/G7*100</f>
        <v>12.523880597014925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6.1</v>
      </c>
      <c r="F11" s="15">
        <f>F7/F12/1000</f>
        <v>6.1287961946578857</v>
      </c>
      <c r="G11" s="16">
        <f>G7/G12/1000</f>
        <v>6.1287961946578857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E12+'2'!F12</f>
        <v>54.66</v>
      </c>
      <c r="G12" s="13">
        <f>E12+'2'!G12</f>
        <v>54.66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61</v>
      </c>
      <c r="F13" s="15">
        <f>F11/10*100</f>
        <v>61.287961946578861</v>
      </c>
      <c r="G13" s="16">
        <f>G11/10*100</f>
        <v>61.287961946578861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693</v>
      </c>
      <c r="F14" s="12">
        <f>E14+'2'!F14</f>
        <v>1627</v>
      </c>
      <c r="G14" s="13">
        <f>E14+'2'!G14</f>
        <v>1627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678</v>
      </c>
      <c r="F15" s="12">
        <f>E15+'2'!F15</f>
        <v>1575</v>
      </c>
      <c r="G15" s="13">
        <f>E15+'2'!G15</f>
        <v>1575</v>
      </c>
    </row>
    <row r="16" spans="1:12" ht="30.95" customHeight="1">
      <c r="B16" s="9">
        <v>9</v>
      </c>
      <c r="C16" s="10" t="s">
        <v>19</v>
      </c>
      <c r="D16" s="90" t="s">
        <v>17</v>
      </c>
      <c r="E16" s="12">
        <v>21</v>
      </c>
      <c r="F16" s="70">
        <f>E16+'2'!F16</f>
        <v>35</v>
      </c>
      <c r="G16" s="13">
        <f>E16+'2'!G16</f>
        <v>35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619</v>
      </c>
      <c r="F17" s="12">
        <f>E17+'2'!F17</f>
        <v>1409</v>
      </c>
      <c r="G17" s="13">
        <f>E17+'2'!G17</f>
        <v>1409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518</v>
      </c>
      <c r="F18" s="12">
        <f>E18+'2'!F18</f>
        <v>1202</v>
      </c>
      <c r="G18" s="13">
        <f>E18+'2'!G18</f>
        <v>1202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E19+'2'!F19</f>
        <v>41</v>
      </c>
      <c r="G19" s="13">
        <f>E19+'2'!G19</f>
        <v>41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4.2281420765027322</v>
      </c>
      <c r="F20" s="15">
        <f>F17*1000/F7</f>
        <v>4.2059701492537309</v>
      </c>
      <c r="G20" s="16">
        <f>G17*1000/G7</f>
        <v>4.2059701492537309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0.86065573770491799</v>
      </c>
      <c r="F21" s="19">
        <f>F26*1000/F7</f>
        <v>0.85373134328358213</v>
      </c>
      <c r="G21" s="20">
        <f>G26*1000/G7</f>
        <v>0.85373134328358213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2848.6133879781419</v>
      </c>
      <c r="F22" s="21">
        <f t="shared" ref="F22:G22" si="0">((F17*(803-130)+F31*(30))*1000)/F7</f>
        <v>2839.2149253731345</v>
      </c>
      <c r="G22" s="21">
        <f t="shared" si="0"/>
        <v>2839.2149253731345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3995.8490962589321</v>
      </c>
      <c r="F23" s="21">
        <f t="shared" ref="F23:G23" si="1">(F15*(803-130))*1000/(F7*0.78)</f>
        <v>4056.5442020665901</v>
      </c>
      <c r="G23" s="21">
        <f t="shared" si="1"/>
        <v>4056.5442020665901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E24+'2'!F24</f>
        <v>0</v>
      </c>
      <c r="G24" s="48">
        <f>E24+'2'!G24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126</v>
      </c>
      <c r="F26" s="32">
        <f>E26+'2'!F26</f>
        <v>286</v>
      </c>
      <c r="G26" s="33">
        <f>E26+'2'!G26</f>
        <v>286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4636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12</v>
      </c>
      <c r="F30" s="32">
        <f>E30+'2'!F30</f>
        <v>77</v>
      </c>
      <c r="G30" s="33">
        <f>E30+'2'!G30</f>
        <v>77</v>
      </c>
    </row>
    <row r="31" spans="2:8" ht="30.95" customHeight="1">
      <c r="B31" s="34">
        <v>2</v>
      </c>
      <c r="C31" s="10" t="s">
        <v>37</v>
      </c>
      <c r="D31" s="43" t="s">
        <v>38</v>
      </c>
      <c r="E31" s="35">
        <v>15</v>
      </c>
      <c r="F31" s="12">
        <f>E31+'2'!F31</f>
        <v>96</v>
      </c>
      <c r="G31" s="13">
        <f>E31+'2'!G31</f>
        <v>96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20</v>
      </c>
      <c r="F32" s="12">
        <f>E32+'2'!F32</f>
        <v>66</v>
      </c>
      <c r="G32" s="13">
        <f>E32+'2'!G32</f>
        <v>66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20.399999999999999</v>
      </c>
      <c r="F33" s="47">
        <v>1417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43</v>
      </c>
      <c r="F35" s="32">
        <f>E35+'2'!F35</f>
        <v>96</v>
      </c>
      <c r="G35" s="33">
        <f>E35+'2'!G35</f>
        <v>96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E36+'2'!F36</f>
        <v>0</v>
      </c>
      <c r="G36" s="13">
        <f>E36+'2'!G36</f>
        <v>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E37+'2'!F37</f>
        <v>0</v>
      </c>
      <c r="G37" s="48">
        <f>E37+'2'!G37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L40"/>
  <sheetViews>
    <sheetView topLeftCell="B1" zoomScale="70" zoomScaleNormal="70" workbookViewId="0">
      <pane xSplit="3" ySplit="6" topLeftCell="E7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6.140625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" style="1" customWidth="1"/>
    <col min="7" max="7" width="39.140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'3'!E6+1</f>
        <v>46116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130100</v>
      </c>
      <c r="F7" s="12">
        <f>E7+'3'!F7</f>
        <v>465100</v>
      </c>
      <c r="G7" s="13">
        <f>E7+'3'!G7</f>
        <v>465100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17368</v>
      </c>
      <c r="F8" s="12">
        <f>E8+'3'!F8</f>
        <v>59323</v>
      </c>
      <c r="G8" s="13">
        <f>E8+'3'!G8</f>
        <v>59323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112732</v>
      </c>
      <c r="F9" s="12">
        <f>E9+'3'!F9</f>
        <v>405777</v>
      </c>
      <c r="G9" s="13">
        <f>E9+'3'!G9</f>
        <v>405777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13.349730976172175</v>
      </c>
      <c r="F10" s="15">
        <f>F8/F7*100</f>
        <v>12.754891421199744</v>
      </c>
      <c r="G10" s="16">
        <f>G8/G7*100</f>
        <v>12.754891421199744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5.4208333333333334</v>
      </c>
      <c r="F11" s="15">
        <f>F7/F12/1000</f>
        <v>5.9127892194253757</v>
      </c>
      <c r="G11" s="16">
        <f>G7/G12/1000</f>
        <v>5.9127892194253757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E12+'3'!F12</f>
        <v>78.66</v>
      </c>
      <c r="G12" s="13">
        <f>E12+'3'!G12</f>
        <v>78.66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54.208333333333336</v>
      </c>
      <c r="F13" s="15">
        <f>F11/10*100</f>
        <v>59.127892194253761</v>
      </c>
      <c r="G13" s="16">
        <f>G11/10*100</f>
        <v>59.127892194253761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647</v>
      </c>
      <c r="F14" s="12">
        <f>E14+'3'!F14</f>
        <v>2274</v>
      </c>
      <c r="G14" s="13">
        <f>E14+'3'!G14</f>
        <v>2274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628</v>
      </c>
      <c r="F15" s="12">
        <f>E15+'3'!F15</f>
        <v>2203</v>
      </c>
      <c r="G15" s="13">
        <f>E15+'3'!G15</f>
        <v>2203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44</v>
      </c>
      <c r="F16" s="70">
        <f>E16+'3'!F16</f>
        <v>79</v>
      </c>
      <c r="G16" s="13">
        <f>E16+'3'!G16</f>
        <v>79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567</v>
      </c>
      <c r="F17" s="12">
        <f>E17+'3'!F17</f>
        <v>1976</v>
      </c>
      <c r="G17" s="13">
        <f>E17+'3'!G17</f>
        <v>1976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454</v>
      </c>
      <c r="F18" s="12">
        <f>E18+'3'!F18</f>
        <v>1656</v>
      </c>
      <c r="G18" s="13">
        <f>E18+'3'!G18</f>
        <v>1656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E19+'3'!F19</f>
        <v>59</v>
      </c>
      <c r="G19" s="13">
        <f>E19+'3'!G19</f>
        <v>59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4.3581860107609529</v>
      </c>
      <c r="F20" s="15">
        <f>F17*1000/F7</f>
        <v>4.2485486992044725</v>
      </c>
      <c r="G20" s="16">
        <f>G17*1000/G7</f>
        <v>4.2485486992044725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0.74558032282859343</v>
      </c>
      <c r="F21" s="19">
        <f>F26*1000/F7</f>
        <v>0.82347882175876153</v>
      </c>
      <c r="G21" s="20">
        <f>G26*1000/G7</f>
        <v>0.82347882175876153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2936.7486548808611</v>
      </c>
      <c r="F22" s="21">
        <f t="shared" ref="F22:G22" si="0">((F17*(803-130)+F31*(30))*1000)/F7</f>
        <v>2866.4975274134595</v>
      </c>
      <c r="G22" s="21">
        <f t="shared" si="0"/>
        <v>2866.4975274134595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4164.8830288338359</v>
      </c>
      <c r="F23" s="21">
        <f t="shared" ref="F23:G23" si="1">(F15*(803-130))*1000/(F7*0.78)</f>
        <v>4086.8492576727367</v>
      </c>
      <c r="G23" s="21">
        <f t="shared" si="1"/>
        <v>4086.8492576727367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E24+'3'!F24</f>
        <v>0</v>
      </c>
      <c r="G24" s="48">
        <f>E24+'3'!G24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97</v>
      </c>
      <c r="F26" s="32">
        <f>E26+'3'!F26</f>
        <v>383</v>
      </c>
      <c r="G26" s="33">
        <f>E26+'3'!G26</f>
        <v>383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4729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17</v>
      </c>
      <c r="F30" s="32">
        <f>E30+'3'!F30</f>
        <v>94</v>
      </c>
      <c r="G30" s="33">
        <f>E30+'3'!G30</f>
        <v>94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16</v>
      </c>
      <c r="F31" s="12">
        <f>E31+'3'!F31</f>
        <v>112</v>
      </c>
      <c r="G31" s="13">
        <f>E31+'3'!G31</f>
        <v>112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E32+'3'!F32</f>
        <v>84</v>
      </c>
      <c r="G32" s="13">
        <f>E32+'3'!G32</f>
        <v>84</v>
      </c>
    </row>
    <row r="33" spans="2:7" ht="30.95" customHeight="1">
      <c r="B33" s="44">
        <v>4</v>
      </c>
      <c r="C33" s="23" t="s">
        <v>40</v>
      </c>
      <c r="D33" s="45" t="s">
        <v>41</v>
      </c>
      <c r="E33" s="88">
        <v>20.89</v>
      </c>
      <c r="F33" s="89">
        <v>1383</v>
      </c>
      <c r="G33" s="48"/>
    </row>
    <row r="34" spans="2:7" ht="30.95" customHeight="1">
      <c r="B34" s="96"/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31</v>
      </c>
      <c r="F35" s="32">
        <f>E35+'3'!F35</f>
        <v>127</v>
      </c>
      <c r="G35" s="33">
        <f>E35+'3'!G35</f>
        <v>127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E36+'3'!F36</f>
        <v>0</v>
      </c>
      <c r="G36" s="13">
        <f>E36+'3'!G36</f>
        <v>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E37+'3'!F37</f>
        <v>0</v>
      </c>
      <c r="G37" s="48">
        <f>E37+'3'!G37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40"/>
  <sheetViews>
    <sheetView zoomScale="80" zoomScaleNormal="80" workbookViewId="0">
      <pane xSplit="4" ySplit="6" topLeftCell="E19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6.140625" style="1" customWidth="1"/>
    <col min="2" max="2" width="11.7109375" style="1" customWidth="1"/>
    <col min="3" max="3" width="46.42578125" style="1" customWidth="1"/>
    <col min="4" max="4" width="16.140625" style="2" customWidth="1"/>
    <col min="5" max="5" width="32.7109375" style="1" customWidth="1"/>
    <col min="6" max="6" width="35.28515625" style="1" customWidth="1"/>
    <col min="7" max="7" width="36.425781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1" spans="1:12" ht="20.25" customHeight="1"/>
    <row r="2" spans="1:12" ht="29.2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29.2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26.2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24.7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'4'!E6+1</f>
        <v>46117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98800</v>
      </c>
      <c r="F7" s="12">
        <f>E7+'4'!F7</f>
        <v>563900</v>
      </c>
      <c r="G7" s="13">
        <f>E7+'4'!G7</f>
        <v>563900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16573</v>
      </c>
      <c r="F8" s="12">
        <f>E8+'4'!F8</f>
        <v>75896</v>
      </c>
      <c r="G8" s="13">
        <f>E8+'4'!G8</f>
        <v>75896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82227</v>
      </c>
      <c r="F9" s="12">
        <f>E9+'4'!F9</f>
        <v>488004</v>
      </c>
      <c r="G9" s="13">
        <f>E9+'4'!G9</f>
        <v>488004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16.774291497975707</v>
      </c>
      <c r="F10" s="15">
        <f>F8/F7*100</f>
        <v>13.459123958148608</v>
      </c>
      <c r="G10" s="16">
        <f>G8/G7*100</f>
        <v>13.459123958148608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4.1166666666666671</v>
      </c>
      <c r="F11" s="15">
        <f>F7/F12/1000</f>
        <v>5.4928891486460163</v>
      </c>
      <c r="G11" s="16">
        <f>G7/G12/1000</f>
        <v>5.4928891486460163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E12+'4'!F12</f>
        <v>102.66</v>
      </c>
      <c r="G12" s="13">
        <f>E12+'4'!G12</f>
        <v>102.66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41.166666666666671</v>
      </c>
      <c r="F13" s="15">
        <f>F11/10*100</f>
        <v>54.928891486460159</v>
      </c>
      <c r="G13" s="16">
        <f>G11/10*100</f>
        <v>54.928891486460159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529</v>
      </c>
      <c r="F14" s="12">
        <f>E14+'4'!F14</f>
        <v>2803</v>
      </c>
      <c r="G14" s="13">
        <f>E14+'4'!G14</f>
        <v>2803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521</v>
      </c>
      <c r="F15" s="12">
        <f>E15+'4'!F15</f>
        <v>2724</v>
      </c>
      <c r="G15" s="13">
        <f>E15+'4'!G15</f>
        <v>2724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24</v>
      </c>
      <c r="F16" s="70">
        <f>E16+'4'!F16</f>
        <v>103</v>
      </c>
      <c r="G16" s="13">
        <f>E16+'4'!G16</f>
        <v>103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453</v>
      </c>
      <c r="F17" s="12">
        <f>E17+'4'!F17</f>
        <v>2429</v>
      </c>
      <c r="G17" s="13">
        <f>E17+'4'!G17</f>
        <v>2429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365</v>
      </c>
      <c r="F18" s="12">
        <f>E18+'4'!F18</f>
        <v>2021</v>
      </c>
      <c r="G18" s="13">
        <f>E18+'4'!G18</f>
        <v>2021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E19+'4'!F19</f>
        <v>77</v>
      </c>
      <c r="G19" s="13">
        <f>E19+'4'!G19</f>
        <v>77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4.5850202429149798</v>
      </c>
      <c r="F20" s="15">
        <f>F17*1000/F7</f>
        <v>4.3075013300230536</v>
      </c>
      <c r="G20" s="16">
        <f>G17*1000/G7</f>
        <v>4.3075013300230536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0.92105263157894735</v>
      </c>
      <c r="F21" s="19">
        <f>F26*1000/F7</f>
        <v>0.84057456995921265</v>
      </c>
      <c r="G21" s="20">
        <f>G26*1000/G7</f>
        <v>0.84057456995921265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3089.6659919028339</v>
      </c>
      <c r="F22" s="21">
        <f t="shared" ref="F22:G22" si="0">((F17*(803-130)+F31*(30))*1000)/F7</f>
        <v>2905.59851037418</v>
      </c>
      <c r="G22" s="21">
        <f t="shared" si="0"/>
        <v>2905.59851037418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4549.8935949340812</v>
      </c>
      <c r="F23" s="21">
        <f t="shared" ref="F23:G23" si="1">(F15*(803-130))*1000/(F7*0.78)</f>
        <v>4167.978501370947</v>
      </c>
      <c r="G23" s="21">
        <f t="shared" si="1"/>
        <v>4167.978501370947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E24+'4'!F24</f>
        <v>0</v>
      </c>
      <c r="G24" s="48">
        <f>E24+'4'!G24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91</v>
      </c>
      <c r="F26" s="32">
        <f>E26+'4'!F26</f>
        <v>474</v>
      </c>
      <c r="G26" s="33">
        <f>E26+'4'!G26</f>
        <v>474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4579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12</v>
      </c>
      <c r="F30" s="32">
        <f>E30+'4'!F30</f>
        <v>106</v>
      </c>
      <c r="G30" s="33">
        <f>E30+'4'!G30</f>
        <v>106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E31+'4'!F31</f>
        <v>125</v>
      </c>
      <c r="G31" s="13">
        <f>E31+'4'!G31</f>
        <v>125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E32+'4'!F32</f>
        <v>102</v>
      </c>
      <c r="G32" s="13">
        <f>E32+'4'!G32</f>
        <v>102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7">
        <v>1380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15</v>
      </c>
      <c r="F35" s="32">
        <f>E35+'4'!F35</f>
        <v>142</v>
      </c>
      <c r="G35" s="33">
        <f>E35+'4'!G35</f>
        <v>142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E36+'4'!F36</f>
        <v>2</v>
      </c>
      <c r="G36" s="13">
        <f>E36+'4'!G36</f>
        <v>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E37+'4'!F37</f>
        <v>0</v>
      </c>
      <c r="G37" s="48">
        <f>E37+'4'!G37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6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L40"/>
  <sheetViews>
    <sheetView zoomScale="80" zoomScaleNormal="80" workbookViewId="0">
      <pane xSplit="4" ySplit="6" topLeftCell="E19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6" width="39" style="1" customWidth="1"/>
    <col min="7" max="7" width="39.140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'5'!E6+1</f>
        <v>46118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142900</v>
      </c>
      <c r="F7" s="12">
        <f>E7+'5'!F7</f>
        <v>706800</v>
      </c>
      <c r="G7" s="13">
        <f>E7+'5'!G7</f>
        <v>706800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17594</v>
      </c>
      <c r="F8" s="12">
        <f>E8+'5'!F8</f>
        <v>93490</v>
      </c>
      <c r="G8" s="13">
        <f>E8+'5'!G8</f>
        <v>93490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125306</v>
      </c>
      <c r="F9" s="12">
        <f>E9+'5'!F9</f>
        <v>613310</v>
      </c>
      <c r="G9" s="13">
        <f>E9+'5'!G9</f>
        <v>613310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12.312106368089573</v>
      </c>
      <c r="F10" s="15">
        <f>F8/F7*100</f>
        <v>13.227221279003961</v>
      </c>
      <c r="G10" s="16">
        <f>G8/G7*100</f>
        <v>13.227221279003961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5.9541666666666666</v>
      </c>
      <c r="F11" s="15">
        <f>F7/F12/1000</f>
        <v>5.5802936996684043</v>
      </c>
      <c r="G11" s="16">
        <f>G7/G12/1000</f>
        <v>5.5802936996684043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E12+'5'!F12</f>
        <v>126.66</v>
      </c>
      <c r="G12" s="13">
        <f>E12+'5'!G12</f>
        <v>126.66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59.541666666666671</v>
      </c>
      <c r="F13" s="15">
        <f>F11/10*100</f>
        <v>55.802936996684039</v>
      </c>
      <c r="G13" s="16">
        <f>G11/10*100</f>
        <v>55.802936996684039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665</v>
      </c>
      <c r="F14" s="12">
        <f>E14+'5'!F14</f>
        <v>3468</v>
      </c>
      <c r="G14" s="13">
        <f>E14+'5'!G14</f>
        <v>3468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655</v>
      </c>
      <c r="F15" s="12">
        <f>E15+'5'!F15</f>
        <v>3379</v>
      </c>
      <c r="G15" s="13">
        <f>E15+'5'!G15</f>
        <v>3379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34</v>
      </c>
      <c r="F16" s="12">
        <f>E16+'5'!F16</f>
        <v>137</v>
      </c>
      <c r="G16" s="13">
        <f>E16+'5'!G16</f>
        <v>137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613</v>
      </c>
      <c r="F17" s="12">
        <f>E17+'5'!F17</f>
        <v>3042</v>
      </c>
      <c r="G17" s="13">
        <f>E17+'5'!G17</f>
        <v>3042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506</v>
      </c>
      <c r="F18" s="12">
        <f>E18+'5'!F18</f>
        <v>2527</v>
      </c>
      <c r="G18" s="13">
        <f>E18+'5'!G18</f>
        <v>2527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E19+'5'!F19</f>
        <v>96</v>
      </c>
      <c r="G19" s="13">
        <f>E19+'5'!G19</f>
        <v>96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4.2897130860741779</v>
      </c>
      <c r="F20" s="15">
        <f>F17*1000/F7</f>
        <v>4.3039049235993208</v>
      </c>
      <c r="G20" s="16">
        <f>G17*1000/G7</f>
        <v>4.3039049235993208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0.85374387683694897</v>
      </c>
      <c r="F21" s="19">
        <f>F26*1000/F7</f>
        <v>0.84323712507074133</v>
      </c>
      <c r="G21" s="20">
        <f>G26*1000/G7</f>
        <v>0.84323712507074133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2889.2862141357591</v>
      </c>
      <c r="F22" s="21">
        <f t="shared" ref="F22:G22" si="0">((F17*(803-130)+F31*(30))*1000)/F7</f>
        <v>2902.3005093378606</v>
      </c>
      <c r="G22" s="21">
        <f t="shared" si="0"/>
        <v>2902.3005093378606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3954.8455976027703</v>
      </c>
      <c r="F23" s="21">
        <f t="shared" ref="F23:G23" si="1">(F15*(803-130))*1000/(F7*0.78)</f>
        <v>4124.8875393612234</v>
      </c>
      <c r="G23" s="21">
        <f t="shared" si="1"/>
        <v>4124.8875393612234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/>
      <c r="F24" s="47">
        <f>E24+'5'!F24</f>
        <v>0</v>
      </c>
      <c r="G24" s="48">
        <f>E24+'5'!G24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122</v>
      </c>
      <c r="F26" s="32">
        <f>E26+'5'!F26</f>
        <v>596</v>
      </c>
      <c r="G26" s="33">
        <f>E26+'5'!G26</f>
        <v>596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4639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10</v>
      </c>
      <c r="F30" s="32">
        <f>E30+'5'!F30</f>
        <v>116</v>
      </c>
      <c r="G30" s="33">
        <f>E30+'5'!G30</f>
        <v>116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11</v>
      </c>
      <c r="F31" s="12">
        <f>E31+'5'!F31</f>
        <v>136</v>
      </c>
      <c r="G31" s="13">
        <f>E31+'5'!G31</f>
        <v>136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19</v>
      </c>
      <c r="F32" s="12">
        <f>E32+'5'!F32</f>
        <v>121</v>
      </c>
      <c r="G32" s="13">
        <f>E32+'5'!G32</f>
        <v>121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7">
        <v>1326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19</v>
      </c>
      <c r="F35" s="32">
        <f>E35+'5'!F35</f>
        <v>161</v>
      </c>
      <c r="G35" s="33">
        <f>E35+'5'!G35</f>
        <v>161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E36+'5'!F36</f>
        <v>4</v>
      </c>
      <c r="G36" s="13">
        <f>E36+'5'!G36</f>
        <v>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E37+'5'!F37</f>
        <v>0</v>
      </c>
      <c r="G37" s="48">
        <f>E37+'5'!G37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E16" sqref="E1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48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'6'!E6+1</f>
        <v>46119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169500</v>
      </c>
      <c r="F7" s="12">
        <f>E7+'6'!F7</f>
        <v>876300</v>
      </c>
      <c r="G7" s="13">
        <f>E7+'6'!G7</f>
        <v>876300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18050</v>
      </c>
      <c r="F8" s="12">
        <f>E8+'6'!F8</f>
        <v>111540</v>
      </c>
      <c r="G8" s="13">
        <f>E8+'6'!G8</f>
        <v>111540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151450</v>
      </c>
      <c r="F9" s="12">
        <f>E9+'6'!F9</f>
        <v>764760</v>
      </c>
      <c r="G9" s="13">
        <f>E9+'6'!G9</f>
        <v>764760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10.64896755162242</v>
      </c>
      <c r="F10" s="15">
        <f>F8/F7*100</f>
        <v>12.728517630948305</v>
      </c>
      <c r="G10" s="16">
        <f>G8/G7*100</f>
        <v>12.728517630948305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7.0625</v>
      </c>
      <c r="F11" s="15">
        <f>F7/F12/1000</f>
        <v>5.8164078056551176</v>
      </c>
      <c r="G11" s="16">
        <f>G7/G12/1000</f>
        <v>5.8164078056551176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E12+'6'!F12</f>
        <v>150.66</v>
      </c>
      <c r="G12" s="13">
        <f>E12+'6'!G12</f>
        <v>150.66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70.625</v>
      </c>
      <c r="F13" s="15">
        <f>F11/10*100</f>
        <v>58.164078056551169</v>
      </c>
      <c r="G13" s="16">
        <f>G11/10*100</f>
        <v>58.164078056551169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772</v>
      </c>
      <c r="F14" s="12">
        <f>E14+'6'!F14</f>
        <v>4240</v>
      </c>
      <c r="G14" s="13">
        <f>E14+'6'!G14</f>
        <v>4240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760</v>
      </c>
      <c r="F15" s="12">
        <f>E15+'6'!F15</f>
        <v>4139</v>
      </c>
      <c r="G15" s="13">
        <f>E15+'6'!G15</f>
        <v>4139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55</v>
      </c>
      <c r="F16" s="12">
        <f>E16+'6'!F16</f>
        <v>192</v>
      </c>
      <c r="G16" s="13">
        <f>E16+'6'!G16</f>
        <v>192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716</v>
      </c>
      <c r="F17" s="12">
        <f>E17+'6'!F17</f>
        <v>3758</v>
      </c>
      <c r="G17" s="13">
        <f>E17+'6'!G17</f>
        <v>3758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568</v>
      </c>
      <c r="F18" s="12">
        <f>E18+'6'!F18</f>
        <v>3095</v>
      </c>
      <c r="G18" s="13">
        <f>E18+'6'!G18</f>
        <v>3095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E19+'6'!F19</f>
        <v>114</v>
      </c>
      <c r="G19" s="13">
        <f>E19+'6'!G19</f>
        <v>114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4.224188790560472</v>
      </c>
      <c r="F20" s="15">
        <f>F17*1000/F7</f>
        <v>4.2884856784206322</v>
      </c>
      <c r="G20" s="16">
        <f>G17*1000/G7</f>
        <v>4.2884856784206322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0.83775811209439532</v>
      </c>
      <c r="F21" s="19">
        <f>F26*1000/F7</f>
        <v>0.84217733652858606</v>
      </c>
      <c r="G21" s="20">
        <f>G26*1000/G7</f>
        <v>0.84217733652858606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2845.0029498525073</v>
      </c>
      <c r="F22" s="21">
        <f t="shared" ref="F22:G22" si="0">((F17*(803-130)+F31*(30))*1000)/F7</f>
        <v>2891.2176195366883</v>
      </c>
      <c r="G22" s="21">
        <f t="shared" si="0"/>
        <v>2891.2176195366883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3868.6937447999394</v>
      </c>
      <c r="F23" s="21">
        <f t="shared" ref="F23:G23" si="1">(F15*(803-130))*1000/(F7*0.78)</f>
        <v>4075.3327656785377</v>
      </c>
      <c r="G23" s="21">
        <f t="shared" si="1"/>
        <v>4075.3327656785377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E24+'6'!F24</f>
        <v>0</v>
      </c>
      <c r="G24" s="48">
        <f>E24+'6'!G24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142</v>
      </c>
      <c r="F26" s="32">
        <f>E26+'6'!F26</f>
        <v>738</v>
      </c>
      <c r="G26" s="33">
        <f>E26+'6'!G26</f>
        <v>738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4594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/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15</v>
      </c>
      <c r="F30" s="32">
        <f>E30+'6'!F30</f>
        <v>131</v>
      </c>
      <c r="G30" s="33">
        <f>E30+'6'!G30</f>
        <v>131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12</v>
      </c>
      <c r="F31" s="12">
        <f>E31+'6'!F31</f>
        <v>148</v>
      </c>
      <c r="G31" s="13">
        <f>E31+'6'!G31</f>
        <v>148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E32+'6'!F32</f>
        <v>139</v>
      </c>
      <c r="G32" s="13">
        <f>E32+'6'!G32</f>
        <v>139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20</v>
      </c>
      <c r="F33" s="46">
        <v>1422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79">
        <v>0</v>
      </c>
      <c r="F35" s="80">
        <f>E35+'6'!F35</f>
        <v>161</v>
      </c>
      <c r="G35" s="81">
        <f>E35+'6'!G35</f>
        <v>161</v>
      </c>
    </row>
    <row r="36" spans="2:7" ht="30.95" customHeight="1">
      <c r="B36" s="52">
        <v>6</v>
      </c>
      <c r="C36" s="53" t="s">
        <v>47</v>
      </c>
      <c r="D36" s="54" t="s">
        <v>43</v>
      </c>
      <c r="E36" s="82">
        <v>5</v>
      </c>
      <c r="F36" s="83">
        <f>E36+'6'!F36</f>
        <v>9</v>
      </c>
      <c r="G36" s="84">
        <f>E36+'6'!G36</f>
        <v>9</v>
      </c>
    </row>
    <row r="37" spans="2:7" ht="30.95" customHeight="1">
      <c r="B37" s="44">
        <v>7</v>
      </c>
      <c r="C37" s="56" t="s">
        <v>44</v>
      </c>
      <c r="D37" s="57" t="s">
        <v>43</v>
      </c>
      <c r="E37" s="85">
        <v>0</v>
      </c>
      <c r="F37" s="86">
        <f>E37+'6'!F37</f>
        <v>0</v>
      </c>
      <c r="G37" s="87">
        <f>E37+'6'!G37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L40"/>
  <sheetViews>
    <sheetView topLeftCell="B1" zoomScale="80" zoomScaleNormal="80" workbookViewId="0">
      <pane xSplit="3" ySplit="6" topLeftCell="E19" activePane="bottomRight" state="frozen"/>
      <selection pane="topRight"/>
      <selection pane="bottomLeft"/>
      <selection pane="bottomRight" activeCell="F15" sqref="F1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7" width="38.71093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'7'!E6+1</f>
        <v>46120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174900</v>
      </c>
      <c r="F7" s="12">
        <f>E7+'7'!F7</f>
        <v>1051200</v>
      </c>
      <c r="G7" s="13">
        <f>E7+'7'!G7</f>
        <v>1051200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18185</v>
      </c>
      <c r="F8" s="12">
        <f>E8+'7'!F8</f>
        <v>129725</v>
      </c>
      <c r="G8" s="13">
        <f>E8+'7'!G8</f>
        <v>129725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156715</v>
      </c>
      <c r="F9" s="12">
        <f>E9+'7'!F9</f>
        <v>921475</v>
      </c>
      <c r="G9" s="13">
        <f>E9+'7'!G9</f>
        <v>921475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10.397369925671812</v>
      </c>
      <c r="F10" s="15">
        <f>F8/F7*100</f>
        <v>12.340658295281584</v>
      </c>
      <c r="G10" s="16">
        <f>G8/G7*100</f>
        <v>12.340658295281584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7.2874999999999996</v>
      </c>
      <c r="F11" s="15">
        <f>F7/F12/1000</f>
        <v>6.0185503263483344</v>
      </c>
      <c r="G11" s="16">
        <f>G7/G12/1000</f>
        <v>6.0185503263483344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E12+'7'!F12</f>
        <v>174.66</v>
      </c>
      <c r="G12" s="13">
        <f>E12+'7'!G12</f>
        <v>174.66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72.875</v>
      </c>
      <c r="F13" s="15">
        <f>F11/10*100</f>
        <v>60.185503263483341</v>
      </c>
      <c r="G13" s="16">
        <f>G11/10*100</f>
        <v>60.185503263483341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800</v>
      </c>
      <c r="F14" s="12">
        <f>E14+'7'!F14</f>
        <v>5040</v>
      </c>
      <c r="G14" s="13">
        <f>E14+'7'!G14</f>
        <v>5040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775</v>
      </c>
      <c r="F15" s="12">
        <f>E15+'7'!F15</f>
        <v>4914</v>
      </c>
      <c r="G15" s="13">
        <f>E15+'7'!G15</f>
        <v>4914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12">
        <f>E16+'7'!F16</f>
        <v>253</v>
      </c>
      <c r="G16" s="13">
        <f>E16+'7'!G16</f>
        <v>253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729</v>
      </c>
      <c r="F17" s="12">
        <f>E17+'7'!F17</f>
        <v>4487</v>
      </c>
      <c r="G17" s="13">
        <f>E17+'7'!G17</f>
        <v>4487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647</v>
      </c>
      <c r="F18" s="12">
        <f>E18+'7'!F18</f>
        <v>3742</v>
      </c>
      <c r="G18" s="13">
        <f>E18+'7'!G18</f>
        <v>3742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E19+'7'!F19</f>
        <v>132</v>
      </c>
      <c r="G19" s="13">
        <f>E19+'7'!G19</f>
        <v>132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4.1680960548885073</v>
      </c>
      <c r="F20" s="15">
        <f>F17*1000/F7</f>
        <v>4.2684550989345507</v>
      </c>
      <c r="G20" s="16">
        <f>G17*1000/G7</f>
        <v>4.2684550989345507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0.85191538021726698</v>
      </c>
      <c r="F21" s="19">
        <f>F26*1000/F7</f>
        <v>0.84379756468797562</v>
      </c>
      <c r="G21" s="20">
        <f>G26*1000/G7</f>
        <v>0.84379756468797562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2807.7015437392797</v>
      </c>
      <c r="F22" s="21">
        <f t="shared" ref="F22:G22" si="0">((F17*(803-130)+F31*(30))*1000)/F7</f>
        <v>2877.3221080669709</v>
      </c>
      <c r="G22" s="21">
        <f t="shared" si="0"/>
        <v>2877.3221080669709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3823.2469836243422</v>
      </c>
      <c r="F23" s="21">
        <f t="shared" ref="F23:G23" si="1">(F15*(803-130))*1000/(F7*0.78)</f>
        <v>4033.3904109589039</v>
      </c>
      <c r="G23" s="21">
        <f t="shared" si="1"/>
        <v>4033.3904109589039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E24+'7'!F24</f>
        <v>0</v>
      </c>
      <c r="G24" s="48">
        <f>E24+'7'!G24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149</v>
      </c>
      <c r="F26" s="32">
        <f>E26+'7'!F26</f>
        <v>887</v>
      </c>
      <c r="G26" s="33">
        <f>E26+'7'!G26</f>
        <v>887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4480</v>
      </c>
      <c r="F27" s="36"/>
      <c r="G27" s="37"/>
    </row>
    <row r="28" spans="2:8" ht="30.95" customHeight="1">
      <c r="B28" s="38"/>
      <c r="C28" s="23"/>
      <c r="D28" s="39"/>
      <c r="E28" s="95"/>
      <c r="F28" s="95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15</v>
      </c>
      <c r="F30" s="32">
        <f>E30+'7'!F30</f>
        <v>146</v>
      </c>
      <c r="G30" s="33">
        <f>E30+'7'!G30</f>
        <v>146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E31+'7'!F31</f>
        <v>163</v>
      </c>
      <c r="G31" s="13">
        <f>E31+'7'!G31</f>
        <v>163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15</v>
      </c>
      <c r="F32" s="12">
        <f>E32+'7'!F32</f>
        <v>154</v>
      </c>
      <c r="G32" s="13">
        <f>E32+'7'!G32</f>
        <v>154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19</v>
      </c>
      <c r="F33" s="46">
        <v>1358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E35+'7'!F35</f>
        <v>161</v>
      </c>
      <c r="G35" s="33">
        <f>E35+'7'!G35</f>
        <v>161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E36+'7'!F36</f>
        <v>13</v>
      </c>
      <c r="G36" s="13">
        <f>E36+'7'!G36</f>
        <v>13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E37+'7'!F37</f>
        <v>0</v>
      </c>
      <c r="G37" s="48">
        <f>E37+'7'!G37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4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L40"/>
  <sheetViews>
    <sheetView zoomScale="85" zoomScaleNormal="85" workbookViewId="0">
      <pane xSplit="4" ySplit="6" topLeftCell="E19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6.28515625" style="1" customWidth="1"/>
    <col min="2" max="2" width="10.140625" style="1" customWidth="1"/>
    <col min="3" max="3" width="29.42578125" style="1" customWidth="1"/>
    <col min="4" max="4" width="14.5703125" style="2" customWidth="1"/>
    <col min="5" max="5" width="34.5703125" style="1" customWidth="1"/>
    <col min="6" max="6" width="37.28515625" style="1" customWidth="1"/>
    <col min="7" max="7" width="38.2851562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'8'!E6+1</f>
        <v>46121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154800</v>
      </c>
      <c r="F7" s="12">
        <f>E7+'8'!F7</f>
        <v>1206000</v>
      </c>
      <c r="G7" s="13">
        <f>E7+'8'!G7</f>
        <v>1206000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17768</v>
      </c>
      <c r="F8" s="12">
        <f>E8+'8'!F8</f>
        <v>147493</v>
      </c>
      <c r="G8" s="13">
        <f>E8+'8'!G8</f>
        <v>147493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137032</v>
      </c>
      <c r="F9" s="12">
        <f>E9+'8'!F9</f>
        <v>1058507</v>
      </c>
      <c r="G9" s="13">
        <f>E9+'8'!G9</f>
        <v>1058507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11.478036175710594</v>
      </c>
      <c r="F10" s="15">
        <f>F8/F7*100</f>
        <v>12.229933665008291</v>
      </c>
      <c r="G10" s="16">
        <f>G8/G7*100</f>
        <v>12.229933665008291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6.45</v>
      </c>
      <c r="F11" s="15">
        <f>F7/F12/1000</f>
        <v>6.0706735125339772</v>
      </c>
      <c r="G11" s="16">
        <f>G7/G12/1000</f>
        <v>6.0706735125339772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E12+'8'!F12</f>
        <v>198.66</v>
      </c>
      <c r="G12" s="13">
        <f>E12+'8'!G12</f>
        <v>198.66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64.5</v>
      </c>
      <c r="F13" s="15">
        <f>F11/10*100</f>
        <v>60.706735125339776</v>
      </c>
      <c r="G13" s="16">
        <f>G11/10*100</f>
        <v>60.706735125339776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728</v>
      </c>
      <c r="F14" s="12">
        <f>E14+'8'!F14</f>
        <v>5768</v>
      </c>
      <c r="G14" s="13">
        <f>E14+'8'!G14</f>
        <v>5768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704</v>
      </c>
      <c r="F15" s="12">
        <f>E15+'8'!F15</f>
        <v>5618</v>
      </c>
      <c r="G15" s="13">
        <f>E15+'8'!G15</f>
        <v>5618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49</v>
      </c>
      <c r="F16" s="12">
        <f>E16+'8'!F16</f>
        <v>302</v>
      </c>
      <c r="G16" s="13">
        <f>E16+'8'!G16</f>
        <v>302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647</v>
      </c>
      <c r="F17" s="12">
        <f>E17+'8'!F17</f>
        <v>5134</v>
      </c>
      <c r="G17" s="13">
        <f>E17+'8'!G17</f>
        <v>5134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519</v>
      </c>
      <c r="F18" s="12">
        <f>E18+'8'!F18</f>
        <v>4261</v>
      </c>
      <c r="G18" s="13">
        <f>E18+'8'!G18</f>
        <v>4261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E19+'8'!F19</f>
        <v>150</v>
      </c>
      <c r="G19" s="13">
        <f>E19+'8'!G19</f>
        <v>150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4.1795865633074936</v>
      </c>
      <c r="F20" s="15">
        <f>F17*1000/F7</f>
        <v>4.2570480928689882</v>
      </c>
      <c r="G20" s="16">
        <f>G17*1000/G7</f>
        <v>4.2570480928689882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0.88501291989664088</v>
      </c>
      <c r="F21" s="19">
        <f>F26*1000/F7</f>
        <v>0.84908789386401329</v>
      </c>
      <c r="G21" s="20">
        <f>G26*1000/G7</f>
        <v>0.84908789386401329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2816.3501291989664</v>
      </c>
      <c r="F22" s="21">
        <f t="shared" ref="F22:G22" si="0">((F17*(803-130)+F31*(30))*1000)/F7</f>
        <v>2869.4958540630182</v>
      </c>
      <c r="G22" s="78">
        <f t="shared" si="0"/>
        <v>2869.4958540630182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3923.9382495196451</v>
      </c>
      <c r="F23" s="21">
        <f t="shared" ref="F23:G23" si="1">(F15*(803-130))*1000/(F7*0.78)</f>
        <v>4019.3413275502826</v>
      </c>
      <c r="G23" s="21">
        <f t="shared" si="1"/>
        <v>4019.3413275502826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E24+'8'!F24</f>
        <v>0</v>
      </c>
      <c r="G24" s="48">
        <f>E24+'8'!G24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137</v>
      </c>
      <c r="F26" s="32">
        <f>E26+'8'!F26</f>
        <v>1024</v>
      </c>
      <c r="G26" s="33">
        <f>E26+'8'!G26</f>
        <v>1024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4424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20</v>
      </c>
      <c r="F30" s="32">
        <f>E30+'8'!F30</f>
        <v>166</v>
      </c>
      <c r="G30" s="33">
        <f>E30+'8'!G30</f>
        <v>166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18</v>
      </c>
      <c r="F31" s="12">
        <f>E31+'8'!F31</f>
        <v>181</v>
      </c>
      <c r="G31" s="13">
        <f>E31+'8'!G31</f>
        <v>181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f>E32+'8'!F32</f>
        <v>171</v>
      </c>
      <c r="G32" s="13">
        <f>E32+'8'!G32</f>
        <v>171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21</v>
      </c>
      <c r="F33" s="46">
        <v>1406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E35+'8'!F35</f>
        <v>161</v>
      </c>
      <c r="G35" s="33">
        <f>E35+'8'!G35</f>
        <v>161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E36+'8'!F36</f>
        <v>18</v>
      </c>
      <c r="G36" s="13">
        <f>E36+'8'!G36</f>
        <v>18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E37+'8'!F37</f>
        <v>0</v>
      </c>
      <c r="G37" s="48">
        <f>E37+'8'!G37</f>
        <v>0</v>
      </c>
    </row>
    <row r="38" spans="2:7" ht="30.95" customHeight="1">
      <c r="D38" s="1"/>
      <c r="G38" s="1" t="s">
        <v>49</v>
      </c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45" top="0.75" bottom="0.75" header="0.3" footer="0.3"/>
  <pageSetup scale="4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L40"/>
  <sheetViews>
    <sheetView topLeftCell="C1" zoomScale="85" zoomScaleNormal="85" workbookViewId="0">
      <pane xSplit="2" ySplit="6" topLeftCell="E22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6.7109375" style="1" customWidth="1"/>
    <col min="2" max="2" width="11.7109375" style="1" customWidth="1"/>
    <col min="3" max="3" width="45.7109375" style="1" customWidth="1"/>
    <col min="4" max="4" width="16.140625" style="2" customWidth="1"/>
    <col min="5" max="5" width="34.5703125" style="1" customWidth="1"/>
    <col min="6" max="6" width="38.7109375" style="1" customWidth="1"/>
    <col min="7" max="7" width="38.855468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'9'!E6+1</f>
        <v>46122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168800</v>
      </c>
      <c r="F7" s="36">
        <f>E7+'9'!F7</f>
        <v>1374800</v>
      </c>
      <c r="G7" s="13">
        <f>E7+'9'!G7</f>
        <v>1374800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18129</v>
      </c>
      <c r="F8" s="12">
        <f>E8+'9'!F8</f>
        <v>165622</v>
      </c>
      <c r="G8" s="13">
        <f>E8+'9'!G8</f>
        <v>165622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150671</v>
      </c>
      <c r="F9" s="12">
        <f>E9+'9'!F9</f>
        <v>1209178</v>
      </c>
      <c r="G9" s="13">
        <f>E9+'9'!G9</f>
        <v>1209178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10.739928909952607</v>
      </c>
      <c r="F10" s="15">
        <f>F8/F7*100</f>
        <v>12.046988652894965</v>
      </c>
      <c r="G10" s="16">
        <f>G8/G7*100</f>
        <v>12.046988652894965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7.0333333333333332</v>
      </c>
      <c r="F11" s="15">
        <f>F7/F12/1000</f>
        <v>6.1744363603700716</v>
      </c>
      <c r="G11" s="16">
        <f>G7/G12/1000</f>
        <v>6.1744363603700716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E12+'9'!F12</f>
        <v>222.66</v>
      </c>
      <c r="G12" s="13">
        <f>E12+'9'!G12</f>
        <v>222.66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70.333333333333343</v>
      </c>
      <c r="F13" s="15">
        <f>F11/10*100</f>
        <v>61.744363603700712</v>
      </c>
      <c r="G13" s="16">
        <f>G11/10*100</f>
        <v>61.744363603700712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797</v>
      </c>
      <c r="F14" s="12">
        <f>E14+'9'!F14</f>
        <v>6565</v>
      </c>
      <c r="G14" s="13">
        <f>E14+'9'!G14</f>
        <v>6565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760</v>
      </c>
      <c r="F15" s="12">
        <f>E15+'9'!F15</f>
        <v>6378</v>
      </c>
      <c r="G15" s="13">
        <f>E15+'9'!G15</f>
        <v>6378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32</v>
      </c>
      <c r="F16" s="70">
        <f>E16+'9'!F16</f>
        <v>334</v>
      </c>
      <c r="G16" s="13">
        <f>E16+'9'!G16</f>
        <v>334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689</v>
      </c>
      <c r="F17" s="12">
        <f>E17+'9'!F17</f>
        <v>5823</v>
      </c>
      <c r="G17" s="13">
        <f>E17+'9'!G17</f>
        <v>5823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577</v>
      </c>
      <c r="F18" s="12">
        <f>E18+'9'!F18</f>
        <v>4838</v>
      </c>
      <c r="G18" s="13">
        <f>E18+'9'!G18</f>
        <v>4838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E19+'9'!F19</f>
        <v>168</v>
      </c>
      <c r="G19" s="13">
        <f>E19+'9'!G19</f>
        <v>168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4.0817535545023693</v>
      </c>
      <c r="F20" s="15">
        <f>F17*1000/F7</f>
        <v>4.2355251672970615</v>
      </c>
      <c r="G20" s="16">
        <f>G17*1000/G7</f>
        <v>4.2355251672970615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0.84715639810426535</v>
      </c>
      <c r="F21" s="19">
        <f>F26*1000/F7</f>
        <v>0.84885074192609833</v>
      </c>
      <c r="G21" s="20">
        <f>G26*1000/G7</f>
        <v>0.84885074192609833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2750.3969194312795</v>
      </c>
      <c r="F22" s="21">
        <f t="shared" ref="F22:G22" si="0">((F17*(803-130)+F31*(30))*1000)/F7</f>
        <v>2854.8727087576376</v>
      </c>
      <c r="G22" s="78">
        <f t="shared" si="0"/>
        <v>2854.8727087576376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3884.7369060639203</v>
      </c>
      <c r="F23" s="21">
        <f t="shared" ref="F23:G23" si="1">(F15*(803-130))*1000/(F7*0.78)</f>
        <v>4002.814395380587</v>
      </c>
      <c r="G23" s="21">
        <f t="shared" si="1"/>
        <v>4002.814395380587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E24+'9'!F24</f>
        <v>0</v>
      </c>
      <c r="G24" s="48">
        <f>E24+'9'!G24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143</v>
      </c>
      <c r="F26" s="32">
        <f>E26+'9'!F26</f>
        <v>1167</v>
      </c>
      <c r="G26" s="33">
        <f>E26+'9'!G26</f>
        <v>1167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4580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17</v>
      </c>
      <c r="F30" s="32">
        <f>E30+'9'!F30</f>
        <v>183</v>
      </c>
      <c r="G30" s="33">
        <f>E30+'9'!G30</f>
        <v>183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19</v>
      </c>
      <c r="F31" s="12">
        <f>E31+'9'!F31</f>
        <v>200</v>
      </c>
      <c r="G31" s="13">
        <f>E31+'9'!G31</f>
        <v>200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16</v>
      </c>
      <c r="F32" s="12">
        <f>E32+'9'!F32</f>
        <v>187</v>
      </c>
      <c r="G32" s="13">
        <f>E32+'9'!G32</f>
        <v>187</v>
      </c>
    </row>
    <row r="33" spans="2:7" ht="30.95" customHeight="1">
      <c r="B33" s="44">
        <v>4</v>
      </c>
      <c r="C33" s="23" t="s">
        <v>40</v>
      </c>
      <c r="D33" s="45" t="s">
        <v>41</v>
      </c>
      <c r="E33" s="35">
        <v>19</v>
      </c>
      <c r="F33" s="35">
        <v>1374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E35+'9'!F35</f>
        <v>161</v>
      </c>
      <c r="G35" s="33">
        <f>E35+'9'!G35</f>
        <v>161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E36+'9'!F36</f>
        <v>22</v>
      </c>
      <c r="G36" s="13">
        <f>E36+'9'!G36</f>
        <v>22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E37+'9'!F37</f>
        <v>0</v>
      </c>
      <c r="G37" s="48">
        <f>E37+'9'!G37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45" right="0.45" top="0.75" bottom="0.75" header="0.3" footer="0.3"/>
  <pageSetup scale="5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L40"/>
  <sheetViews>
    <sheetView topLeftCell="C1" zoomScale="80" zoomScaleNormal="80" workbookViewId="0">
      <pane xSplit="2" ySplit="6" topLeftCell="E19" activePane="bottomRight" state="frozen"/>
      <selection pane="topRight"/>
      <selection pane="bottomLeft"/>
      <selection pane="bottomRight" activeCell="E16" sqref="E1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'10'!E6+1</f>
        <v>46123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159600</v>
      </c>
      <c r="F7" s="12">
        <f>E7+'10'!F7</f>
        <v>1534400</v>
      </c>
      <c r="G7" s="13">
        <f>E7+'10'!G7</f>
        <v>1534400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17846</v>
      </c>
      <c r="F8" s="12">
        <f>E8+'10'!F8</f>
        <v>183468</v>
      </c>
      <c r="G8" s="13">
        <f>E8+'10'!G8</f>
        <v>183468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141754</v>
      </c>
      <c r="F9" s="12">
        <f>E9+'10'!F9</f>
        <v>1350932</v>
      </c>
      <c r="G9" s="13">
        <f>E9+'10'!G9</f>
        <v>1350932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11.181704260651628</v>
      </c>
      <c r="F10" s="15">
        <f>F8/F7*100</f>
        <v>11.956986444212722</v>
      </c>
      <c r="G10" s="16">
        <f>G8/G7*100</f>
        <v>11.956986444212722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6.65</v>
      </c>
      <c r="F11" s="15">
        <f>F7/F12/1000</f>
        <v>6.2207086678018326</v>
      </c>
      <c r="G11" s="16">
        <f>G7/G12/1000</f>
        <v>6.2207086678018326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E12+'10'!F12</f>
        <v>246.66</v>
      </c>
      <c r="G12" s="13">
        <f>E12+'10'!G12</f>
        <v>246.66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66.5</v>
      </c>
      <c r="F13" s="15">
        <f>F11/10*100</f>
        <v>62.207086678018328</v>
      </c>
      <c r="G13" s="16">
        <f>G11/10*100</f>
        <v>62.207086678018328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747</v>
      </c>
      <c r="F14" s="12">
        <f>E14+'10'!F14</f>
        <v>7312</v>
      </c>
      <c r="G14" s="13">
        <f>E14+'10'!G14</f>
        <v>7312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720</v>
      </c>
      <c r="F15" s="12">
        <f>E15+'10'!F15</f>
        <v>7098</v>
      </c>
      <c r="G15" s="13">
        <f>E15+'10'!G15</f>
        <v>7098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53</v>
      </c>
      <c r="F16" s="70">
        <f>E16+'10'!F16</f>
        <v>387</v>
      </c>
      <c r="G16" s="13">
        <f>E16+'10'!G16</f>
        <v>387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660</v>
      </c>
      <c r="F17" s="12">
        <f>E17+'10'!F17</f>
        <v>6483</v>
      </c>
      <c r="G17" s="13">
        <f>E17+'10'!G17</f>
        <v>6483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531</v>
      </c>
      <c r="F18" s="12">
        <f>E18+'10'!F18</f>
        <v>5369</v>
      </c>
      <c r="G18" s="13">
        <f>E18+'10'!G18</f>
        <v>5369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E19+'10'!F19</f>
        <v>186</v>
      </c>
      <c r="G19" s="13">
        <f>E19+'10'!G19</f>
        <v>186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4.1353383458646613</v>
      </c>
      <c r="F20" s="15">
        <f>F17*1000/F7</f>
        <v>4.2251042752867569</v>
      </c>
      <c r="G20" s="16">
        <f>G17*1000/G7</f>
        <v>4.2251042752867569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0.87092731829573933</v>
      </c>
      <c r="F21" s="19">
        <f>F26*1000/F7</f>
        <v>0.85114702815432741</v>
      </c>
      <c r="G21" s="20">
        <f>G26*1000/G7</f>
        <v>0.85114702815432741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2786.8421052631579</v>
      </c>
      <c r="F22" s="21">
        <f t="shared" ref="F22:G22" si="0">((F17*(803-130)+F31*(30))*1000)/F7</f>
        <v>2847.7965328467153</v>
      </c>
      <c r="G22" s="21">
        <f t="shared" si="0"/>
        <v>2847.7965328467153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3892.4233661075768</v>
      </c>
      <c r="F23" s="21">
        <f t="shared" ref="F23:G23" si="1">(F15*(803-130))*1000/(F7*0.78)</f>
        <v>3991.3321167883209</v>
      </c>
      <c r="G23" s="21">
        <f t="shared" si="1"/>
        <v>3991.3321167883209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E24+'10'!F24</f>
        <v>0</v>
      </c>
      <c r="G24" s="48">
        <f>E24+'10'!G24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139</v>
      </c>
      <c r="F26" s="32">
        <f>E26+'10'!F26</f>
        <v>1306</v>
      </c>
      <c r="G26" s="33">
        <f>E26+'10'!G26</f>
        <v>1306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4442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8" t="s">
        <v>34</v>
      </c>
      <c r="C29" s="109"/>
      <c r="D29" s="109"/>
      <c r="E29" s="109"/>
      <c r="F29" s="109"/>
      <c r="G29" s="110"/>
    </row>
    <row r="30" spans="2:8" ht="30.95" customHeight="1">
      <c r="B30" s="74">
        <v>1</v>
      </c>
      <c r="C30" s="75" t="s">
        <v>35</v>
      </c>
      <c r="D30" s="76" t="s">
        <v>38</v>
      </c>
      <c r="E30" s="71">
        <v>20</v>
      </c>
      <c r="F30" s="71">
        <f>E30+'10'!F30</f>
        <v>203</v>
      </c>
      <c r="G30" s="72">
        <f>E30+'10'!G30</f>
        <v>203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20</v>
      </c>
      <c r="F31" s="12">
        <f>E31+'10'!F31</f>
        <v>220</v>
      </c>
      <c r="G31" s="13">
        <f>E31+'10'!G31</f>
        <v>220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E32+'10'!F32</f>
        <v>205</v>
      </c>
      <c r="G32" s="13">
        <f>E32+'10'!G32</f>
        <v>205</v>
      </c>
    </row>
    <row r="33" spans="2:7" ht="30.95" customHeight="1">
      <c r="B33" s="44">
        <v>4</v>
      </c>
      <c r="C33" s="23" t="s">
        <v>40</v>
      </c>
      <c r="D33" s="45" t="s">
        <v>41</v>
      </c>
      <c r="E33" s="35">
        <v>19</v>
      </c>
      <c r="F33" s="35">
        <v>1385</v>
      </c>
      <c r="G33" s="73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77" t="s">
        <v>17</v>
      </c>
      <c r="E35" s="51">
        <v>0</v>
      </c>
      <c r="F35" s="32">
        <f>E35+'10'!F35</f>
        <v>161</v>
      </c>
      <c r="G35" s="33">
        <f>E35+'10'!G35</f>
        <v>161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E36+'10'!F36</f>
        <v>26</v>
      </c>
      <c r="G36" s="13">
        <f>E36+'10'!G36</f>
        <v>26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E37+'10'!F37</f>
        <v>0</v>
      </c>
      <c r="G37" s="48">
        <f>E37+'10'!G37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L40"/>
  <sheetViews>
    <sheetView tabSelected="1" topLeftCell="C1" zoomScale="80" zoomScaleNormal="80" workbookViewId="0">
      <pane xSplit="2" ySplit="6" topLeftCell="E19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'11'!E6+1</f>
        <v>46124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168000</v>
      </c>
      <c r="F7" s="12">
        <f>E7+'11'!F7</f>
        <v>1702400</v>
      </c>
      <c r="G7" s="13">
        <f>E7+'11'!G7</f>
        <v>1702400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17958</v>
      </c>
      <c r="F8" s="12">
        <f>E8+'11'!F8</f>
        <v>201426</v>
      </c>
      <c r="G8" s="13">
        <f>E8+'11'!G8</f>
        <v>201426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150042</v>
      </c>
      <c r="F9" s="12">
        <f>E9+'11'!F9</f>
        <v>1500974</v>
      </c>
      <c r="G9" s="13">
        <f>E9+'11'!G9</f>
        <v>1500974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10.689285714285713</v>
      </c>
      <c r="F10" s="15">
        <f>F8/F7*100</f>
        <v>11.831884398496241</v>
      </c>
      <c r="G10" s="16">
        <f>G8/G7*100</f>
        <v>11.831884398496241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</v>
      </c>
      <c r="F11" s="15">
        <f>F7/F12/1000</f>
        <v>6.289810093844677</v>
      </c>
      <c r="G11" s="16">
        <f>G7/G12/1000</f>
        <v>6.289810093844677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E12+'11'!F12</f>
        <v>270.65999999999997</v>
      </c>
      <c r="G12" s="13">
        <f>E12+'11'!G12</f>
        <v>270.65999999999997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70</v>
      </c>
      <c r="F13" s="15">
        <f>F11/10*100</f>
        <v>62.898100938446767</v>
      </c>
      <c r="G13" s="16">
        <f>G11/10*100</f>
        <v>62.898100938446767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764</v>
      </c>
      <c r="F14" s="12">
        <f>E14+'11'!F14</f>
        <v>8076</v>
      </c>
      <c r="G14" s="13">
        <f>E14+'11'!G14</f>
        <v>8076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751</v>
      </c>
      <c r="F15" s="12">
        <f>E15+'11'!F15</f>
        <v>7849</v>
      </c>
      <c r="G15" s="13">
        <f>E15+'11'!G15</f>
        <v>7849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53</v>
      </c>
      <c r="F16" s="70">
        <f>E16+'11'!F16</f>
        <v>440</v>
      </c>
      <c r="G16" s="13">
        <f>E16+'11'!G16</f>
        <v>440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696</v>
      </c>
      <c r="F17" s="12">
        <f>E17+'11'!F17</f>
        <v>7179</v>
      </c>
      <c r="G17" s="13">
        <f>E17+'11'!G17</f>
        <v>7179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548</v>
      </c>
      <c r="F18" s="12">
        <f>E18+'11'!F18</f>
        <v>5917</v>
      </c>
      <c r="G18" s="13">
        <f>E18+'11'!G18</f>
        <v>5917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E19+'11'!F19</f>
        <v>204</v>
      </c>
      <c r="G19" s="13">
        <f>E19+'11'!G19</f>
        <v>204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4.1428571428571432</v>
      </c>
      <c r="F20" s="15">
        <f>F17*1000/F7</f>
        <v>4.2169877819548871</v>
      </c>
      <c r="G20" s="16">
        <f>G17*1000/G7</f>
        <v>4.2169877819548871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0.88095238095238093</v>
      </c>
      <c r="F21" s="19">
        <f>F26*1000/F7</f>
        <v>0.85408834586466165</v>
      </c>
      <c r="G21" s="20">
        <f>G26*1000/G7</f>
        <v>0.85408834586466165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2790.6428571428573</v>
      </c>
      <c r="F22" s="21">
        <f t="shared" ref="F22:G22" si="0">((F17*(803-130)+F31*(30))*1000)/F7</f>
        <v>2842.1563674812032</v>
      </c>
      <c r="G22" s="21">
        <f t="shared" si="0"/>
        <v>2842.1563674812032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3857.0131257631256</v>
      </c>
      <c r="F23" s="21">
        <f t="shared" ref="F23:G23" si="1">(F15*(803-130))*1000/(F7*0.78)</f>
        <v>3978.0769532003083</v>
      </c>
      <c r="G23" s="21">
        <f t="shared" si="1"/>
        <v>3978.0769532003083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E24+'11'!F24</f>
        <v>0</v>
      </c>
      <c r="G24" s="48">
        <f>E24+'11'!G24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148</v>
      </c>
      <c r="F26" s="32">
        <f>E26+'11'!F26</f>
        <v>1454</v>
      </c>
      <c r="G26" s="33">
        <f>E26+'11'!G26</f>
        <v>1454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4380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15</v>
      </c>
      <c r="F30" s="32">
        <f>E30+'11'!F30</f>
        <v>218</v>
      </c>
      <c r="G30" s="33">
        <f>E30+'11'!G30</f>
        <v>218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14</v>
      </c>
      <c r="F31" s="12">
        <f>E31+'11'!F31</f>
        <v>234</v>
      </c>
      <c r="G31" s="13">
        <f>E31+'11'!G31</f>
        <v>234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E32+'11'!F32</f>
        <v>223</v>
      </c>
      <c r="G32" s="13">
        <f>E32+'11'!G32</f>
        <v>223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17</v>
      </c>
      <c r="F33" s="46">
        <v>1347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25</v>
      </c>
      <c r="F35" s="32">
        <f>E35+'11'!F35</f>
        <v>186</v>
      </c>
      <c r="G35" s="33">
        <f>E35+'11'!G35</f>
        <v>186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E36+'11'!F36</f>
        <v>29</v>
      </c>
      <c r="G36" s="13">
        <f>E36+'11'!G36</f>
        <v>29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E37+'11'!F37</f>
        <v>0</v>
      </c>
      <c r="G37" s="48">
        <f>E37+'11'!G37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L40"/>
  <sheetViews>
    <sheetView topLeftCell="C1" zoomScale="85" zoomScaleNormal="85" workbookViewId="0">
      <pane xSplit="2" ySplit="6" topLeftCell="E7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'12'!E6+1</f>
        <v>46125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172100</v>
      </c>
      <c r="F7" s="12">
        <f>E7+'12'!F7</f>
        <v>1874500</v>
      </c>
      <c r="G7" s="13">
        <f>E7+'12'!G7</f>
        <v>1874500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18115</v>
      </c>
      <c r="F8" s="12">
        <f>E8+'12'!F8</f>
        <v>219541</v>
      </c>
      <c r="G8" s="13">
        <f>E8+'12'!G8</f>
        <v>219541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153985</v>
      </c>
      <c r="F9" s="12">
        <f>E9+'12'!F9</f>
        <v>1654959</v>
      </c>
      <c r="G9" s="13">
        <f>E9+'12'!G9</f>
        <v>1654959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10.525857059848926</v>
      </c>
      <c r="F10" s="15">
        <f>F8/F7*100</f>
        <v>11.711976527073887</v>
      </c>
      <c r="G10" s="16">
        <f>G8/G7*100</f>
        <v>11.711976527073887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7.1708333333333334</v>
      </c>
      <c r="F11" s="15">
        <f>F7/F12/1000</f>
        <v>6.3615692662729932</v>
      </c>
      <c r="G11" s="16">
        <f>G7/G12/1000</f>
        <v>6.3615692662729932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E12+'12'!F12</f>
        <v>294.65999999999997</v>
      </c>
      <c r="G12" s="13">
        <f>E12+'12'!G12</f>
        <v>294.65999999999997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71.708333333333329</v>
      </c>
      <c r="F13" s="15">
        <f>F11/10*100</f>
        <v>63.615692662729927</v>
      </c>
      <c r="G13" s="16">
        <f>G11/10*100</f>
        <v>63.615692662729927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781</v>
      </c>
      <c r="F14" s="12">
        <f>E14+'12'!F14</f>
        <v>8857</v>
      </c>
      <c r="G14" s="13">
        <f>E14+'12'!G14</f>
        <v>8857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767</v>
      </c>
      <c r="F15" s="12">
        <f>E15+'12'!F15</f>
        <v>8616</v>
      </c>
      <c r="G15" s="13">
        <f>E15+'12'!G15</f>
        <v>8616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55</v>
      </c>
      <c r="F16" s="12">
        <f>E16+'12'!F16</f>
        <v>495</v>
      </c>
      <c r="G16" s="13">
        <f>E16+'12'!G16</f>
        <v>495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712</v>
      </c>
      <c r="F17" s="12">
        <f>E17+'12'!F17</f>
        <v>7891</v>
      </c>
      <c r="G17" s="13">
        <f>E17+'12'!G17</f>
        <v>7891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560</v>
      </c>
      <c r="F18" s="12">
        <f>E18+'12'!F18</f>
        <v>6477</v>
      </c>
      <c r="G18" s="13">
        <f>E18+'12'!G18</f>
        <v>6477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E19+'12'!F19</f>
        <v>222</v>
      </c>
      <c r="G19" s="13">
        <f>E19+'12'!G19</f>
        <v>222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4.1371295758280073</v>
      </c>
      <c r="F20" s="15">
        <f>F17*1000/F7</f>
        <v>4.2096559082421976</v>
      </c>
      <c r="G20" s="16">
        <f>G17*1000/G7</f>
        <v>4.2096559082421976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0.85996513654851825</v>
      </c>
      <c r="F21" s="19">
        <f>F26*1000/F7</f>
        <v>0.85462790077353956</v>
      </c>
      <c r="G21" s="20">
        <f>G26*1000/G7</f>
        <v>0.85462790077353956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2786.5543288785589</v>
      </c>
      <c r="F22" s="21">
        <f t="shared" ref="F22:G22" si="0">((F17*(803-130)+F31*(30))*1000)/F7</f>
        <v>2837.0514803947717</v>
      </c>
      <c r="G22" s="21">
        <f t="shared" si="0"/>
        <v>2837.0514803947717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3845.3418555103622</v>
      </c>
      <c r="F23" s="21">
        <f t="shared" ref="F23:G23" si="1">(F15*(803-130))*1000/(F7*0.78)</f>
        <v>3965.8903912838296</v>
      </c>
      <c r="G23" s="21">
        <f t="shared" si="1"/>
        <v>3965.8903912838296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E24+'12'!F24</f>
        <v>0</v>
      </c>
      <c r="G24" s="48">
        <f>E24+'12'!G24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148</v>
      </c>
      <c r="F26" s="32">
        <f>E26+'12'!F26</f>
        <v>1602</v>
      </c>
      <c r="G26" s="33">
        <f>E26+'12'!G26</f>
        <v>1602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4473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14</v>
      </c>
      <c r="F30" s="32">
        <f>E30+'12'!F30</f>
        <v>232</v>
      </c>
      <c r="G30" s="33">
        <f>E30+'12'!G30</f>
        <v>232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13</v>
      </c>
      <c r="F31" s="12">
        <f>E31+'12'!F31</f>
        <v>247</v>
      </c>
      <c r="G31" s="13">
        <f>E31+'12'!G31</f>
        <v>247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E32+'12'!F32</f>
        <v>241</v>
      </c>
      <c r="G32" s="13">
        <f>E32+'12'!G32</f>
        <v>241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18</v>
      </c>
      <c r="F33" s="46">
        <v>1375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30</v>
      </c>
      <c r="F35" s="32">
        <f>E35+'12'!F35</f>
        <v>216</v>
      </c>
      <c r="G35" s="33">
        <f>E35+'12'!G35</f>
        <v>216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E36+'12'!F36</f>
        <v>31</v>
      </c>
      <c r="G36" s="13">
        <f>E36+'12'!G36</f>
        <v>31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E37+'12'!F37</f>
        <v>0</v>
      </c>
      <c r="G37" s="48">
        <f>E37+'12'!G37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26" sqref="E2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'13'!E6+1</f>
        <v>46126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167500</v>
      </c>
      <c r="F7" s="12">
        <f>E7+'13'!F7</f>
        <v>2042000</v>
      </c>
      <c r="G7" s="13">
        <f>E7+'13'!G7</f>
        <v>2042000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18054</v>
      </c>
      <c r="F8" s="12">
        <f>E8+'13'!F8</f>
        <v>237595</v>
      </c>
      <c r="G8" s="13">
        <f>E8+'13'!G8</f>
        <v>237595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149446</v>
      </c>
      <c r="F9" s="12">
        <f>E9+'13'!F9</f>
        <v>1804405</v>
      </c>
      <c r="G9" s="13">
        <f>E9+'13'!G9</f>
        <v>1804405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10.778507462686566</v>
      </c>
      <c r="F10" s="15">
        <f>F8/F7*100</f>
        <v>11.635406464250735</v>
      </c>
      <c r="G10" s="16">
        <f>G8/G7*100</f>
        <v>11.635406464250735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6.979166666666667</v>
      </c>
      <c r="F11" s="15">
        <f>F7/F12/1000</f>
        <v>6.4080838511265927</v>
      </c>
      <c r="G11" s="16">
        <f>G7/G12/1000</f>
        <v>6.4080838511265927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E12+'13'!F12</f>
        <v>318.65999999999997</v>
      </c>
      <c r="G12" s="13">
        <f>E12+'13'!G12</f>
        <v>318.65999999999997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69.791666666666671</v>
      </c>
      <c r="F13" s="15">
        <f>F11/10*100</f>
        <v>64.080838511265924</v>
      </c>
      <c r="G13" s="16">
        <f>G11/10*100</f>
        <v>64.080838511265924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770</v>
      </c>
      <c r="F14" s="12">
        <f>E14+'13'!F14</f>
        <v>9627</v>
      </c>
      <c r="G14" s="13">
        <f>E14+'13'!G14</f>
        <v>9627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750</v>
      </c>
      <c r="F15" s="12">
        <f>E15+'13'!F15</f>
        <v>9366</v>
      </c>
      <c r="G15" s="13">
        <f>E15+'13'!G15</f>
        <v>9366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51</v>
      </c>
      <c r="F16" s="12">
        <f>E16+'13'!F16</f>
        <v>546</v>
      </c>
      <c r="G16" s="13">
        <f>E16+'13'!G16</f>
        <v>546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700</v>
      </c>
      <c r="F17" s="12">
        <f>E17+'13'!F17</f>
        <v>8591</v>
      </c>
      <c r="G17" s="13">
        <f>E17+'13'!G17</f>
        <v>8591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555</v>
      </c>
      <c r="F18" s="12">
        <f>E18+'13'!F18</f>
        <v>7032</v>
      </c>
      <c r="G18" s="13">
        <f>E18+'13'!G18</f>
        <v>7032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E19+'13'!F19</f>
        <v>240</v>
      </c>
      <c r="G19" s="13">
        <f>E19+'13'!G19</f>
        <v>240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4.1791044776119399</v>
      </c>
      <c r="F20" s="15">
        <f>F17*1000/F7</f>
        <v>4.2071498530852107</v>
      </c>
      <c r="G20" s="16">
        <f>G17*1000/G7</f>
        <v>4.2071498530852107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0.94328358208955221</v>
      </c>
      <c r="F21" s="19">
        <f>F26*1000/F7</f>
        <v>0.861900097943193</v>
      </c>
      <c r="G21" s="20">
        <f>G26*1000/G7</f>
        <v>0.861900097943193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2815.2238805970151</v>
      </c>
      <c r="F22" s="21">
        <f t="shared" ref="F22:G22" si="0">((F17*(803-130)+F31*(30))*1000)/F7</f>
        <v>2835.2610186092065</v>
      </c>
      <c r="G22" s="21">
        <f t="shared" si="0"/>
        <v>2835.2610186092065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3863.3754305396096</v>
      </c>
      <c r="F23" s="21">
        <f t="shared" ref="F23:G23" si="1">(F15*(803-130))*1000/(F7*0.78)</f>
        <v>3957.481353122881</v>
      </c>
      <c r="G23" s="21">
        <f t="shared" si="1"/>
        <v>3957.481353122881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E24+'13'!F24</f>
        <v>0</v>
      </c>
      <c r="G24" s="48">
        <f>E24+'13'!G24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158</v>
      </c>
      <c r="F26" s="32">
        <f>E26+'13'!F26</f>
        <v>1760</v>
      </c>
      <c r="G26" s="33">
        <f>E26+'13'!G26</f>
        <v>1760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4088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16</v>
      </c>
      <c r="F30" s="32">
        <f>E30+'13'!F30</f>
        <v>248</v>
      </c>
      <c r="G30" s="33">
        <f>E30+'13'!G30</f>
        <v>248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15</v>
      </c>
      <c r="F31" s="12">
        <f>E31+'13'!F31</f>
        <v>262</v>
      </c>
      <c r="G31" s="13">
        <f>E31+'13'!G31</f>
        <v>262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E32+'13'!F32</f>
        <v>259</v>
      </c>
      <c r="G32" s="13">
        <f>E32+'13'!G32</f>
        <v>259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18.510000000000002</v>
      </c>
      <c r="F33" s="46">
        <v>1355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E35+'13'!F35</f>
        <v>216</v>
      </c>
      <c r="G35" s="33">
        <f>E35+'13'!G35</f>
        <v>216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E36+'13'!F36</f>
        <v>35</v>
      </c>
      <c r="G36" s="13">
        <f>E36+'13'!G36</f>
        <v>35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E37+'13'!F37</f>
        <v>0</v>
      </c>
      <c r="G37" s="48">
        <f>E37+'13'!G37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37" sqref="E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'14'!E6+1</f>
        <v>46127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165300</v>
      </c>
      <c r="F7" s="12">
        <f>E7+'14'!F7</f>
        <v>2207300</v>
      </c>
      <c r="G7" s="13">
        <f>E7+'14'!G7</f>
        <v>2207300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18224</v>
      </c>
      <c r="F8" s="12">
        <f>E8+'14'!F8</f>
        <v>255819</v>
      </c>
      <c r="G8" s="13">
        <f>E8+'14'!G8</f>
        <v>255819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147076</v>
      </c>
      <c r="F9" s="12">
        <f>E9+'14'!F9</f>
        <v>1951481</v>
      </c>
      <c r="G9" s="13">
        <f>E9+'14'!G9</f>
        <v>1951481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11.024803387779794</v>
      </c>
      <c r="F10" s="15">
        <f>F8/F7*100</f>
        <v>11.589679699179992</v>
      </c>
      <c r="G10" s="16">
        <f>G8/G7*100</f>
        <v>11.589679699179992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6.8875000000000002</v>
      </c>
      <c r="F11" s="15">
        <f>F7/F12/1000</f>
        <v>6.4416622891495958</v>
      </c>
      <c r="G11" s="16">
        <f>G7/G12/1000</f>
        <v>6.4416622891495958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E12+'14'!F12</f>
        <v>342.65999999999997</v>
      </c>
      <c r="G12" s="13">
        <f>E12+'14'!G12</f>
        <v>342.65999999999997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68.875</v>
      </c>
      <c r="F13" s="15">
        <f>F11/10*100</f>
        <v>64.416622891495962</v>
      </c>
      <c r="G13" s="16">
        <f>G11/10*100</f>
        <v>64.416622891495962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756</v>
      </c>
      <c r="F14" s="12">
        <f>E14+'14'!F14</f>
        <v>10383</v>
      </c>
      <c r="G14" s="13">
        <f>E14+'14'!G14</f>
        <v>10383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738</v>
      </c>
      <c r="F15" s="12">
        <f>E15+'14'!F15</f>
        <v>10104</v>
      </c>
      <c r="G15" s="13">
        <f>E15+'14'!G15</f>
        <v>10104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51</v>
      </c>
      <c r="F16" s="12">
        <f>E16+'14'!F16</f>
        <v>597</v>
      </c>
      <c r="G16" s="13">
        <f>E16+'14'!G16</f>
        <v>597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683</v>
      </c>
      <c r="F17" s="12">
        <f>E17+'14'!F17</f>
        <v>9274</v>
      </c>
      <c r="G17" s="13">
        <f>E17+'14'!G17</f>
        <v>9274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543</v>
      </c>
      <c r="F18" s="12">
        <f>E18+'14'!F18</f>
        <v>7575</v>
      </c>
      <c r="G18" s="13">
        <f>E18+'14'!G18</f>
        <v>7575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E19+'14'!F19</f>
        <v>258</v>
      </c>
      <c r="G19" s="13">
        <f>E19+'14'!G19</f>
        <v>258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4.1318814277071994</v>
      </c>
      <c r="F20" s="15">
        <f>F17*1000/F7</f>
        <v>4.2015131608752778</v>
      </c>
      <c r="G20" s="16">
        <f>G17*1000/G7</f>
        <v>4.2015131608752778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0.87114337568058076</v>
      </c>
      <c r="F21" s="19">
        <f>F26*1000/F7</f>
        <v>0.86259230734381376</v>
      </c>
      <c r="G21" s="20">
        <f>G26*1000/G7</f>
        <v>0.86259230734381376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2783.6600120992134</v>
      </c>
      <c r="F22" s="21">
        <f t="shared" ref="F22:G22" si="0">((F17*(803-130)+F31*(30))*1000)/F7</f>
        <v>2831.3967290354731</v>
      </c>
      <c r="G22" s="21">
        <f t="shared" si="0"/>
        <v>2831.3967290354731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3852.1569174926708</v>
      </c>
      <c r="F23" s="21">
        <f t="shared" ref="F23:G23" si="1">(F15*(803-130))*1000/(F7*0.78)</f>
        <v>3949.5938302625204</v>
      </c>
      <c r="G23" s="21">
        <f t="shared" si="1"/>
        <v>3949.5938302625204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E24+'14'!F24</f>
        <v>0</v>
      </c>
      <c r="G24" s="48">
        <f>E24+'14'!G24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144</v>
      </c>
      <c r="F26" s="32">
        <f>E26+'14'!F26</f>
        <v>1904</v>
      </c>
      <c r="G26" s="33">
        <f>E26+'14'!G26</f>
        <v>1904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4392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16</v>
      </c>
      <c r="F30" s="32">
        <f>E30+'14'!F30</f>
        <v>264</v>
      </c>
      <c r="G30" s="33">
        <f>E30+'14'!G30</f>
        <v>264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16</v>
      </c>
      <c r="F31" s="12">
        <f>E31+'14'!F31</f>
        <v>278</v>
      </c>
      <c r="G31" s="13">
        <f>E31+'14'!G31</f>
        <v>278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17</v>
      </c>
      <c r="F32" s="12">
        <f>E32+'14'!F32</f>
        <v>276</v>
      </c>
      <c r="G32" s="13">
        <f>E32+'14'!G32</f>
        <v>276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20</v>
      </c>
      <c r="F33" s="46">
        <v>1388</v>
      </c>
      <c r="G33" s="73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50</v>
      </c>
      <c r="F35" s="32">
        <f>E35+'14'!F35</f>
        <v>266</v>
      </c>
      <c r="G35" s="33">
        <f>E35+'14'!G35</f>
        <v>266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2</v>
      </c>
      <c r="F36" s="12">
        <f>E36+'14'!F36</f>
        <v>37</v>
      </c>
      <c r="G36" s="13">
        <f>E36+'14'!G36</f>
        <v>37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E37+'14'!F37</f>
        <v>0</v>
      </c>
      <c r="G37" s="48">
        <f>E37+'14'!G37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J35" sqref="J35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'15'!E6+1</f>
        <v>46128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157000</v>
      </c>
      <c r="F7" s="12">
        <f>E7+'15'!F7</f>
        <v>2364300</v>
      </c>
      <c r="G7" s="13">
        <f>E7+'15'!G7</f>
        <v>2364300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17705</v>
      </c>
      <c r="F8" s="12">
        <f>E8+'15'!F8</f>
        <v>273524</v>
      </c>
      <c r="G8" s="13">
        <f>E8+'15'!G8</f>
        <v>273524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139295</v>
      </c>
      <c r="F9" s="12">
        <f>E9+'15'!F9</f>
        <v>2090776</v>
      </c>
      <c r="G9" s="13">
        <f>E9+'15'!G9</f>
        <v>2090776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11.277070063694268</v>
      </c>
      <c r="F10" s="15">
        <f>F8/F7*100</f>
        <v>11.568921033709765</v>
      </c>
      <c r="G10" s="16">
        <f>G8/G7*100</f>
        <v>11.568921033709765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6.541666666666667</v>
      </c>
      <c r="F11" s="15">
        <f>F7/F12/1000</f>
        <v>6.4482081492390781</v>
      </c>
      <c r="G11" s="16">
        <f>G7/G12/1000</f>
        <v>6.4482081492390781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E12+'15'!F12</f>
        <v>366.65999999999997</v>
      </c>
      <c r="G12" s="13">
        <f>E12+'15'!G12</f>
        <v>366.65999999999997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65.416666666666671</v>
      </c>
      <c r="F13" s="15">
        <f>F11/10*100</f>
        <v>64.48208149239079</v>
      </c>
      <c r="G13" s="16">
        <f>G11/10*100</f>
        <v>64.48208149239079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729</v>
      </c>
      <c r="F14" s="12">
        <f>E14+'15'!F14</f>
        <v>11112</v>
      </c>
      <c r="G14" s="13">
        <f>E14+'15'!G14</f>
        <v>11112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707</v>
      </c>
      <c r="F15" s="12">
        <f>E15+'15'!F15</f>
        <v>10811</v>
      </c>
      <c r="G15" s="13">
        <f>E15+'15'!G15</f>
        <v>10811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40</v>
      </c>
      <c r="F16" s="70">
        <f>E16+'15'!F16</f>
        <v>637</v>
      </c>
      <c r="G16" s="13">
        <f>E16+'15'!G16</f>
        <v>637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647</v>
      </c>
      <c r="F17" s="12">
        <f>E17+'15'!F17</f>
        <v>9921</v>
      </c>
      <c r="G17" s="13">
        <f>E17+'15'!G17</f>
        <v>9921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520</v>
      </c>
      <c r="F18" s="12">
        <f>E18+'15'!F18</f>
        <v>8095</v>
      </c>
      <c r="G18" s="13">
        <f>E18+'15'!G18</f>
        <v>8095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E19+'15'!F19</f>
        <v>276</v>
      </c>
      <c r="G19" s="13">
        <f>E19+'15'!G19</f>
        <v>276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4.1210191082802545</v>
      </c>
      <c r="F20" s="15">
        <f>F17*1000/F7</f>
        <v>4.1961679989849001</v>
      </c>
      <c r="G20" s="16">
        <f>G17*1000/G7</f>
        <v>4.1961679989849001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0.91082802547770703</v>
      </c>
      <c r="F21" s="19">
        <f>F26*1000/F7</f>
        <v>0.86579537283762631</v>
      </c>
      <c r="G21" s="20">
        <f>G26*1000/G7</f>
        <v>0.86579537283762631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2775.9299363057326</v>
      </c>
      <c r="F22" s="21">
        <f t="shared" ref="F22:G22" si="0">((F17*(803-130)+F31*(30))*1000)/F7</f>
        <v>2827.7134881360234</v>
      </c>
      <c r="G22" s="21">
        <f t="shared" si="0"/>
        <v>2827.7134881360234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3885.4401437203983</v>
      </c>
      <c r="F23" s="21">
        <f t="shared" ref="F23:G23" si="1">(F15*(803-130))*1000/(F7*0.78)</f>
        <v>3945.3337411083889</v>
      </c>
      <c r="G23" s="21">
        <f t="shared" si="1"/>
        <v>3945.3337411083889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E24+'15'!F24</f>
        <v>0</v>
      </c>
      <c r="G24" s="48">
        <f>E24+'15'!G24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143</v>
      </c>
      <c r="F26" s="32">
        <f>E26+'15'!F26</f>
        <v>2047</v>
      </c>
      <c r="G26" s="33">
        <f>E26+'15'!G26</f>
        <v>2047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4247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11</v>
      </c>
      <c r="F30" s="32">
        <f>E30+'15'!F30</f>
        <v>275</v>
      </c>
      <c r="G30" s="33">
        <f>E30+'15'!G30</f>
        <v>275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13</v>
      </c>
      <c r="F31" s="12">
        <f>E31+'15'!F31</f>
        <v>291</v>
      </c>
      <c r="G31" s="13">
        <f>E31+'15'!G31</f>
        <v>291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17</v>
      </c>
      <c r="F32" s="12">
        <f>E32+'15'!F32</f>
        <v>293</v>
      </c>
      <c r="G32" s="13">
        <f>E32+'15'!G32</f>
        <v>293</v>
      </c>
    </row>
    <row r="33" spans="2:7" ht="30.95" customHeight="1">
      <c r="B33" s="67">
        <v>4</v>
      </c>
      <c r="C33" s="10" t="s">
        <v>40</v>
      </c>
      <c r="D33" s="43" t="s">
        <v>41</v>
      </c>
      <c r="E33" s="35">
        <v>18</v>
      </c>
      <c r="F33" s="35">
        <v>1339</v>
      </c>
      <c r="G33" s="12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5">
        <v>53</v>
      </c>
      <c r="F35" s="12">
        <f>E35+'15'!F35</f>
        <v>319</v>
      </c>
      <c r="G35" s="12">
        <f>E35+'15'!G35</f>
        <v>319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E36+'15'!F36</f>
        <v>37</v>
      </c>
      <c r="G36" s="13">
        <f>E36+'15'!G36</f>
        <v>37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E37+'15'!F37</f>
        <v>0</v>
      </c>
      <c r="G37" s="48">
        <f>E37+'15'!G37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39" right="0.7" top="0.75" bottom="0.75" header="0.3" footer="0.3"/>
  <pageSetup scale="45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L40"/>
  <sheetViews>
    <sheetView topLeftCell="C1" zoomScale="78" zoomScaleNormal="78" workbookViewId="0">
      <pane xSplit="2" ySplit="6" topLeftCell="E7" activePane="bottomRight" state="frozen"/>
      <selection pane="topRight"/>
      <selection pane="bottomLeft"/>
      <selection pane="bottomRight" activeCell="E27" sqref="E2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27" style="2" customWidth="1"/>
    <col min="5" max="5" width="45.140625" style="1" customWidth="1"/>
    <col min="6" max="6" width="44" style="1" customWidth="1"/>
    <col min="7" max="7" width="43.85546875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'16'!E6+1</f>
        <v>46129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159000</v>
      </c>
      <c r="F7" s="12">
        <f>E7+'16'!F7</f>
        <v>2523300</v>
      </c>
      <c r="G7" s="13">
        <f>E7+'16'!G7</f>
        <v>2523300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17518</v>
      </c>
      <c r="F8" s="12">
        <f>E8+'16'!F8</f>
        <v>291042</v>
      </c>
      <c r="G8" s="13">
        <f>E8+'16'!G8</f>
        <v>291042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141482</v>
      </c>
      <c r="F9" s="12">
        <f>E9+'16'!F9</f>
        <v>2232258</v>
      </c>
      <c r="G9" s="13">
        <f>E9+'16'!G9</f>
        <v>2232258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11.017610062893082</v>
      </c>
      <c r="F10" s="15">
        <f>F8/F7*100</f>
        <v>11.534181429080965</v>
      </c>
      <c r="G10" s="16">
        <f>G8/G7*100</f>
        <v>11.534181429080965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6.625</v>
      </c>
      <c r="F11" s="15">
        <f>F7/F12/1000</f>
        <v>6.4590692673936418</v>
      </c>
      <c r="G11" s="16">
        <f>G7/G12/1000</f>
        <v>6.4590692673936418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E12+'16'!F12</f>
        <v>390.65999999999997</v>
      </c>
      <c r="G12" s="13">
        <f>E12+'16'!G12</f>
        <v>390.65999999999997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66.25</v>
      </c>
      <c r="F13" s="15">
        <f>F11/10*100</f>
        <v>64.590692673936417</v>
      </c>
      <c r="G13" s="16">
        <f>G11/10*100</f>
        <v>64.590692673936417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728</v>
      </c>
      <c r="F14" s="12">
        <f>E14+'16'!F14</f>
        <v>11840</v>
      </c>
      <c r="G14" s="13">
        <f>E14+'16'!G14</f>
        <v>11840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714</v>
      </c>
      <c r="F15" s="12">
        <f>E15+'16'!F15</f>
        <v>11525</v>
      </c>
      <c r="G15" s="13">
        <f>E15+'16'!G15</f>
        <v>11525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53</v>
      </c>
      <c r="F16" s="70">
        <f>E16+'16'!F16</f>
        <v>690</v>
      </c>
      <c r="G16" s="13">
        <f>E16+'16'!G16</f>
        <v>690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658</v>
      </c>
      <c r="F17" s="12">
        <f>E17+'16'!F17</f>
        <v>10579</v>
      </c>
      <c r="G17" s="13">
        <f>E17+'16'!G17</f>
        <v>10579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517</v>
      </c>
      <c r="F18" s="12">
        <f>E18+'16'!F18</f>
        <v>8612</v>
      </c>
      <c r="G18" s="13">
        <f>E18+'16'!G18</f>
        <v>8612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E19+'16'!F19</f>
        <v>295</v>
      </c>
      <c r="G19" s="13">
        <f>E19+'16'!G19</f>
        <v>295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4.1383647798742142</v>
      </c>
      <c r="F20" s="15">
        <f>F17*1000/F7</f>
        <v>4.1925256608409622</v>
      </c>
      <c r="G20" s="16">
        <f>G17*1000/G7</f>
        <v>4.1925256608409622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0.9308176100628931</v>
      </c>
      <c r="F21" s="19">
        <f>F26*1000/F7</f>
        <v>0.86989260095906151</v>
      </c>
      <c r="G21" s="20">
        <f>G26*1000/G7</f>
        <v>0.86989260095906151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2787.949685534591</v>
      </c>
      <c r="F22" s="21">
        <f t="shared" ref="F22:G22" si="0">((F17*(803-130)+F31*(30))*1000)/F7</f>
        <v>2825.2078627194546</v>
      </c>
      <c r="G22" s="21">
        <f t="shared" si="0"/>
        <v>2825.2078627194546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3874.5524915336237</v>
      </c>
      <c r="F23" s="21">
        <f t="shared" ref="F23:G23" si="1">(F15*(803-130))*1000/(F7*0.78)</f>
        <v>3940.873621946027</v>
      </c>
      <c r="G23" s="21">
        <f t="shared" si="1"/>
        <v>3940.873621946027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E24+'16'!F24</f>
        <v>0</v>
      </c>
      <c r="G24" s="48">
        <f>E24+'16'!G24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148</v>
      </c>
      <c r="F26" s="32">
        <f>E26+'16'!F26</f>
        <v>2195</v>
      </c>
      <c r="G26" s="33">
        <f>E26+'16'!G26</f>
        <v>2195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4149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14</v>
      </c>
      <c r="F30" s="32">
        <f>E30+'16'!F30</f>
        <v>289</v>
      </c>
      <c r="G30" s="33">
        <f>E30+'16'!G30</f>
        <v>289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15</v>
      </c>
      <c r="F31" s="12">
        <f>E31+'16'!F31</f>
        <v>306</v>
      </c>
      <c r="G31" s="13">
        <f>E31+'16'!G31</f>
        <v>306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E32+'16'!F32</f>
        <v>311</v>
      </c>
      <c r="G32" s="13">
        <f>E32+'16'!G32</f>
        <v>311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17</v>
      </c>
      <c r="F33" s="46">
        <v>1287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E35+'16'!F35</f>
        <v>319</v>
      </c>
      <c r="G35" s="33">
        <f>E35+'16'!G35</f>
        <v>319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E36+'16'!F36</f>
        <v>40</v>
      </c>
      <c r="G36" s="13">
        <f>E36+'16'!G36</f>
        <v>40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E37+'16'!F37</f>
        <v>0</v>
      </c>
      <c r="G37" s="48">
        <f>E37+'16'!G37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L40"/>
  <sheetViews>
    <sheetView topLeftCell="C1" zoomScale="85" zoomScaleNormal="85" workbookViewId="0">
      <pane xSplit="2" ySplit="6" topLeftCell="E16" activePane="bottomRight" state="frozen"/>
      <selection pane="topRight"/>
      <selection pane="bottomLeft"/>
      <selection pane="bottomRight" activeCell="E20" sqref="E20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11.285156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'17'!E6+1</f>
        <v>46130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149900</v>
      </c>
      <c r="F7" s="12">
        <f>E7+'17'!F7</f>
        <v>2673200</v>
      </c>
      <c r="G7" s="13">
        <f>E7+'17'!G7</f>
        <v>2673200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17377</v>
      </c>
      <c r="F8" s="12">
        <f>E8+'17'!F8</f>
        <v>308419</v>
      </c>
      <c r="G8" s="13">
        <f>E8+'17'!G8</f>
        <v>308419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132523</v>
      </c>
      <c r="F9" s="12">
        <f>E9+'17'!F9</f>
        <v>2364781</v>
      </c>
      <c r="G9" s="13">
        <f>E9+'17'!G9</f>
        <v>2364781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11.592394929953302</v>
      </c>
      <c r="F10" s="15">
        <f>F8/F7*100</f>
        <v>11.537445757893162</v>
      </c>
      <c r="G10" s="16">
        <f>G8/G7*100</f>
        <v>11.537445757893162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6.2458333333333327</v>
      </c>
      <c r="F11" s="15">
        <f>F7/F12/1000</f>
        <v>6.4467274393479004</v>
      </c>
      <c r="G11" s="16">
        <f>G7/G12/1000</f>
        <v>6.4467274393479004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E12+'17'!F12</f>
        <v>414.65999999999997</v>
      </c>
      <c r="G12" s="13">
        <f>E12+'17'!G12</f>
        <v>414.65999999999997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62.458333333333329</v>
      </c>
      <c r="F13" s="15">
        <f>F11/10*100</f>
        <v>64.467274393479002</v>
      </c>
      <c r="G13" s="16">
        <f>G11/10*100</f>
        <v>64.467274393479002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692</v>
      </c>
      <c r="F14" s="12">
        <f>E14+'17'!F14</f>
        <v>12532</v>
      </c>
      <c r="G14" s="13">
        <f>E14+'17'!G14</f>
        <v>12532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677</v>
      </c>
      <c r="F15" s="12">
        <f>E15+'17'!F15</f>
        <v>12202</v>
      </c>
      <c r="G15" s="13">
        <f>E15+'17'!G15</f>
        <v>12202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52</v>
      </c>
      <c r="F16" s="70">
        <f>E16+'17'!F16</f>
        <v>742</v>
      </c>
      <c r="G16" s="13">
        <f>E16+'17'!G16</f>
        <v>742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619</v>
      </c>
      <c r="F17" s="12">
        <f>E17+'17'!F17</f>
        <v>11198</v>
      </c>
      <c r="G17" s="13">
        <f>E17+'17'!G17</f>
        <v>11198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486</v>
      </c>
      <c r="F18" s="12">
        <f>E18+'17'!F18</f>
        <v>9098</v>
      </c>
      <c r="G18" s="13">
        <f>E18+'17'!G18</f>
        <v>9098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E19+'17'!F19</f>
        <v>312</v>
      </c>
      <c r="G19" s="13">
        <f>E19+'17'!G19</f>
        <v>312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4.1294196130753837</v>
      </c>
      <c r="F20" s="15">
        <f>F17*1000/F7</f>
        <v>4.1889869818943586</v>
      </c>
      <c r="G20" s="16">
        <f>G17*1000/G7</f>
        <v>4.1889869818943586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0.91394262841894591</v>
      </c>
      <c r="F21" s="19">
        <f>F26*1000/F7</f>
        <v>0.87236271135717491</v>
      </c>
      <c r="G21" s="20">
        <f>G26*1000/G7</f>
        <v>0.87236271135717491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2782.3015343562374</v>
      </c>
      <c r="F22" s="21">
        <f t="shared" ref="F22:G22" si="0">((F17*(803-130)+F31*(30))*1000)/F7</f>
        <v>2822.8018853808171</v>
      </c>
      <c r="G22" s="21">
        <f t="shared" si="0"/>
        <v>2822.8018853808171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3896.794444159354</v>
      </c>
      <c r="F23" s="21">
        <f t="shared" ref="F23:G23" si="1">(F15*(803-130))*1000/(F7*0.78)</f>
        <v>3938.4018769399586</v>
      </c>
      <c r="G23" s="21">
        <f t="shared" si="1"/>
        <v>3938.4018769399586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E24+'17'!F24</f>
        <v>0</v>
      </c>
      <c r="G24" s="48">
        <f>E24+'17'!G24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137</v>
      </c>
      <c r="F26" s="32">
        <f>E26+'17'!F26</f>
        <v>2332</v>
      </c>
      <c r="G26" s="33">
        <f>E26+'17'!G26</f>
        <v>2332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4245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17</v>
      </c>
      <c r="F30" s="32">
        <f>E30+'17'!F30</f>
        <v>306</v>
      </c>
      <c r="G30" s="33">
        <f>E30+'17'!G30</f>
        <v>306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16</v>
      </c>
      <c r="F31" s="12">
        <f>E31+'17'!F31</f>
        <v>322</v>
      </c>
      <c r="G31" s="13">
        <f>E31+'17'!G31</f>
        <v>322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E32+'17'!F32</f>
        <v>329</v>
      </c>
      <c r="G32" s="13">
        <f>E32+'17'!G32</f>
        <v>329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16</v>
      </c>
      <c r="F33" s="47">
        <v>1304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E35+'17'!F35</f>
        <v>319</v>
      </c>
      <c r="G35" s="33">
        <f>E35+'17'!G35</f>
        <v>319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E36+'17'!F36</f>
        <v>44</v>
      </c>
      <c r="G36" s="13">
        <f>E36+'17'!G36</f>
        <v>44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E37+'17'!F37</f>
        <v>0</v>
      </c>
      <c r="G37" s="48">
        <f>E37+'17'!G37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L40"/>
  <sheetViews>
    <sheetView topLeftCell="C1" zoomScale="80" zoomScaleNormal="80" workbookViewId="0">
      <pane xSplit="2" ySplit="6" topLeftCell="E29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'18'!E6+1</f>
        <v>46131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140500</v>
      </c>
      <c r="F7" s="12">
        <f>E7+'18'!F7</f>
        <v>2813700</v>
      </c>
      <c r="G7" s="13">
        <f>E7+'18'!G7</f>
        <v>2813700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17323</v>
      </c>
      <c r="F8" s="12">
        <f>E8+'18'!F8</f>
        <v>325742</v>
      </c>
      <c r="G8" s="13">
        <f>E8+'18'!G8</f>
        <v>325742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123177</v>
      </c>
      <c r="F9" s="12">
        <f>E9+'18'!F9</f>
        <v>2487958</v>
      </c>
      <c r="G9" s="13">
        <f>E9+'18'!G9</f>
        <v>2487958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12.329537366548042</v>
      </c>
      <c r="F10" s="15">
        <f>F8/F7*100</f>
        <v>11.576998258520808</v>
      </c>
      <c r="G10" s="16">
        <f>G8/G7*100</f>
        <v>11.576998258520808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5.854166666666667</v>
      </c>
      <c r="F11" s="15">
        <f>F7/F12/1000</f>
        <v>6.4143072083162362</v>
      </c>
      <c r="G11" s="16">
        <f>G7/G12/1000</f>
        <v>6.4143072083162362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E12+'18'!F12</f>
        <v>438.65999999999997</v>
      </c>
      <c r="G12" s="13">
        <f>E12+'18'!G12</f>
        <v>438.65999999999997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58.541666666666671</v>
      </c>
      <c r="F13" s="15">
        <f>F11/10*100</f>
        <v>64.143072083162366</v>
      </c>
      <c r="G13" s="16">
        <f>G11/10*100</f>
        <v>64.143072083162366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670</v>
      </c>
      <c r="F14" s="12">
        <f>E14+'18'!F14</f>
        <v>13202</v>
      </c>
      <c r="G14" s="13">
        <f>E14+'18'!G14</f>
        <v>13202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647</v>
      </c>
      <c r="F15" s="12">
        <f>E15+'18'!F15</f>
        <v>12849</v>
      </c>
      <c r="G15" s="13">
        <f>E15+'18'!G15</f>
        <v>12849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34</v>
      </c>
      <c r="F16" s="70">
        <f>E16+'18'!F16</f>
        <v>776</v>
      </c>
      <c r="G16" s="13">
        <f>E16+'18'!G16</f>
        <v>776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579</v>
      </c>
      <c r="F17" s="12">
        <f>E17+'18'!F17</f>
        <v>11777</v>
      </c>
      <c r="G17" s="13">
        <f>E17+'18'!G17</f>
        <v>11777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472</v>
      </c>
      <c r="F18" s="12">
        <f>E18+'18'!F18</f>
        <v>9570</v>
      </c>
      <c r="G18" s="13">
        <f>E18+'18'!G18</f>
        <v>9570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E19+'18'!F19</f>
        <v>330</v>
      </c>
      <c r="G19" s="13">
        <f>E19+'18'!G19</f>
        <v>330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4.1209964412811386</v>
      </c>
      <c r="F20" s="15">
        <f>F17*1000/F7</f>
        <v>4.185591925223016</v>
      </c>
      <c r="G20" s="16">
        <f>G17*1000/G7</f>
        <v>4.185591925223016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0.93950177935943058</v>
      </c>
      <c r="F21" s="19">
        <f>F26*1000/F7</f>
        <v>0.87571525038205922</v>
      </c>
      <c r="G21" s="20">
        <f>G26*1000/G7</f>
        <v>0.87571525038205922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2777.274021352313</v>
      </c>
      <c r="F22" s="21">
        <f t="shared" ref="F22:G22" si="0">((F17*(803-130)+F31*(30))*1000)/F7</f>
        <v>2820.5284856239114</v>
      </c>
      <c r="G22" s="21">
        <f t="shared" si="0"/>
        <v>2820.5284856239114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3973.2731088602973</v>
      </c>
      <c r="F23" s="21">
        <f t="shared" ref="F23:G23" si="1">(F15*(803-130))*1000/(F7*0.78)</f>
        <v>3940.1431457620815</v>
      </c>
      <c r="G23" s="21">
        <f t="shared" si="1"/>
        <v>3940.1431457620815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E24+'18'!F24</f>
        <v>0</v>
      </c>
      <c r="G24" s="48">
        <f>E24+'18'!G24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132</v>
      </c>
      <c r="F26" s="32">
        <f>E26+'18'!F26</f>
        <v>2464</v>
      </c>
      <c r="G26" s="33">
        <f>E26+'18'!G26</f>
        <v>2464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4239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19</v>
      </c>
      <c r="F30" s="32">
        <f>E30+'18'!F30</f>
        <v>325</v>
      </c>
      <c r="G30" s="33">
        <f>E30+'18'!G30</f>
        <v>325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18</v>
      </c>
      <c r="F31" s="12">
        <f>E31+'18'!F31</f>
        <v>340</v>
      </c>
      <c r="G31" s="13">
        <f>E31+'18'!G31</f>
        <v>340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E32+'18'!F32</f>
        <v>347</v>
      </c>
      <c r="G32" s="13">
        <f>E32+'18'!G32</f>
        <v>347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17</v>
      </c>
      <c r="F33" s="47">
        <v>1258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45</v>
      </c>
      <c r="F35" s="32">
        <f>E35+'18'!F35</f>
        <v>364</v>
      </c>
      <c r="G35" s="33">
        <f>E35+'18'!G35</f>
        <v>364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E36+'18'!F36</f>
        <v>44</v>
      </c>
      <c r="G36" s="13">
        <f>E36+'18'!G36</f>
        <v>44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E37+'18'!F37</f>
        <v>0</v>
      </c>
      <c r="G37" s="48">
        <f>E37+'18'!G37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L40"/>
  <sheetViews>
    <sheetView topLeftCell="C1" zoomScale="80" zoomScaleNormal="80" workbookViewId="0">
      <pane xSplit="2" ySplit="6" topLeftCell="E32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'19'!E6+1</f>
        <v>46132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132100</v>
      </c>
      <c r="F7" s="12">
        <f>E7+'19'!F7</f>
        <v>2945800</v>
      </c>
      <c r="G7" s="13">
        <f>E7+'19'!G7</f>
        <v>2945800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17135</v>
      </c>
      <c r="F8" s="12">
        <f>E8+'19'!F8</f>
        <v>342877</v>
      </c>
      <c r="G8" s="13">
        <f>E8+'19'!G8</f>
        <v>342877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114965</v>
      </c>
      <c r="F9" s="12">
        <f>E9+'19'!F9</f>
        <v>2602923</v>
      </c>
      <c r="G9" s="13">
        <f>E9+'19'!G9</f>
        <v>2602923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12.971233913701742</v>
      </c>
      <c r="F10" s="15">
        <f>F8/F7*100</f>
        <v>11.639520673501256</v>
      </c>
      <c r="G10" s="16">
        <f>G8/G7*100</f>
        <v>11.639520673501256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5.5041666666666673</v>
      </c>
      <c r="F11" s="15">
        <f>F7/F12/1000</f>
        <v>6.3670946267237287</v>
      </c>
      <c r="G11" s="16">
        <f>G7/G12/1000</f>
        <v>6.3670946267237287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E12+'19'!F12</f>
        <v>462.65999999999997</v>
      </c>
      <c r="G12" s="13">
        <f>E12+'19'!G12</f>
        <v>462.65999999999997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55.041666666666679</v>
      </c>
      <c r="F13" s="15">
        <f>F11/10*100</f>
        <v>63.670946267237284</v>
      </c>
      <c r="G13" s="16">
        <f>G11/10*100</f>
        <v>63.670946267237284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650</v>
      </c>
      <c r="F14" s="12">
        <f>E14+'19'!F14</f>
        <v>13852</v>
      </c>
      <c r="G14" s="13">
        <f>E14+'19'!G14</f>
        <v>13852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629</v>
      </c>
      <c r="F15" s="12">
        <f>E15+'19'!F15</f>
        <v>13478</v>
      </c>
      <c r="G15" s="13">
        <f>E15+'19'!G15</f>
        <v>13478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22</v>
      </c>
      <c r="F16" s="12">
        <f>E16+'19'!F16</f>
        <v>798</v>
      </c>
      <c r="G16" s="13">
        <f>E16+'19'!G16</f>
        <v>798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543</v>
      </c>
      <c r="F17" s="12">
        <f>E17+'19'!F17</f>
        <v>12320</v>
      </c>
      <c r="G17" s="13">
        <f>E17+'19'!G17</f>
        <v>12320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456</v>
      </c>
      <c r="F18" s="12">
        <f>E18+'19'!F18</f>
        <v>10026</v>
      </c>
      <c r="G18" s="13">
        <f>E18+'19'!G18</f>
        <v>10026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E19+'19'!F19</f>
        <v>348</v>
      </c>
      <c r="G19" s="13">
        <f>E19+'19'!G19</f>
        <v>348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4.1105223315669948</v>
      </c>
      <c r="F20" s="15">
        <f>F17*1000/F7</f>
        <v>4.1822255414488421</v>
      </c>
      <c r="G20" s="16">
        <f>G17*1000/G7</f>
        <v>4.1822255414488421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0.98410295230885692</v>
      </c>
      <c r="F21" s="19">
        <f>F26*1000/F7</f>
        <v>0.88057573494466701</v>
      </c>
      <c r="G21" s="20">
        <f>G26*1000/G7</f>
        <v>0.88057573494466701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2770.0151400454201</v>
      </c>
      <c r="F22" s="21">
        <f t="shared" ref="F22:G22" si="0">((F17*(803-130)+F31*(30))*1000)/F7</f>
        <v>2818.2632901079505</v>
      </c>
      <c r="G22" s="21">
        <f t="shared" si="0"/>
        <v>2818.2632901079505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4108.3580814845009</v>
      </c>
      <c r="F23" s="21">
        <f t="shared" ref="F23:G23" si="1">(F15*(803-130))*1000/(F7*0.78)</f>
        <v>3947.6864932428784</v>
      </c>
      <c r="G23" s="21">
        <f t="shared" si="1"/>
        <v>3947.6864932428784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E24+'19'!F24</f>
        <v>0</v>
      </c>
      <c r="G24" s="48">
        <f>E24+'19'!G24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130</v>
      </c>
      <c r="F26" s="32">
        <f>E26+'19'!F26</f>
        <v>2594</v>
      </c>
      <c r="G26" s="33">
        <f>E26+'19'!G26</f>
        <v>2594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4164</v>
      </c>
      <c r="F27" s="36">
        <v>0</v>
      </c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17</v>
      </c>
      <c r="F30" s="32">
        <f>E30+'19'!F30</f>
        <v>342</v>
      </c>
      <c r="G30" s="33">
        <f>E30+'19'!G30</f>
        <v>342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16</v>
      </c>
      <c r="F31" s="12">
        <f>E31+'19'!F31</f>
        <v>356</v>
      </c>
      <c r="G31" s="13">
        <f>E31+'19'!G31</f>
        <v>356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E32+'19'!F32</f>
        <v>365</v>
      </c>
      <c r="G32" s="13">
        <f>E32+'19'!G32</f>
        <v>365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16</v>
      </c>
      <c r="F33" s="47">
        <v>1289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48</v>
      </c>
      <c r="F35" s="32">
        <f>E35+'19'!F35</f>
        <v>412</v>
      </c>
      <c r="G35" s="33">
        <f>E35+'19'!G35</f>
        <v>412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0</v>
      </c>
      <c r="F36" s="12">
        <f>E36+'19'!F36</f>
        <v>44</v>
      </c>
      <c r="G36" s="13">
        <f>E36+'19'!G36</f>
        <v>44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E37+'19'!F37</f>
        <v>0</v>
      </c>
      <c r="G37" s="48">
        <f>E37+'19'!G37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27" sqref="E2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'20'!E6+1</f>
        <v>46133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139400</v>
      </c>
      <c r="F7" s="12">
        <f>E7+'20'!F7</f>
        <v>3085200</v>
      </c>
      <c r="G7" s="13">
        <f>E7+'20'!G7</f>
        <v>3085200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17157</v>
      </c>
      <c r="F8" s="12">
        <f>E8+'20'!F8</f>
        <v>360034</v>
      </c>
      <c r="G8" s="13">
        <f>E8+'20'!G8</f>
        <v>360034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122243</v>
      </c>
      <c r="F9" s="12">
        <f>E9+'20'!F9</f>
        <v>2725166</v>
      </c>
      <c r="G9" s="13">
        <f>E9+'20'!G9</f>
        <v>2725166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12.307747489239599</v>
      </c>
      <c r="F10" s="15">
        <f>F8/F7*100</f>
        <v>11.669713470763647</v>
      </c>
      <c r="G10" s="16">
        <f>G8/G7*100</f>
        <v>11.669713470763647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5.8083333333333327</v>
      </c>
      <c r="F11" s="15">
        <f>F7/F12/1000</f>
        <v>6.3395388977931209</v>
      </c>
      <c r="G11" s="16">
        <f>G7/G12/1000</f>
        <v>6.3395388977931209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E12+'20'!F12</f>
        <v>486.65999999999997</v>
      </c>
      <c r="G12" s="13">
        <f>E12+'20'!G12</f>
        <v>486.65999999999997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58.083333333333329</v>
      </c>
      <c r="F13" s="15">
        <f>F11/10*100</f>
        <v>63.395388977931212</v>
      </c>
      <c r="G13" s="16">
        <f>G11/10*100</f>
        <v>63.395388977931212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660</v>
      </c>
      <c r="F14" s="12">
        <f>E14+'20'!F14</f>
        <v>14512</v>
      </c>
      <c r="G14" s="13">
        <f>E14+'20'!G14</f>
        <v>14512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644</v>
      </c>
      <c r="F15" s="12">
        <f>E15+'20'!F15</f>
        <v>14122</v>
      </c>
      <c r="G15" s="13">
        <f>E15+'20'!G15</f>
        <v>14122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41</v>
      </c>
      <c r="F16" s="12">
        <f>E16+'20'!F16</f>
        <v>839</v>
      </c>
      <c r="G16" s="13">
        <f>E16+'20'!G16</f>
        <v>839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579</v>
      </c>
      <c r="F17" s="12">
        <f>E17+'20'!F17</f>
        <v>12899</v>
      </c>
      <c r="G17" s="13">
        <f>E17+'20'!G17</f>
        <v>12899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464</v>
      </c>
      <c r="F18" s="12">
        <f>E18+'20'!F18</f>
        <v>10490</v>
      </c>
      <c r="G18" s="13">
        <f>E18+'20'!G18</f>
        <v>10490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E19+'20'!F19</f>
        <v>367</v>
      </c>
      <c r="G19" s="13">
        <f>E19+'20'!G19</f>
        <v>367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4.1535150645624102</v>
      </c>
      <c r="F20" s="15">
        <f>F17*1000/F7</f>
        <v>4.1809283028652926</v>
      </c>
      <c r="G20" s="16">
        <f>G17*1000/G7</f>
        <v>4.1809283028652926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0.94691535150645623</v>
      </c>
      <c r="F21" s="19">
        <f>F26*1000/F7</f>
        <v>0.88357318812394658</v>
      </c>
      <c r="G21" s="20">
        <f>G26*1000/G7</f>
        <v>0.88357318812394658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2798.5437589670014</v>
      </c>
      <c r="F22" s="21">
        <f t="shared" ref="F22:G22" si="0">((F17*(803-130)+F31*(30))*1000)/F7</f>
        <v>2817.3722935304031</v>
      </c>
      <c r="G22" s="21">
        <f t="shared" si="0"/>
        <v>2817.3722935304031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3986.0574623845787</v>
      </c>
      <c r="F23" s="21">
        <f t="shared" ref="F23:G23" si="1">(F15*(803-130))*1000/(F7*0.78)</f>
        <v>3949.4202262580325</v>
      </c>
      <c r="G23" s="21">
        <f t="shared" si="1"/>
        <v>3949.4202262580325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E24+'20'!F24</f>
        <v>0</v>
      </c>
      <c r="G24" s="48">
        <f>E24+'20'!G24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132</v>
      </c>
      <c r="F26" s="32">
        <f>E26+'20'!F26</f>
        <v>2726</v>
      </c>
      <c r="G26" s="33">
        <f>E26+'20'!G26</f>
        <v>2726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4179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/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36</v>
      </c>
      <c r="E30" s="32">
        <v>14</v>
      </c>
      <c r="F30" s="32">
        <f>E30+'20'!F30</f>
        <v>356</v>
      </c>
      <c r="G30" s="33">
        <f>E30+'20'!G30</f>
        <v>356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E31+'20'!F31</f>
        <v>371</v>
      </c>
      <c r="G31" s="13">
        <f>E31+'20'!G31</f>
        <v>371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E32+'20'!F32</f>
        <v>383</v>
      </c>
      <c r="G32" s="13">
        <f>E32+'20'!G32</f>
        <v>383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</v>
      </c>
      <c r="F33" s="47">
        <v>1286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18</v>
      </c>
      <c r="F35" s="32">
        <f>E35+'20'!F35</f>
        <v>430</v>
      </c>
      <c r="G35" s="33">
        <f>E35+'20'!G35</f>
        <v>430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3</v>
      </c>
      <c r="F36" s="12">
        <f>E36+'20'!F36</f>
        <v>47</v>
      </c>
      <c r="G36" s="13">
        <f>E36+'20'!G36</f>
        <v>47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E37+'20'!F37</f>
        <v>0</v>
      </c>
      <c r="G37" s="48">
        <f>E37+'20'!G37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35" sqref="E35:G37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69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'21'!E6+1</f>
        <v>46134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148800</v>
      </c>
      <c r="F7" s="12">
        <f>E7+'21'!F7</f>
        <v>3234000</v>
      </c>
      <c r="G7" s="13">
        <f>E7+'21'!G7</f>
        <v>3234000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17638</v>
      </c>
      <c r="F8" s="12">
        <f>E8+'21'!F8</f>
        <v>377672</v>
      </c>
      <c r="G8" s="13">
        <f>E8+'21'!G8</f>
        <v>377672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131162</v>
      </c>
      <c r="F9" s="12">
        <f>E9+'21'!F9</f>
        <v>2856328</v>
      </c>
      <c r="G9" s="13">
        <f>E9+'21'!G9</f>
        <v>2856328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11.853494623655914</v>
      </c>
      <c r="F10" s="15">
        <f>F8/F7*100</f>
        <v>11.678169449598022</v>
      </c>
      <c r="G10" s="16">
        <f>G8/G7*100</f>
        <v>11.678169449598022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6.2</v>
      </c>
      <c r="F11" s="15">
        <f>F7/F12/1000</f>
        <v>6.3329808483139471</v>
      </c>
      <c r="G11" s="16">
        <f>G7/G12/1000</f>
        <v>6.3329808483139471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E12+'21'!F12</f>
        <v>510.65999999999997</v>
      </c>
      <c r="G12" s="13">
        <f>E12+'21'!G12</f>
        <v>510.65999999999997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62</v>
      </c>
      <c r="F13" s="15">
        <f>F11/10*100</f>
        <v>63.329808483139473</v>
      </c>
      <c r="G13" s="16">
        <f>G11/10*100</f>
        <v>63.329808483139473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725</v>
      </c>
      <c r="F14" s="12">
        <f>E14+'21'!F14</f>
        <v>15237</v>
      </c>
      <c r="G14" s="13">
        <f>E14+'21'!G14</f>
        <v>15237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685</v>
      </c>
      <c r="F15" s="12">
        <f>E15+'21'!F15</f>
        <v>14807</v>
      </c>
      <c r="G15" s="13">
        <f>E15+'21'!G15</f>
        <v>14807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E16+'21'!F16</f>
        <v>839</v>
      </c>
      <c r="G16" s="13">
        <f>E16+'21'!G16</f>
        <v>839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595</v>
      </c>
      <c r="F17" s="12">
        <f>E17+'21'!F17</f>
        <v>13494</v>
      </c>
      <c r="G17" s="13">
        <f>E17+'21'!G17</f>
        <v>13494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522</v>
      </c>
      <c r="F18" s="12">
        <f>E18+'21'!F18</f>
        <v>11012</v>
      </c>
      <c r="G18" s="13">
        <f>E18+'21'!G18</f>
        <v>11012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E19+'21'!F19</f>
        <v>384</v>
      </c>
      <c r="G19" s="13">
        <f>E19+'21'!G19</f>
        <v>384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3.9986559139784945</v>
      </c>
      <c r="F20" s="15">
        <f>F17*1000/F7</f>
        <v>4.1725417439703154</v>
      </c>
      <c r="G20" s="16">
        <f>G17*1000/G7</f>
        <v>4.1725417439703154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0.81989247311827962</v>
      </c>
      <c r="F21" s="19">
        <f>F26*1000/F7</f>
        <v>0.8806431663574521</v>
      </c>
      <c r="G21" s="20">
        <f>G26*1000/G7</f>
        <v>0.8806431663574521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2693.7163978494623</v>
      </c>
      <c r="F22" s="21">
        <f>((F17*(803-130)+F31*(30))*1000)/F7</f>
        <v>2811.682745825603</v>
      </c>
      <c r="G22" s="21">
        <f t="shared" ref="G22" si="0">((G17*(803-130)+G31*(30))*1000)/G7</f>
        <v>2811.682745825603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3971.9895919492692</v>
      </c>
      <c r="F23" s="21">
        <f t="shared" ref="F23:G23" si="1">(F15*(803-130))*1000/(F7*0.78)</f>
        <v>3950.4586683158113</v>
      </c>
      <c r="G23" s="21">
        <f t="shared" si="1"/>
        <v>3950.4586683158113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E24+'21'!F24</f>
        <v>0</v>
      </c>
      <c r="G24" s="48">
        <f>E24+'21'!G24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122</v>
      </c>
      <c r="F26" s="32">
        <f>E26+'21'!F26</f>
        <v>2848</v>
      </c>
      <c r="G26" s="33">
        <f>E26+'21'!G26</f>
        <v>2848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4840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13</v>
      </c>
      <c r="F30" s="32">
        <f>E30+'21'!F30</f>
        <v>369</v>
      </c>
      <c r="G30" s="33">
        <f>E30+'21'!G30</f>
        <v>369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13</v>
      </c>
      <c r="F31" s="12">
        <f>E31+'21'!F31</f>
        <v>384</v>
      </c>
      <c r="G31" s="13">
        <f>E31+'21'!G31</f>
        <v>384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15</v>
      </c>
      <c r="F32" s="12">
        <f>E32+'21'!F32</f>
        <v>398</v>
      </c>
      <c r="G32" s="13">
        <f>E32+'21'!G32</f>
        <v>398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19</v>
      </c>
      <c r="F33" s="47">
        <v>1353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E35+'21'!F35</f>
        <v>430</v>
      </c>
      <c r="G35" s="33">
        <f>E35+'21'!G35</f>
        <v>430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5</v>
      </c>
      <c r="F36" s="12">
        <f>E36+'21'!F36</f>
        <v>52</v>
      </c>
      <c r="G36" s="13">
        <f>E36+'21'!G36</f>
        <v>52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E37+'21'!F37</f>
        <v>0</v>
      </c>
      <c r="G37" s="48">
        <f>E37+'21'!G37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L40"/>
  <sheetViews>
    <sheetView topLeftCell="C1" zoomScale="80" zoomScaleNormal="80" workbookViewId="0">
      <pane xSplit="2" ySplit="6" topLeftCell="E7" activePane="bottomRight" state="frozen"/>
      <selection pane="topRight"/>
      <selection pane="bottomLeft"/>
      <selection pane="bottomRight" activeCell="E36" sqref="E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'22'!E6+1</f>
        <v>46135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132300</v>
      </c>
      <c r="F7" s="12">
        <f>E7+'22'!F7</f>
        <v>3366300</v>
      </c>
      <c r="G7" s="13">
        <f>E7+'22'!G7</f>
        <v>3366300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17208</v>
      </c>
      <c r="F8" s="12">
        <f>E8+'22'!F8</f>
        <v>394880</v>
      </c>
      <c r="G8" s="13">
        <f>E8+'22'!G8</f>
        <v>394880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115092</v>
      </c>
      <c r="F9" s="12">
        <f>E9+'22'!F9</f>
        <v>2971420</v>
      </c>
      <c r="G9" s="13">
        <f>E9+'22'!G9</f>
        <v>2971420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13.006802721088434</v>
      </c>
      <c r="F10" s="15">
        <f>F8/F7*100</f>
        <v>11.730386477735198</v>
      </c>
      <c r="G10" s="16">
        <f>G8/G7*100</f>
        <v>11.730386477735198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5.5125000000000002</v>
      </c>
      <c r="F11" s="15">
        <f>F7/F12/1000</f>
        <v>6.2961508248232523</v>
      </c>
      <c r="G11" s="16">
        <f>G7/G12/1000</f>
        <v>6.2961508248232523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E12+'22'!F12</f>
        <v>534.66</v>
      </c>
      <c r="G12" s="13">
        <f>E12+'22'!G12</f>
        <v>534.66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55.125</v>
      </c>
      <c r="F13" s="15">
        <f>F11/10*100</f>
        <v>62.961508248232519</v>
      </c>
      <c r="G13" s="16">
        <f>G11/10*100</f>
        <v>62.961508248232519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667</v>
      </c>
      <c r="F14" s="12">
        <f>E14+'22'!F14</f>
        <v>15904</v>
      </c>
      <c r="G14" s="13">
        <f>E14+'22'!G14</f>
        <v>15904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616</v>
      </c>
      <c r="F15" s="12">
        <f>E15+'22'!F15</f>
        <v>15423</v>
      </c>
      <c r="G15" s="13">
        <f>E15+'22'!G15</f>
        <v>15423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0</v>
      </c>
      <c r="F16" s="12">
        <f>E16+'22'!F16</f>
        <v>839</v>
      </c>
      <c r="G16" s="13">
        <f>E16+'22'!G16</f>
        <v>839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537</v>
      </c>
      <c r="F17" s="12">
        <f>E17+'22'!F17</f>
        <v>14031</v>
      </c>
      <c r="G17" s="13">
        <f>E17+'22'!G17</f>
        <v>14031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474</v>
      </c>
      <c r="F18" s="12">
        <f>E18+'22'!F18</f>
        <v>11486</v>
      </c>
      <c r="G18" s="13">
        <f>E18+'22'!G18</f>
        <v>11486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E19+'22'!F19</f>
        <v>402</v>
      </c>
      <c r="G19" s="13">
        <f>E19+'22'!G19</f>
        <v>402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4.0589569160997732</v>
      </c>
      <c r="F20" s="15">
        <f>F17*1000/F7</f>
        <v>4.1680777114339183</v>
      </c>
      <c r="G20" s="16">
        <f>G17*1000/G7</f>
        <v>4.1680777114339183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0.74829931972789121</v>
      </c>
      <c r="F21" s="19">
        <f>F26*1000/F7</f>
        <v>0.87544187980869204</v>
      </c>
      <c r="G21" s="20">
        <f>G26*1000/G7</f>
        <v>0.87544187980869204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2734.8526077097504</v>
      </c>
      <c r="F22" s="21">
        <f t="shared" ref="F22:G22" si="0">((F17*(803-130)+F31*(30))*1000)/F7</f>
        <v>2808.6632207468142</v>
      </c>
      <c r="G22" s="21">
        <f t="shared" si="0"/>
        <v>2808.6632207468142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4017.3653506986839</v>
      </c>
      <c r="F23" s="21">
        <f t="shared" ref="F23:G23" si="1">(F15*(803-130))*1000/(F7*0.78)</f>
        <v>3953.0881885841336</v>
      </c>
      <c r="G23" s="21">
        <f t="shared" si="1"/>
        <v>3953.0881885841336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E24+'22'!F24</f>
        <v>0</v>
      </c>
      <c r="G24" s="48">
        <f>E24+'22'!G24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99</v>
      </c>
      <c r="F26" s="32">
        <f>E26+'22'!F26</f>
        <v>2947</v>
      </c>
      <c r="G26" s="33">
        <f>E26+'22'!G26</f>
        <v>2947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5362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63">
        <v>1</v>
      </c>
      <c r="C30" s="64" t="s">
        <v>35</v>
      </c>
      <c r="D30" s="42" t="s">
        <v>38</v>
      </c>
      <c r="E30" s="32">
        <v>16</v>
      </c>
      <c r="F30" s="32">
        <f>E30+'22'!F30</f>
        <v>385</v>
      </c>
      <c r="G30" s="33">
        <f>E30+'22'!G30</f>
        <v>385</v>
      </c>
    </row>
    <row r="31" spans="2:8" ht="30.95" customHeight="1">
      <c r="B31" s="65">
        <v>2</v>
      </c>
      <c r="C31" s="66" t="s">
        <v>37</v>
      </c>
      <c r="D31" s="43" t="s">
        <v>38</v>
      </c>
      <c r="E31" s="12">
        <v>14</v>
      </c>
      <c r="F31" s="12">
        <f>E31+'22'!F31</f>
        <v>398</v>
      </c>
      <c r="G31" s="13">
        <f>E31+'22'!G31</f>
        <v>398</v>
      </c>
    </row>
    <row r="32" spans="2:8" ht="30.95" customHeight="1">
      <c r="B32" s="65">
        <v>3</v>
      </c>
      <c r="C32" s="66" t="s">
        <v>39</v>
      </c>
      <c r="D32" s="43" t="s">
        <v>38</v>
      </c>
      <c r="E32" s="12">
        <v>18</v>
      </c>
      <c r="F32" s="12">
        <f>E32+'22'!F32</f>
        <v>416</v>
      </c>
      <c r="G32" s="13">
        <f>E32+'22'!G32</f>
        <v>416</v>
      </c>
    </row>
    <row r="33" spans="2:7" ht="30.95" customHeight="1">
      <c r="B33" s="67">
        <v>4</v>
      </c>
      <c r="C33" s="68" t="s">
        <v>40</v>
      </c>
      <c r="D33" s="45" t="s">
        <v>41</v>
      </c>
      <c r="E33" s="46">
        <v>23</v>
      </c>
      <c r="F33" s="47">
        <v>1462</v>
      </c>
      <c r="G33" s="48"/>
    </row>
    <row r="34" spans="2:7" ht="30.95" customHeight="1">
      <c r="B34" s="96"/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E35+'22'!F35</f>
        <v>430</v>
      </c>
      <c r="G35" s="33">
        <f>E35+'22'!G35</f>
        <v>430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E36+'22'!F36</f>
        <v>56</v>
      </c>
      <c r="G36" s="13">
        <f>E36+'22'!G36</f>
        <v>56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E37+'22'!F37</f>
        <v>0</v>
      </c>
      <c r="G37" s="48">
        <f>E37+'22'!G37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L40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E26" sqref="E26"/>
    </sheetView>
  </sheetViews>
  <sheetFormatPr defaultColWidth="9.140625" defaultRowHeight="30.95" customHeight="1"/>
  <cols>
    <col min="1" max="1" width="7" style="1" customWidth="1"/>
    <col min="2" max="2" width="14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'23'!E6+1</f>
        <v>46136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145700</v>
      </c>
      <c r="F7" s="12">
        <f>E7+'23'!F7</f>
        <v>3512000</v>
      </c>
      <c r="G7" s="13">
        <f>E7+'23'!G7</f>
        <v>3512000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17404</v>
      </c>
      <c r="F8" s="12">
        <f>E8+'23'!F8</f>
        <v>412284</v>
      </c>
      <c r="G8" s="13">
        <f>E8+'23'!G8</f>
        <v>412284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128296</v>
      </c>
      <c r="F9" s="12">
        <f>E9+'23'!F9</f>
        <v>3099716</v>
      </c>
      <c r="G9" s="13">
        <f>E9+'23'!G9</f>
        <v>3099716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11.94509265614276</v>
      </c>
      <c r="F10" s="15">
        <f>F8/F7*100</f>
        <v>11.739293849658313</v>
      </c>
      <c r="G10" s="16">
        <f>G8/G7*100</f>
        <v>11.739293849658313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6.0708333333333329</v>
      </c>
      <c r="F11" s="15">
        <f>F7/F12/1000</f>
        <v>6.2864711989403226</v>
      </c>
      <c r="G11" s="16">
        <f>G7/G12/1000</f>
        <v>6.2864711989403226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E12+'23'!F12</f>
        <v>558.66</v>
      </c>
      <c r="G12" s="13">
        <f>E12+'23'!G12</f>
        <v>558.66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60.708333333333329</v>
      </c>
      <c r="F13" s="15">
        <f>F11/10*100</f>
        <v>62.864711989403219</v>
      </c>
      <c r="G13" s="16">
        <f>G11/10*100</f>
        <v>62.864711989403219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695</v>
      </c>
      <c r="F14" s="12">
        <f>E14+'23'!F14</f>
        <v>16599</v>
      </c>
      <c r="G14" s="13">
        <f>E14+'23'!G14</f>
        <v>16599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675</v>
      </c>
      <c r="F15" s="12">
        <f>E15+'23'!F15</f>
        <v>16098</v>
      </c>
      <c r="G15" s="13">
        <f>E15+'23'!G15</f>
        <v>16098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2</v>
      </c>
      <c r="F16" s="12">
        <f>E16+'23'!F16</f>
        <v>841</v>
      </c>
      <c r="G16" s="13">
        <f>E16+'23'!G16</f>
        <v>841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586</v>
      </c>
      <c r="F17" s="12">
        <f>E17+'23'!F17</f>
        <v>14617</v>
      </c>
      <c r="G17" s="13">
        <f>E17+'23'!G17</f>
        <v>14617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516</v>
      </c>
      <c r="F18" s="12">
        <f>E18+'23'!F18</f>
        <v>12002</v>
      </c>
      <c r="G18" s="13">
        <f>E18+'23'!G18</f>
        <v>12002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E19+'23'!F19</f>
        <v>420</v>
      </c>
      <c r="G19" s="13">
        <f>E19+'23'!G19</f>
        <v>420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4.021962937542896</v>
      </c>
      <c r="F20" s="15">
        <f>F17*1000/F7</f>
        <v>4.1620159453302961</v>
      </c>
      <c r="G20" s="16">
        <f>G17*1000/G7</f>
        <v>4.1620159453302961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0.72752230610844204</v>
      </c>
      <c r="F21" s="19">
        <f>F26*1000/F7</f>
        <v>0.86930523917995439</v>
      </c>
      <c r="G21" s="20">
        <f>G26*1000/G7</f>
        <v>0.86930523917995439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2709.8695950583392</v>
      </c>
      <c r="F22" s="21">
        <f t="shared" ref="F22:G22" si="0">((F17*(803-130)+F31*(30))*1000)/F7</f>
        <v>2804.5646355353074</v>
      </c>
      <c r="G22" s="21">
        <f t="shared" si="0"/>
        <v>2804.5646355353074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3997.281030568608</v>
      </c>
      <c r="F23" s="21">
        <f t="shared" ref="F23:G23" si="1">(F15*(803-130))*1000/(F7*0.78)</f>
        <v>3954.9215875240934</v>
      </c>
      <c r="G23" s="21">
        <f t="shared" si="1"/>
        <v>3954.9215875240934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E24+'23'!F24</f>
        <v>0</v>
      </c>
      <c r="G24" s="48">
        <f>E24+'23'!G24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106</v>
      </c>
      <c r="F26" s="32">
        <f>E26+'23'!F26</f>
        <v>3053</v>
      </c>
      <c r="G26" s="33">
        <f>E26+'23'!G26</f>
        <v>3053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5463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14</v>
      </c>
      <c r="F30" s="32">
        <f>E30+'23'!F30</f>
        <v>399</v>
      </c>
      <c r="G30" s="33">
        <f>E30+'23'!G30</f>
        <v>399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E31+'23'!F31</f>
        <v>413</v>
      </c>
      <c r="G31" s="13">
        <f>E31+'23'!G31</f>
        <v>413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f>E32+'23'!F32</f>
        <v>433</v>
      </c>
      <c r="G32" s="13">
        <f>E32+'23'!G32</f>
        <v>433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27</v>
      </c>
      <c r="F33" s="61">
        <v>2209</v>
      </c>
      <c r="G33" s="62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E35+'23'!F35</f>
        <v>430</v>
      </c>
      <c r="G35" s="33">
        <f>E35+'23'!G35</f>
        <v>430</v>
      </c>
    </row>
    <row r="36" spans="2:7" ht="30.95" customHeight="1">
      <c r="B36" s="52">
        <v>6</v>
      </c>
      <c r="C36" s="53" t="s">
        <v>47</v>
      </c>
      <c r="D36" s="54" t="s">
        <v>43</v>
      </c>
      <c r="E36" s="55">
        <v>4</v>
      </c>
      <c r="F36" s="12">
        <f>E36+'23'!F36</f>
        <v>60</v>
      </c>
      <c r="G36" s="13">
        <f>E36+'23'!G36</f>
        <v>60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E37+'23'!F37</f>
        <v>0</v>
      </c>
      <c r="G37" s="48">
        <f>E37+'23'!G37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L39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F19" sqref="F19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'24'!E6+1</f>
        <v>46137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155800</v>
      </c>
      <c r="F7" s="12">
        <f>E7+'24'!F7</f>
        <v>3667800</v>
      </c>
      <c r="G7" s="13">
        <f>E7+'24'!G7</f>
        <v>3667800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17634</v>
      </c>
      <c r="F8" s="12">
        <f>E8+'24'!F8</f>
        <v>429918</v>
      </c>
      <c r="G8" s="13">
        <f>E8+'24'!G8</f>
        <v>429918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138166</v>
      </c>
      <c r="F9" s="12">
        <f>E9+'24'!F9</f>
        <v>3237882</v>
      </c>
      <c r="G9" s="13">
        <f>E9+'24'!G9</f>
        <v>3237882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11.318356867779205</v>
      </c>
      <c r="F10" s="15">
        <f>F8/F7*100</f>
        <v>11.721413381318502</v>
      </c>
      <c r="G10" s="16">
        <f>G8/G7*100</f>
        <v>11.721413381318502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6.4916666666666671</v>
      </c>
      <c r="F11" s="15">
        <f>F7/F12/1000</f>
        <v>6.2949232828750903</v>
      </c>
      <c r="G11" s="16">
        <f>G7/G12/1000</f>
        <v>6.2949232828750903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E12+'24'!F12</f>
        <v>582.66</v>
      </c>
      <c r="G12" s="13">
        <f>E12+'24'!G12</f>
        <v>582.66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64.916666666666671</v>
      </c>
      <c r="F13" s="15">
        <f>F11/10*100</f>
        <v>62.949232828750901</v>
      </c>
      <c r="G13" s="16">
        <f>G11/10*100</f>
        <v>62.949232828750901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722</v>
      </c>
      <c r="F14" s="12">
        <f>E14+'24'!F14</f>
        <v>17321</v>
      </c>
      <c r="G14" s="13">
        <f>E14+'24'!G14</f>
        <v>17321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709</v>
      </c>
      <c r="F15" s="12">
        <f>E15+'24'!F15</f>
        <v>16807</v>
      </c>
      <c r="G15" s="13">
        <f>E15+'24'!G15</f>
        <v>16807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43</v>
      </c>
      <c r="F16" s="12">
        <f>E16+'24'!F16</f>
        <v>884</v>
      </c>
      <c r="G16" s="13">
        <f>E16+'24'!G16</f>
        <v>884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637</v>
      </c>
      <c r="F17" s="12">
        <f>E17+'24'!F17</f>
        <v>15254</v>
      </c>
      <c r="G17" s="13">
        <f>E17+'24'!G17</f>
        <v>15254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511</v>
      </c>
      <c r="F18" s="12">
        <f>E18+'24'!F18</f>
        <v>12513</v>
      </c>
      <c r="G18" s="13">
        <f>E18+'24'!G18</f>
        <v>12513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E19+'24'!F19</f>
        <v>438</v>
      </c>
      <c r="G19" s="13">
        <f>E19+'24'!G19</f>
        <v>438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4.0885750962772782</v>
      </c>
      <c r="F20" s="15">
        <f>F17*1000/F7</f>
        <v>4.158896341130923</v>
      </c>
      <c r="G20" s="16">
        <f>G17*1000/G7</f>
        <v>4.158896341130923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0.82798459563543003</v>
      </c>
      <c r="F21" s="19">
        <f>F26*1000/F7</f>
        <v>0.86755002999073016</v>
      </c>
      <c r="G21" s="20">
        <f>G26*1000/G7</f>
        <v>0.86755002999073016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2754.1142490372272</v>
      </c>
      <c r="F22" s="21">
        <f t="shared" ref="F22:G22" si="0">((F17*(803-130)+F31*(30))*1000)/F7</f>
        <v>2802.4216151371393</v>
      </c>
      <c r="G22" s="21">
        <f t="shared" si="0"/>
        <v>2802.4216151371393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3926.4425134129883</v>
      </c>
      <c r="F23" s="21">
        <f t="shared" ref="F23:G23" si="1">(F15*(803-130))*1000/(F7*0.78)</f>
        <v>3953.7118596909208</v>
      </c>
      <c r="G23" s="21">
        <f t="shared" si="1"/>
        <v>3953.7118596909208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E24+'24'!F24</f>
        <v>0</v>
      </c>
      <c r="G24" s="48">
        <f>E24+'24'!G24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129</v>
      </c>
      <c r="F26" s="32">
        <f>E26+'24'!F26</f>
        <v>3182</v>
      </c>
      <c r="G26" s="33">
        <f>E26+'24'!G26</f>
        <v>3182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4730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14</v>
      </c>
      <c r="F30" s="32">
        <f>E30+'24'!F30</f>
        <v>413</v>
      </c>
      <c r="G30" s="33">
        <f>E30+'24'!G30</f>
        <v>413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13</v>
      </c>
      <c r="F31" s="12">
        <f>E31+'24'!F31</f>
        <v>426</v>
      </c>
      <c r="G31" s="13">
        <f>E31+'24'!G31</f>
        <v>426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f>E32+'24'!F32</f>
        <v>450</v>
      </c>
      <c r="G32" s="13">
        <f>E32+'24'!G32</f>
        <v>450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24</v>
      </c>
      <c r="F33" s="47">
        <v>1827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0</v>
      </c>
      <c r="F35" s="32">
        <f>E35+'24'!F35</f>
        <v>430</v>
      </c>
      <c r="G35" s="33">
        <f>E35+'24'!G35</f>
        <v>430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3</v>
      </c>
      <c r="F36" s="12">
        <f>E36+'24'!F36</f>
        <v>63</v>
      </c>
      <c r="G36" s="13">
        <f>E36+'24'!G36</f>
        <v>63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E37+'24'!F37</f>
        <v>0</v>
      </c>
      <c r="G37" s="48">
        <f>E37+'24'!G37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L39"/>
  <sheetViews>
    <sheetView topLeftCell="B1" zoomScale="80" zoomScaleNormal="80" workbookViewId="0">
      <pane xSplit="3" ySplit="6" topLeftCell="E7" activePane="bottomRight" state="frozen"/>
      <selection pane="topRight"/>
      <selection pane="bottomLeft"/>
      <selection pane="bottomRight" activeCell="E38" sqref="E38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'25'!E6+1</f>
        <v>46138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162100</v>
      </c>
      <c r="F7" s="12">
        <f>E7+'25'!F7</f>
        <v>3829900</v>
      </c>
      <c r="G7" s="13">
        <f>E7+'25'!G7</f>
        <v>3829900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17423</v>
      </c>
      <c r="F8" s="12">
        <f>E8+'25'!F8</f>
        <v>447341</v>
      </c>
      <c r="G8" s="13">
        <f>E8+'25'!G8</f>
        <v>447341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144677</v>
      </c>
      <c r="F9" s="12">
        <f>E9+'25'!F9</f>
        <v>3382559</v>
      </c>
      <c r="G9" s="13">
        <f>E9+'25'!G9</f>
        <v>3382559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10.748303516347933</v>
      </c>
      <c r="F10" s="15">
        <f>F8/F7*100</f>
        <v>11.680226637771222</v>
      </c>
      <c r="G10" s="16">
        <f>G8/G7*100</f>
        <v>11.680226637771222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6.7541666666666673</v>
      </c>
      <c r="F11" s="15">
        <f>F7/F12/1000</f>
        <v>6.3130913526522274</v>
      </c>
      <c r="G11" s="16">
        <f>G7/G12/1000</f>
        <v>6.3130913526522274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E12+'25'!F12</f>
        <v>606.66</v>
      </c>
      <c r="G12" s="13">
        <f>E12+'25'!G12</f>
        <v>606.66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67.541666666666671</v>
      </c>
      <c r="F13" s="15">
        <f>F11/10*100</f>
        <v>63.130913526522271</v>
      </c>
      <c r="G13" s="16">
        <f>G11/10*100</f>
        <v>63.130913526522271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744</v>
      </c>
      <c r="F14" s="12">
        <f>E14+'25'!F14</f>
        <v>18065</v>
      </c>
      <c r="G14" s="13">
        <f>E14+'25'!G14</f>
        <v>18065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731</v>
      </c>
      <c r="F15" s="12">
        <f>E15+'25'!F15</f>
        <v>17538</v>
      </c>
      <c r="G15" s="13">
        <f>E15+'25'!G15</f>
        <v>17538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12">
        <f>E16+'25'!F16</f>
        <v>945</v>
      </c>
      <c r="G16" s="13">
        <f>E16+'25'!G16</f>
        <v>945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675</v>
      </c>
      <c r="F17" s="12">
        <f>E17+'25'!F17</f>
        <v>15929</v>
      </c>
      <c r="G17" s="13">
        <f>E17+'25'!G17</f>
        <v>15929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525</v>
      </c>
      <c r="F18" s="12">
        <f>E18+'25'!F18</f>
        <v>13038</v>
      </c>
      <c r="G18" s="13">
        <f>E18+'25'!G18</f>
        <v>13038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E19+'25'!F19</f>
        <v>455</v>
      </c>
      <c r="G19" s="13">
        <f>E19+'25'!G19</f>
        <v>455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4.1640962368908081</v>
      </c>
      <c r="F20" s="15">
        <f>F17*1000/F7</f>
        <v>4.1591164260163449</v>
      </c>
      <c r="G20" s="16">
        <f>G17*1000/G7</f>
        <v>4.1591164260163449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0.86366440468846395</v>
      </c>
      <c r="F21" s="19">
        <f>F26*1000/F7</f>
        <v>0.86738557142484141</v>
      </c>
      <c r="G21" s="20">
        <f>G26*1000/G7</f>
        <v>0.86738557142484141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2805.2128315854411</v>
      </c>
      <c r="F22" s="21">
        <f t="shared" ref="F22:G22" si="0">((F17*(803-130)+F31*(30))*1000)/F7</f>
        <v>2802.539752996162</v>
      </c>
      <c r="G22" s="21">
        <f t="shared" si="0"/>
        <v>2802.539752996162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3890.9425963713443</v>
      </c>
      <c r="F23" s="21">
        <f t="shared" ref="F23:G23" si="1">(F15*(803-130))*1000/(F7*0.78)</f>
        <v>3951.0551591023668</v>
      </c>
      <c r="G23" s="21">
        <f t="shared" si="1"/>
        <v>3951.0551591023668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E24+'25'!F24</f>
        <v>0</v>
      </c>
      <c r="G24" s="48">
        <f>E24+'25'!G24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140</v>
      </c>
      <c r="F26" s="32">
        <f>E26+'25'!F26</f>
        <v>3322</v>
      </c>
      <c r="G26" s="33">
        <f>E26+'25'!G26</f>
        <v>3322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4501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3" t="s">
        <v>38</v>
      </c>
      <c r="E30" s="32">
        <v>16</v>
      </c>
      <c r="F30" s="32">
        <f>E30+'25'!F30</f>
        <v>429</v>
      </c>
      <c r="G30" s="33">
        <f>E30+'25'!G30</f>
        <v>429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15</v>
      </c>
      <c r="F31" s="12">
        <f>E31+'25'!F31</f>
        <v>441</v>
      </c>
      <c r="G31" s="13">
        <f>E31+'25'!G31</f>
        <v>441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17</v>
      </c>
      <c r="F32" s="12">
        <f>E32+'25'!F32</f>
        <v>467</v>
      </c>
      <c r="G32" s="13">
        <f>E32+'25'!G32</f>
        <v>467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18.600000000000001</v>
      </c>
      <c r="F33" s="47">
        <v>1414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39</v>
      </c>
      <c r="F35" s="32">
        <f>E35+'25'!F35</f>
        <v>469</v>
      </c>
      <c r="G35" s="33">
        <f>E35+'25'!G35</f>
        <v>469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1</v>
      </c>
      <c r="F36" s="12">
        <f>E36+'25'!F36</f>
        <v>64</v>
      </c>
      <c r="G36" s="13">
        <f>E36+'25'!G36</f>
        <v>64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E37+'25'!F37</f>
        <v>0</v>
      </c>
      <c r="G37" s="48">
        <f>E37+'25'!G37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L39"/>
  <sheetViews>
    <sheetView zoomScale="80" zoomScaleNormal="80" workbookViewId="0">
      <pane xSplit="4" ySplit="6" topLeftCell="E19" activePane="bottomRight" state="frozen"/>
      <selection pane="topRight"/>
      <selection pane="bottomLeft"/>
      <selection pane="bottomRight" activeCell="B34" sqref="B34:G34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29" t="s">
        <v>1</v>
      </c>
      <c r="C6" s="7" t="s">
        <v>2</v>
      </c>
      <c r="D6" s="42" t="s">
        <v>3</v>
      </c>
      <c r="E6" s="8">
        <f>'26'!E6+1</f>
        <v>46139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164500</v>
      </c>
      <c r="F7" s="12">
        <f>E7+'26'!F7</f>
        <v>3994400</v>
      </c>
      <c r="G7" s="13">
        <f>E7+'26'!G7</f>
        <v>3994400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17536</v>
      </c>
      <c r="F8" s="12">
        <f>E8+'26'!F8</f>
        <v>464877</v>
      </c>
      <c r="G8" s="13">
        <f>E8+'26'!G8</f>
        <v>464877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146964</v>
      </c>
      <c r="F9" s="12">
        <f>E9+'26'!F9</f>
        <v>3529523</v>
      </c>
      <c r="G9" s="13">
        <f>E9+'26'!G9</f>
        <v>3529523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10.660182370820669</v>
      </c>
      <c r="F10" s="15">
        <f>F8/F7*100</f>
        <v>11.63821850590827</v>
      </c>
      <c r="G10" s="16">
        <f>G8/G7*100</f>
        <v>11.63821850590827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6.854166666666667</v>
      </c>
      <c r="F11" s="15">
        <f>F7/F12/1000</f>
        <v>6.3336821742301721</v>
      </c>
      <c r="G11" s="16">
        <f>G7/G12/1000</f>
        <v>6.3336821742301721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E12+'26'!F12</f>
        <v>630.66</v>
      </c>
      <c r="G12" s="13">
        <f>E12+'26'!G12</f>
        <v>630.66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68.541666666666671</v>
      </c>
      <c r="F13" s="15">
        <f>F11/10*100</f>
        <v>63.336821742301716</v>
      </c>
      <c r="G13" s="16">
        <f>G11/10*100</f>
        <v>63.336821742301716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755</v>
      </c>
      <c r="F14" s="12">
        <f>E14+'26'!F14</f>
        <v>18820</v>
      </c>
      <c r="G14" s="13">
        <f>E14+'26'!G14</f>
        <v>18820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739</v>
      </c>
      <c r="F15" s="12">
        <f>E15+'26'!F15</f>
        <v>18277</v>
      </c>
      <c r="G15" s="13">
        <f>E15+'26'!G15</f>
        <v>18277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63</v>
      </c>
      <c r="F16" s="12">
        <f>E16+'26'!F16</f>
        <v>1008</v>
      </c>
      <c r="G16" s="13">
        <f>E16+'26'!G16</f>
        <v>1008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682</v>
      </c>
      <c r="F17" s="12">
        <f>E17+'26'!F17</f>
        <v>16611</v>
      </c>
      <c r="G17" s="13">
        <f>E17+'26'!G17</f>
        <v>16611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533</v>
      </c>
      <c r="F18" s="12">
        <f>E18+'26'!F18</f>
        <v>13571</v>
      </c>
      <c r="G18" s="13">
        <f>E18+'26'!G18</f>
        <v>13571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18</v>
      </c>
      <c r="F19" s="12">
        <f>E19+'26'!F19</f>
        <v>473</v>
      </c>
      <c r="G19" s="13">
        <f>E19+'26'!G19</f>
        <v>473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4.145896656534954</v>
      </c>
      <c r="F20" s="15">
        <f>F17*1000/F7</f>
        <v>4.1585720008011213</v>
      </c>
      <c r="G20" s="16">
        <f>G17*1000/G7</f>
        <v>4.1585720008011213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0.83890577507598785</v>
      </c>
      <c r="F21" s="19">
        <f>F26*1000/F7</f>
        <v>0.8662126977768877</v>
      </c>
      <c r="G21" s="20">
        <f>G26*1000/G7</f>
        <v>0.8662126977768877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2793.4711246200609</v>
      </c>
      <c r="F22" s="21">
        <f t="shared" ref="F22:G22" si="0">((F17*(803-130)+F31*(30))*1000)/F7</f>
        <v>2802.1662827959144</v>
      </c>
      <c r="G22" s="21">
        <f t="shared" si="0"/>
        <v>2802.1662827959144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3876.1359208167719</v>
      </c>
      <c r="F23" s="21">
        <f t="shared" ref="F23:G23" si="1">(F15*(803-130))*1000/(F7*0.78)</f>
        <v>3947.9697859053958</v>
      </c>
      <c r="G23" s="21">
        <f t="shared" si="1"/>
        <v>3947.9697859053958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E24+'26'!F24</f>
        <v>0</v>
      </c>
      <c r="G24" s="48">
        <f>E24+'26'!G24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E26+'26'!F26</f>
        <v>3460</v>
      </c>
      <c r="G26" s="33">
        <f>E26+'26'!G26</f>
        <v>3460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4605</v>
      </c>
      <c r="F27" s="36">
        <v>0</v>
      </c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3" t="s">
        <v>38</v>
      </c>
      <c r="E30" s="32">
        <v>17</v>
      </c>
      <c r="F30" s="32">
        <f>E30+'26'!F30</f>
        <v>446</v>
      </c>
      <c r="G30" s="33">
        <f>E30+'26'!G30</f>
        <v>446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18</v>
      </c>
      <c r="F31" s="12">
        <f>E31+'26'!F31</f>
        <v>459</v>
      </c>
      <c r="G31" s="13">
        <f>E31+'26'!G31</f>
        <v>459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E32+'26'!F32</f>
        <v>485</v>
      </c>
      <c r="G32" s="13">
        <f>E32+'26'!G32</f>
        <v>485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20</v>
      </c>
      <c r="F33" s="47">
        <v>1459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47</v>
      </c>
      <c r="F35" s="32">
        <f>E35+'26'!F35</f>
        <v>516</v>
      </c>
      <c r="G35" s="33">
        <f>E35+'26'!G35</f>
        <v>516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E36+'26'!F36</f>
        <v>64</v>
      </c>
      <c r="G36" s="13">
        <f>E36+'26'!G36</f>
        <v>64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E37+'26'!F37</f>
        <v>0</v>
      </c>
      <c r="G37" s="48">
        <f>E37+'26'!G37</f>
        <v>0</v>
      </c>
    </row>
    <row r="38" spans="2:7" ht="30.95" customHeight="1">
      <c r="D38" s="1"/>
    </row>
    <row r="39" spans="2:7" ht="30.95" customHeight="1">
      <c r="D39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37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F41" sqref="F41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'27'!E6+1</f>
        <v>46140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162600</v>
      </c>
      <c r="F7" s="12">
        <f>E7+'27'!F7</f>
        <v>4157000</v>
      </c>
      <c r="G7" s="13">
        <f>E7+'27'!G7</f>
        <v>4157000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17389</v>
      </c>
      <c r="F8" s="12">
        <f>E8+'27'!F8</f>
        <v>482266</v>
      </c>
      <c r="G8" s="13">
        <f>E8+'27'!G8</f>
        <v>482266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145211</v>
      </c>
      <c r="F9" s="12">
        <f>E9+'27'!F9</f>
        <v>3674734</v>
      </c>
      <c r="G9" s="13">
        <f>E9+'27'!G9</f>
        <v>3674734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10.694341943419435</v>
      </c>
      <c r="F10" s="15">
        <f>F8/F7*100</f>
        <v>11.601299013711811</v>
      </c>
      <c r="G10" s="16">
        <f>G8/G7*100</f>
        <v>11.601299013711811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6.7750000000000004</v>
      </c>
      <c r="F11" s="15">
        <f>F7/F12/1000</f>
        <v>6.3498609965478261</v>
      </c>
      <c r="G11" s="16">
        <f>G7/G12/1000</f>
        <v>6.3498609965478261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E12+'27'!F12</f>
        <v>654.66</v>
      </c>
      <c r="G12" s="13">
        <f>E12+'27'!G12</f>
        <v>654.66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67.75</v>
      </c>
      <c r="F13" s="15">
        <f>F11/10*100</f>
        <v>63.498609965478259</v>
      </c>
      <c r="G13" s="16">
        <f>G11/10*100</f>
        <v>63.498609965478259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752</v>
      </c>
      <c r="F14" s="12">
        <f>E14+'27'!F14</f>
        <v>19572</v>
      </c>
      <c r="G14" s="13">
        <f>E14+'27'!G14</f>
        <v>19572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731</v>
      </c>
      <c r="F15" s="12">
        <f>E15+'27'!F15</f>
        <v>19008</v>
      </c>
      <c r="G15" s="13">
        <f>E15+'27'!G15</f>
        <v>19008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12">
        <f>E16+'27'!F16</f>
        <v>1069</v>
      </c>
      <c r="G16" s="13">
        <f>E16+'27'!G16</f>
        <v>1069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680</v>
      </c>
      <c r="F17" s="12">
        <f>E17+'27'!F17</f>
        <v>17291</v>
      </c>
      <c r="G17" s="13">
        <f>E17+'27'!G17</f>
        <v>17291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531</v>
      </c>
      <c r="F18" s="12">
        <f>E18+'27'!F18</f>
        <v>14102</v>
      </c>
      <c r="G18" s="13">
        <f>E18+'27'!G18</f>
        <v>14102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E19+'27'!F19</f>
        <v>492</v>
      </c>
      <c r="G19" s="13">
        <f>E19+'27'!G19</f>
        <v>492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4.1820418204182044</v>
      </c>
      <c r="F20" s="15">
        <f>F17*1000/F7</f>
        <v>4.1594900168390669</v>
      </c>
      <c r="G20" s="16">
        <f>G17*1000/G7</f>
        <v>4.1594900168390669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0.86100861008610086</v>
      </c>
      <c r="F21" s="19">
        <f>F26*1000/F7</f>
        <v>0.86600914120760164</v>
      </c>
      <c r="G21" s="20">
        <f>G26*1000/G7</f>
        <v>0.86600914120760164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2817.8351783517837</v>
      </c>
      <c r="F22" s="21">
        <f t="shared" ref="F22:G22" si="0">((F17*(803-130)+F31*(30))*1000)/F7</f>
        <v>2802.7791676689922</v>
      </c>
      <c r="G22" s="21">
        <f t="shared" si="0"/>
        <v>2802.7791676689922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3878.9778282398211</v>
      </c>
      <c r="F23" s="21">
        <f t="shared" ref="F23:G23" si="1">(F15*(803-130))*1000/(F7*0.78)</f>
        <v>3945.2711829906921</v>
      </c>
      <c r="G23" s="21">
        <f t="shared" si="1"/>
        <v>3945.2711829906921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E24+'27'!F24</f>
        <v>0</v>
      </c>
      <c r="G24" s="48">
        <f>E24+'27'!G24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140</v>
      </c>
      <c r="F26" s="32">
        <f>E26+'27'!F26</f>
        <v>3600</v>
      </c>
      <c r="G26" s="33">
        <f>E26+'27'!G26</f>
        <v>3600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4470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20</v>
      </c>
      <c r="F30" s="32">
        <f>E30+'27'!F30</f>
        <v>466</v>
      </c>
      <c r="G30" s="33">
        <f>E30+'27'!G30</f>
        <v>466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18</v>
      </c>
      <c r="F31" s="12">
        <f>E31+'27'!F31</f>
        <v>477</v>
      </c>
      <c r="G31" s="13">
        <f>E31+'27'!G31</f>
        <v>477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16</v>
      </c>
      <c r="F32" s="12">
        <f>E32+'27'!F32</f>
        <v>501</v>
      </c>
      <c r="G32" s="13">
        <f>E32+'27'!G32</f>
        <v>501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21</v>
      </c>
      <c r="F33" s="47">
        <v>1548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25</v>
      </c>
      <c r="F35" s="32">
        <f>E35+'27'!F35</f>
        <v>541</v>
      </c>
      <c r="G35" s="33">
        <f>E35+'27'!G35</f>
        <v>541</v>
      </c>
    </row>
    <row r="36" spans="2:7" ht="30.95" customHeight="1">
      <c r="B36" s="59">
        <v>6</v>
      </c>
      <c r="C36" s="53" t="s">
        <v>50</v>
      </c>
      <c r="D36" s="54" t="s">
        <v>43</v>
      </c>
      <c r="E36" s="60">
        <v>2</v>
      </c>
      <c r="F36" s="12">
        <f>E36+'27'!F36</f>
        <v>66</v>
      </c>
      <c r="G36" s="13">
        <f>E36+'27'!G36</f>
        <v>66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E37+'27'!F37</f>
        <v>0</v>
      </c>
      <c r="G37" s="48">
        <f>E37+'27'!G37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E35" sqref="E35:G36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'28'!E6+1</f>
        <v>46141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166500</v>
      </c>
      <c r="F7" s="12">
        <f>E7+'28'!F7</f>
        <v>4323500</v>
      </c>
      <c r="G7" s="13">
        <f>E7+'28'!G7</f>
        <v>4323500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17707</v>
      </c>
      <c r="F8" s="12">
        <f>E8+'28'!F8</f>
        <v>499973</v>
      </c>
      <c r="G8" s="13">
        <f>E8+'28'!G8</f>
        <v>499973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148793</v>
      </c>
      <c r="F9" s="12">
        <f>E9+'28'!F9</f>
        <v>3823527</v>
      </c>
      <c r="G9" s="13">
        <f>E9+'28'!G9</f>
        <v>3823527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10.634834834834834</v>
      </c>
      <c r="F10" s="15">
        <f>F8/F7*100</f>
        <v>11.564080027755292</v>
      </c>
      <c r="G10" s="16">
        <f>G8/G7*100</f>
        <v>11.564080027755292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6.9375</v>
      </c>
      <c r="F11" s="15">
        <f>F7/F12/1000</f>
        <v>6.3706421477617656</v>
      </c>
      <c r="G11" s="16">
        <f>G7/G12/1000</f>
        <v>6.3706421477617656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E12+'28'!F12</f>
        <v>678.66</v>
      </c>
      <c r="G12" s="13">
        <f>E12+'28'!G12</f>
        <v>678.66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69.375</v>
      </c>
      <c r="F13" s="15">
        <f>F11/10*100</f>
        <v>63.70642147761766</v>
      </c>
      <c r="G13" s="16">
        <f>G11/10*100</f>
        <v>63.70642147761766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765</v>
      </c>
      <c r="F14" s="12">
        <f>E14+'28'!F14</f>
        <v>20337</v>
      </c>
      <c r="G14" s="13">
        <f>E14+'28'!G14</f>
        <v>20337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746</v>
      </c>
      <c r="F15" s="12">
        <f>E15+'28'!F15</f>
        <v>19754</v>
      </c>
      <c r="G15" s="13">
        <f>E15+'28'!G15</f>
        <v>19754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62</v>
      </c>
      <c r="F16" s="12">
        <f>E16+'28'!F16</f>
        <v>1131</v>
      </c>
      <c r="G16" s="13">
        <f>E16+'28'!G16</f>
        <v>1131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693</v>
      </c>
      <c r="F17" s="12">
        <f>E17+'28'!F17</f>
        <v>17984</v>
      </c>
      <c r="G17" s="13">
        <f>E17+'28'!G17</f>
        <v>17984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541</v>
      </c>
      <c r="F18" s="12">
        <f>E18+'28'!F18</f>
        <v>14643</v>
      </c>
      <c r="G18" s="13">
        <f>E18+'28'!G18</f>
        <v>14643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19</v>
      </c>
      <c r="F19" s="12">
        <f>E19+'28'!F19</f>
        <v>511</v>
      </c>
      <c r="G19" s="13">
        <f>E19+'28'!G19</f>
        <v>511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4.1621621621621623</v>
      </c>
      <c r="F20" s="15">
        <f>F17*1000/F7</f>
        <v>4.159592922400833</v>
      </c>
      <c r="G20" s="16">
        <f>G17*1000/G7</f>
        <v>4.159592922400833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0.8288288288288288</v>
      </c>
      <c r="F21" s="19">
        <f>F26*1000/F7</f>
        <v>0.86457731004972826</v>
      </c>
      <c r="G21" s="20">
        <f>G26*1000/G7</f>
        <v>0.86457731004972826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2803.6576576576576</v>
      </c>
      <c r="F22" s="21">
        <f t="shared" ref="F22:G22" si="0">((F17*(803-130)+F31*(30))*1000)/F7</f>
        <v>2802.8129987278826</v>
      </c>
      <c r="G22" s="21">
        <f t="shared" si="0"/>
        <v>2802.8129987278826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3865.8504658504658</v>
      </c>
      <c r="F23" s="21">
        <f t="shared" ref="F23:G23" si="1">(F15*(803-130))*1000/(F7*0.78)</f>
        <v>3942.2126541589942</v>
      </c>
      <c r="G23" s="21">
        <f t="shared" si="1"/>
        <v>3942.2126541589942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E24+'28'!F24</f>
        <v>0</v>
      </c>
      <c r="G24" s="27">
        <f>E24+'28'!G24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138</v>
      </c>
      <c r="F26" s="32">
        <f>E26+'28'!F26</f>
        <v>3738</v>
      </c>
      <c r="G26" s="33">
        <f>E26+'28'!G26</f>
        <v>3738</v>
      </c>
    </row>
    <row r="27" spans="2:8" ht="30.95" customHeight="1">
      <c r="B27" s="34">
        <v>2</v>
      </c>
      <c r="C27" s="10" t="s">
        <v>32</v>
      </c>
      <c r="D27" s="11" t="s">
        <v>33</v>
      </c>
      <c r="E27" s="12">
        <v>4651</v>
      </c>
      <c r="F27" s="36">
        <v>0</v>
      </c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11</v>
      </c>
      <c r="F30" s="32">
        <f>E30+'28'!F30</f>
        <v>477</v>
      </c>
      <c r="G30" s="33">
        <f>E30+'28'!G30</f>
        <v>477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E31+'28'!F31</f>
        <v>491</v>
      </c>
      <c r="G31" s="13">
        <f>E31+'28'!G31</f>
        <v>491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19</v>
      </c>
      <c r="F32" s="12">
        <f>E32+'28'!F32</f>
        <v>520</v>
      </c>
      <c r="G32" s="13">
        <f>E32+'28'!G32</f>
        <v>520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23</v>
      </c>
      <c r="F33" s="47">
        <v>1520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54</v>
      </c>
      <c r="F35" s="32">
        <f>E35+'28'!F35</f>
        <v>595</v>
      </c>
      <c r="G35" s="33">
        <f>E35+'28'!G35</f>
        <v>595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E36+'28'!F36</f>
        <v>66</v>
      </c>
      <c r="G36" s="13">
        <f>E36+'28'!G36</f>
        <v>66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E37+'28'!F37</f>
        <v>0</v>
      </c>
      <c r="G37" s="48">
        <f>E37+'28'!G37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scale="43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L40"/>
  <sheetViews>
    <sheetView zoomScale="80" zoomScaleNormal="80" workbookViewId="0">
      <pane xSplit="4" ySplit="6" topLeftCell="E7" activePane="bottomRight" state="frozen"/>
      <selection pane="topRight"/>
      <selection pane="bottomLeft"/>
      <selection pane="bottomRight" activeCell="F33" sqref="F33"/>
    </sheetView>
  </sheetViews>
  <sheetFormatPr defaultColWidth="9.140625" defaultRowHeight="30.95" customHeight="1"/>
  <cols>
    <col min="1" max="1" width="7" style="1" customWidth="1"/>
    <col min="2" max="2" width="11.7109375" style="1" customWidth="1"/>
    <col min="3" max="3" width="46.42578125" style="1" customWidth="1"/>
    <col min="4" max="4" width="16.140625" style="2" customWidth="1"/>
    <col min="5" max="5" width="34.5703125" style="1" customWidth="1"/>
    <col min="6" max="7" width="41" style="1" customWidth="1"/>
    <col min="8" max="8" width="9.140625" style="1"/>
    <col min="9" max="9" width="9.42578125" style="1" customWidth="1"/>
    <col min="10" max="10" width="9.140625" style="1"/>
    <col min="11" max="11" width="18.140625" style="1" customWidth="1"/>
    <col min="12" max="16384" width="9.140625" style="1"/>
  </cols>
  <sheetData>
    <row r="2" spans="1:12" ht="36.75" customHeight="1">
      <c r="A2" s="3"/>
      <c r="B2" s="99"/>
      <c r="C2" s="99"/>
      <c r="D2" s="99"/>
      <c r="E2" s="99"/>
      <c r="F2" s="99"/>
      <c r="G2" s="99"/>
      <c r="H2" s="3"/>
      <c r="I2" s="3"/>
      <c r="J2" s="3"/>
      <c r="K2" s="3"/>
      <c r="L2" s="3"/>
    </row>
    <row r="3" spans="1:12" ht="36.75" customHeight="1">
      <c r="B3" s="100" t="s">
        <v>0</v>
      </c>
      <c r="C3" s="100"/>
      <c r="D3" s="100"/>
      <c r="E3" s="100"/>
      <c r="F3" s="100"/>
      <c r="G3" s="100"/>
      <c r="H3" s="4"/>
      <c r="I3" s="4"/>
      <c r="J3" s="4"/>
      <c r="K3" s="4"/>
      <c r="L3" s="3"/>
    </row>
    <row r="4" spans="1:12" ht="30.95" customHeight="1">
      <c r="B4" s="101" t="s">
        <v>51</v>
      </c>
      <c r="C4" s="101"/>
      <c r="D4" s="101"/>
      <c r="E4" s="101"/>
      <c r="F4" s="101"/>
      <c r="G4" s="101"/>
      <c r="H4" s="4"/>
      <c r="I4" s="4"/>
      <c r="J4" s="4"/>
      <c r="K4" s="4"/>
      <c r="L4" s="3"/>
    </row>
    <row r="5" spans="1:12" ht="30.95" customHeight="1">
      <c r="A5" s="5"/>
      <c r="B5" s="5"/>
      <c r="C5" s="5"/>
      <c r="D5" s="5"/>
      <c r="E5" s="5"/>
      <c r="F5" s="5"/>
      <c r="G5" s="5"/>
      <c r="H5" s="5"/>
      <c r="I5" s="5"/>
      <c r="J5" s="4"/>
      <c r="K5" s="4"/>
      <c r="L5" s="3"/>
    </row>
    <row r="6" spans="1:12" ht="30.95" customHeight="1">
      <c r="B6" s="6" t="s">
        <v>1</v>
      </c>
      <c r="C6" s="7" t="s">
        <v>2</v>
      </c>
      <c r="D6" s="7" t="s">
        <v>3</v>
      </c>
      <c r="E6" s="8">
        <f>'29'!E6+1</f>
        <v>46142</v>
      </c>
      <c r="F6" s="7" t="s">
        <v>4</v>
      </c>
      <c r="G6" s="92" t="s">
        <v>52</v>
      </c>
    </row>
    <row r="7" spans="1:12" ht="30.95" customHeight="1">
      <c r="B7" s="9">
        <v>1</v>
      </c>
      <c r="C7" s="10" t="s">
        <v>5</v>
      </c>
      <c r="D7" s="11" t="s">
        <v>6</v>
      </c>
      <c r="E7" s="12">
        <v>165800</v>
      </c>
      <c r="F7" s="12">
        <f>E7+'29'!F7</f>
        <v>4489300</v>
      </c>
      <c r="G7" s="13">
        <f>E7+'29'!G7</f>
        <v>4489300</v>
      </c>
    </row>
    <row r="8" spans="1:12" ht="30.95" customHeight="1">
      <c r="B8" s="9">
        <v>2</v>
      </c>
      <c r="C8" s="10" t="s">
        <v>7</v>
      </c>
      <c r="D8" s="11" t="s">
        <v>6</v>
      </c>
      <c r="E8" s="12">
        <v>17741</v>
      </c>
      <c r="F8" s="12">
        <f>E8+'29'!F8</f>
        <v>517714</v>
      </c>
      <c r="G8" s="13">
        <f>E8+'29'!G8</f>
        <v>517714</v>
      </c>
    </row>
    <row r="9" spans="1:12" ht="30.95" customHeight="1">
      <c r="B9" s="9">
        <v>3</v>
      </c>
      <c r="C9" s="10" t="s">
        <v>8</v>
      </c>
      <c r="D9" s="11" t="s">
        <v>6</v>
      </c>
      <c r="E9" s="14">
        <f>E7-E8</f>
        <v>148059</v>
      </c>
      <c r="F9" s="12">
        <f>E9+'29'!F9</f>
        <v>3971586</v>
      </c>
      <c r="G9" s="13">
        <f>E9+'29'!G9</f>
        <v>3971586</v>
      </c>
    </row>
    <row r="10" spans="1:12" ht="30.95" customHeight="1">
      <c r="B10" s="9">
        <v>4</v>
      </c>
      <c r="C10" s="10" t="s">
        <v>9</v>
      </c>
      <c r="D10" s="11" t="s">
        <v>10</v>
      </c>
      <c r="E10" s="15">
        <f>E8/E7*100</f>
        <v>10.700241254523522</v>
      </c>
      <c r="F10" s="15">
        <f>F8/F7*100</f>
        <v>11.532176508587085</v>
      </c>
      <c r="G10" s="16">
        <f>G8/G7*100</f>
        <v>11.532176508587085</v>
      </c>
    </row>
    <row r="11" spans="1:12" ht="30.95" customHeight="1">
      <c r="B11" s="9">
        <v>5</v>
      </c>
      <c r="C11" s="10" t="s">
        <v>11</v>
      </c>
      <c r="D11" s="11" t="s">
        <v>12</v>
      </c>
      <c r="E11" s="15">
        <f>E7/E12/1000</f>
        <v>6.9083333333333332</v>
      </c>
      <c r="F11" s="15">
        <f>F7/F12/1000</f>
        <v>6.3890074858395245</v>
      </c>
      <c r="G11" s="16">
        <f>G7/G12/1000</f>
        <v>6.3890074858395245</v>
      </c>
    </row>
    <row r="12" spans="1:12" ht="30.95" customHeight="1">
      <c r="B12" s="9">
        <v>6</v>
      </c>
      <c r="C12" s="10" t="s">
        <v>13</v>
      </c>
      <c r="D12" s="11" t="s">
        <v>14</v>
      </c>
      <c r="E12" s="12">
        <v>24</v>
      </c>
      <c r="F12" s="12">
        <f>E12+'29'!F12</f>
        <v>702.66</v>
      </c>
      <c r="G12" s="13">
        <f>E12+'29'!G12</f>
        <v>702.66</v>
      </c>
    </row>
    <row r="13" spans="1:12" ht="30.95" customHeight="1">
      <c r="B13" s="9">
        <v>6</v>
      </c>
      <c r="C13" s="10" t="s">
        <v>15</v>
      </c>
      <c r="D13" s="11" t="s">
        <v>10</v>
      </c>
      <c r="E13" s="15">
        <f>E11/10*100</f>
        <v>69.083333333333329</v>
      </c>
      <c r="F13" s="15">
        <f>F11/10*100</f>
        <v>63.890074858395238</v>
      </c>
      <c r="G13" s="16">
        <f>G11/10*100</f>
        <v>63.890074858395238</v>
      </c>
    </row>
    <row r="14" spans="1:12" ht="30.95" customHeight="1">
      <c r="B14" s="9">
        <v>7</v>
      </c>
      <c r="C14" s="10" t="s">
        <v>16</v>
      </c>
      <c r="D14" s="11" t="s">
        <v>17</v>
      </c>
      <c r="E14" s="12">
        <v>762</v>
      </c>
      <c r="F14" s="12">
        <f>E14+'29'!F14</f>
        <v>21099</v>
      </c>
      <c r="G14" s="13">
        <f>E14+'29'!G14</f>
        <v>21099</v>
      </c>
    </row>
    <row r="15" spans="1:12" ht="30.95" customHeight="1">
      <c r="B15" s="9">
        <v>8</v>
      </c>
      <c r="C15" s="10" t="s">
        <v>18</v>
      </c>
      <c r="D15" s="11" t="s">
        <v>17</v>
      </c>
      <c r="E15" s="12">
        <v>740</v>
      </c>
      <c r="F15" s="12">
        <f>E15+'29'!F15</f>
        <v>20494</v>
      </c>
      <c r="G15" s="13">
        <f>E15+'29'!G15</f>
        <v>20494</v>
      </c>
    </row>
    <row r="16" spans="1:12" ht="30.95" customHeight="1">
      <c r="B16" s="9">
        <v>9</v>
      </c>
      <c r="C16" s="10" t="s">
        <v>19</v>
      </c>
      <c r="D16" s="90" t="s">
        <v>17</v>
      </c>
      <c r="E16" s="17">
        <v>61</v>
      </c>
      <c r="F16" s="12">
        <f>E16+'29'!F16</f>
        <v>1192</v>
      </c>
      <c r="G16" s="13">
        <f>E16+'29'!G16</f>
        <v>1192</v>
      </c>
    </row>
    <row r="17" spans="2:8" ht="30.95" customHeight="1">
      <c r="B17" s="9">
        <v>10</v>
      </c>
      <c r="C17" s="10" t="s">
        <v>20</v>
      </c>
      <c r="D17" s="11" t="s">
        <v>17</v>
      </c>
      <c r="E17" s="12">
        <v>693</v>
      </c>
      <c r="F17" s="12">
        <f>E17+'29'!F17</f>
        <v>18677</v>
      </c>
      <c r="G17" s="13">
        <f>E17+'29'!G17</f>
        <v>18677</v>
      </c>
    </row>
    <row r="18" spans="2:8" ht="30.95" customHeight="1">
      <c r="B18" s="9">
        <v>11</v>
      </c>
      <c r="C18" s="10" t="s">
        <v>21</v>
      </c>
      <c r="D18" s="11" t="s">
        <v>17</v>
      </c>
      <c r="E18" s="12">
        <v>538</v>
      </c>
      <c r="F18" s="12">
        <f>E18+'29'!F18</f>
        <v>15181</v>
      </c>
      <c r="G18" s="13">
        <f>E18+'29'!G18</f>
        <v>15181</v>
      </c>
    </row>
    <row r="19" spans="2:8" ht="30.95" customHeight="1">
      <c r="B19" s="9">
        <v>12</v>
      </c>
      <c r="C19" s="10" t="s">
        <v>22</v>
      </c>
      <c r="D19" s="18" t="s">
        <v>17</v>
      </c>
      <c r="E19" s="12">
        <v>17</v>
      </c>
      <c r="F19" s="12">
        <f>E19+'29'!F19</f>
        <v>528</v>
      </c>
      <c r="G19" s="13">
        <f>E19+'29'!G19</f>
        <v>528</v>
      </c>
    </row>
    <row r="20" spans="2:8" ht="30.95" customHeight="1">
      <c r="B20" s="9">
        <v>13</v>
      </c>
      <c r="C20" s="10" t="s">
        <v>23</v>
      </c>
      <c r="D20" s="11" t="s">
        <v>24</v>
      </c>
      <c r="E20" s="15">
        <f>E17*1000/E7</f>
        <v>4.1797346200241252</v>
      </c>
      <c r="F20" s="15">
        <f>F17*1000/F7</f>
        <v>4.1603368008375474</v>
      </c>
      <c r="G20" s="16">
        <f>G17*1000/G7</f>
        <v>4.1603368008375474</v>
      </c>
    </row>
    <row r="21" spans="2:8" ht="30.95" customHeight="1">
      <c r="B21" s="9">
        <v>14</v>
      </c>
      <c r="C21" s="10" t="s">
        <v>25</v>
      </c>
      <c r="D21" s="11" t="s">
        <v>24</v>
      </c>
      <c r="E21" s="19">
        <f>E26*1000/E7</f>
        <v>0.79010856453558509</v>
      </c>
      <c r="F21" s="19">
        <f>F26*1000/F7</f>
        <v>0.86182701089256675</v>
      </c>
      <c r="G21" s="20">
        <f>G26*1000/G7</f>
        <v>0.86182701089256675</v>
      </c>
    </row>
    <row r="22" spans="2:8" ht="30.95" customHeight="1">
      <c r="B22" s="9">
        <v>15</v>
      </c>
      <c r="C22" s="10" t="s">
        <v>26</v>
      </c>
      <c r="D22" s="11" t="s">
        <v>27</v>
      </c>
      <c r="E22" s="21">
        <f>((E17*(803-130)+E31*(30))*1000)/E7</f>
        <v>2815.4945717732207</v>
      </c>
      <c r="F22" s="21">
        <f t="shared" ref="F22:G22" si="0">((F17*(803-130)+F31*(30))*1000)/F7</f>
        <v>2803.2813578954401</v>
      </c>
      <c r="G22" s="21">
        <f t="shared" si="0"/>
        <v>2803.2813578954401</v>
      </c>
    </row>
    <row r="23" spans="2:8" ht="30.95" customHeight="1">
      <c r="B23" s="9">
        <v>16</v>
      </c>
      <c r="C23" s="10" t="s">
        <v>28</v>
      </c>
      <c r="D23" s="11" t="s">
        <v>27</v>
      </c>
      <c r="E23" s="21">
        <f>(E15*(803-130))*1000/(E7*0.78)</f>
        <v>3850.9480065571743</v>
      </c>
      <c r="F23" s="21">
        <f t="shared" ref="F23:G23" si="1">(F15*(803-130))*1000/(F7*0.78)</f>
        <v>3938.8420443596083</v>
      </c>
      <c r="G23" s="21">
        <f t="shared" si="1"/>
        <v>3938.8420443596083</v>
      </c>
    </row>
    <row r="24" spans="2:8" ht="30.95" customHeight="1">
      <c r="B24" s="22">
        <v>17</v>
      </c>
      <c r="C24" s="23" t="s">
        <v>29</v>
      </c>
      <c r="D24" s="24" t="s">
        <v>6</v>
      </c>
      <c r="E24" s="25">
        <v>0</v>
      </c>
      <c r="F24" s="26">
        <f>E24+'29'!F24</f>
        <v>0</v>
      </c>
      <c r="G24" s="27">
        <f>E24+'29'!G24</f>
        <v>0</v>
      </c>
    </row>
    <row r="25" spans="2:8" ht="30.95" customHeight="1">
      <c r="B25" s="102" t="s">
        <v>30</v>
      </c>
      <c r="C25" s="103"/>
      <c r="D25" s="103"/>
      <c r="E25" s="103"/>
      <c r="F25" s="103"/>
      <c r="G25" s="104"/>
      <c r="H25" s="28"/>
    </row>
    <row r="26" spans="2:8" ht="30.95" customHeight="1">
      <c r="B26" s="29">
        <v>1</v>
      </c>
      <c r="C26" s="30" t="s">
        <v>31</v>
      </c>
      <c r="D26" s="31" t="s">
        <v>17</v>
      </c>
      <c r="E26" s="32">
        <v>131</v>
      </c>
      <c r="F26" s="32">
        <f>E26+'29'!F26</f>
        <v>3869</v>
      </c>
      <c r="G26" s="33">
        <f>E26+'29'!G26</f>
        <v>3869</v>
      </c>
    </row>
    <row r="27" spans="2:8" ht="30.95" customHeight="1">
      <c r="B27" s="34">
        <v>2</v>
      </c>
      <c r="C27" s="10" t="s">
        <v>32</v>
      </c>
      <c r="D27" s="11" t="s">
        <v>33</v>
      </c>
      <c r="E27" s="35">
        <v>4849</v>
      </c>
      <c r="F27" s="36"/>
      <c r="G27" s="37"/>
    </row>
    <row r="28" spans="2:8" ht="30.95" customHeight="1">
      <c r="B28" s="38"/>
      <c r="C28" s="23"/>
      <c r="D28" s="39"/>
      <c r="E28" s="40"/>
      <c r="F28" s="40"/>
      <c r="G28" s="41"/>
    </row>
    <row r="29" spans="2:8" ht="30.95" customHeight="1">
      <c r="B29" s="102" t="s">
        <v>34</v>
      </c>
      <c r="C29" s="103"/>
      <c r="D29" s="103"/>
      <c r="E29" s="103"/>
      <c r="F29" s="103"/>
      <c r="G29" s="104"/>
    </row>
    <row r="30" spans="2:8" ht="30.95" customHeight="1">
      <c r="B30" s="29">
        <v>1</v>
      </c>
      <c r="C30" s="30" t="s">
        <v>35</v>
      </c>
      <c r="D30" s="42" t="s">
        <v>38</v>
      </c>
      <c r="E30" s="32">
        <v>13</v>
      </c>
      <c r="F30" s="32">
        <f>E30+'29'!F30</f>
        <v>490</v>
      </c>
      <c r="G30" s="33">
        <f>E30+'29'!G30</f>
        <v>490</v>
      </c>
    </row>
    <row r="31" spans="2:8" ht="30.95" customHeight="1">
      <c r="B31" s="34">
        <v>2</v>
      </c>
      <c r="C31" s="10" t="s">
        <v>37</v>
      </c>
      <c r="D31" s="43" t="s">
        <v>38</v>
      </c>
      <c r="E31" s="12">
        <v>14</v>
      </c>
      <c r="F31" s="12">
        <f>E31+'29'!F31</f>
        <v>505</v>
      </c>
      <c r="G31" s="13">
        <f>E31+'29'!G31</f>
        <v>505</v>
      </c>
    </row>
    <row r="32" spans="2:8" ht="30.95" customHeight="1">
      <c r="B32" s="34">
        <v>3</v>
      </c>
      <c r="C32" s="10" t="s">
        <v>39</v>
      </c>
      <c r="D32" s="43" t="s">
        <v>38</v>
      </c>
      <c r="E32" s="12">
        <v>18</v>
      </c>
      <c r="F32" s="12">
        <f>E32+'29'!F32</f>
        <v>538</v>
      </c>
      <c r="G32" s="13">
        <f>E32+'29'!G32</f>
        <v>538</v>
      </c>
    </row>
    <row r="33" spans="2:7" ht="30.95" customHeight="1">
      <c r="B33" s="44">
        <v>4</v>
      </c>
      <c r="C33" s="23" t="s">
        <v>40</v>
      </c>
      <c r="D33" s="45" t="s">
        <v>41</v>
      </c>
      <c r="E33" s="46">
        <v>26</v>
      </c>
      <c r="F33" s="47">
        <v>1971</v>
      </c>
      <c r="G33" s="48"/>
    </row>
    <row r="34" spans="2:7" ht="30.95" customHeight="1">
      <c r="B34" s="96" t="s">
        <v>42</v>
      </c>
      <c r="C34" s="97"/>
      <c r="D34" s="97"/>
      <c r="E34" s="97"/>
      <c r="F34" s="97"/>
      <c r="G34" s="98"/>
    </row>
    <row r="35" spans="2:7" ht="30.95" customHeight="1">
      <c r="B35" s="49">
        <v>5</v>
      </c>
      <c r="C35" s="50" t="s">
        <v>46</v>
      </c>
      <c r="D35" s="11" t="s">
        <v>17</v>
      </c>
      <c r="E35" s="51">
        <v>37</v>
      </c>
      <c r="F35" s="32">
        <f>E35+'29'!F35</f>
        <v>632</v>
      </c>
      <c r="G35" s="33">
        <f>E35+'29'!G35</f>
        <v>632</v>
      </c>
    </row>
    <row r="36" spans="2:7" ht="30.95" customHeight="1">
      <c r="B36" s="52">
        <v>6</v>
      </c>
      <c r="C36" s="53" t="s">
        <v>50</v>
      </c>
      <c r="D36" s="54" t="s">
        <v>43</v>
      </c>
      <c r="E36" s="55">
        <v>0</v>
      </c>
      <c r="F36" s="12">
        <f>E36+'29'!F36</f>
        <v>66</v>
      </c>
      <c r="G36" s="13">
        <f>E36+'29'!G36</f>
        <v>66</v>
      </c>
    </row>
    <row r="37" spans="2:7" ht="30.95" customHeight="1">
      <c r="B37" s="44">
        <v>7</v>
      </c>
      <c r="C37" s="56" t="s">
        <v>44</v>
      </c>
      <c r="D37" s="57" t="s">
        <v>43</v>
      </c>
      <c r="E37" s="58">
        <v>0</v>
      </c>
      <c r="F37" s="47">
        <f>E37+'29'!F37</f>
        <v>0</v>
      </c>
      <c r="G37" s="48">
        <f>E37+'29'!G37</f>
        <v>0</v>
      </c>
    </row>
    <row r="38" spans="2:7" ht="30.95" customHeight="1">
      <c r="D38" s="1"/>
    </row>
    <row r="39" spans="2:7" ht="30.95" customHeight="1">
      <c r="D39" s="1"/>
    </row>
    <row r="40" spans="2:7" ht="30.95" customHeight="1">
      <c r="D40" s="1"/>
    </row>
  </sheetData>
  <mergeCells count="6">
    <mergeCell ref="B34:G34"/>
    <mergeCell ref="B2:G2"/>
    <mergeCell ref="B3:G3"/>
    <mergeCell ref="B4:G4"/>
    <mergeCell ref="B25:G25"/>
    <mergeCell ref="B29:G29"/>
  </mergeCells>
  <pageMargins left="0.7" right="0.7" top="0.75" bottom="0.75" header="0.3" footer="0.3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31</vt:i4>
      </vt:variant>
      <vt:variant>
        <vt:lpstr>Named Ranges</vt:lpstr>
      </vt:variant>
      <vt:variant>
        <vt:i4>31</vt:i4>
      </vt:variant>
    </vt:vector>
  </HeadingPairs>
  <TitlesOfParts>
    <vt:vector size="62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'0'!Print_Area</vt:lpstr>
      <vt:lpstr>'1'!Print_Area</vt:lpstr>
      <vt:lpstr>'10'!Print_Area</vt:lpstr>
      <vt:lpstr>'11'!Print_Area</vt:lpstr>
      <vt:lpstr>'12'!Print_Area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'3'!Print_Area</vt:lpstr>
      <vt:lpstr>'30'!Print_Area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shishupal_2</dc:creator>
  <cp:lastModifiedBy>POWER PLANT</cp:lastModifiedBy>
  <cp:lastPrinted>2026-05-21T09:56:16Z</cp:lastPrinted>
  <dcterms:created xsi:type="dcterms:W3CDTF">2014-07-10T19:27:00Z</dcterms:created>
  <dcterms:modified xsi:type="dcterms:W3CDTF">2026-06-02T19:38:04Z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4D0260AB3DDA40C18C57D4897C40BC09</vt:lpwstr>
  </property>
  <property fmtid="{D5CDD505-2E9C-101B-9397-08002B2CF9AE}" pid="3" name="KSOProductBuildVer">
    <vt:lpwstr>1033-11.2.0.11156</vt:lpwstr>
  </property>
</Properties>
</file>