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OWER PLANT\Desktop\MIS REPORT DONT DELETE\2026\MAY-2026\"/>
    </mc:Choice>
  </mc:AlternateContent>
  <xr:revisionPtr revIDLastSave="0" documentId="13_ncr:1_{6598A64A-C15C-4E04-8E57-E4BBEA8A214D}" xr6:coauthVersionLast="41" xr6:coauthVersionMax="47" xr10:uidLastSave="{00000000-0000-0000-0000-000000000000}"/>
  <bookViews>
    <workbookView xWindow="-120" yWindow="-120" windowWidth="20730" windowHeight="11160" tabRatio="946" firstSheet="3" activeTab="31" xr2:uid="{00000000-000D-0000-FFFF-FFFF00000000}"/>
  </bookViews>
  <sheets>
    <sheet name="0" sheetId="114" r:id="rId1"/>
    <sheet name="1" sheetId="33" r:id="rId2"/>
    <sheet name="2" sheetId="34" r:id="rId3"/>
    <sheet name="3" sheetId="79" r:id="rId4"/>
    <sheet name="4" sheetId="80" r:id="rId5"/>
    <sheet name="5" sheetId="81" r:id="rId6"/>
    <sheet name="6" sheetId="82" r:id="rId7"/>
    <sheet name="7" sheetId="83" r:id="rId8"/>
    <sheet name="8" sheetId="84" r:id="rId9"/>
    <sheet name="9" sheetId="85" r:id="rId10"/>
    <sheet name="10" sheetId="86" r:id="rId11"/>
    <sheet name="11" sheetId="87" r:id="rId12"/>
    <sheet name="12" sheetId="88" r:id="rId13"/>
    <sheet name="13" sheetId="89" r:id="rId14"/>
    <sheet name="14" sheetId="90" r:id="rId15"/>
    <sheet name="15" sheetId="91" r:id="rId16"/>
    <sheet name="16" sheetId="92" r:id="rId17"/>
    <sheet name="17" sheetId="93" r:id="rId18"/>
    <sheet name="18" sheetId="94" r:id="rId19"/>
    <sheet name="19" sheetId="95" r:id="rId20"/>
    <sheet name="20" sheetId="96" r:id="rId21"/>
    <sheet name="21" sheetId="97" r:id="rId22"/>
    <sheet name="22" sheetId="98" r:id="rId23"/>
    <sheet name="23" sheetId="99" r:id="rId24"/>
    <sheet name="24" sheetId="101" r:id="rId25"/>
    <sheet name="25" sheetId="100" r:id="rId26"/>
    <sheet name="26" sheetId="102" r:id="rId27"/>
    <sheet name="27" sheetId="103" r:id="rId28"/>
    <sheet name="28" sheetId="104" r:id="rId29"/>
    <sheet name="29" sheetId="115" r:id="rId30"/>
    <sheet name="30" sheetId="116" r:id="rId31"/>
    <sheet name="31" sheetId="117" r:id="rId32"/>
    <sheet name="Sheet1" sheetId="118" r:id="rId33"/>
  </sheets>
  <definedNames>
    <definedName name="_xlnm.Print_Area" localSheetId="0">'0'!$A$1:$H$1</definedName>
    <definedName name="_xlnm.Print_Area" localSheetId="1">'1'!$A$1:$H$41</definedName>
    <definedName name="_xlnm.Print_Area" localSheetId="10">'10'!$A$1:$H$41</definedName>
    <definedName name="_xlnm.Print_Area" localSheetId="11">'11'!$A$1:$H$41</definedName>
    <definedName name="_xlnm.Print_Area" localSheetId="12">'12'!$A$1:$H$41</definedName>
    <definedName name="_xlnm.Print_Area" localSheetId="13">'13'!$A$1:$H$41</definedName>
    <definedName name="_xlnm.Print_Area" localSheetId="14">'14'!$A$1:$H$41</definedName>
    <definedName name="_xlnm.Print_Area" localSheetId="15">'15'!$A$1:$H$41</definedName>
    <definedName name="_xlnm.Print_Area" localSheetId="16">'16'!$A$1:$H$41</definedName>
    <definedName name="_xlnm.Print_Area" localSheetId="17">'17'!$A$1:$H$41</definedName>
    <definedName name="_xlnm.Print_Area" localSheetId="18">'18'!$A$1:$H$41</definedName>
    <definedName name="_xlnm.Print_Area" localSheetId="19">'19'!$A$1:$H$41</definedName>
    <definedName name="_xlnm.Print_Area" localSheetId="2">'2'!$A$1:$H$41</definedName>
    <definedName name="_xlnm.Print_Area" localSheetId="20">'20'!$A$1:$H$41</definedName>
    <definedName name="_xlnm.Print_Area" localSheetId="21">'21'!$A$1:$H$41</definedName>
    <definedName name="_xlnm.Print_Area" localSheetId="22">'22'!$A$1:$H$41</definedName>
    <definedName name="_xlnm.Print_Area" localSheetId="23">'23'!$A$1:$H$41</definedName>
    <definedName name="_xlnm.Print_Area" localSheetId="24">'24'!$A$1:$H$41</definedName>
    <definedName name="_xlnm.Print_Area" localSheetId="25">'25'!$A$1:$H$40</definedName>
    <definedName name="_xlnm.Print_Area" localSheetId="26">'26'!$A$1:$H$40</definedName>
    <definedName name="_xlnm.Print_Area" localSheetId="27">'27'!$A$1:$H$40</definedName>
    <definedName name="_xlnm.Print_Area" localSheetId="28">'28'!$A$1:$H$41</definedName>
    <definedName name="_xlnm.Print_Area" localSheetId="29">'29'!$A$1:$H$41</definedName>
    <definedName name="_xlnm.Print_Area" localSheetId="3">'3'!$A$1:$H$41</definedName>
    <definedName name="_xlnm.Print_Area" localSheetId="30">'30'!$A$1:$H$41</definedName>
    <definedName name="_xlnm.Print_Area" localSheetId="31">'31'!$A$1:$H$41</definedName>
    <definedName name="_xlnm.Print_Area" localSheetId="4">'4'!$A$1:$H$41</definedName>
    <definedName name="_xlnm.Print_Area" localSheetId="5">'5'!$A$1:$H$41</definedName>
    <definedName name="_xlnm.Print_Area" localSheetId="6">'6'!$A$1:$H$41</definedName>
    <definedName name="_xlnm.Print_Area" localSheetId="7">'7'!$A$1:$H$41</definedName>
    <definedName name="_xlnm.Print_Area" localSheetId="8">'8'!$A$1:$H$41</definedName>
    <definedName name="_xlnm.Print_Area" localSheetId="9">'9'!$A$1:$H$41</definedName>
  </definedNames>
  <calcPr calcId="191029"/>
</workbook>
</file>

<file path=xl/calcChain.xml><?xml version="1.0" encoding="utf-8"?>
<calcChain xmlns="http://schemas.openxmlformats.org/spreadsheetml/2006/main">
  <c r="E9" i="83" l="1"/>
  <c r="E22" i="101" l="1"/>
  <c r="E22" i="97" l="1"/>
  <c r="E23" i="117" l="1"/>
  <c r="E22" i="117"/>
  <c r="E21" i="117"/>
  <c r="E20" i="117"/>
  <c r="E11" i="117"/>
  <c r="E13" i="117" s="1"/>
  <c r="E10" i="117"/>
  <c r="E9" i="117"/>
  <c r="E23" i="116"/>
  <c r="E22" i="116"/>
  <c r="E21" i="116"/>
  <c r="E20" i="116"/>
  <c r="E11" i="116"/>
  <c r="E13" i="116" s="1"/>
  <c r="E10" i="116"/>
  <c r="E9" i="116"/>
  <c r="E23" i="115"/>
  <c r="E22" i="115"/>
  <c r="E21" i="115"/>
  <c r="E20" i="115"/>
  <c r="E11" i="115"/>
  <c r="E13" i="115" s="1"/>
  <c r="E10" i="115"/>
  <c r="E9" i="115"/>
  <c r="E23" i="104"/>
  <c r="E22" i="104"/>
  <c r="E21" i="104"/>
  <c r="E20" i="104"/>
  <c r="E11" i="104"/>
  <c r="E13" i="104" s="1"/>
  <c r="E10" i="104"/>
  <c r="E9" i="104"/>
  <c r="E23" i="103"/>
  <c r="E22" i="103"/>
  <c r="E21" i="103"/>
  <c r="E20" i="103"/>
  <c r="E11" i="103"/>
  <c r="E13" i="103" s="1"/>
  <c r="E10" i="103"/>
  <c r="E9" i="103"/>
  <c r="E23" i="102"/>
  <c r="E22" i="102"/>
  <c r="E21" i="102"/>
  <c r="E20" i="102"/>
  <c r="E11" i="102"/>
  <c r="E13" i="102" s="1"/>
  <c r="E10" i="102"/>
  <c r="E9" i="102"/>
  <c r="E23" i="100"/>
  <c r="E22" i="100"/>
  <c r="E21" i="100"/>
  <c r="E20" i="100"/>
  <c r="E11" i="100"/>
  <c r="E13" i="100" s="1"/>
  <c r="E10" i="100"/>
  <c r="E9" i="100"/>
  <c r="E23" i="101"/>
  <c r="E21" i="101"/>
  <c r="E20" i="101"/>
  <c r="E11" i="101"/>
  <c r="E13" i="101" s="1"/>
  <c r="E10" i="101"/>
  <c r="E9" i="101"/>
  <c r="E23" i="99"/>
  <c r="E22" i="99"/>
  <c r="E21" i="99"/>
  <c r="E20" i="99"/>
  <c r="E11" i="99"/>
  <c r="E13" i="99" s="1"/>
  <c r="E10" i="99"/>
  <c r="E9" i="99"/>
  <c r="E23" i="98"/>
  <c r="E22" i="98"/>
  <c r="E21" i="98"/>
  <c r="E20" i="98"/>
  <c r="E11" i="98"/>
  <c r="E13" i="98" s="1"/>
  <c r="E10" i="98"/>
  <c r="E9" i="98"/>
  <c r="E23" i="97"/>
  <c r="E21" i="97"/>
  <c r="E20" i="97"/>
  <c r="E11" i="97"/>
  <c r="E13" i="97" s="1"/>
  <c r="E10" i="97"/>
  <c r="E9" i="97"/>
  <c r="E23" i="96"/>
  <c r="E22" i="96"/>
  <c r="E21" i="96"/>
  <c r="E20" i="96"/>
  <c r="E11" i="96"/>
  <c r="E13" i="96" s="1"/>
  <c r="E10" i="96"/>
  <c r="E9" i="96"/>
  <c r="E23" i="95"/>
  <c r="E22" i="95"/>
  <c r="E21" i="95"/>
  <c r="E20" i="95"/>
  <c r="E11" i="95"/>
  <c r="E13" i="95" s="1"/>
  <c r="E10" i="95"/>
  <c r="E9" i="95"/>
  <c r="E23" i="94"/>
  <c r="E22" i="94"/>
  <c r="E21" i="94"/>
  <c r="E20" i="94"/>
  <c r="E11" i="94"/>
  <c r="E13" i="94" s="1"/>
  <c r="E10" i="94"/>
  <c r="E9" i="94"/>
  <c r="E23" i="93"/>
  <c r="E22" i="93"/>
  <c r="E21" i="93"/>
  <c r="E20" i="93"/>
  <c r="E11" i="93"/>
  <c r="E13" i="93" s="1"/>
  <c r="E10" i="93"/>
  <c r="E9" i="93"/>
  <c r="E23" i="92"/>
  <c r="E22" i="92"/>
  <c r="E21" i="92"/>
  <c r="E20" i="92"/>
  <c r="E11" i="92"/>
  <c r="E13" i="92" s="1"/>
  <c r="E10" i="92"/>
  <c r="E9" i="92"/>
  <c r="E23" i="91"/>
  <c r="E22" i="91"/>
  <c r="E21" i="91"/>
  <c r="E20" i="91"/>
  <c r="E11" i="91"/>
  <c r="E13" i="91" s="1"/>
  <c r="E10" i="91"/>
  <c r="E9" i="91"/>
  <c r="E23" i="90"/>
  <c r="E22" i="90"/>
  <c r="E21" i="90"/>
  <c r="E20" i="90"/>
  <c r="E11" i="90"/>
  <c r="E13" i="90" s="1"/>
  <c r="E10" i="90"/>
  <c r="E9" i="90"/>
  <c r="E23" i="89"/>
  <c r="E22" i="89"/>
  <c r="E21" i="89"/>
  <c r="E20" i="89"/>
  <c r="E11" i="89"/>
  <c r="E13" i="89" s="1"/>
  <c r="E10" i="89"/>
  <c r="E9" i="89"/>
  <c r="E23" i="88"/>
  <c r="E22" i="88"/>
  <c r="E21" i="88"/>
  <c r="E20" i="88"/>
  <c r="E11" i="88"/>
  <c r="E13" i="88" s="1"/>
  <c r="E10" i="88"/>
  <c r="E9" i="88"/>
  <c r="E23" i="87"/>
  <c r="E22" i="87"/>
  <c r="E21" i="87"/>
  <c r="E20" i="87"/>
  <c r="E11" i="87"/>
  <c r="E13" i="87" s="1"/>
  <c r="E10" i="87"/>
  <c r="E9" i="87"/>
  <c r="E23" i="86"/>
  <c r="E22" i="86"/>
  <c r="E21" i="86"/>
  <c r="E20" i="86"/>
  <c r="E11" i="86"/>
  <c r="E13" i="86" s="1"/>
  <c r="E10" i="86"/>
  <c r="E9" i="86"/>
  <c r="E23" i="85"/>
  <c r="E22" i="85"/>
  <c r="E21" i="85"/>
  <c r="E20" i="85"/>
  <c r="E11" i="85"/>
  <c r="E13" i="85" s="1"/>
  <c r="E10" i="85"/>
  <c r="E9" i="85"/>
  <c r="E23" i="84"/>
  <c r="E22" i="84"/>
  <c r="E21" i="84"/>
  <c r="E20" i="84"/>
  <c r="E11" i="84"/>
  <c r="E13" i="84" s="1"/>
  <c r="E10" i="84"/>
  <c r="E9" i="84"/>
  <c r="E23" i="83"/>
  <c r="E22" i="83"/>
  <c r="E21" i="83"/>
  <c r="E20" i="83"/>
  <c r="E11" i="83"/>
  <c r="E13" i="83" s="1"/>
  <c r="E10" i="83"/>
  <c r="E23" i="82"/>
  <c r="E22" i="82"/>
  <c r="E21" i="82"/>
  <c r="E20" i="82"/>
  <c r="E11" i="82"/>
  <c r="E13" i="82" s="1"/>
  <c r="E10" i="82"/>
  <c r="E9" i="82"/>
  <c r="E23" i="81"/>
  <c r="E22" i="81"/>
  <c r="E21" i="81"/>
  <c r="E20" i="81"/>
  <c r="E11" i="81"/>
  <c r="E13" i="81" s="1"/>
  <c r="E10" i="81"/>
  <c r="E9" i="81"/>
  <c r="E23" i="80"/>
  <c r="E22" i="80"/>
  <c r="E21" i="80"/>
  <c r="E20" i="80"/>
  <c r="E11" i="80"/>
  <c r="E13" i="80" s="1"/>
  <c r="E10" i="80"/>
  <c r="E9" i="80"/>
  <c r="E23" i="79"/>
  <c r="E22" i="79"/>
  <c r="E21" i="79"/>
  <c r="E20" i="79"/>
  <c r="E11" i="79"/>
  <c r="E13" i="79" s="1"/>
  <c r="E10" i="79"/>
  <c r="E9" i="79"/>
  <c r="E23" i="34"/>
  <c r="E22" i="34"/>
  <c r="E21" i="34"/>
  <c r="E20" i="34"/>
  <c r="E11" i="34"/>
  <c r="E13" i="34" s="1"/>
  <c r="E10" i="34"/>
  <c r="E9" i="34"/>
  <c r="G37" i="33"/>
  <c r="G37" i="34" s="1"/>
  <c r="G37" i="79" s="1"/>
  <c r="G37" i="80" s="1"/>
  <c r="G37" i="81" s="1"/>
  <c r="G37" i="82" s="1"/>
  <c r="G37" i="83" s="1"/>
  <c r="G37" i="84" s="1"/>
  <c r="G37" i="85" s="1"/>
  <c r="G37" i="86" s="1"/>
  <c r="G37" i="87" s="1"/>
  <c r="G37" i="88" s="1"/>
  <c r="G37" i="89" s="1"/>
  <c r="G37" i="90" s="1"/>
  <c r="G37" i="91" s="1"/>
  <c r="G37" i="92" s="1"/>
  <c r="G37" i="93" s="1"/>
  <c r="G37" i="94" s="1"/>
  <c r="G37" i="95" s="1"/>
  <c r="G37" i="96" s="1"/>
  <c r="G37" i="97" s="1"/>
  <c r="G37" i="98" s="1"/>
  <c r="G37" i="99" s="1"/>
  <c r="G37" i="101" s="1"/>
  <c r="G37" i="100" s="1"/>
  <c r="F37" i="33"/>
  <c r="F37" i="34" s="1"/>
  <c r="F37" i="79" s="1"/>
  <c r="F37" i="80" s="1"/>
  <c r="F37" i="81" s="1"/>
  <c r="F37" i="82" s="1"/>
  <c r="F37" i="83" s="1"/>
  <c r="F37" i="84" s="1"/>
  <c r="F37" i="85" s="1"/>
  <c r="F37" i="86" s="1"/>
  <c r="F37" i="87" s="1"/>
  <c r="F37" i="88" s="1"/>
  <c r="F37" i="89" s="1"/>
  <c r="F37" i="90" s="1"/>
  <c r="F37" i="91" s="1"/>
  <c r="F37" i="92" s="1"/>
  <c r="F37" i="93" s="1"/>
  <c r="F37" i="94" s="1"/>
  <c r="F37" i="95" s="1"/>
  <c r="F37" i="96" s="1"/>
  <c r="F37" i="97" s="1"/>
  <c r="F37" i="98" s="1"/>
  <c r="F37" i="99" s="1"/>
  <c r="F37" i="101" s="1"/>
  <c r="F37" i="100" s="1"/>
  <c r="F37" i="103" s="1"/>
  <c r="F37" i="104" s="1"/>
  <c r="F37" i="115" s="1"/>
  <c r="F37" i="116" s="1"/>
  <c r="F37" i="117" s="1"/>
  <c r="G36" i="33"/>
  <c r="G36" i="34" s="1"/>
  <c r="G36" i="79" s="1"/>
  <c r="G36" i="80" s="1"/>
  <c r="G36" i="81" s="1"/>
  <c r="G36" i="82" s="1"/>
  <c r="G36" i="83" s="1"/>
  <c r="G36" i="84" s="1"/>
  <c r="G36" i="85" s="1"/>
  <c r="G36" i="86" s="1"/>
  <c r="G36" i="87" s="1"/>
  <c r="G36" i="88" s="1"/>
  <c r="G36" i="89" s="1"/>
  <c r="G36" i="90" s="1"/>
  <c r="G36" i="91" s="1"/>
  <c r="G36" i="92" s="1"/>
  <c r="G36" i="93" s="1"/>
  <c r="G36" i="94" s="1"/>
  <c r="G36" i="95" s="1"/>
  <c r="G36" i="96" s="1"/>
  <c r="G36" i="97" s="1"/>
  <c r="G36" i="98" s="1"/>
  <c r="G36" i="99" s="1"/>
  <c r="G36" i="101" s="1"/>
  <c r="G36" i="100" s="1"/>
  <c r="F36" i="33"/>
  <c r="F36" i="34" s="1"/>
  <c r="F36" i="79" s="1"/>
  <c r="F36" i="80" s="1"/>
  <c r="F36" i="81" s="1"/>
  <c r="F36" i="82" s="1"/>
  <c r="F36" i="83" s="1"/>
  <c r="F36" i="84" s="1"/>
  <c r="F36" i="85" s="1"/>
  <c r="F36" i="86" s="1"/>
  <c r="F36" i="87" s="1"/>
  <c r="F36" i="88" s="1"/>
  <c r="F36" i="89" s="1"/>
  <c r="F36" i="90" s="1"/>
  <c r="F36" i="91" s="1"/>
  <c r="F36" i="92" s="1"/>
  <c r="F36" i="93" s="1"/>
  <c r="F36" i="94" s="1"/>
  <c r="F36" i="95" s="1"/>
  <c r="F36" i="96" s="1"/>
  <c r="F36" i="97" s="1"/>
  <c r="F36" i="98" s="1"/>
  <c r="F36" i="99" s="1"/>
  <c r="F36" i="101" s="1"/>
  <c r="F36" i="100" s="1"/>
  <c r="G35" i="33"/>
  <c r="G35" i="34" s="1"/>
  <c r="G35" i="79" s="1"/>
  <c r="G35" i="80" s="1"/>
  <c r="G35" i="81" s="1"/>
  <c r="G35" i="82" s="1"/>
  <c r="G35" i="83" s="1"/>
  <c r="G35" i="84" s="1"/>
  <c r="G35" i="85" s="1"/>
  <c r="G35" i="86" s="1"/>
  <c r="G35" i="87" s="1"/>
  <c r="G35" i="88" s="1"/>
  <c r="G35" i="89" s="1"/>
  <c r="G35" i="90" s="1"/>
  <c r="G35" i="91" s="1"/>
  <c r="G35" i="92" s="1"/>
  <c r="G35" i="93" s="1"/>
  <c r="G35" i="94" s="1"/>
  <c r="G35" i="95" s="1"/>
  <c r="G35" i="96" s="1"/>
  <c r="G35" i="97" s="1"/>
  <c r="G35" i="98" s="1"/>
  <c r="G35" i="99" s="1"/>
  <c r="G35" i="101" s="1"/>
  <c r="G35" i="100" s="1"/>
  <c r="F35" i="33"/>
  <c r="F35" i="34" s="1"/>
  <c r="F35" i="79" s="1"/>
  <c r="F35" i="80" s="1"/>
  <c r="F35" i="81" s="1"/>
  <c r="F35" i="82" s="1"/>
  <c r="F35" i="83" s="1"/>
  <c r="F35" i="84" s="1"/>
  <c r="F35" i="85" s="1"/>
  <c r="F35" i="86" s="1"/>
  <c r="F35" i="87" s="1"/>
  <c r="F35" i="88" s="1"/>
  <c r="F35" i="89" s="1"/>
  <c r="F35" i="90" s="1"/>
  <c r="F35" i="91" s="1"/>
  <c r="F35" i="92" s="1"/>
  <c r="F35" i="93" s="1"/>
  <c r="F35" i="94" s="1"/>
  <c r="F35" i="95" s="1"/>
  <c r="F35" i="96" s="1"/>
  <c r="F35" i="97" s="1"/>
  <c r="F35" i="98" s="1"/>
  <c r="F35" i="99" s="1"/>
  <c r="F35" i="101" s="1"/>
  <c r="F35" i="100" s="1"/>
  <c r="G32" i="33"/>
  <c r="G32" i="34" s="1"/>
  <c r="G32" i="79" s="1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32" i="97" s="1"/>
  <c r="G32" i="98" s="1"/>
  <c r="G32" i="99" s="1"/>
  <c r="G32" i="101" s="1"/>
  <c r="G32" i="100" s="1"/>
  <c r="F32" i="33"/>
  <c r="F32" i="34" s="1"/>
  <c r="F32" i="79" s="1"/>
  <c r="F32" i="80" s="1"/>
  <c r="F32" i="81" s="1"/>
  <c r="F32" i="82" s="1"/>
  <c r="F32" i="83" s="1"/>
  <c r="F32" i="84" s="1"/>
  <c r="F32" i="85" s="1"/>
  <c r="F32" i="86" s="1"/>
  <c r="F32" i="87" s="1"/>
  <c r="F32" i="88" s="1"/>
  <c r="F32" i="89" s="1"/>
  <c r="F32" i="90" s="1"/>
  <c r="F32" i="91" s="1"/>
  <c r="F32" i="92" s="1"/>
  <c r="F32" i="93" s="1"/>
  <c r="F32" i="94" s="1"/>
  <c r="F32" i="95" s="1"/>
  <c r="F32" i="96" s="1"/>
  <c r="F32" i="97" s="1"/>
  <c r="F32" i="98" s="1"/>
  <c r="F32" i="99" s="1"/>
  <c r="F32" i="101" s="1"/>
  <c r="F32" i="100" s="1"/>
  <c r="G31" i="33"/>
  <c r="G31" i="34" s="1"/>
  <c r="G31" i="79" s="1"/>
  <c r="G31" i="80" s="1"/>
  <c r="G31" i="81" s="1"/>
  <c r="G31" i="82" s="1"/>
  <c r="G31" i="83" s="1"/>
  <c r="G31" i="84" s="1"/>
  <c r="G31" i="85" s="1"/>
  <c r="G31" i="86" s="1"/>
  <c r="G31" i="87" s="1"/>
  <c r="G31" i="88" s="1"/>
  <c r="G31" i="89" s="1"/>
  <c r="G31" i="90" s="1"/>
  <c r="G31" i="91" s="1"/>
  <c r="G31" i="92" s="1"/>
  <c r="G31" i="93" s="1"/>
  <c r="G31" i="94" s="1"/>
  <c r="G31" i="95" s="1"/>
  <c r="G31" i="96" s="1"/>
  <c r="G31" i="97" s="1"/>
  <c r="G31" i="98" s="1"/>
  <c r="G31" i="99" s="1"/>
  <c r="G31" i="101" s="1"/>
  <c r="G31" i="100" s="1"/>
  <c r="F31" i="33"/>
  <c r="F31" i="34" s="1"/>
  <c r="F31" i="79" s="1"/>
  <c r="F31" i="80" s="1"/>
  <c r="F31" i="81" s="1"/>
  <c r="F31" i="82" s="1"/>
  <c r="F31" i="83" s="1"/>
  <c r="F31" i="84" s="1"/>
  <c r="F31" i="85" s="1"/>
  <c r="F31" i="86" s="1"/>
  <c r="F31" i="87" s="1"/>
  <c r="F31" i="88" s="1"/>
  <c r="F31" i="89" s="1"/>
  <c r="F31" i="90" s="1"/>
  <c r="F31" i="91" s="1"/>
  <c r="F31" i="92" s="1"/>
  <c r="F31" i="93" s="1"/>
  <c r="F31" i="94" s="1"/>
  <c r="F31" i="95" s="1"/>
  <c r="F31" i="96" s="1"/>
  <c r="F31" i="97" s="1"/>
  <c r="F31" i="98" s="1"/>
  <c r="F31" i="99" s="1"/>
  <c r="F31" i="101" s="1"/>
  <c r="F31" i="100" s="1"/>
  <c r="G30" i="33"/>
  <c r="G30" i="34" s="1"/>
  <c r="G30" i="79" s="1"/>
  <c r="G30" i="80" s="1"/>
  <c r="G30" i="81" s="1"/>
  <c r="G30" i="82" s="1"/>
  <c r="G30" i="83" s="1"/>
  <c r="G30" i="84" s="1"/>
  <c r="G30" i="85" s="1"/>
  <c r="G30" i="86" s="1"/>
  <c r="G30" i="87" s="1"/>
  <c r="G30" i="88" s="1"/>
  <c r="G30" i="89" s="1"/>
  <c r="G30" i="90" s="1"/>
  <c r="G30" i="91" s="1"/>
  <c r="G30" i="92" s="1"/>
  <c r="G30" i="93" s="1"/>
  <c r="G30" i="94" s="1"/>
  <c r="G30" i="95" s="1"/>
  <c r="G30" i="96" s="1"/>
  <c r="G30" i="97" s="1"/>
  <c r="G30" i="98" s="1"/>
  <c r="G30" i="99" s="1"/>
  <c r="G30" i="101" s="1"/>
  <c r="G30" i="100" s="1"/>
  <c r="F30" i="33"/>
  <c r="F30" i="34" s="1"/>
  <c r="F30" i="79" s="1"/>
  <c r="F30" i="80" s="1"/>
  <c r="F30" i="81" s="1"/>
  <c r="F30" i="82" s="1"/>
  <c r="F30" i="83" s="1"/>
  <c r="F30" i="84" s="1"/>
  <c r="F30" i="85" s="1"/>
  <c r="F30" i="86" s="1"/>
  <c r="F30" i="87" s="1"/>
  <c r="F30" i="88" s="1"/>
  <c r="F30" i="89" s="1"/>
  <c r="F30" i="90" s="1"/>
  <c r="F30" i="91" s="1"/>
  <c r="F30" i="92" s="1"/>
  <c r="F30" i="93" s="1"/>
  <c r="F30" i="94" s="1"/>
  <c r="F30" i="95" s="1"/>
  <c r="F30" i="96" s="1"/>
  <c r="F30" i="97" s="1"/>
  <c r="F30" i="98" s="1"/>
  <c r="F30" i="99" s="1"/>
  <c r="F30" i="101" s="1"/>
  <c r="F30" i="100" s="1"/>
  <c r="G26" i="33"/>
  <c r="G26" i="34" s="1"/>
  <c r="F26" i="33"/>
  <c r="F26" i="34" s="1"/>
  <c r="F26" i="79" s="1"/>
  <c r="G24" i="33"/>
  <c r="G24" i="34" s="1"/>
  <c r="G24" i="79" s="1"/>
  <c r="G24" i="80" s="1"/>
  <c r="G24" i="81" s="1"/>
  <c r="G24" i="82" s="1"/>
  <c r="G24" i="83" s="1"/>
  <c r="G24" i="84" s="1"/>
  <c r="G24" i="85" s="1"/>
  <c r="G24" i="86" s="1"/>
  <c r="G24" i="87" s="1"/>
  <c r="G24" i="88" s="1"/>
  <c r="G24" i="89" s="1"/>
  <c r="G24" i="90" s="1"/>
  <c r="G24" i="91" s="1"/>
  <c r="G24" i="92" s="1"/>
  <c r="G24" i="93" s="1"/>
  <c r="G24" i="94" s="1"/>
  <c r="G24" i="95" s="1"/>
  <c r="G24" i="96" s="1"/>
  <c r="G24" i="97" s="1"/>
  <c r="G24" i="98" s="1"/>
  <c r="G24" i="99" s="1"/>
  <c r="G24" i="101" s="1"/>
  <c r="G24" i="100" s="1"/>
  <c r="G24" i="102" s="1"/>
  <c r="G24" i="103" s="1"/>
  <c r="G24" i="104" s="1"/>
  <c r="G24" i="115" s="1"/>
  <c r="G24" i="116" s="1"/>
  <c r="G24" i="117" s="1"/>
  <c r="F24" i="33"/>
  <c r="F24" i="34" s="1"/>
  <c r="F24" i="79" s="1"/>
  <c r="F24" i="80" s="1"/>
  <c r="F24" i="81" s="1"/>
  <c r="F24" i="82" s="1"/>
  <c r="F24" i="83" s="1"/>
  <c r="F24" i="84" s="1"/>
  <c r="F24" i="85" s="1"/>
  <c r="F24" i="86" s="1"/>
  <c r="F24" i="87" s="1"/>
  <c r="F24" i="88" s="1"/>
  <c r="F24" i="89" s="1"/>
  <c r="F24" i="90" s="1"/>
  <c r="F24" i="91" s="1"/>
  <c r="F24" i="92" s="1"/>
  <c r="F24" i="93" s="1"/>
  <c r="F24" i="94" s="1"/>
  <c r="F24" i="95" s="1"/>
  <c r="F24" i="96" s="1"/>
  <c r="F24" i="97" s="1"/>
  <c r="F24" i="98" s="1"/>
  <c r="F24" i="99" s="1"/>
  <c r="F24" i="101" s="1"/>
  <c r="F24" i="100" s="1"/>
  <c r="F24" i="102" s="1"/>
  <c r="F24" i="103" s="1"/>
  <c r="F24" i="104" s="1"/>
  <c r="F24" i="115" s="1"/>
  <c r="F24" i="116" s="1"/>
  <c r="F24" i="117" s="1"/>
  <c r="E23" i="33"/>
  <c r="E22" i="33"/>
  <c r="E21" i="33"/>
  <c r="E20" i="33"/>
  <c r="G19" i="33"/>
  <c r="G19" i="34" s="1"/>
  <c r="G19" i="79" s="1"/>
  <c r="G19" i="80" s="1"/>
  <c r="G19" i="81" s="1"/>
  <c r="G19" i="82" s="1"/>
  <c r="G19" i="83" s="1"/>
  <c r="G19" i="84" s="1"/>
  <c r="G19" i="85" s="1"/>
  <c r="G19" i="86" s="1"/>
  <c r="G19" i="87" s="1"/>
  <c r="G19" i="88" s="1"/>
  <c r="G19" i="89" s="1"/>
  <c r="G19" i="90" s="1"/>
  <c r="G19" i="91" s="1"/>
  <c r="G19" i="92" s="1"/>
  <c r="G19" i="93" s="1"/>
  <c r="G19" i="94" s="1"/>
  <c r="G19" i="95" s="1"/>
  <c r="G19" i="96" s="1"/>
  <c r="G19" i="97" s="1"/>
  <c r="G19" i="98" s="1"/>
  <c r="G19" i="99" s="1"/>
  <c r="G19" i="101" s="1"/>
  <c r="G19" i="100" s="1"/>
  <c r="G19" i="102" s="1"/>
  <c r="G19" i="103" s="1"/>
  <c r="G19" i="104" s="1"/>
  <c r="G19" i="115" s="1"/>
  <c r="G19" i="116" s="1"/>
  <c r="G19" i="117" s="1"/>
  <c r="F19" i="33"/>
  <c r="F19" i="34" s="1"/>
  <c r="F19" i="79" s="1"/>
  <c r="F19" i="80" s="1"/>
  <c r="F19" i="81" s="1"/>
  <c r="F19" i="82" s="1"/>
  <c r="F19" i="83" s="1"/>
  <c r="F19" i="84" s="1"/>
  <c r="F19" i="85" s="1"/>
  <c r="F19" i="86" s="1"/>
  <c r="F19" i="87" s="1"/>
  <c r="F19" i="88" s="1"/>
  <c r="F19" i="89" s="1"/>
  <c r="F19" i="90" s="1"/>
  <c r="F19" i="91" s="1"/>
  <c r="F19" i="92" s="1"/>
  <c r="F19" i="93" s="1"/>
  <c r="F19" i="94" s="1"/>
  <c r="F19" i="95" s="1"/>
  <c r="F19" i="96" s="1"/>
  <c r="F19" i="97" s="1"/>
  <c r="F19" i="98" s="1"/>
  <c r="F19" i="99" s="1"/>
  <c r="F19" i="101" s="1"/>
  <c r="F19" i="100" s="1"/>
  <c r="F19" i="102" s="1"/>
  <c r="F19" i="103" s="1"/>
  <c r="F19" i="104" s="1"/>
  <c r="F19" i="115" s="1"/>
  <c r="F19" i="116" s="1"/>
  <c r="F19" i="117" s="1"/>
  <c r="G18" i="33"/>
  <c r="G18" i="34" s="1"/>
  <c r="G18" i="79" s="1"/>
  <c r="G18" i="80" s="1"/>
  <c r="G18" i="81" s="1"/>
  <c r="G18" i="82" s="1"/>
  <c r="G18" i="83" s="1"/>
  <c r="G18" i="84" s="1"/>
  <c r="G18" i="85" s="1"/>
  <c r="G18" i="86" s="1"/>
  <c r="G18" i="87" s="1"/>
  <c r="G18" i="88" s="1"/>
  <c r="G18" i="89" s="1"/>
  <c r="G18" i="90" s="1"/>
  <c r="G18" i="91" s="1"/>
  <c r="G18" i="92" s="1"/>
  <c r="G18" i="93" s="1"/>
  <c r="G18" i="94" s="1"/>
  <c r="G18" i="95" s="1"/>
  <c r="G18" i="96" s="1"/>
  <c r="G18" i="97" s="1"/>
  <c r="G18" i="98" s="1"/>
  <c r="G18" i="99" s="1"/>
  <c r="G18" i="101" s="1"/>
  <c r="G18" i="100" s="1"/>
  <c r="G18" i="102" s="1"/>
  <c r="G18" i="103" s="1"/>
  <c r="G18" i="104" s="1"/>
  <c r="G18" i="115" s="1"/>
  <c r="G18" i="116" s="1"/>
  <c r="G18" i="117" s="1"/>
  <c r="F18" i="33"/>
  <c r="F18" i="34" s="1"/>
  <c r="F18" i="79" s="1"/>
  <c r="F18" i="80" s="1"/>
  <c r="F18" i="81" s="1"/>
  <c r="F18" i="82" s="1"/>
  <c r="F18" i="83" s="1"/>
  <c r="F18" i="84" s="1"/>
  <c r="F18" i="85" s="1"/>
  <c r="F18" i="86" s="1"/>
  <c r="F18" i="87" s="1"/>
  <c r="F18" i="88" s="1"/>
  <c r="F18" i="89" s="1"/>
  <c r="F18" i="90" s="1"/>
  <c r="F18" i="91" s="1"/>
  <c r="F18" i="92" s="1"/>
  <c r="F18" i="93" s="1"/>
  <c r="F18" i="94" s="1"/>
  <c r="F18" i="95" s="1"/>
  <c r="F18" i="96" s="1"/>
  <c r="F18" i="97" s="1"/>
  <c r="F18" i="98" s="1"/>
  <c r="F18" i="99" s="1"/>
  <c r="F18" i="101" s="1"/>
  <c r="F18" i="100" s="1"/>
  <c r="F18" i="102" s="1"/>
  <c r="F18" i="103" s="1"/>
  <c r="F18" i="104" s="1"/>
  <c r="F18" i="115" s="1"/>
  <c r="F18" i="116" s="1"/>
  <c r="F18" i="117" s="1"/>
  <c r="G17" i="33"/>
  <c r="F17" i="33"/>
  <c r="G16" i="33"/>
  <c r="G16" i="34" s="1"/>
  <c r="G16" i="79" s="1"/>
  <c r="G16" i="80" s="1"/>
  <c r="G16" i="81" s="1"/>
  <c r="G16" i="82" s="1"/>
  <c r="G16" i="83" s="1"/>
  <c r="G16" i="84" s="1"/>
  <c r="G16" i="85" s="1"/>
  <c r="G16" i="86" s="1"/>
  <c r="G16" i="87" s="1"/>
  <c r="G16" i="88" s="1"/>
  <c r="G16" i="89" s="1"/>
  <c r="G16" i="90" s="1"/>
  <c r="G16" i="91" s="1"/>
  <c r="G16" i="92" s="1"/>
  <c r="G16" i="93" s="1"/>
  <c r="G16" i="94" s="1"/>
  <c r="G16" i="95" s="1"/>
  <c r="G16" i="96" s="1"/>
  <c r="G16" i="97" s="1"/>
  <c r="G16" i="98" s="1"/>
  <c r="G16" i="99" s="1"/>
  <c r="G16" i="101" s="1"/>
  <c r="G16" i="100" s="1"/>
  <c r="G16" i="102" s="1"/>
  <c r="G16" i="103" s="1"/>
  <c r="G16" i="104" s="1"/>
  <c r="G16" i="115" s="1"/>
  <c r="G16" i="116" s="1"/>
  <c r="G16" i="117" s="1"/>
  <c r="F16" i="33"/>
  <c r="F16" i="34" s="1"/>
  <c r="F16" i="79" s="1"/>
  <c r="F16" i="80" s="1"/>
  <c r="F16" i="81" s="1"/>
  <c r="F16" i="82" s="1"/>
  <c r="F16" i="83" s="1"/>
  <c r="F16" i="84" s="1"/>
  <c r="F16" i="85" s="1"/>
  <c r="F16" i="86" s="1"/>
  <c r="F16" i="87" s="1"/>
  <c r="F16" i="88" s="1"/>
  <c r="F16" i="89" s="1"/>
  <c r="F16" i="90" s="1"/>
  <c r="F16" i="91" s="1"/>
  <c r="F16" i="92" s="1"/>
  <c r="F16" i="93" s="1"/>
  <c r="F16" i="94" s="1"/>
  <c r="F16" i="95" s="1"/>
  <c r="F16" i="96" s="1"/>
  <c r="F16" i="97" s="1"/>
  <c r="F16" i="98" s="1"/>
  <c r="F16" i="99" s="1"/>
  <c r="F16" i="101" s="1"/>
  <c r="F16" i="100" s="1"/>
  <c r="F16" i="102" s="1"/>
  <c r="F16" i="103" s="1"/>
  <c r="F16" i="104" s="1"/>
  <c r="F16" i="115" s="1"/>
  <c r="F16" i="116" s="1"/>
  <c r="F16" i="117" s="1"/>
  <c r="G15" i="33"/>
  <c r="G15" i="34" s="1"/>
  <c r="F15" i="33"/>
  <c r="F15" i="34" s="1"/>
  <c r="G14" i="33"/>
  <c r="G14" i="34" s="1"/>
  <c r="G14" i="79" s="1"/>
  <c r="G14" i="80" s="1"/>
  <c r="G14" i="81" s="1"/>
  <c r="G14" i="82" s="1"/>
  <c r="G14" i="83" s="1"/>
  <c r="G14" i="84" s="1"/>
  <c r="G14" i="85" s="1"/>
  <c r="G14" i="86" s="1"/>
  <c r="G14" i="87" s="1"/>
  <c r="G14" i="88" s="1"/>
  <c r="G14" i="89" s="1"/>
  <c r="G14" i="90" s="1"/>
  <c r="G14" i="91" s="1"/>
  <c r="G14" i="92" s="1"/>
  <c r="G14" i="93" s="1"/>
  <c r="G14" i="94" s="1"/>
  <c r="G14" i="95" s="1"/>
  <c r="G14" i="96" s="1"/>
  <c r="G14" i="97" s="1"/>
  <c r="G14" i="98" s="1"/>
  <c r="G14" i="99" s="1"/>
  <c r="G14" i="101" s="1"/>
  <c r="G14" i="100" s="1"/>
  <c r="G14" i="102" s="1"/>
  <c r="G14" i="103" s="1"/>
  <c r="G14" i="104" s="1"/>
  <c r="G14" i="115" s="1"/>
  <c r="G14" i="116" s="1"/>
  <c r="G14" i="117" s="1"/>
  <c r="F14" i="33"/>
  <c r="F14" i="34" s="1"/>
  <c r="F14" i="79" s="1"/>
  <c r="F14" i="80" s="1"/>
  <c r="F14" i="81" s="1"/>
  <c r="F14" i="82" s="1"/>
  <c r="F14" i="83" s="1"/>
  <c r="F14" i="84" s="1"/>
  <c r="F14" i="85" s="1"/>
  <c r="F14" i="86" s="1"/>
  <c r="F14" i="87" s="1"/>
  <c r="F14" i="88" s="1"/>
  <c r="F14" i="89" s="1"/>
  <c r="F14" i="90" s="1"/>
  <c r="F14" i="91" s="1"/>
  <c r="F14" i="92" s="1"/>
  <c r="F14" i="93" s="1"/>
  <c r="F14" i="94" s="1"/>
  <c r="F14" i="95" s="1"/>
  <c r="F14" i="96" s="1"/>
  <c r="F14" i="97" s="1"/>
  <c r="F14" i="98" s="1"/>
  <c r="F14" i="99" s="1"/>
  <c r="F14" i="101" s="1"/>
  <c r="F14" i="100" s="1"/>
  <c r="F14" i="102" s="1"/>
  <c r="F14" i="103" s="1"/>
  <c r="F14" i="104" s="1"/>
  <c r="F14" i="115" s="1"/>
  <c r="F14" i="116" s="1"/>
  <c r="F14" i="117" s="1"/>
  <c r="G12" i="33"/>
  <c r="G12" i="34" s="1"/>
  <c r="G12" i="79" s="1"/>
  <c r="G12" i="80" s="1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97" s="1"/>
  <c r="G12" i="98" s="1"/>
  <c r="G12" i="99" s="1"/>
  <c r="G12" i="101" s="1"/>
  <c r="G12" i="100" s="1"/>
  <c r="G12" i="102" s="1"/>
  <c r="G12" i="103" s="1"/>
  <c r="G12" i="104" s="1"/>
  <c r="G12" i="115" s="1"/>
  <c r="G12" i="116" s="1"/>
  <c r="G12" i="117" s="1"/>
  <c r="F12" i="33"/>
  <c r="F12" i="34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1" s="1"/>
  <c r="F12" i="100" s="1"/>
  <c r="F12" i="102" s="1"/>
  <c r="F12" i="103" s="1"/>
  <c r="F12" i="104" s="1"/>
  <c r="F12" i="115" s="1"/>
  <c r="F12" i="116" s="1"/>
  <c r="F12" i="117" s="1"/>
  <c r="E11" i="33"/>
  <c r="E13" i="33" s="1"/>
  <c r="E10" i="33"/>
  <c r="E9" i="33"/>
  <c r="F9" i="33" s="1"/>
  <c r="G8" i="33"/>
  <c r="G8" i="34" s="1"/>
  <c r="F8" i="33"/>
  <c r="F8" i="34" s="1"/>
  <c r="F8" i="79" s="1"/>
  <c r="G7" i="33"/>
  <c r="G7" i="34" s="1"/>
  <c r="G7" i="79" s="1"/>
  <c r="F7" i="33"/>
  <c r="F7" i="34" s="1"/>
  <c r="E6" i="33"/>
  <c r="E6" i="34" s="1"/>
  <c r="E6" i="79" s="1"/>
  <c r="E6" i="80" s="1"/>
  <c r="E6" i="81" s="1"/>
  <c r="E6" i="82" s="1"/>
  <c r="E6" i="83" s="1"/>
  <c r="E6" i="84" s="1"/>
  <c r="E6" i="85" s="1"/>
  <c r="E6" i="86" s="1"/>
  <c r="E6" i="87" s="1"/>
  <c r="E6" i="88" s="1"/>
  <c r="E6" i="89" s="1"/>
  <c r="E6" i="90" s="1"/>
  <c r="E6" i="91" s="1"/>
  <c r="E6" i="92" s="1"/>
  <c r="E6" i="93" s="1"/>
  <c r="E6" i="94" s="1"/>
  <c r="E6" i="95" s="1"/>
  <c r="E6" i="96" s="1"/>
  <c r="E6" i="97" s="1"/>
  <c r="E6" i="98" s="1"/>
  <c r="E6" i="99" s="1"/>
  <c r="E6" i="101" s="1"/>
  <c r="E6" i="100" s="1"/>
  <c r="E6" i="102" s="1"/>
  <c r="E6" i="103" s="1"/>
  <c r="E6" i="104" s="1"/>
  <c r="E6" i="115" s="1"/>
  <c r="E6" i="116" s="1"/>
  <c r="E6" i="117" s="1"/>
  <c r="F36" i="102" l="1"/>
  <c r="F36" i="103" s="1"/>
  <c r="F36" i="104" s="1"/>
  <c r="F36" i="115" s="1"/>
  <c r="F36" i="116" s="1"/>
  <c r="F36" i="117" s="1"/>
  <c r="F35" i="102"/>
  <c r="F35" i="103" s="1"/>
  <c r="F35" i="104" s="1"/>
  <c r="F35" i="115" s="1"/>
  <c r="F35" i="116" s="1"/>
  <c r="F35" i="117" s="1"/>
  <c r="F32" i="102"/>
  <c r="F32" i="103" s="1"/>
  <c r="F32" i="104" s="1"/>
  <c r="F32" i="115" s="1"/>
  <c r="F32" i="116" s="1"/>
  <c r="F32" i="117" s="1"/>
  <c r="G32" i="102"/>
  <c r="G32" i="103" s="1"/>
  <c r="G32" i="104" s="1"/>
  <c r="G32" i="115" s="1"/>
  <c r="G32" i="116" s="1"/>
  <c r="G32" i="117" s="1"/>
  <c r="G31" i="102"/>
  <c r="G31" i="103" s="1"/>
  <c r="G31" i="104" s="1"/>
  <c r="G31" i="115" s="1"/>
  <c r="G31" i="116" s="1"/>
  <c r="G31" i="117" s="1"/>
  <c r="F31" i="102"/>
  <c r="F31" i="103" s="1"/>
  <c r="F31" i="104" s="1"/>
  <c r="F31" i="115" s="1"/>
  <c r="F31" i="116" s="1"/>
  <c r="F31" i="117" s="1"/>
  <c r="F30" i="102"/>
  <c r="F30" i="103" s="1"/>
  <c r="F30" i="104" s="1"/>
  <c r="F30" i="115" s="1"/>
  <c r="F30" i="116" s="1"/>
  <c r="F30" i="117" s="1"/>
  <c r="G30" i="102"/>
  <c r="G30" i="103" s="1"/>
  <c r="G30" i="104" s="1"/>
  <c r="G30" i="115" s="1"/>
  <c r="G30" i="116" s="1"/>
  <c r="G30" i="117" s="1"/>
  <c r="G36" i="102"/>
  <c r="G36" i="103" s="1"/>
  <c r="G36" i="104" s="1"/>
  <c r="G36" i="115" s="1"/>
  <c r="G36" i="116" s="1"/>
  <c r="G36" i="117" s="1"/>
  <c r="G35" i="102"/>
  <c r="G35" i="103" s="1"/>
  <c r="G35" i="104" s="1"/>
  <c r="G35" i="115" s="1"/>
  <c r="G35" i="116" s="1"/>
  <c r="G35" i="117" s="1"/>
  <c r="G37" i="103"/>
  <c r="G37" i="104" s="1"/>
  <c r="G37" i="115" s="1"/>
  <c r="G37" i="116" s="1"/>
  <c r="G37" i="117" s="1"/>
  <c r="F20" i="33"/>
  <c r="F11" i="33"/>
  <c r="F13" i="33" s="1"/>
  <c r="G9" i="33"/>
  <c r="G23" i="33"/>
  <c r="G21" i="34"/>
  <c r="F22" i="33"/>
  <c r="F17" i="34"/>
  <c r="F17" i="79" s="1"/>
  <c r="F17" i="80" s="1"/>
  <c r="F7" i="79"/>
  <c r="F21" i="79" s="1"/>
  <c r="F11" i="34"/>
  <c r="F13" i="34" s="1"/>
  <c r="F15" i="79"/>
  <c r="F23" i="34"/>
  <c r="G8" i="79"/>
  <c r="G10" i="34"/>
  <c r="G11" i="79"/>
  <c r="G13" i="79" s="1"/>
  <c r="G7" i="80"/>
  <c r="G9" i="34"/>
  <c r="G9" i="79" s="1"/>
  <c r="G9" i="80" s="1"/>
  <c r="G9" i="81" s="1"/>
  <c r="G9" i="82" s="1"/>
  <c r="G9" i="83" s="1"/>
  <c r="G9" i="84" s="1"/>
  <c r="G9" i="85" s="1"/>
  <c r="G9" i="86" s="1"/>
  <c r="G9" i="87" s="1"/>
  <c r="G9" i="88" s="1"/>
  <c r="G9" i="89" s="1"/>
  <c r="G9" i="90" s="1"/>
  <c r="G9" i="91" s="1"/>
  <c r="G9" i="92" s="1"/>
  <c r="G9" i="93" s="1"/>
  <c r="G9" i="94" s="1"/>
  <c r="G9" i="95" s="1"/>
  <c r="G9" i="96" s="1"/>
  <c r="G9" i="97" s="1"/>
  <c r="G9" i="98" s="1"/>
  <c r="G9" i="99" s="1"/>
  <c r="G9" i="101" s="1"/>
  <c r="G9" i="100" s="1"/>
  <c r="G9" i="102" s="1"/>
  <c r="G9" i="103" s="1"/>
  <c r="G9" i="104" s="1"/>
  <c r="G9" i="115" s="1"/>
  <c r="G9" i="116" s="1"/>
  <c r="G9" i="117" s="1"/>
  <c r="F9" i="34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1" s="1"/>
  <c r="F9" i="100" s="1"/>
  <c r="F9" i="102" s="1"/>
  <c r="F9" i="103" s="1"/>
  <c r="F9" i="104" s="1"/>
  <c r="F9" i="115" s="1"/>
  <c r="F9" i="116" s="1"/>
  <c r="F9" i="117" s="1"/>
  <c r="G11" i="33"/>
  <c r="G13" i="33" s="1"/>
  <c r="G11" i="34"/>
  <c r="G13" i="34" s="1"/>
  <c r="G26" i="79"/>
  <c r="F8" i="80"/>
  <c r="F26" i="80"/>
  <c r="F10" i="33"/>
  <c r="F23" i="33"/>
  <c r="G10" i="33"/>
  <c r="G23" i="34"/>
  <c r="G17" i="34"/>
  <c r="G20" i="33"/>
  <c r="F21" i="33"/>
  <c r="G22" i="33"/>
  <c r="F10" i="34"/>
  <c r="G21" i="33"/>
  <c r="F21" i="34"/>
  <c r="G15" i="79"/>
  <c r="F22" i="34" l="1"/>
  <c r="F22" i="79"/>
  <c r="F20" i="34"/>
  <c r="F20" i="79"/>
  <c r="F26" i="81"/>
  <c r="F15" i="80"/>
  <c r="F23" i="79"/>
  <c r="G23" i="79"/>
  <c r="G15" i="80"/>
  <c r="G21" i="79"/>
  <c r="G26" i="80"/>
  <c r="F7" i="80"/>
  <c r="F21" i="80" s="1"/>
  <c r="F11" i="79"/>
  <c r="F13" i="79" s="1"/>
  <c r="F8" i="81"/>
  <c r="G22" i="34"/>
  <c r="G17" i="79"/>
  <c r="G20" i="34"/>
  <c r="F17" i="81"/>
  <c r="G8" i="80"/>
  <c r="G10" i="79"/>
  <c r="G7" i="81"/>
  <c r="G11" i="80"/>
  <c r="G13" i="80" s="1"/>
  <c r="F10" i="79"/>
  <c r="F20" i="80" l="1"/>
  <c r="F10" i="80"/>
  <c r="F22" i="80"/>
  <c r="G26" i="81"/>
  <c r="G21" i="80"/>
  <c r="F23" i="80"/>
  <c r="F15" i="81"/>
  <c r="F17" i="82"/>
  <c r="G8" i="81"/>
  <c r="G10" i="80"/>
  <c r="G22" i="79"/>
  <c r="G17" i="80"/>
  <c r="G20" i="79"/>
  <c r="G15" i="81"/>
  <c r="G23" i="80"/>
  <c r="F8" i="82"/>
  <c r="G7" i="82"/>
  <c r="G11" i="81"/>
  <c r="G13" i="81" s="1"/>
  <c r="F7" i="81"/>
  <c r="F10" i="81" s="1"/>
  <c r="F11" i="80"/>
  <c r="F13" i="80" s="1"/>
  <c r="F26" i="82"/>
  <c r="F7" i="82" l="1"/>
  <c r="F20" i="82" s="1"/>
  <c r="F11" i="81"/>
  <c r="F13" i="81" s="1"/>
  <c r="G17" i="81"/>
  <c r="G20" i="80"/>
  <c r="G22" i="80"/>
  <c r="F21" i="81"/>
  <c r="G10" i="81"/>
  <c r="G8" i="82"/>
  <c r="F23" i="81"/>
  <c r="F15" i="82"/>
  <c r="F8" i="83"/>
  <c r="F20" i="81"/>
  <c r="F22" i="82"/>
  <c r="F17" i="83"/>
  <c r="F26" i="83"/>
  <c r="G7" i="83"/>
  <c r="G11" i="82"/>
  <c r="G13" i="82" s="1"/>
  <c r="G23" i="81"/>
  <c r="G15" i="82"/>
  <c r="F22" i="81"/>
  <c r="G26" i="82"/>
  <c r="G21" i="81"/>
  <c r="F21" i="82" l="1"/>
  <c r="F10" i="82"/>
  <c r="G21" i="82"/>
  <c r="G26" i="83"/>
  <c r="G7" i="84"/>
  <c r="G11" i="83"/>
  <c r="G13" i="83" s="1"/>
  <c r="F8" i="84"/>
  <c r="G17" i="82"/>
  <c r="G20" i="81"/>
  <c r="G22" i="81"/>
  <c r="G8" i="83"/>
  <c r="G10" i="82"/>
  <c r="G23" i="82"/>
  <c r="G15" i="83"/>
  <c r="F26" i="84"/>
  <c r="F15" i="83"/>
  <c r="F23" i="82"/>
  <c r="F17" i="84"/>
  <c r="F11" i="82"/>
  <c r="F13" i="82" s="1"/>
  <c r="F7" i="83"/>
  <c r="F21" i="83" s="1"/>
  <c r="F22" i="83" l="1"/>
  <c r="F20" i="83"/>
  <c r="G7" i="85"/>
  <c r="G11" i="84"/>
  <c r="G13" i="84" s="1"/>
  <c r="F17" i="85"/>
  <c r="F26" i="85"/>
  <c r="G8" i="84"/>
  <c r="G10" i="83"/>
  <c r="F8" i="85"/>
  <c r="G21" i="83"/>
  <c r="G26" i="84"/>
  <c r="F15" i="84"/>
  <c r="F23" i="83"/>
  <c r="G22" i="82"/>
  <c r="G17" i="83"/>
  <c r="G20" i="82"/>
  <c r="F7" i="84"/>
  <c r="F20" i="84" s="1"/>
  <c r="F11" i="83"/>
  <c r="F13" i="83" s="1"/>
  <c r="G23" i="83"/>
  <c r="G15" i="84"/>
  <c r="F10" i="83"/>
  <c r="F7" i="85" l="1"/>
  <c r="F10" i="85" s="1"/>
  <c r="F11" i="84"/>
  <c r="F13" i="84" s="1"/>
  <c r="F8" i="86"/>
  <c r="F17" i="86"/>
  <c r="G15" i="85"/>
  <c r="G23" i="84"/>
  <c r="F23" i="84"/>
  <c r="F15" i="85"/>
  <c r="F10" i="84"/>
  <c r="F26" i="86"/>
  <c r="G8" i="85"/>
  <c r="G10" i="84"/>
  <c r="F21" i="84"/>
  <c r="G22" i="83"/>
  <c r="G17" i="84"/>
  <c r="G20" i="83"/>
  <c r="G26" i="85"/>
  <c r="G21" i="84"/>
  <c r="F22" i="84"/>
  <c r="G7" i="86"/>
  <c r="G11" i="85"/>
  <c r="G13" i="85" s="1"/>
  <c r="F21" i="85" l="1"/>
  <c r="F22" i="85"/>
  <c r="F20" i="85"/>
  <c r="G17" i="85"/>
  <c r="G20" i="84"/>
  <c r="G22" i="84"/>
  <c r="F23" i="85"/>
  <c r="F15" i="86"/>
  <c r="F8" i="87"/>
  <c r="F17" i="87"/>
  <c r="G7" i="87"/>
  <c r="G11" i="86"/>
  <c r="G13" i="86" s="1"/>
  <c r="G23" i="85"/>
  <c r="G15" i="86"/>
  <c r="G10" i="85"/>
  <c r="G8" i="86"/>
  <c r="G26" i="86"/>
  <c r="G21" i="85"/>
  <c r="F26" i="87"/>
  <c r="F7" i="86"/>
  <c r="F22" i="86" s="1"/>
  <c r="F11" i="85"/>
  <c r="F13" i="85" s="1"/>
  <c r="F10" i="86" l="1"/>
  <c r="F21" i="86"/>
  <c r="G8" i="87"/>
  <c r="G10" i="86"/>
  <c r="G23" i="86"/>
  <c r="G15" i="87"/>
  <c r="F8" i="88"/>
  <c r="F26" i="88"/>
  <c r="G11" i="87"/>
  <c r="G13" i="87" s="1"/>
  <c r="G7" i="88"/>
  <c r="F17" i="88"/>
  <c r="F7" i="87"/>
  <c r="F21" i="87" s="1"/>
  <c r="F11" i="86"/>
  <c r="F13" i="86" s="1"/>
  <c r="G21" i="86"/>
  <c r="G26" i="87"/>
  <c r="F20" i="86"/>
  <c r="F15" i="87"/>
  <c r="F23" i="86"/>
  <c r="G17" i="86"/>
  <c r="G20" i="85"/>
  <c r="G22" i="85"/>
  <c r="F20" i="87" l="1"/>
  <c r="G23" i="87"/>
  <c r="G15" i="88"/>
  <c r="F15" i="88"/>
  <c r="F23" i="87"/>
  <c r="F17" i="89"/>
  <c r="F7" i="88"/>
  <c r="F11" i="87"/>
  <c r="F13" i="87" s="1"/>
  <c r="G11" i="88"/>
  <c r="G13" i="88" s="1"/>
  <c r="G7" i="89"/>
  <c r="F8" i="89"/>
  <c r="F26" i="89"/>
  <c r="G22" i="86"/>
  <c r="G17" i="87"/>
  <c r="G20" i="86"/>
  <c r="G26" i="88"/>
  <c r="G21" i="87"/>
  <c r="F22" i="87"/>
  <c r="F10" i="87"/>
  <c r="G8" i="88"/>
  <c r="G10" i="87"/>
  <c r="F11" i="88" l="1"/>
  <c r="F13" i="88" s="1"/>
  <c r="F7" i="89"/>
  <c r="F20" i="89" s="1"/>
  <c r="G8" i="89"/>
  <c r="G10" i="88"/>
  <c r="F26" i="90"/>
  <c r="G11" i="89"/>
  <c r="G13" i="89" s="1"/>
  <c r="G7" i="90"/>
  <c r="F15" i="89"/>
  <c r="F23" i="88"/>
  <c r="F21" i="88"/>
  <c r="F17" i="90"/>
  <c r="G15" i="89"/>
  <c r="G23" i="88"/>
  <c r="F8" i="90"/>
  <c r="G26" i="89"/>
  <c r="G21" i="88"/>
  <c r="F22" i="88"/>
  <c r="G22" i="87"/>
  <c r="G17" i="88"/>
  <c r="G20" i="87"/>
  <c r="F10" i="88"/>
  <c r="F20" i="88"/>
  <c r="F10" i="89" l="1"/>
  <c r="F21" i="89"/>
  <c r="F22" i="89"/>
  <c r="G7" i="91"/>
  <c r="G11" i="90"/>
  <c r="G13" i="90" s="1"/>
  <c r="G20" i="88"/>
  <c r="G17" i="89"/>
  <c r="G22" i="88"/>
  <c r="G15" i="90"/>
  <c r="G23" i="89"/>
  <c r="G8" i="90"/>
  <c r="G10" i="89"/>
  <c r="F7" i="90"/>
  <c r="F22" i="90" s="1"/>
  <c r="F11" i="89"/>
  <c r="F13" i="89" s="1"/>
  <c r="F17" i="91"/>
  <c r="G21" i="89"/>
  <c r="G26" i="90"/>
  <c r="F8" i="91"/>
  <c r="F15" i="90"/>
  <c r="F23" i="89"/>
  <c r="F26" i="91"/>
  <c r="F21" i="90" l="1"/>
  <c r="G26" i="91"/>
  <c r="G21" i="90"/>
  <c r="F17" i="92"/>
  <c r="G10" i="90"/>
  <c r="G8" i="91"/>
  <c r="G22" i="89"/>
  <c r="G17" i="90"/>
  <c r="G20" i="89"/>
  <c r="F23" i="90"/>
  <c r="F15" i="91"/>
  <c r="F8" i="92"/>
  <c r="F7" i="91"/>
  <c r="F10" i="91" s="1"/>
  <c r="F11" i="90"/>
  <c r="F13" i="90" s="1"/>
  <c r="G15" i="91"/>
  <c r="G23" i="90"/>
  <c r="F26" i="92"/>
  <c r="F10" i="90"/>
  <c r="F20" i="90"/>
  <c r="G7" i="92"/>
  <c r="G11" i="91"/>
  <c r="G13" i="91" s="1"/>
  <c r="F21" i="91" l="1"/>
  <c r="F23" i="91"/>
  <c r="F15" i="92"/>
  <c r="F17" i="93"/>
  <c r="G7" i="93"/>
  <c r="G11" i="92"/>
  <c r="G13" i="92" s="1"/>
  <c r="F26" i="93"/>
  <c r="F7" i="92"/>
  <c r="F22" i="92" s="1"/>
  <c r="F11" i="91"/>
  <c r="F13" i="91" s="1"/>
  <c r="G10" i="91"/>
  <c r="G8" i="92"/>
  <c r="F22" i="91"/>
  <c r="G23" i="91"/>
  <c r="G15" i="92"/>
  <c r="F8" i="93"/>
  <c r="G17" i="91"/>
  <c r="G20" i="90"/>
  <c r="G22" i="90"/>
  <c r="F20" i="91"/>
  <c r="G26" i="92"/>
  <c r="G21" i="91"/>
  <c r="F10" i="92" l="1"/>
  <c r="F21" i="92"/>
  <c r="G26" i="93"/>
  <c r="G21" i="92"/>
  <c r="G17" i="92"/>
  <c r="G20" i="91"/>
  <c r="G22" i="91"/>
  <c r="F7" i="93"/>
  <c r="F22" i="93" s="1"/>
  <c r="F11" i="92"/>
  <c r="F13" i="92" s="1"/>
  <c r="G7" i="94"/>
  <c r="G11" i="93"/>
  <c r="G13" i="93" s="1"/>
  <c r="F15" i="93"/>
  <c r="F23" i="92"/>
  <c r="G23" i="92"/>
  <c r="G15" i="93"/>
  <c r="F17" i="94"/>
  <c r="F8" i="94"/>
  <c r="G8" i="93"/>
  <c r="G10" i="92"/>
  <c r="F26" i="94"/>
  <c r="F20" i="92"/>
  <c r="F20" i="93" l="1"/>
  <c r="F10" i="93"/>
  <c r="F21" i="93"/>
  <c r="G22" i="92"/>
  <c r="G17" i="93"/>
  <c r="G20" i="92"/>
  <c r="F8" i="95"/>
  <c r="G7" i="95"/>
  <c r="G11" i="94"/>
  <c r="G13" i="94" s="1"/>
  <c r="G8" i="94"/>
  <c r="G10" i="93"/>
  <c r="F17" i="95"/>
  <c r="F15" i="94"/>
  <c r="F23" i="93"/>
  <c r="F7" i="94"/>
  <c r="F21" i="94" s="1"/>
  <c r="F11" i="93"/>
  <c r="F13" i="93" s="1"/>
  <c r="F26" i="95"/>
  <c r="G23" i="93"/>
  <c r="G15" i="94"/>
  <c r="G21" i="93"/>
  <c r="G26" i="94"/>
  <c r="F10" i="94" l="1"/>
  <c r="F22" i="94"/>
  <c r="G15" i="95"/>
  <c r="G23" i="94"/>
  <c r="G8" i="95"/>
  <c r="G10" i="94"/>
  <c r="F20" i="94"/>
  <c r="G26" i="95"/>
  <c r="G21" i="94"/>
  <c r="F17" i="96"/>
  <c r="G7" i="96"/>
  <c r="G11" i="95"/>
  <c r="G13" i="95" s="1"/>
  <c r="G22" i="93"/>
  <c r="G17" i="94"/>
  <c r="G20" i="93"/>
  <c r="F7" i="95"/>
  <c r="F21" i="95" s="1"/>
  <c r="F11" i="94"/>
  <c r="F13" i="94" s="1"/>
  <c r="F26" i="96"/>
  <c r="F23" i="94"/>
  <c r="F15" i="95"/>
  <c r="F8" i="96"/>
  <c r="F22" i="95" l="1"/>
  <c r="G7" i="97"/>
  <c r="G11" i="96"/>
  <c r="G13" i="96" s="1"/>
  <c r="G10" i="95"/>
  <c r="G8" i="96"/>
  <c r="F7" i="96"/>
  <c r="F10" i="96" s="1"/>
  <c r="F11" i="95"/>
  <c r="F13" i="95" s="1"/>
  <c r="F10" i="95"/>
  <c r="F8" i="97"/>
  <c r="F26" i="97"/>
  <c r="G17" i="95"/>
  <c r="G20" i="94"/>
  <c r="G22" i="94"/>
  <c r="F20" i="95"/>
  <c r="G26" i="96"/>
  <c r="G21" i="95"/>
  <c r="F23" i="95"/>
  <c r="F15" i="96"/>
  <c r="F17" i="97"/>
  <c r="G23" i="95"/>
  <c r="G15" i="96"/>
  <c r="F21" i="96" l="1"/>
  <c r="F20" i="96"/>
  <c r="F22" i="96"/>
  <c r="F17" i="98"/>
  <c r="G17" i="96"/>
  <c r="G20" i="95"/>
  <c r="G22" i="95"/>
  <c r="G8" i="97"/>
  <c r="G10" i="96"/>
  <c r="F23" i="96"/>
  <c r="F15" i="97"/>
  <c r="G15" i="97"/>
  <c r="G23" i="96"/>
  <c r="G26" i="97"/>
  <c r="G21" i="96"/>
  <c r="F8" i="98"/>
  <c r="F26" i="98"/>
  <c r="F7" i="97"/>
  <c r="F11" i="96"/>
  <c r="F13" i="96" s="1"/>
  <c r="G7" i="98"/>
  <c r="G11" i="97"/>
  <c r="G13" i="97" s="1"/>
  <c r="F10" i="97" l="1"/>
  <c r="F22" i="97"/>
  <c r="F8" i="99"/>
  <c r="G23" i="97"/>
  <c r="G15" i="98"/>
  <c r="F15" i="98"/>
  <c r="F23" i="97"/>
  <c r="F17" i="99"/>
  <c r="G17" i="97"/>
  <c r="G22" i="97" s="1"/>
  <c r="G22" i="96"/>
  <c r="G20" i="96"/>
  <c r="F11" i="97"/>
  <c r="F13" i="97" s="1"/>
  <c r="F7" i="98"/>
  <c r="F21" i="98" s="1"/>
  <c r="G8" i="98"/>
  <c r="G10" i="97"/>
  <c r="F20" i="97"/>
  <c r="F26" i="99"/>
  <c r="G7" i="99"/>
  <c r="G11" i="98"/>
  <c r="G13" i="98" s="1"/>
  <c r="F21" i="97"/>
  <c r="G21" i="97"/>
  <c r="G26" i="98"/>
  <c r="F20" i="98" l="1"/>
  <c r="G21" i="98"/>
  <c r="G26" i="99"/>
  <c r="G15" i="99"/>
  <c r="G23" i="98"/>
  <c r="F26" i="101"/>
  <c r="G20" i="97"/>
  <c r="G17" i="98"/>
  <c r="F8" i="101"/>
  <c r="G7" i="101"/>
  <c r="G11" i="99"/>
  <c r="G13" i="99" s="1"/>
  <c r="G8" i="99"/>
  <c r="G10" i="98"/>
  <c r="F17" i="101"/>
  <c r="F7" i="99"/>
  <c r="F21" i="99" s="1"/>
  <c r="F11" i="98"/>
  <c r="F13" i="98" s="1"/>
  <c r="F22" i="98"/>
  <c r="F15" i="99"/>
  <c r="F23" i="98"/>
  <c r="F10" i="98"/>
  <c r="F17" i="100" l="1"/>
  <c r="G15" i="101"/>
  <c r="G23" i="99"/>
  <c r="F15" i="101"/>
  <c r="F23" i="99"/>
  <c r="F22" i="99"/>
  <c r="G8" i="101"/>
  <c r="G10" i="99"/>
  <c r="F10" i="99"/>
  <c r="G26" i="101"/>
  <c r="G21" i="99"/>
  <c r="G7" i="100"/>
  <c r="G11" i="101"/>
  <c r="G13" i="101" s="1"/>
  <c r="F7" i="101"/>
  <c r="F11" i="99"/>
  <c r="F13" i="99" s="1"/>
  <c r="F8" i="100"/>
  <c r="F20" i="99"/>
  <c r="G22" i="98"/>
  <c r="G17" i="99"/>
  <c r="G20" i="98"/>
  <c r="F26" i="100"/>
  <c r="F26" i="102" s="1"/>
  <c r="F7" i="100" l="1"/>
  <c r="F20" i="100" s="1"/>
  <c r="F11" i="101"/>
  <c r="F13" i="101" s="1"/>
  <c r="G26" i="100"/>
  <c r="G26" i="102" s="1"/>
  <c r="G21" i="101"/>
  <c r="G23" i="101"/>
  <c r="G15" i="100"/>
  <c r="F8" i="102"/>
  <c r="G7" i="102"/>
  <c r="G11" i="100"/>
  <c r="G13" i="100" s="1"/>
  <c r="F23" i="101"/>
  <c r="F15" i="100"/>
  <c r="F17" i="102"/>
  <c r="F10" i="101"/>
  <c r="F20" i="101"/>
  <c r="G17" i="101"/>
  <c r="G20" i="99"/>
  <c r="G22" i="99"/>
  <c r="F21" i="101"/>
  <c r="G8" i="100"/>
  <c r="G10" i="101"/>
  <c r="F22" i="101"/>
  <c r="F22" i="100" l="1"/>
  <c r="F21" i="100"/>
  <c r="F10" i="100"/>
  <c r="G8" i="102"/>
  <c r="G10" i="100"/>
  <c r="F26" i="103"/>
  <c r="F8" i="103"/>
  <c r="F17" i="103"/>
  <c r="G23" i="100"/>
  <c r="G15" i="102"/>
  <c r="G17" i="100"/>
  <c r="G20" i="101"/>
  <c r="G22" i="101"/>
  <c r="F23" i="100"/>
  <c r="F15" i="102"/>
  <c r="G21" i="100"/>
  <c r="G7" i="103"/>
  <c r="G11" i="102"/>
  <c r="G13" i="102" s="1"/>
  <c r="F7" i="102"/>
  <c r="F11" i="100"/>
  <c r="F13" i="100" s="1"/>
  <c r="F7" i="103" l="1"/>
  <c r="F22" i="103" s="1"/>
  <c r="F11" i="102"/>
  <c r="F13" i="102" s="1"/>
  <c r="F15" i="103"/>
  <c r="F23" i="102"/>
  <c r="G20" i="100"/>
  <c r="G22" i="100"/>
  <c r="G17" i="102"/>
  <c r="F20" i="102"/>
  <c r="F26" i="104"/>
  <c r="G7" i="104"/>
  <c r="G11" i="103"/>
  <c r="G13" i="103" s="1"/>
  <c r="G15" i="103"/>
  <c r="G23" i="102"/>
  <c r="F22" i="102"/>
  <c r="F21" i="102"/>
  <c r="G26" i="103"/>
  <c r="G21" i="102"/>
  <c r="F8" i="104"/>
  <c r="F17" i="104"/>
  <c r="F10" i="102"/>
  <c r="G8" i="103"/>
  <c r="G10" i="102"/>
  <c r="F20" i="103" l="1"/>
  <c r="F21" i="103"/>
  <c r="F10" i="103"/>
  <c r="G22" i="102"/>
  <c r="G17" i="103"/>
  <c r="G20" i="102"/>
  <c r="F8" i="115"/>
  <c r="G7" i="115"/>
  <c r="G11" i="104"/>
  <c r="G13" i="104" s="1"/>
  <c r="F15" i="104"/>
  <c r="F23" i="103"/>
  <c r="G8" i="104"/>
  <c r="G10" i="103"/>
  <c r="F17" i="115"/>
  <c r="G21" i="103"/>
  <c r="G26" i="104"/>
  <c r="G23" i="103"/>
  <c r="G15" i="104"/>
  <c r="F26" i="115"/>
  <c r="F7" i="104"/>
  <c r="F22" i="104" s="1"/>
  <c r="F11" i="103"/>
  <c r="F13" i="103" s="1"/>
  <c r="F10" i="104" l="1"/>
  <c r="F21" i="104"/>
  <c r="G26" i="115"/>
  <c r="G21" i="104"/>
  <c r="F26" i="116"/>
  <c r="F23" i="104"/>
  <c r="F15" i="115"/>
  <c r="G15" i="115"/>
  <c r="G23" i="104"/>
  <c r="F17" i="116"/>
  <c r="G10" i="104"/>
  <c r="G8" i="115"/>
  <c r="G7" i="116"/>
  <c r="G11" i="115"/>
  <c r="G13" i="115" s="1"/>
  <c r="G20" i="103"/>
  <c r="G22" i="103"/>
  <c r="G17" i="104"/>
  <c r="F7" i="115"/>
  <c r="F21" i="115" s="1"/>
  <c r="F11" i="104"/>
  <c r="F13" i="104" s="1"/>
  <c r="F20" i="104"/>
  <c r="F8" i="116"/>
  <c r="F11" i="115" l="1"/>
  <c r="F13" i="115" s="1"/>
  <c r="F7" i="116"/>
  <c r="F21" i="116" s="1"/>
  <c r="F26" i="117"/>
  <c r="F10" i="115"/>
  <c r="F20" i="115"/>
  <c r="F8" i="117"/>
  <c r="G17" i="115"/>
  <c r="G20" i="104"/>
  <c r="G22" i="104"/>
  <c r="G7" i="117"/>
  <c r="G11" i="117" s="1"/>
  <c r="G13" i="117" s="1"/>
  <c r="G11" i="116"/>
  <c r="G13" i="116" s="1"/>
  <c r="F17" i="117"/>
  <c r="F23" i="115"/>
  <c r="F15" i="116"/>
  <c r="G23" i="115"/>
  <c r="G15" i="116"/>
  <c r="G10" i="115"/>
  <c r="G8" i="116"/>
  <c r="F22" i="115"/>
  <c r="G21" i="115"/>
  <c r="G26" i="116"/>
  <c r="F10" i="116" l="1"/>
  <c r="F20" i="116"/>
  <c r="F22" i="116"/>
  <c r="G15" i="117"/>
  <c r="G23" i="117" s="1"/>
  <c r="G23" i="116"/>
  <c r="G8" i="117"/>
  <c r="G10" i="117" s="1"/>
  <c r="G10" i="116"/>
  <c r="F15" i="117"/>
  <c r="F23" i="116"/>
  <c r="F7" i="117"/>
  <c r="F11" i="117" s="1"/>
  <c r="F13" i="117" s="1"/>
  <c r="F11" i="116"/>
  <c r="F13" i="116" s="1"/>
  <c r="G26" i="117"/>
  <c r="G21" i="117" s="1"/>
  <c r="G21" i="116"/>
  <c r="G20" i="115"/>
  <c r="G17" i="116"/>
  <c r="G22" i="115"/>
  <c r="F22" i="117" l="1"/>
  <c r="F20" i="117"/>
  <c r="F23" i="117"/>
  <c r="F10" i="117"/>
  <c r="G22" i="116"/>
  <c r="G17" i="117"/>
  <c r="G20" i="116"/>
  <c r="F21" i="117"/>
  <c r="G20" i="117" l="1"/>
  <c r="G22" i="117"/>
</calcChain>
</file>

<file path=xl/sharedStrings.xml><?xml version="1.0" encoding="utf-8"?>
<sst xmlns="http://schemas.openxmlformats.org/spreadsheetml/2006/main" count="2045" uniqueCount="53">
  <si>
    <t>1*10 MW CAPTIVE POWER PLANT</t>
  </si>
  <si>
    <t>Sr. NO.</t>
  </si>
  <si>
    <t xml:space="preserve">Description </t>
  </si>
  <si>
    <t xml:space="preserve">Unit </t>
  </si>
  <si>
    <t xml:space="preserve">Month to Date </t>
  </si>
  <si>
    <t xml:space="preserve">Gross Power Generation  </t>
  </si>
  <si>
    <t>kWhr</t>
  </si>
  <si>
    <t>Auxiliary power consumption</t>
  </si>
  <si>
    <t xml:space="preserve">Net Power Exported </t>
  </si>
  <si>
    <t xml:space="preserve">Auxiliary power consumption </t>
  </si>
  <si>
    <t xml:space="preserve">( % ) </t>
  </si>
  <si>
    <t xml:space="preserve">Average Power Generation </t>
  </si>
  <si>
    <t>MWhr</t>
  </si>
  <si>
    <t xml:space="preserve">Plant Running Hours </t>
  </si>
  <si>
    <t>Hrs</t>
  </si>
  <si>
    <t>PLF</t>
  </si>
  <si>
    <t xml:space="preserve">Feed Water consumption </t>
  </si>
  <si>
    <t>MT</t>
  </si>
  <si>
    <t xml:space="preserve">Boiler Steam Generation  </t>
  </si>
  <si>
    <t>Bleed steam</t>
  </si>
  <si>
    <t>Turbine steam consumption</t>
  </si>
  <si>
    <t xml:space="preserve">Condensate Generation </t>
  </si>
  <si>
    <t>Auxilairy steam consumption</t>
  </si>
  <si>
    <t xml:space="preserve">Specific steam consumption </t>
  </si>
  <si>
    <t>Kg/Kwhr</t>
  </si>
  <si>
    <t xml:space="preserve">Specific fuel consumption </t>
  </si>
  <si>
    <t>Heat Rate(TG)2880</t>
  </si>
  <si>
    <t xml:space="preserve">Kcal/Kwh </t>
  </si>
  <si>
    <t xml:space="preserve">Heat Rate ( Plant ) 3300 @ MCR </t>
  </si>
  <si>
    <t>DG Power Generation</t>
  </si>
  <si>
    <t>FUEL Report</t>
  </si>
  <si>
    <t>Coal Consumption</t>
  </si>
  <si>
    <t>GCV ( ADB )</t>
  </si>
  <si>
    <t>Kcal/kg</t>
  </si>
  <si>
    <t xml:space="preserve">WTP Report </t>
  </si>
  <si>
    <t xml:space="preserve">DM water Generation </t>
  </si>
  <si>
    <t>m3</t>
  </si>
  <si>
    <t>DM water Consumption</t>
  </si>
  <si>
    <r>
      <rPr>
        <sz val="14"/>
        <color theme="1"/>
        <rFont val="Calibri"/>
        <charset val="134"/>
        <scheme val="minor"/>
      </rPr>
      <t>m</t>
    </r>
    <r>
      <rPr>
        <vertAlign val="superscript"/>
        <sz val="14"/>
        <color theme="1"/>
        <rFont val="Calibri"/>
        <charset val="134"/>
        <scheme val="minor"/>
      </rPr>
      <t>3</t>
    </r>
  </si>
  <si>
    <t>CT Makeup Water Consumption</t>
  </si>
  <si>
    <t>Fly ash combustible/ GCV</t>
  </si>
  <si>
    <t>% / kcal/kg</t>
  </si>
  <si>
    <t>FLY ASH DISPOSAL REPORT</t>
  </si>
  <si>
    <t>nos</t>
  </si>
  <si>
    <t>Fly ash to Dumpyard(Truck)</t>
  </si>
  <si>
    <r>
      <rPr>
        <sz val="14"/>
        <color theme="1"/>
        <rFont val="Calibri"/>
        <charset val="134"/>
        <scheme val="minor"/>
      </rPr>
      <t>m</t>
    </r>
    <r>
      <rPr>
        <vertAlign val="superscript"/>
        <sz val="14"/>
        <color theme="1"/>
        <rFont val="Calibri"/>
        <charset val="134"/>
        <scheme val="minor"/>
      </rPr>
      <t>2</t>
    </r>
  </si>
  <si>
    <t>Fly ash to cement mill</t>
  </si>
  <si>
    <t>Fly ash to Coal yard(Truck)</t>
  </si>
  <si>
    <t xml:space="preserve">                     1*10 MW CAPTIVE POWER PLANT</t>
  </si>
  <si>
    <t xml:space="preserve"> </t>
  </si>
  <si>
    <t>Fly ash to Coalyard(Truck)</t>
  </si>
  <si>
    <t xml:space="preserve">Daily,Monthly &amp; Yearly Generation Report (FRM-LCL-PP-06) </t>
  </si>
  <si>
    <t xml:space="preserve"> Year to Date(APR2026-MAR2027)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</si>
</sst>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"/>
    <numFmt numFmtId="166" formatCode="0.0"/>
  </numFmts>
  <fonts count="10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Arial"/>
      <charset val="134"/>
    </font>
    <font>
      <sz val="16"/>
      <color theme="1"/>
      <name val="Calibri"/>
      <charset val="134"/>
      <scheme val="minor"/>
    </font>
    <font>
      <b/>
      <sz val="14"/>
      <color theme="1"/>
      <name val="Arial"/>
      <charset val="134"/>
    </font>
    <font>
      <vertAlign val="superscript"/>
      <sz val="14"/>
      <color theme="1"/>
      <name val="Calibri"/>
      <charset val="134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3" borderId="5" xfId="0" applyFont="1" applyFill="1" applyBorder="1"/>
    <xf numFmtId="2" fontId="6" fillId="3" borderId="5" xfId="0" applyNumberFormat="1" applyFont="1" applyFill="1" applyBorder="1"/>
    <xf numFmtId="2" fontId="6" fillId="3" borderId="6" xfId="0" applyNumberFormat="1" applyFont="1" applyFill="1" applyBorder="1"/>
    <xf numFmtId="1" fontId="6" fillId="2" borderId="5" xfId="0" applyNumberFormat="1" applyFont="1" applyFill="1" applyBorder="1"/>
    <xf numFmtId="0" fontId="1" fillId="2" borderId="5" xfId="0" applyFont="1" applyFill="1" applyBorder="1" applyAlignment="1">
      <alignment horizontal="center"/>
    </xf>
    <xf numFmtId="165" fontId="6" fillId="3" borderId="5" xfId="0" applyNumberFormat="1" applyFont="1" applyFill="1" applyBorder="1"/>
    <xf numFmtId="165" fontId="6" fillId="3" borderId="6" xfId="0" applyNumberFormat="1" applyFont="1" applyFill="1" applyBorder="1"/>
    <xf numFmtId="166" fontId="6" fillId="3" borderId="5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1" fontId="6" fillId="2" borderId="8" xfId="0" applyNumberFormat="1" applyFont="1" applyFill="1" applyBorder="1"/>
    <xf numFmtId="1" fontId="6" fillId="0" borderId="8" xfId="0" applyNumberFormat="1" applyFont="1" applyBorder="1"/>
    <xf numFmtId="1" fontId="6" fillId="0" borderId="9" xfId="0" applyNumberFormat="1" applyFont="1" applyBorder="1"/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/>
    </xf>
    <xf numFmtId="0" fontId="6" fillId="0" borderId="8" xfId="0" applyFont="1" applyBorder="1"/>
    <xf numFmtId="0" fontId="6" fillId="0" borderId="9" xfId="0" applyFont="1" applyBorder="1"/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" fontId="6" fillId="0" borderId="5" xfId="0" applyNumberFormat="1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9" xfId="0" applyFont="1" applyBorder="1" applyAlignment="1">
      <alignment horizontal="right"/>
    </xf>
    <xf numFmtId="0" fontId="1" fillId="0" borderId="22" xfId="0" applyFont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6" fontId="6" fillId="3" borderId="6" xfId="0" applyNumberFormat="1" applyFont="1" applyFill="1" applyBorder="1"/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2" borderId="8" xfId="0" applyFont="1" applyFill="1" applyBorder="1" applyAlignment="1">
      <alignment horizontal="right"/>
    </xf>
    <xf numFmtId="0" fontId="6" fillId="2" borderId="8" xfId="0" applyFont="1" applyFill="1" applyBorder="1"/>
    <xf numFmtId="0" fontId="1" fillId="2" borderId="5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" xfId="0" applyFont="1" applyBorder="1"/>
    <xf numFmtId="0" fontId="9" fillId="2" borderId="5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614912</xdr:colOff>
      <xdr:row>1</xdr:row>
      <xdr:rowOff>114396</xdr:rowOff>
    </xdr:from>
    <xdr:to>
      <xdr:col>6</xdr:col>
      <xdr:colOff>1815353</xdr:colOff>
      <xdr:row>4</xdr:row>
      <xdr:rowOff>289323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5780" y="507365"/>
          <a:ext cx="1200150" cy="150114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0</xdr:rowOff>
    </xdr:from>
    <xdr:to>
      <xdr:col>5</xdr:col>
      <xdr:colOff>1472127</xdr:colOff>
      <xdr:row>1</xdr:row>
      <xdr:rowOff>95977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0"/>
          <a:ext cx="4592320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582706</xdr:colOff>
      <xdr:row>0</xdr:row>
      <xdr:rowOff>75920</xdr:rowOff>
    </xdr:from>
    <xdr:to>
      <xdr:col>6</xdr:col>
      <xdr:colOff>2061463</xdr:colOff>
      <xdr:row>4</xdr:row>
      <xdr:rowOff>51480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7345" y="7556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390525</xdr:rowOff>
    </xdr:from>
    <xdr:to>
      <xdr:col>5</xdr:col>
      <xdr:colOff>889421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390525"/>
          <a:ext cx="4590415" cy="4845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1023938</xdr:colOff>
      <xdr:row>0</xdr:row>
      <xdr:rowOff>97631</xdr:rowOff>
    </xdr:from>
    <xdr:to>
      <xdr:col>6</xdr:col>
      <xdr:colOff>2502695</xdr:colOff>
      <xdr:row>4</xdr:row>
      <xdr:rowOff>73191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770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80959</xdr:colOff>
      <xdr:row>0</xdr:row>
      <xdr:rowOff>390525</xdr:rowOff>
    </xdr:from>
    <xdr:to>
      <xdr:col>5</xdr:col>
      <xdr:colOff>1285873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404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1000124</xdr:colOff>
      <xdr:row>0</xdr:row>
      <xdr:rowOff>109538</xdr:rowOff>
    </xdr:from>
    <xdr:to>
      <xdr:col>6</xdr:col>
      <xdr:colOff>2478881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4590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991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940593</xdr:colOff>
      <xdr:row>0</xdr:row>
      <xdr:rowOff>109538</xdr:rowOff>
    </xdr:from>
    <xdr:to>
      <xdr:col>6</xdr:col>
      <xdr:colOff>2419350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8385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7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750093</xdr:colOff>
      <xdr:row>0</xdr:row>
      <xdr:rowOff>0</xdr:rowOff>
    </xdr:from>
    <xdr:to>
      <xdr:col>6</xdr:col>
      <xdr:colOff>2228850</xdr:colOff>
      <xdr:row>4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6410" y="0"/>
          <a:ext cx="1478915" cy="1547495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2819404</xdr:colOff>
      <xdr:row>0</xdr:row>
      <xdr:rowOff>221457</xdr:rowOff>
    </xdr:from>
    <xdr:to>
      <xdr:col>5</xdr:col>
      <xdr:colOff>1059662</xdr:colOff>
      <xdr:row>2</xdr:row>
      <xdr:rowOff>73006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220980"/>
          <a:ext cx="4592955" cy="480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928688</xdr:colOff>
      <xdr:row>0</xdr:row>
      <xdr:rowOff>121444</xdr:rowOff>
    </xdr:from>
    <xdr:to>
      <xdr:col>6</xdr:col>
      <xdr:colOff>2407445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347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45241</xdr:colOff>
      <xdr:row>0</xdr:row>
      <xdr:rowOff>390525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848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904875</xdr:colOff>
      <xdr:row>0</xdr:row>
      <xdr:rowOff>145256</xdr:rowOff>
    </xdr:from>
    <xdr:to>
      <xdr:col>6</xdr:col>
      <xdr:colOff>2383632</xdr:colOff>
      <xdr:row>4</xdr:row>
      <xdr:rowOff>120816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144780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721064</xdr:colOff>
      <xdr:row>1</xdr:row>
      <xdr:rowOff>33337</xdr:rowOff>
    </xdr:from>
    <xdr:to>
      <xdr:col>5</xdr:col>
      <xdr:colOff>1583604</xdr:colOff>
      <xdr:row>2</xdr:row>
      <xdr:rowOff>15548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6085"/>
          <a:ext cx="4243705" cy="448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156485</xdr:rowOff>
    </xdr:from>
    <xdr:to>
      <xdr:col>6</xdr:col>
      <xdr:colOff>2428874</xdr:colOff>
      <xdr:row>4</xdr:row>
      <xdr:rowOff>61284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980" y="156210"/>
          <a:ext cx="1416685" cy="1624330"/>
        </a:xfrm>
        <a:prstGeom prst="rect">
          <a:avLst/>
        </a:prstGeom>
      </xdr:spPr>
    </xdr:pic>
    <xdr:clientData/>
  </xdr:twoCellAnchor>
  <xdr:twoCellAnchor editAs="oneCell">
    <xdr:from>
      <xdr:col>3</xdr:col>
      <xdr:colOff>88103</xdr:colOff>
      <xdr:row>0</xdr:row>
      <xdr:rowOff>390525</xdr:rowOff>
    </xdr:from>
    <xdr:to>
      <xdr:col>5</xdr:col>
      <xdr:colOff>1293017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40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997325</xdr:colOff>
      <xdr:row>0</xdr:row>
      <xdr:rowOff>31097</xdr:rowOff>
    </xdr:from>
    <xdr:to>
      <xdr:col>6</xdr:col>
      <xdr:colOff>1609307</xdr:colOff>
      <xdr:row>4</xdr:row>
      <xdr:rowOff>6657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304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4</xdr:col>
      <xdr:colOff>168380</xdr:colOff>
      <xdr:row>1</xdr:row>
      <xdr:rowOff>20731</xdr:rowOff>
    </xdr:from>
    <xdr:to>
      <xdr:col>5</xdr:col>
      <xdr:colOff>2117911</xdr:colOff>
      <xdr:row>2</xdr:row>
      <xdr:rowOff>38267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292" y="412937"/>
          <a:ext cx="4257943" cy="4881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952500</xdr:colOff>
      <xdr:row>0</xdr:row>
      <xdr:rowOff>75921</xdr:rowOff>
    </xdr:from>
    <xdr:to>
      <xdr:col>6</xdr:col>
      <xdr:colOff>2431257</xdr:colOff>
      <xdr:row>4</xdr:row>
      <xdr:rowOff>51481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75565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15967</xdr:colOff>
      <xdr:row>0</xdr:row>
      <xdr:rowOff>390525</xdr:rowOff>
    </xdr:from>
    <xdr:to>
      <xdr:col>5</xdr:col>
      <xdr:colOff>1218079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85725</xdr:rowOff>
    </xdr:from>
    <xdr:to>
      <xdr:col>6</xdr:col>
      <xdr:colOff>2490788</xdr:colOff>
      <xdr:row>4</xdr:row>
      <xdr:rowOff>61285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8572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97632</xdr:rowOff>
    </xdr:from>
    <xdr:to>
      <xdr:col>6</xdr:col>
      <xdr:colOff>2490788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1071562</xdr:colOff>
      <xdr:row>0</xdr:row>
      <xdr:rowOff>204788</xdr:rowOff>
    </xdr:from>
    <xdr:to>
      <xdr:col>6</xdr:col>
      <xdr:colOff>2550319</xdr:colOff>
      <xdr:row>4</xdr:row>
      <xdr:rowOff>180348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9695" y="20447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278959</xdr:rowOff>
    </xdr:from>
    <xdr:to>
      <xdr:col>6</xdr:col>
      <xdr:colOff>2440781</xdr:colOff>
      <xdr:row>4</xdr:row>
      <xdr:rowOff>59531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278765"/>
          <a:ext cx="1356995" cy="14998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1238249</xdr:colOff>
      <xdr:row>0</xdr:row>
      <xdr:rowOff>385090</xdr:rowOff>
    </xdr:from>
    <xdr:to>
      <xdr:col>6</xdr:col>
      <xdr:colOff>2538412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6065" y="384810"/>
          <a:ext cx="1300480" cy="14909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133350</xdr:rowOff>
    </xdr:from>
    <xdr:to>
      <xdr:col>6</xdr:col>
      <xdr:colOff>2597944</xdr:colOff>
      <xdr:row>4</xdr:row>
      <xdr:rowOff>108910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320" y="133350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1095374</xdr:colOff>
      <xdr:row>0</xdr:row>
      <xdr:rowOff>157163</xdr:rowOff>
    </xdr:from>
    <xdr:to>
      <xdr:col>6</xdr:col>
      <xdr:colOff>2574131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196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4</xdr:col>
      <xdr:colOff>2995268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1131093</xdr:colOff>
      <xdr:row>0</xdr:row>
      <xdr:rowOff>157163</xdr:rowOff>
    </xdr:from>
    <xdr:to>
      <xdr:col>6</xdr:col>
      <xdr:colOff>2609850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38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121444</xdr:rowOff>
    </xdr:from>
    <xdr:to>
      <xdr:col>6</xdr:col>
      <xdr:colOff>2562226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1035843</xdr:colOff>
      <xdr:row>0</xdr:row>
      <xdr:rowOff>180976</xdr:rowOff>
    </xdr:from>
    <xdr:to>
      <xdr:col>6</xdr:col>
      <xdr:colOff>2514600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4135" y="18097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252413</xdr:rowOff>
    </xdr:from>
    <xdr:to>
      <xdr:col>6</xdr:col>
      <xdr:colOff>2483306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252095"/>
          <a:ext cx="1387475" cy="165798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169069</xdr:rowOff>
    </xdr:from>
    <xdr:to>
      <xdr:col>6</xdr:col>
      <xdr:colOff>2621755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168910"/>
          <a:ext cx="1525905" cy="1741170"/>
        </a:xfrm>
        <a:prstGeom prst="rect">
          <a:avLst/>
        </a:prstGeom>
      </xdr:spPr>
    </xdr:pic>
    <xdr:clientData/>
  </xdr:twoCellAnchor>
  <xdr:twoCellAnchor editAs="oneCell">
    <xdr:from>
      <xdr:col>3</xdr:col>
      <xdr:colOff>297655</xdr:colOff>
      <xdr:row>1</xdr:row>
      <xdr:rowOff>24179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0580" y="417195"/>
          <a:ext cx="4333875" cy="4578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1083468</xdr:colOff>
      <xdr:row>0</xdr:row>
      <xdr:rowOff>119062</xdr:rowOff>
    </xdr:from>
    <xdr:to>
      <xdr:col>6</xdr:col>
      <xdr:colOff>2562225</xdr:colOff>
      <xdr:row>4</xdr:row>
      <xdr:rowOff>94622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187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121444</xdr:rowOff>
    </xdr:from>
    <xdr:to>
      <xdr:col>6</xdr:col>
      <xdr:colOff>2645569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1107280</xdr:colOff>
      <xdr:row>0</xdr:row>
      <xdr:rowOff>192882</xdr:rowOff>
    </xdr:from>
    <xdr:to>
      <xdr:col>6</xdr:col>
      <xdr:colOff>2586037</xdr:colOff>
      <xdr:row>4</xdr:row>
      <xdr:rowOff>168442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255" y="19240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97632</xdr:rowOff>
    </xdr:from>
    <xdr:to>
      <xdr:col>6</xdr:col>
      <xdr:colOff>2645569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5</xdr:col>
      <xdr:colOff>1416839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1142999</xdr:colOff>
      <xdr:row>0</xdr:row>
      <xdr:rowOff>145257</xdr:rowOff>
    </xdr:from>
    <xdr:to>
      <xdr:col>6</xdr:col>
      <xdr:colOff>2621756</xdr:colOff>
      <xdr:row>4</xdr:row>
      <xdr:rowOff>120817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0815" y="1447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1309688</xdr:colOff>
      <xdr:row>0</xdr:row>
      <xdr:rowOff>297656</xdr:rowOff>
    </xdr:from>
    <xdr:to>
      <xdr:col>6</xdr:col>
      <xdr:colOff>2609850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7820" y="297180"/>
          <a:ext cx="1300480" cy="1495425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1262062</xdr:colOff>
      <xdr:row>0</xdr:row>
      <xdr:rowOff>226219</xdr:rowOff>
    </xdr:from>
    <xdr:to>
      <xdr:col>6</xdr:col>
      <xdr:colOff>2621755</xdr:colOff>
      <xdr:row>3</xdr:row>
      <xdr:rowOff>358942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0195" y="226060"/>
          <a:ext cx="135953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9"/>
  <sheetViews>
    <sheetView zoomScale="85" zoomScaleNormal="85" workbookViewId="0">
      <pane xSplit="4" ySplit="1" topLeftCell="E2" activePane="bottomRight" state="frozen"/>
      <selection pane="topRight"/>
      <selection pane="bottomLeft"/>
      <selection pane="bottomRight" activeCell="G6" sqref="G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5" width="25.7109375" style="1" customWidth="1"/>
    <col min="6" max="6" width="26.28515625" style="1" customWidth="1"/>
    <col min="7" max="7" width="39.5703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89"/>
      <c r="C5" s="89"/>
      <c r="D5" s="89"/>
      <c r="E5" s="89"/>
      <c r="F5" s="89"/>
      <c r="G5" s="89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v>46142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165800</v>
      </c>
      <c r="F7" s="12">
        <v>4489300</v>
      </c>
      <c r="G7" s="13">
        <v>4489300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17741</v>
      </c>
      <c r="F8" s="12">
        <v>517714</v>
      </c>
      <c r="G8" s="13">
        <v>517714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v>148059</v>
      </c>
      <c r="F9" s="12">
        <v>3971586</v>
      </c>
      <c r="G9" s="13">
        <v>3971586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v>10.700241254523522</v>
      </c>
      <c r="F10" s="15">
        <v>11.532176508587085</v>
      </c>
      <c r="G10" s="16">
        <v>11.532176508587085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v>6.9083333333333332</v>
      </c>
      <c r="F11" s="15">
        <v>6.3890074858395245</v>
      </c>
      <c r="G11" s="16">
        <v>6.3890074858395245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v>702.66</v>
      </c>
      <c r="G12" s="13">
        <v>702.66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v>69.083333333333329</v>
      </c>
      <c r="F13" s="15">
        <v>63.890074858395238</v>
      </c>
      <c r="G13" s="16">
        <v>63.890074858395238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762</v>
      </c>
      <c r="F14" s="12">
        <v>21099</v>
      </c>
      <c r="G14" s="13">
        <v>21099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740</v>
      </c>
      <c r="F15" s="12">
        <v>20494</v>
      </c>
      <c r="G15" s="13">
        <v>20494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61</v>
      </c>
      <c r="F16" s="12">
        <v>1192</v>
      </c>
      <c r="G16" s="13">
        <v>1192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693</v>
      </c>
      <c r="F17" s="12">
        <v>18677</v>
      </c>
      <c r="G17" s="13">
        <v>18677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538</v>
      </c>
      <c r="F18" s="12">
        <v>15181</v>
      </c>
      <c r="G18" s="13">
        <v>15181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v>528</v>
      </c>
      <c r="G19" s="13">
        <v>528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v>4.1797346200241252</v>
      </c>
      <c r="F20" s="15">
        <v>4.1603368008375474</v>
      </c>
      <c r="G20" s="16">
        <v>4.1603368008375474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v>0.79010856453558509</v>
      </c>
      <c r="F21" s="19">
        <v>0.86182701089256675</v>
      </c>
      <c r="G21" s="20">
        <v>0.86182701089256675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v>2815.4945717732207</v>
      </c>
      <c r="F22" s="21">
        <v>2803.2813578954401</v>
      </c>
      <c r="G22" s="21">
        <v>2803.2813578954401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v>3850.9480065571743</v>
      </c>
      <c r="F23" s="21">
        <v>3938.8420443596083</v>
      </c>
      <c r="G23" s="21">
        <v>3938.8420443596083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v>0</v>
      </c>
      <c r="G24" s="27"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131</v>
      </c>
      <c r="F26" s="32">
        <v>3869</v>
      </c>
      <c r="G26" s="33">
        <v>3869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4849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13</v>
      </c>
      <c r="F30" s="32">
        <v>490</v>
      </c>
      <c r="G30" s="33">
        <v>490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v>505</v>
      </c>
      <c r="G31" s="13">
        <v>505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v>538</v>
      </c>
      <c r="G32" s="13">
        <v>538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26</v>
      </c>
      <c r="F33" s="47">
        <v>1971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91" t="s">
        <v>46</v>
      </c>
      <c r="D35" s="92" t="s">
        <v>17</v>
      </c>
      <c r="E35" s="51">
        <v>37</v>
      </c>
      <c r="F35" s="32">
        <v>632</v>
      </c>
      <c r="G35" s="33">
        <v>632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v>66</v>
      </c>
      <c r="G36" s="13">
        <v>66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v>0</v>
      </c>
      <c r="G37" s="48"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0"/>
  <sheetViews>
    <sheetView zoomScale="85" zoomScaleNormal="85" workbookViewId="0">
      <pane xSplit="4" ySplit="6" topLeftCell="E7" activePane="bottomRight" state="frozen"/>
      <selection pane="topRight"/>
      <selection pane="bottomLeft"/>
      <selection pane="bottomRight" activeCell="E35" sqref="E3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6" width="34.42578125" style="1" customWidth="1"/>
    <col min="7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75" customHeight="1">
      <c r="B6" s="6" t="s">
        <v>1</v>
      </c>
      <c r="C6" s="7" t="s">
        <v>2</v>
      </c>
      <c r="D6" s="7" t="s">
        <v>3</v>
      </c>
      <c r="E6" s="8">
        <f>'0'!E6+1</f>
        <v>46143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103100</v>
      </c>
      <c r="F7" s="12">
        <f>E7</f>
        <v>103100</v>
      </c>
      <c r="G7" s="13">
        <f>E7+'0'!G7</f>
        <v>4592400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16407</v>
      </c>
      <c r="F8" s="12">
        <f t="shared" ref="F8:F9" si="0">E8</f>
        <v>16407</v>
      </c>
      <c r="G8" s="13">
        <f>E8+'0'!G8</f>
        <v>534121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86693</v>
      </c>
      <c r="F9" s="12">
        <f t="shared" si="0"/>
        <v>86693</v>
      </c>
      <c r="G9" s="13">
        <f>E9+'0'!G9</f>
        <v>4058279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15.913676042677013</v>
      </c>
      <c r="F10" s="15">
        <f>F8/F7*100</f>
        <v>15.913676042677013</v>
      </c>
      <c r="G10" s="16">
        <f>G8/G7*100</f>
        <v>11.630541764654646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4.2958333333333334</v>
      </c>
      <c r="F11" s="15">
        <f>F7/F12/1000</f>
        <v>4.2958333333333334</v>
      </c>
      <c r="G11" s="16">
        <f>G7/G12/1000</f>
        <v>6.3198744942614153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</f>
        <v>24</v>
      </c>
      <c r="G12" s="13">
        <f>E12+'0'!G12</f>
        <v>726.66</v>
      </c>
    </row>
    <row r="13" spans="1:12" ht="30.75" customHeight="1">
      <c r="B13" s="9">
        <v>6</v>
      </c>
      <c r="C13" s="10" t="s">
        <v>15</v>
      </c>
      <c r="D13" s="11" t="s">
        <v>10</v>
      </c>
      <c r="E13" s="15">
        <f>E11/10*100</f>
        <v>42.958333333333329</v>
      </c>
      <c r="F13" s="15">
        <f>F11/10*100</f>
        <v>42.958333333333329</v>
      </c>
      <c r="G13" s="16">
        <f>G11/10*100</f>
        <v>63.198744942614148</v>
      </c>
    </row>
    <row r="14" spans="1:12" ht="30.75" customHeight="1">
      <c r="B14" s="9">
        <v>7</v>
      </c>
      <c r="C14" s="10" t="s">
        <v>16</v>
      </c>
      <c r="D14" s="11" t="s">
        <v>17</v>
      </c>
      <c r="E14" s="12">
        <v>558</v>
      </c>
      <c r="F14" s="12">
        <f>E14</f>
        <v>558</v>
      </c>
      <c r="G14" s="13">
        <f>E14+'0'!G14</f>
        <v>21657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542</v>
      </c>
      <c r="F15" s="12">
        <f t="shared" ref="F15:F19" si="1">E15</f>
        <v>542</v>
      </c>
      <c r="G15" s="13">
        <f>E15+'0'!G15</f>
        <v>21036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7</v>
      </c>
      <c r="F16" s="12">
        <f t="shared" si="1"/>
        <v>7</v>
      </c>
      <c r="G16" s="13">
        <f>E16+'0'!G16</f>
        <v>1199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434</v>
      </c>
      <c r="F17" s="12">
        <f t="shared" si="1"/>
        <v>434</v>
      </c>
      <c r="G17" s="13">
        <f>E17+'0'!G17</f>
        <v>19111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382</v>
      </c>
      <c r="F18" s="12">
        <f t="shared" si="1"/>
        <v>382</v>
      </c>
      <c r="G18" s="13">
        <f>E18+'0'!G18</f>
        <v>15563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 t="shared" si="1"/>
        <v>18</v>
      </c>
      <c r="G19" s="13">
        <f>E19+'0'!G19</f>
        <v>546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4.2095053346265763</v>
      </c>
      <c r="F20" s="15">
        <f>F17*1000/F7</f>
        <v>4.2095053346265763</v>
      </c>
      <c r="G20" s="16">
        <f>G17*1000/G7</f>
        <v>4.1614406410591416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0.93113482056256058</v>
      </c>
      <c r="F21" s="19">
        <f>F26*1000/F7</f>
        <v>0.93113482056256058</v>
      </c>
      <c r="G21" s="20">
        <f>G26*1000/G7</f>
        <v>0.86338298057660479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2838.2347235693501</v>
      </c>
      <c r="F22" s="21">
        <f>((F17*(803-130)+F31*(30))*1000)/F7</f>
        <v>2838.2347235693501</v>
      </c>
      <c r="G22" s="78">
        <f>((G17*(803-130)+G31*(30))*1000)/G7</f>
        <v>2804.0660656737218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4535.8750528488645</v>
      </c>
      <c r="F23" s="21">
        <f t="shared" ref="F23:G23" si="2">(F15*(803-130))*1000/(F7*0.78)</f>
        <v>4535.8750528488645</v>
      </c>
      <c r="G23" s="21">
        <f t="shared" si="2"/>
        <v>3952.2455160030286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</f>
        <v>0</v>
      </c>
      <c r="G24" s="13">
        <f>E24+'0'!G24</f>
        <v>0</v>
      </c>
    </row>
    <row r="25" spans="2:8" ht="30.95" customHeight="1">
      <c r="B25" s="105" t="s">
        <v>30</v>
      </c>
      <c r="C25" s="106"/>
      <c r="D25" s="106"/>
      <c r="E25" s="106"/>
      <c r="F25" s="106"/>
      <c r="G25" s="107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96</v>
      </c>
      <c r="F26" s="32">
        <f>E26</f>
        <v>96</v>
      </c>
      <c r="G26" s="13">
        <f>E26+'0'!G26</f>
        <v>3965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4825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5" t="s">
        <v>34</v>
      </c>
      <c r="C29" s="106"/>
      <c r="D29" s="106"/>
      <c r="E29" s="106"/>
      <c r="F29" s="106"/>
      <c r="G29" s="107"/>
    </row>
    <row r="30" spans="2:8" ht="30.95" customHeight="1">
      <c r="B30" s="29">
        <v>1</v>
      </c>
      <c r="C30" s="30" t="s">
        <v>35</v>
      </c>
      <c r="D30" s="42" t="s">
        <v>45</v>
      </c>
      <c r="E30" s="32">
        <v>19</v>
      </c>
      <c r="F30" s="32">
        <f>E30</f>
        <v>19</v>
      </c>
      <c r="G30" s="13">
        <f>E30+'0'!G30</f>
        <v>509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18</v>
      </c>
      <c r="F31" s="12">
        <f t="shared" ref="F31:F32" si="3">E31</f>
        <v>18</v>
      </c>
      <c r="G31" s="13">
        <f>E31+'0'!G31</f>
        <v>523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15</v>
      </c>
      <c r="F32" s="12">
        <f t="shared" si="3"/>
        <v>15</v>
      </c>
      <c r="G32" s="13">
        <f>E32+'0'!G32</f>
        <v>553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24</v>
      </c>
      <c r="F33" s="47">
        <v>1820</v>
      </c>
      <c r="G33" s="48"/>
    </row>
    <row r="34" spans="2:7" ht="30.95" customHeight="1">
      <c r="B34" s="102" t="s">
        <v>42</v>
      </c>
      <c r="C34" s="103"/>
      <c r="D34" s="103"/>
      <c r="E34" s="103"/>
      <c r="F34" s="103"/>
      <c r="G34" s="104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20</v>
      </c>
      <c r="F35" s="32">
        <f>E35</f>
        <v>20</v>
      </c>
      <c r="G35" s="13">
        <f>E35+'0'!G35</f>
        <v>652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1</v>
      </c>
      <c r="F36" s="12">
        <f t="shared" ref="F36:F37" si="4">E36</f>
        <v>1</v>
      </c>
      <c r="G36" s="13">
        <f>E36+'0'!G36</f>
        <v>67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 t="shared" si="4"/>
        <v>0</v>
      </c>
      <c r="G37" s="13">
        <f>E37+'0'!G37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7" orientation="portrait"/>
  <ignoredErrors>
    <ignoredError sqref="F1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7" sqref="E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.285156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'1'!E6+1</f>
        <v>46144</v>
      </c>
      <c r="F6" s="42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156500</v>
      </c>
      <c r="F7" s="12">
        <f>E7+'1'!F7</f>
        <v>259600</v>
      </c>
      <c r="G7" s="13">
        <f>E7+'1'!G7</f>
        <v>4748900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17325</v>
      </c>
      <c r="F8" s="12">
        <f>E8+'1'!F8</f>
        <v>33732</v>
      </c>
      <c r="G8" s="13">
        <f>E8+'1'!G8</f>
        <v>551446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139175</v>
      </c>
      <c r="F9" s="12">
        <f>E9+'1'!F9</f>
        <v>225868</v>
      </c>
      <c r="G9" s="13">
        <f>E9+'1'!G9</f>
        <v>4197454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11.070287539936102</v>
      </c>
      <c r="F10" s="15">
        <f>F8/F7*100</f>
        <v>12.993836671802775</v>
      </c>
      <c r="G10" s="16">
        <f>G8/G7*100</f>
        <v>11.61207858662006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6.520833333333333</v>
      </c>
      <c r="F11" s="15">
        <f>F7/F12/1000</f>
        <v>5.4083333333333332</v>
      </c>
      <c r="G11" s="16">
        <f>G7/G12/1000</f>
        <v>6.3262995230863508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E12+'1'!F12</f>
        <v>48</v>
      </c>
      <c r="G12" s="13">
        <f>E12+'1'!G12</f>
        <v>750.66</v>
      </c>
    </row>
    <row r="13" spans="1:12" ht="30.95" customHeight="1">
      <c r="B13" s="9">
        <v>7</v>
      </c>
      <c r="C13" s="10" t="s">
        <v>15</v>
      </c>
      <c r="D13" s="11" t="s">
        <v>10</v>
      </c>
      <c r="E13" s="15">
        <f>E11/10*100</f>
        <v>65.208333333333329</v>
      </c>
      <c r="F13" s="15">
        <f>F11/10*100</f>
        <v>54.083333333333329</v>
      </c>
      <c r="G13" s="16">
        <f>G11/10*100</f>
        <v>63.262995230863503</v>
      </c>
    </row>
    <row r="14" spans="1:12" ht="30.95" customHeight="1">
      <c r="B14" s="9">
        <v>8</v>
      </c>
      <c r="C14" s="10" t="s">
        <v>16</v>
      </c>
      <c r="D14" s="11" t="s">
        <v>17</v>
      </c>
      <c r="E14" s="12">
        <v>733</v>
      </c>
      <c r="F14" s="12">
        <f>E14+'1'!F14</f>
        <v>1291</v>
      </c>
      <c r="G14" s="13">
        <f>E14+'1'!G14</f>
        <v>22390</v>
      </c>
    </row>
    <row r="15" spans="1:12" ht="30.95" customHeight="1">
      <c r="B15" s="9">
        <v>9</v>
      </c>
      <c r="C15" s="10" t="s">
        <v>18</v>
      </c>
      <c r="D15" s="11" t="s">
        <v>17</v>
      </c>
      <c r="E15" s="12">
        <v>710</v>
      </c>
      <c r="F15" s="12">
        <f>E15+'1'!F15</f>
        <v>1252</v>
      </c>
      <c r="G15" s="13">
        <f>E15+'1'!G15</f>
        <v>21746</v>
      </c>
    </row>
    <row r="16" spans="1:12" ht="30.95" customHeight="1">
      <c r="B16" s="9">
        <v>10</v>
      </c>
      <c r="C16" s="10" t="s">
        <v>19</v>
      </c>
      <c r="D16" s="88" t="s">
        <v>17</v>
      </c>
      <c r="E16" s="12">
        <v>41</v>
      </c>
      <c r="F16" s="12">
        <f>E16+'1'!F16</f>
        <v>48</v>
      </c>
      <c r="G16" s="13">
        <f>E16+'1'!G16</f>
        <v>1240</v>
      </c>
    </row>
    <row r="17" spans="2:8" ht="30.95" customHeight="1">
      <c r="B17" s="9">
        <v>11</v>
      </c>
      <c r="C17" s="10" t="s">
        <v>20</v>
      </c>
      <c r="D17" s="11" t="s">
        <v>17</v>
      </c>
      <c r="E17" s="12">
        <v>645</v>
      </c>
      <c r="F17" s="12">
        <f>E17+'1'!F17</f>
        <v>1079</v>
      </c>
      <c r="G17" s="13">
        <f>E17+'1'!G17</f>
        <v>19756</v>
      </c>
    </row>
    <row r="18" spans="2:8" ht="30.95" customHeight="1">
      <c r="B18" s="9">
        <v>12</v>
      </c>
      <c r="C18" s="10" t="s">
        <v>21</v>
      </c>
      <c r="D18" s="11" t="s">
        <v>17</v>
      </c>
      <c r="E18" s="12">
        <v>522</v>
      </c>
      <c r="F18" s="12">
        <f>E18+'1'!F18</f>
        <v>904</v>
      </c>
      <c r="G18" s="13">
        <f>E18+'1'!G18</f>
        <v>16085</v>
      </c>
    </row>
    <row r="19" spans="2:8" ht="30.95" customHeight="1">
      <c r="B19" s="9">
        <v>13</v>
      </c>
      <c r="C19" s="10" t="s">
        <v>22</v>
      </c>
      <c r="D19" s="18" t="s">
        <v>17</v>
      </c>
      <c r="E19" s="12">
        <v>18</v>
      </c>
      <c r="F19" s="12">
        <f>E19+'1'!F19</f>
        <v>36</v>
      </c>
      <c r="G19" s="13">
        <f>E19+'1'!G19</f>
        <v>564</v>
      </c>
    </row>
    <row r="20" spans="2:8" ht="30.95" customHeight="1">
      <c r="B20" s="9">
        <v>14</v>
      </c>
      <c r="C20" s="10" t="s">
        <v>23</v>
      </c>
      <c r="D20" s="11" t="s">
        <v>24</v>
      </c>
      <c r="E20" s="15">
        <f>E17*1000/E7</f>
        <v>4.1214057507987221</v>
      </c>
      <c r="F20" s="15">
        <f>F17*1000/F7</f>
        <v>4.1563944530046228</v>
      </c>
      <c r="G20" s="16">
        <f>G17*1000/G7</f>
        <v>4.1601212912463943</v>
      </c>
    </row>
    <row r="21" spans="2:8" ht="30.95" customHeight="1">
      <c r="B21" s="9">
        <v>15</v>
      </c>
      <c r="C21" s="10" t="s">
        <v>25</v>
      </c>
      <c r="D21" s="11" t="s">
        <v>24</v>
      </c>
      <c r="E21" s="19">
        <f>E26*1000/E7</f>
        <v>0.86261980830670926</v>
      </c>
      <c r="F21" s="19">
        <f>F26*1000/F7</f>
        <v>0.88983050847457623</v>
      </c>
      <c r="G21" s="20">
        <f>G26*1000/G7</f>
        <v>0.86335783023437007</v>
      </c>
    </row>
    <row r="22" spans="2:8" ht="30.95" customHeight="1">
      <c r="B22" s="9">
        <v>16</v>
      </c>
      <c r="C22" s="10" t="s">
        <v>26</v>
      </c>
      <c r="D22" s="11" t="s">
        <v>27</v>
      </c>
      <c r="E22" s="21">
        <f>((E17*(803-130)+E31*(30))*1000)/E7</f>
        <v>2776.773162939297</v>
      </c>
      <c r="F22" s="21">
        <f t="shared" ref="F22:G22" si="0">((F17*(803-130)+F31*(30))*1000)/F7</f>
        <v>2801.1825885978428</v>
      </c>
      <c r="G22" s="21">
        <f t="shared" si="0"/>
        <v>2803.1666280612353</v>
      </c>
    </row>
    <row r="23" spans="2:8" ht="30.95" customHeight="1">
      <c r="B23" s="9">
        <v>17</v>
      </c>
      <c r="C23" s="10" t="s">
        <v>28</v>
      </c>
      <c r="D23" s="11" t="s">
        <v>27</v>
      </c>
      <c r="E23" s="21">
        <f>(E15*(803-130))*1000/(E7*0.78)</f>
        <v>3914.3933808470551</v>
      </c>
      <c r="F23" s="21">
        <f t="shared" ref="F23:G23" si="1">(F15*(803-130))*1000/(F7*0.78)</f>
        <v>4161.2144917229662</v>
      </c>
      <c r="G23" s="21">
        <f t="shared" si="1"/>
        <v>3950.9980988849779</v>
      </c>
    </row>
    <row r="24" spans="2:8" ht="30.95" customHeight="1">
      <c r="B24" s="9">
        <v>18</v>
      </c>
      <c r="C24" s="23" t="s">
        <v>29</v>
      </c>
      <c r="D24" s="24" t="s">
        <v>6</v>
      </c>
      <c r="E24" s="25">
        <v>0</v>
      </c>
      <c r="F24" s="47">
        <f>E24+'1'!F24</f>
        <v>0</v>
      </c>
      <c r="G24" s="48">
        <f>E24+'1'!G24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135</v>
      </c>
      <c r="F26" s="32">
        <f>E26+'1'!F26</f>
        <v>231</v>
      </c>
      <c r="G26" s="33">
        <f>E26+'1'!G26</f>
        <v>4100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4511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19</v>
      </c>
      <c r="F30" s="32">
        <f>E30+'1'!F30</f>
        <v>38</v>
      </c>
      <c r="G30" s="33">
        <f>E30+'1'!G30</f>
        <v>528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E31+'1'!F31</f>
        <v>34</v>
      </c>
      <c r="G31" s="13">
        <f>E31+'1'!G31</f>
        <v>539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14</v>
      </c>
      <c r="F32" s="12">
        <f>E32+'1'!F32</f>
        <v>29</v>
      </c>
      <c r="G32" s="13">
        <f>E32+'1'!G32</f>
        <v>567</v>
      </c>
    </row>
    <row r="33" spans="2:7" ht="30.95" customHeight="1">
      <c r="B33" s="44">
        <v>4</v>
      </c>
      <c r="C33" s="23" t="s">
        <v>40</v>
      </c>
      <c r="D33" s="45" t="s">
        <v>41</v>
      </c>
      <c r="E33" s="47">
        <v>22</v>
      </c>
      <c r="F33" s="47">
        <v>1730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35</v>
      </c>
      <c r="F35" s="32">
        <f>E35+'1'!F35</f>
        <v>55</v>
      </c>
      <c r="G35" s="33">
        <f>E35+'1'!G35</f>
        <v>687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1</v>
      </c>
      <c r="F36" s="12">
        <f>E36+'1'!F36</f>
        <v>2</v>
      </c>
      <c r="G36" s="13">
        <f>E36+'1'!G36</f>
        <v>68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E37+'1'!F37</f>
        <v>0</v>
      </c>
      <c r="G37" s="48">
        <f>E37+'1'!G37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40"/>
  <sheetViews>
    <sheetView zoomScale="80" zoomScaleNormal="80" workbookViewId="0">
      <pane xSplit="4" ySplit="6" topLeftCell="E19" activePane="bottomRight" state="frozen"/>
      <selection pane="topRight"/>
      <selection pane="bottomLeft"/>
      <selection pane="bottomRight" activeCell="E38" sqref="E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39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'2'!E6+1</f>
        <v>46145</v>
      </c>
      <c r="F6" s="42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161600</v>
      </c>
      <c r="F7" s="12">
        <f>E7+'2'!F7</f>
        <v>421200</v>
      </c>
      <c r="G7" s="13">
        <f>E7+'2'!G7</f>
        <v>4910500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17500</v>
      </c>
      <c r="F8" s="12">
        <f>E8+'2'!F8</f>
        <v>51232</v>
      </c>
      <c r="G8" s="13">
        <f>E8+'2'!G8</f>
        <v>568946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144100</v>
      </c>
      <c r="F9" s="12">
        <f>E9+'2'!F9</f>
        <v>369968</v>
      </c>
      <c r="G9" s="13">
        <f>E9+'2'!G9</f>
        <v>4341554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10.829207920792079</v>
      </c>
      <c r="F10" s="15">
        <f>F8/F7*100</f>
        <v>12.163342830009496</v>
      </c>
      <c r="G10" s="16">
        <f>G8/G7*100</f>
        <v>11.586315039201711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6.7333333333333334</v>
      </c>
      <c r="F11" s="15">
        <f>F7/F12/1000</f>
        <v>5.85</v>
      </c>
      <c r="G11" s="16">
        <f>G7/G12/1000</f>
        <v>6.3389099734076888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E12+'2'!F12</f>
        <v>72</v>
      </c>
      <c r="G12" s="13">
        <f>E12+'2'!G12</f>
        <v>774.66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67.333333333333329</v>
      </c>
      <c r="F13" s="15">
        <f>F11/10*100</f>
        <v>58.5</v>
      </c>
      <c r="G13" s="16">
        <f>G11/10*100</f>
        <v>63.389099734076893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741</v>
      </c>
      <c r="F14" s="12">
        <f>E14+'2'!F14</f>
        <v>2032</v>
      </c>
      <c r="G14" s="13">
        <f>E14+'2'!G14</f>
        <v>23131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725</v>
      </c>
      <c r="F15" s="12">
        <f>E15+'2'!F15</f>
        <v>1977</v>
      </c>
      <c r="G15" s="13">
        <f>E15+'2'!G15</f>
        <v>22471</v>
      </c>
    </row>
    <row r="16" spans="1:12" ht="30.95" customHeight="1">
      <c r="B16" s="9">
        <v>9</v>
      </c>
      <c r="C16" s="10" t="s">
        <v>19</v>
      </c>
      <c r="D16" s="88" t="s">
        <v>17</v>
      </c>
      <c r="E16" s="12">
        <v>56</v>
      </c>
      <c r="F16" s="70">
        <f>E16+'2'!F16</f>
        <v>104</v>
      </c>
      <c r="G16" s="13">
        <f>E16+'2'!G16</f>
        <v>1296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673</v>
      </c>
      <c r="F17" s="12">
        <f>E17+'2'!F17</f>
        <v>1752</v>
      </c>
      <c r="G17" s="13">
        <f>E17+'2'!G17</f>
        <v>20429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524</v>
      </c>
      <c r="F18" s="12">
        <f>E18+'2'!F18</f>
        <v>1428</v>
      </c>
      <c r="G18" s="13">
        <f>E18+'2'!G18</f>
        <v>16609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E19+'2'!F19</f>
        <v>54</v>
      </c>
      <c r="G19" s="13">
        <f>E19+'2'!G19</f>
        <v>582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4.1646039603960396</v>
      </c>
      <c r="F20" s="15">
        <f>F17*1000/F7</f>
        <v>4.1595441595441596</v>
      </c>
      <c r="G20" s="16">
        <f>G17*1000/G7</f>
        <v>4.1602688117299662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0.8910891089108911</v>
      </c>
      <c r="F21" s="19">
        <f>F26*1000/F7</f>
        <v>0.8903133903133903</v>
      </c>
      <c r="G21" s="20">
        <f>G26*1000/G7</f>
        <v>0.86427044089196614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2805.1918316831684</v>
      </c>
      <c r="F22" s="21">
        <f t="shared" ref="F22:G22" si="0">((F17*(803-130)+F31*(30))*1000)/F7</f>
        <v>2802.7207977207977</v>
      </c>
      <c r="G22" s="21">
        <f t="shared" si="0"/>
        <v>2803.233275633846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3870.9459888296524</v>
      </c>
      <c r="F23" s="21">
        <f t="shared" ref="F23:G23" si="1">(F15*(803-130))*1000/(F7*0.78)</f>
        <v>4049.8484184381618</v>
      </c>
      <c r="G23" s="21">
        <f t="shared" si="1"/>
        <v>3948.3636581997239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E24+'2'!F24</f>
        <v>0</v>
      </c>
      <c r="G24" s="48">
        <f>E24+'2'!G24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144</v>
      </c>
      <c r="F26" s="32">
        <f>E26+'2'!F26</f>
        <v>375</v>
      </c>
      <c r="G26" s="33">
        <f>E26+'2'!G26</f>
        <v>4244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4328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13</v>
      </c>
      <c r="F30" s="32">
        <f>E30+'2'!F30</f>
        <v>51</v>
      </c>
      <c r="G30" s="33">
        <f>E30+'2'!G30</f>
        <v>541</v>
      </c>
    </row>
    <row r="31" spans="2:8" ht="30.95" customHeight="1">
      <c r="B31" s="34">
        <v>2</v>
      </c>
      <c r="C31" s="10" t="s">
        <v>37</v>
      </c>
      <c r="D31" s="43" t="s">
        <v>38</v>
      </c>
      <c r="E31" s="35">
        <v>13</v>
      </c>
      <c r="F31" s="12">
        <f>E31+'2'!F31</f>
        <v>47</v>
      </c>
      <c r="G31" s="13">
        <f>E31+'2'!G31</f>
        <v>552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E32+'2'!F32</f>
        <v>47</v>
      </c>
      <c r="G32" s="13">
        <f>E32+'2'!G32</f>
        <v>585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</v>
      </c>
      <c r="F33" s="47">
        <v>1611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E35+'2'!F35</f>
        <v>55</v>
      </c>
      <c r="G35" s="33">
        <f>E35+'2'!G35</f>
        <v>687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E36+'2'!F36</f>
        <v>7</v>
      </c>
      <c r="G36" s="13">
        <f>E36+'2'!G36</f>
        <v>73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E37+'2'!F37</f>
        <v>0</v>
      </c>
      <c r="G37" s="48">
        <f>E37+'2'!G37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L40"/>
  <sheetViews>
    <sheetView topLeftCell="B1" zoomScale="80" zoomScaleNormal="80" workbookViewId="0">
      <pane xSplit="3" ySplit="6" topLeftCell="E22" activePane="bottomRight" state="frozen"/>
      <selection pane="topRight"/>
      <selection pane="bottomLeft"/>
      <selection pane="bottomRight" activeCell="F17" sqref="F1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'3'!E6+1</f>
        <v>46146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151600</v>
      </c>
      <c r="F7" s="12">
        <f>E7+'3'!F7</f>
        <v>572800</v>
      </c>
      <c r="G7" s="13">
        <f>E7+'3'!G7</f>
        <v>5062100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17268</v>
      </c>
      <c r="F8" s="12">
        <f>E8+'3'!F8</f>
        <v>68500</v>
      </c>
      <c r="G8" s="13">
        <f>E8+'3'!G8</f>
        <v>586214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134332</v>
      </c>
      <c r="F9" s="12">
        <f>E9+'3'!F9</f>
        <v>504300</v>
      </c>
      <c r="G9" s="13">
        <f>E9+'3'!G9</f>
        <v>4475886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11.390501319261213</v>
      </c>
      <c r="F10" s="15">
        <f>F8/F7*100</f>
        <v>11.958798882681563</v>
      </c>
      <c r="G10" s="16">
        <f>G8/G7*100</f>
        <v>11.580450801050947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6.3166666666666673</v>
      </c>
      <c r="F11" s="15">
        <f>F7/F12/1000</f>
        <v>5.9666666666666668</v>
      </c>
      <c r="G11" s="16">
        <f>G7/G12/1000</f>
        <v>6.3382415546039619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E12+'3'!F12</f>
        <v>96</v>
      </c>
      <c r="G12" s="13">
        <f>E12+'3'!G12</f>
        <v>798.66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63.166666666666671</v>
      </c>
      <c r="F13" s="15">
        <f>F11/10*100</f>
        <v>59.666666666666671</v>
      </c>
      <c r="G13" s="16">
        <f>G11/10*100</f>
        <v>63.382415546039617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706</v>
      </c>
      <c r="F14" s="12">
        <f>E14+'3'!F14</f>
        <v>2738</v>
      </c>
      <c r="G14" s="13">
        <f>E14+'3'!G14</f>
        <v>23837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681</v>
      </c>
      <c r="F15" s="12">
        <f>E15+'3'!F15</f>
        <v>2658</v>
      </c>
      <c r="G15" s="13">
        <f>E15+'3'!G15</f>
        <v>23152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51</v>
      </c>
      <c r="F16" s="70">
        <f>E16+'3'!F16</f>
        <v>155</v>
      </c>
      <c r="G16" s="13">
        <f>E16+'3'!G16</f>
        <v>1347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636</v>
      </c>
      <c r="F17" s="12">
        <f>E17+'3'!F17</f>
        <v>2388</v>
      </c>
      <c r="G17" s="13">
        <f>E17+'3'!G17</f>
        <v>21065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499</v>
      </c>
      <c r="F18" s="12">
        <f>E18+'3'!F18</f>
        <v>1927</v>
      </c>
      <c r="G18" s="13">
        <f>E18+'3'!G18</f>
        <v>17108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E19+'3'!F19</f>
        <v>72</v>
      </c>
      <c r="G19" s="13">
        <f>E19+'3'!G19</f>
        <v>600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4.1952506596306067</v>
      </c>
      <c r="F20" s="15">
        <f>F17*1000/F7</f>
        <v>4.1689944134078214</v>
      </c>
      <c r="G20" s="16">
        <f>G17*1000/G7</f>
        <v>4.161316449694791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0.81134564643799467</v>
      </c>
      <c r="F21" s="19">
        <f>F26*1000/F7</f>
        <v>0.869413407821229</v>
      </c>
      <c r="G21" s="20">
        <f>G26*1000/G7</f>
        <v>0.86268544675134828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2826.1741424802112</v>
      </c>
      <c r="F22" s="21">
        <f t="shared" ref="F22:G22" si="0">((F17*(803-130)+F31*(30))*1000)/F7</f>
        <v>2808.9280726256984</v>
      </c>
      <c r="G22" s="21">
        <f t="shared" si="0"/>
        <v>2803.9203097528693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3875.8625938705095</v>
      </c>
      <c r="F23" s="21">
        <f t="shared" ref="F23:G23" si="1">(F15*(803-130))*1000/(F7*0.78)</f>
        <v>4003.8004941985387</v>
      </c>
      <c r="G23" s="21">
        <f t="shared" si="1"/>
        <v>3946.1923930425146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E24+'3'!F24</f>
        <v>0</v>
      </c>
      <c r="G24" s="48">
        <f>E24+'3'!G24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123</v>
      </c>
      <c r="F26" s="32">
        <f>E26+'3'!F26</f>
        <v>498</v>
      </c>
      <c r="G26" s="33">
        <f>E26+'3'!G26</f>
        <v>4367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4752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13</v>
      </c>
      <c r="F30" s="32">
        <f>E30+'3'!F30</f>
        <v>64</v>
      </c>
      <c r="G30" s="33">
        <f>E30+'3'!G30</f>
        <v>554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E31+'3'!F31</f>
        <v>61</v>
      </c>
      <c r="G31" s="13">
        <f>E31+'3'!G31</f>
        <v>566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26</v>
      </c>
      <c r="F32" s="12">
        <f>E32+'3'!F32</f>
        <v>73</v>
      </c>
      <c r="G32" s="13">
        <f>E32+'3'!G32</f>
        <v>611</v>
      </c>
    </row>
    <row r="33" spans="2:7" ht="30.95" customHeight="1">
      <c r="B33" s="44">
        <v>4</v>
      </c>
      <c r="C33" s="23" t="s">
        <v>40</v>
      </c>
      <c r="D33" s="45" t="s">
        <v>41</v>
      </c>
      <c r="E33" s="86">
        <v>23.89</v>
      </c>
      <c r="F33" s="87">
        <v>1752</v>
      </c>
      <c r="G33" s="48"/>
    </row>
    <row r="34" spans="2:7" ht="30.95" customHeight="1">
      <c r="B34" s="93"/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E35+'3'!F35</f>
        <v>55</v>
      </c>
      <c r="G35" s="33">
        <f>E35+'3'!G35</f>
        <v>687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E36+'3'!F36</f>
        <v>11</v>
      </c>
      <c r="G36" s="13">
        <f>E36+'3'!G36</f>
        <v>77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E37+'3'!F37</f>
        <v>0</v>
      </c>
      <c r="G37" s="48">
        <f>E37+'3'!G37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0"/>
  <sheetViews>
    <sheetView zoomScale="80" zoomScaleNormal="80" workbookViewId="0">
      <pane xSplit="4" ySplit="6" topLeftCell="E22" activePane="bottomRight" state="frozen"/>
      <selection pane="topRight"/>
      <selection pane="bottomLeft"/>
      <selection pane="bottomRight" activeCell="J37" sqref="J3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2.7109375" style="1" customWidth="1"/>
    <col min="6" max="6" width="35.28515625" style="1" customWidth="1"/>
    <col min="7" max="7" width="36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1" spans="1:12" ht="20.25" customHeight="1"/>
    <row r="2" spans="1:12" ht="29.2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29.2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26.2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24.7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'4'!E6+1</f>
        <v>46147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147300</v>
      </c>
      <c r="F7" s="12">
        <f>E7+'4'!F7</f>
        <v>720100</v>
      </c>
      <c r="G7" s="13">
        <f>E7+'4'!G7</f>
        <v>5209400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17252</v>
      </c>
      <c r="F8" s="12">
        <f>E8+'4'!F8</f>
        <v>85752</v>
      </c>
      <c r="G8" s="13">
        <f>E8+'4'!G8</f>
        <v>603466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130048</v>
      </c>
      <c r="F9" s="12">
        <f>E9+'4'!F9</f>
        <v>634348</v>
      </c>
      <c r="G9" s="13">
        <f>E9+'4'!G9</f>
        <v>4605934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11.712152070604208</v>
      </c>
      <c r="F10" s="15">
        <f>F8/F7*100</f>
        <v>11.908346063046798</v>
      </c>
      <c r="G10" s="16">
        <f>G8/G7*100</f>
        <v>11.584174761008946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6.1375000000000002</v>
      </c>
      <c r="F11" s="15">
        <f>F7/F12/1000</f>
        <v>6.0008333333333335</v>
      </c>
      <c r="G11" s="16">
        <f>G7/G12/1000</f>
        <v>6.3323851895072085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E12+'4'!F12</f>
        <v>120</v>
      </c>
      <c r="G12" s="13">
        <f>E12+'4'!G12</f>
        <v>822.66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61.375</v>
      </c>
      <c r="F13" s="15">
        <f>F11/10*100</f>
        <v>60.008333333333333</v>
      </c>
      <c r="G13" s="16">
        <f>G11/10*100</f>
        <v>63.323851895072082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690</v>
      </c>
      <c r="F14" s="12">
        <f>E14+'4'!F14</f>
        <v>3428</v>
      </c>
      <c r="G14" s="13">
        <f>E14+'4'!G14</f>
        <v>24527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670</v>
      </c>
      <c r="F15" s="12">
        <f>E15+'4'!F15</f>
        <v>3328</v>
      </c>
      <c r="G15" s="13">
        <f>E15+'4'!G15</f>
        <v>23822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49</v>
      </c>
      <c r="F16" s="70">
        <f>E16+'4'!F16</f>
        <v>204</v>
      </c>
      <c r="G16" s="13">
        <f>E16+'4'!G16</f>
        <v>1396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619</v>
      </c>
      <c r="F17" s="12">
        <f>E17+'4'!F17</f>
        <v>3007</v>
      </c>
      <c r="G17" s="13">
        <f>E17+'4'!G17</f>
        <v>21684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485</v>
      </c>
      <c r="F18" s="12">
        <f>E18+'4'!F18</f>
        <v>2412</v>
      </c>
      <c r="G18" s="13">
        <f>E18+'4'!G18</f>
        <v>17593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E19+'4'!F19</f>
        <v>90</v>
      </c>
      <c r="G19" s="13">
        <f>E19+'4'!G19</f>
        <v>618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4.2023082145281734</v>
      </c>
      <c r="F20" s="15">
        <f>F17*1000/F7</f>
        <v>4.175808915428413</v>
      </c>
      <c r="G20" s="16">
        <f>G17*1000/G7</f>
        <v>4.1624755250124776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0.81466395112016299</v>
      </c>
      <c r="F21" s="19">
        <f>F26*1000/F7</f>
        <v>0.85821413692542703</v>
      </c>
      <c r="G21" s="20">
        <f>G26*1000/G7</f>
        <v>0.86132760010749798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2831.2084181941614</v>
      </c>
      <c r="F22" s="21">
        <f t="shared" ref="F22:G22" si="0">((F17*(803-130)+F31*(30))*1000)/F7</f>
        <v>2813.4856269962506</v>
      </c>
      <c r="G22" s="21">
        <f t="shared" si="0"/>
        <v>2804.6919030982453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3924.5739551238535</v>
      </c>
      <c r="F23" s="21">
        <f t="shared" ref="F23:G23" si="1">(F15*(803-130))*1000/(F7*0.78)</f>
        <v>3987.594315604314</v>
      </c>
      <c r="G23" s="21">
        <f t="shared" si="1"/>
        <v>3945.5811142185771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E24+'4'!F24</f>
        <v>0</v>
      </c>
      <c r="G24" s="48">
        <f>E24+'4'!G24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120</v>
      </c>
      <c r="F26" s="32">
        <f>E26+'4'!F26</f>
        <v>618</v>
      </c>
      <c r="G26" s="33">
        <f>E26+'4'!G26</f>
        <v>4487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4777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16</v>
      </c>
      <c r="F30" s="32">
        <f>E30+'4'!F30</f>
        <v>80</v>
      </c>
      <c r="G30" s="33">
        <f>E30+'4'!G30</f>
        <v>570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E31+'4'!F31</f>
        <v>76</v>
      </c>
      <c r="G31" s="13">
        <f>E31+'4'!G31</f>
        <v>581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E32+'4'!F32</f>
        <v>90</v>
      </c>
      <c r="G32" s="13">
        <f>E32+'4'!G32</f>
        <v>628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25</v>
      </c>
      <c r="F33" s="47">
        <v>1754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 thickBot="1">
      <c r="B35" s="49">
        <v>5</v>
      </c>
      <c r="C35" s="50" t="s">
        <v>46</v>
      </c>
      <c r="D35" s="77" t="s">
        <v>17</v>
      </c>
      <c r="E35" s="51">
        <v>0</v>
      </c>
      <c r="F35" s="32">
        <f>E35+'4'!F35</f>
        <v>55</v>
      </c>
      <c r="G35" s="33">
        <f>E35+'4'!G35</f>
        <v>687</v>
      </c>
    </row>
    <row r="36" spans="2:7" ht="30.95" customHeight="1" thickBot="1">
      <c r="B36" s="52">
        <v>6</v>
      </c>
      <c r="C36" s="53" t="s">
        <v>47</v>
      </c>
      <c r="D36" s="54" t="s">
        <v>43</v>
      </c>
      <c r="E36" s="51">
        <v>5</v>
      </c>
      <c r="F36" s="12">
        <f>E36+'4'!F36</f>
        <v>16</v>
      </c>
      <c r="G36" s="13">
        <f>E36+'4'!G36</f>
        <v>82</v>
      </c>
    </row>
    <row r="37" spans="2:7" ht="30.95" customHeight="1" thickBot="1">
      <c r="B37" s="44">
        <v>7</v>
      </c>
      <c r="C37" s="56" t="s">
        <v>44</v>
      </c>
      <c r="D37" s="57" t="s">
        <v>43</v>
      </c>
      <c r="E37" s="51">
        <v>0</v>
      </c>
      <c r="F37" s="47">
        <f>E37+'4'!F37</f>
        <v>0</v>
      </c>
      <c r="G37" s="48">
        <f>E37+'4'!G37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F35" sqref="F3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'5'!E6+1</f>
        <v>46148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153000</v>
      </c>
      <c r="F7" s="12">
        <f>E7+'5'!F7</f>
        <v>873100</v>
      </c>
      <c r="G7" s="13">
        <f>E7+'5'!G7</f>
        <v>5362400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17283</v>
      </c>
      <c r="F8" s="12">
        <f>E8+'5'!F8</f>
        <v>103035</v>
      </c>
      <c r="G8" s="13">
        <f>E8+'5'!G8</f>
        <v>620749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135717</v>
      </c>
      <c r="F9" s="12">
        <f>E9+'5'!F9</f>
        <v>770065</v>
      </c>
      <c r="G9" s="13">
        <f>E9+'5'!G9</f>
        <v>4741651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11.296078431372548</v>
      </c>
      <c r="F10" s="15">
        <f>F8/F7*100</f>
        <v>11.801053716641849</v>
      </c>
      <c r="G10" s="16">
        <f>G8/G7*100</f>
        <v>11.575954796359838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6.375</v>
      </c>
      <c r="F11" s="15">
        <f>F7/F12/1000</f>
        <v>6.0631944444444441</v>
      </c>
      <c r="G11" s="16">
        <f>G7/G12/1000</f>
        <v>6.3335931778990391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E12+'5'!F12</f>
        <v>144</v>
      </c>
      <c r="G12" s="13">
        <f>E12+'5'!G12</f>
        <v>846.66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63.749999999999993</v>
      </c>
      <c r="F13" s="15">
        <f>F11/10*100</f>
        <v>60.631944444444443</v>
      </c>
      <c r="G13" s="16">
        <f>G11/10*100</f>
        <v>63.335931778990393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704</v>
      </c>
      <c r="F14" s="12">
        <f>E14+'5'!F14</f>
        <v>4132</v>
      </c>
      <c r="G14" s="13">
        <f>E14+'5'!G14</f>
        <v>25231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690</v>
      </c>
      <c r="F15" s="12">
        <f>E15+'5'!F15</f>
        <v>4018</v>
      </c>
      <c r="G15" s="13">
        <f>E15+'5'!G15</f>
        <v>24512</v>
      </c>
    </row>
    <row r="16" spans="1:12" ht="30.95" customHeight="1">
      <c r="B16" s="9">
        <v>9</v>
      </c>
      <c r="C16" s="10" t="s">
        <v>19</v>
      </c>
      <c r="D16" s="88" t="s">
        <v>17</v>
      </c>
      <c r="E16" s="12">
        <v>51</v>
      </c>
      <c r="F16" s="12">
        <f>E16+'5'!F16</f>
        <v>255</v>
      </c>
      <c r="G16" s="13">
        <f>E16+'5'!G16</f>
        <v>1447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636</v>
      </c>
      <c r="F17" s="12">
        <f>E17+'5'!F17</f>
        <v>3643</v>
      </c>
      <c r="G17" s="13">
        <f>E17+'5'!G17</f>
        <v>22320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497</v>
      </c>
      <c r="F18" s="12">
        <f>E18+'5'!F18</f>
        <v>2909</v>
      </c>
      <c r="G18" s="13">
        <f>E18+'5'!G18</f>
        <v>18090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E19+'5'!F19</f>
        <v>107</v>
      </c>
      <c r="G19" s="13">
        <f>E19+'5'!G19</f>
        <v>635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4.1568627450980395</v>
      </c>
      <c r="F20" s="15">
        <f>F17*1000/F7</f>
        <v>4.1724888328942846</v>
      </c>
      <c r="G20" s="16">
        <f>G17*1000/G7</f>
        <v>4.1623153811726095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0.81045751633986929</v>
      </c>
      <c r="F21" s="19">
        <f>F26*1000/F7</f>
        <v>0.8498453785362502</v>
      </c>
      <c r="G21" s="20">
        <f>G26*1000/G7</f>
        <v>0.85987617484708334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2800.3137254901962</v>
      </c>
      <c r="F22" s="21">
        <f t="shared" ref="F22:G22" si="0">((F17*(803-130)+F31*(30))*1000)/F7</f>
        <v>2811.1774138128508</v>
      </c>
      <c r="G22" s="21">
        <f t="shared" si="0"/>
        <v>2804.5669849321198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3891.1513323278027</v>
      </c>
      <c r="F23" s="21">
        <f t="shared" ref="F23:G23" si="1">(F15*(803-130))*1000/(F7*0.78)</f>
        <v>3970.6938729960148</v>
      </c>
      <c r="G23" s="21">
        <f t="shared" si="1"/>
        <v>3944.0281236491887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47">
        <f>E24+'5'!F24</f>
        <v>0</v>
      </c>
      <c r="G24" s="48">
        <f>E24+'5'!G24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 thickBot="1">
      <c r="B26" s="29">
        <v>1</v>
      </c>
      <c r="C26" s="30" t="s">
        <v>31</v>
      </c>
      <c r="D26" s="31" t="s">
        <v>17</v>
      </c>
      <c r="E26" s="32">
        <v>124</v>
      </c>
      <c r="F26" s="32">
        <f>E26+'5'!F26</f>
        <v>742</v>
      </c>
      <c r="G26" s="33">
        <f>E26+'5'!G26</f>
        <v>4611</v>
      </c>
    </row>
    <row r="27" spans="2:8" ht="30.95" customHeight="1">
      <c r="B27" s="34">
        <v>2</v>
      </c>
      <c r="C27" s="10" t="s">
        <v>32</v>
      </c>
      <c r="D27" s="11" t="s">
        <v>33</v>
      </c>
      <c r="E27" s="32">
        <v>4806</v>
      </c>
      <c r="F27" s="36"/>
      <c r="G27" s="37"/>
    </row>
    <row r="28" spans="2:8" ht="30.95" customHeight="1" thickBo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 thickBot="1">
      <c r="B30" s="29">
        <v>1</v>
      </c>
      <c r="C30" s="30" t="s">
        <v>35</v>
      </c>
      <c r="D30" s="42" t="s">
        <v>36</v>
      </c>
      <c r="E30" s="32">
        <v>13</v>
      </c>
      <c r="F30" s="32">
        <f>E30+'5'!F30</f>
        <v>93</v>
      </c>
      <c r="G30" s="33">
        <f>E30+'5'!G30</f>
        <v>583</v>
      </c>
    </row>
    <row r="31" spans="2:8" ht="30.95" customHeight="1" thickBot="1">
      <c r="B31" s="34">
        <v>2</v>
      </c>
      <c r="C31" s="10" t="s">
        <v>37</v>
      </c>
      <c r="D31" s="43" t="s">
        <v>38</v>
      </c>
      <c r="E31" s="32">
        <v>14</v>
      </c>
      <c r="F31" s="12">
        <f>E31+'5'!F31</f>
        <v>90</v>
      </c>
      <c r="G31" s="13">
        <f>E31+'5'!G31</f>
        <v>595</v>
      </c>
    </row>
    <row r="32" spans="2:8" ht="30.95" customHeight="1" thickBot="1">
      <c r="B32" s="34">
        <v>3</v>
      </c>
      <c r="C32" s="10" t="s">
        <v>39</v>
      </c>
      <c r="D32" s="43" t="s">
        <v>38</v>
      </c>
      <c r="E32" s="32">
        <v>17</v>
      </c>
      <c r="F32" s="12">
        <f>E32+'5'!F32</f>
        <v>107</v>
      </c>
      <c r="G32" s="13">
        <f>E32+'5'!G32</f>
        <v>645</v>
      </c>
    </row>
    <row r="33" spans="2:7" ht="30.95" customHeight="1" thickBot="1">
      <c r="B33" s="44">
        <v>4</v>
      </c>
      <c r="C33" s="23" t="s">
        <v>40</v>
      </c>
      <c r="D33" s="45" t="s">
        <v>41</v>
      </c>
      <c r="E33" s="32">
        <v>23</v>
      </c>
      <c r="F33" s="47">
        <v>1672</v>
      </c>
      <c r="G33" s="48"/>
    </row>
    <row r="34" spans="2:7" ht="30.95" customHeight="1" thickBot="1">
      <c r="B34" s="93" t="s">
        <v>42</v>
      </c>
      <c r="C34" s="94"/>
      <c r="D34" s="94"/>
      <c r="E34" s="94"/>
      <c r="F34" s="94"/>
      <c r="G34" s="95"/>
    </row>
    <row r="35" spans="2:7" ht="30.95" customHeight="1" thickBot="1">
      <c r="B35" s="49">
        <v>5</v>
      </c>
      <c r="C35" s="50" t="s">
        <v>46</v>
      </c>
      <c r="D35" s="77" t="s">
        <v>17</v>
      </c>
      <c r="E35" s="51">
        <v>0</v>
      </c>
      <c r="F35" s="32">
        <f>E35+'5'!F35</f>
        <v>55</v>
      </c>
      <c r="G35" s="33">
        <f>E35+'5'!G35</f>
        <v>687</v>
      </c>
    </row>
    <row r="36" spans="2:7" ht="30.95" customHeight="1" thickBot="1">
      <c r="B36" s="52">
        <v>6</v>
      </c>
      <c r="C36" s="53" t="s">
        <v>47</v>
      </c>
      <c r="D36" s="54" t="s">
        <v>43</v>
      </c>
      <c r="E36" s="51">
        <v>5</v>
      </c>
      <c r="F36" s="12">
        <f>E36+'5'!F36</f>
        <v>21</v>
      </c>
      <c r="G36" s="13">
        <f>E36+'5'!G36</f>
        <v>87</v>
      </c>
    </row>
    <row r="37" spans="2:7" ht="30.95" customHeight="1" thickBot="1">
      <c r="B37" s="44">
        <v>7</v>
      </c>
      <c r="C37" s="56" t="s">
        <v>44</v>
      </c>
      <c r="D37" s="57" t="s">
        <v>43</v>
      </c>
      <c r="E37" s="51">
        <v>0</v>
      </c>
      <c r="F37" s="47">
        <f>E37+'5'!F37</f>
        <v>0</v>
      </c>
      <c r="G37" s="48">
        <f>E37+'5'!G37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40"/>
  <sheetViews>
    <sheetView topLeftCell="B1" zoomScale="80" zoomScaleNormal="80" workbookViewId="0">
      <pane xSplit="3" ySplit="6" topLeftCell="E19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48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'6'!E6+1</f>
        <v>46149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135200</v>
      </c>
      <c r="F7" s="12">
        <f>E7+'6'!F7</f>
        <v>1008300</v>
      </c>
      <c r="G7" s="13">
        <f>E7+'6'!G7</f>
        <v>5497600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16790</v>
      </c>
      <c r="F8" s="12">
        <f>E8+'6'!F8</f>
        <v>119825</v>
      </c>
      <c r="G8" s="13">
        <f>E8+'6'!G8</f>
        <v>637539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118410</v>
      </c>
      <c r="F9" s="12">
        <f>E9+'6'!F9</f>
        <v>888475</v>
      </c>
      <c r="G9" s="13">
        <f>E9+'6'!G9</f>
        <v>4860061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12.418639053254438</v>
      </c>
      <c r="F10" s="15">
        <f>F8/F7*100</f>
        <v>11.883863929386095</v>
      </c>
      <c r="G10" s="16">
        <f>G8/G7*100</f>
        <v>11.596678550640279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5.6333333333333329</v>
      </c>
      <c r="F11" s="15">
        <f>F7/F12/1000</f>
        <v>6.0017857142857149</v>
      </c>
      <c r="G11" s="16">
        <f>G7/G12/1000</f>
        <v>6.3142903085015964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E12+'6'!F12</f>
        <v>168</v>
      </c>
      <c r="G12" s="13">
        <f>E12+'6'!G12</f>
        <v>870.66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56.333333333333321</v>
      </c>
      <c r="F13" s="15">
        <f>F11/10*100</f>
        <v>60.017857142857146</v>
      </c>
      <c r="G13" s="16">
        <f>G11/10*100</f>
        <v>63.142903085015966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657</v>
      </c>
      <c r="F14" s="12">
        <f>E14+'6'!F14</f>
        <v>4789</v>
      </c>
      <c r="G14" s="13">
        <f>E14+'6'!G14</f>
        <v>25888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640</v>
      </c>
      <c r="F15" s="12">
        <f>E15+'6'!F15</f>
        <v>4658</v>
      </c>
      <c r="G15" s="13">
        <f>E15+'6'!G15</f>
        <v>25152</v>
      </c>
    </row>
    <row r="16" spans="1:12" ht="30.95" customHeight="1">
      <c r="B16" s="9">
        <v>9</v>
      </c>
      <c r="C16" s="10" t="s">
        <v>19</v>
      </c>
      <c r="D16" s="88" t="s">
        <v>17</v>
      </c>
      <c r="E16" s="12">
        <v>29</v>
      </c>
      <c r="F16" s="12">
        <f>E16+'6'!F16</f>
        <v>284</v>
      </c>
      <c r="G16" s="13">
        <f>E16+'6'!G16</f>
        <v>1476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566</v>
      </c>
      <c r="F17" s="12">
        <f>E17+'6'!F17</f>
        <v>4209</v>
      </c>
      <c r="G17" s="13">
        <f>E17+'6'!G17</f>
        <v>22886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462</v>
      </c>
      <c r="F18" s="12">
        <f>E18+'6'!F18</f>
        <v>3371</v>
      </c>
      <c r="G18" s="13">
        <f>E18+'6'!G18</f>
        <v>18552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E19+'6'!F19</f>
        <v>126</v>
      </c>
      <c r="G19" s="13">
        <f>E19+'6'!G19</f>
        <v>654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4.1863905325443787</v>
      </c>
      <c r="F20" s="15">
        <f>F17*1000/F7</f>
        <v>4.1743528711692948</v>
      </c>
      <c r="G20" s="16">
        <f>G17*1000/G7</f>
        <v>4.162907450523865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0.84319526627218933</v>
      </c>
      <c r="F21" s="19">
        <f>F26*1000/F7</f>
        <v>0.84895368441931962</v>
      </c>
      <c r="G21" s="20">
        <f>G26*1000/G7</f>
        <v>0.85946594877764848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2820.3254437869823</v>
      </c>
      <c r="F22" s="21">
        <f t="shared" ref="F22:G22" si="0">((F17*(803-130)+F31*(30))*1000)/F7</f>
        <v>2812.4040464147574</v>
      </c>
      <c r="G22" s="21">
        <f t="shared" si="0"/>
        <v>2804.954525611176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4084.357457138522</v>
      </c>
      <c r="F23" s="21">
        <f t="shared" ref="F23:G23" si="1">(F15*(803-130))*1000/(F7*0.78)</f>
        <v>3985.9346907844379</v>
      </c>
      <c r="G23" s="21">
        <f t="shared" si="1"/>
        <v>3947.4791797259782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E24+'6'!F24</f>
        <v>0</v>
      </c>
      <c r="G24" s="48">
        <f>E24+'6'!G24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 thickBot="1">
      <c r="B26" s="29">
        <v>1</v>
      </c>
      <c r="C26" s="30" t="s">
        <v>31</v>
      </c>
      <c r="D26" s="31" t="s">
        <v>17</v>
      </c>
      <c r="E26" s="32">
        <v>114</v>
      </c>
      <c r="F26" s="32">
        <f>E26+'6'!F26</f>
        <v>856</v>
      </c>
      <c r="G26" s="33">
        <f>E26+'6'!G26</f>
        <v>4725</v>
      </c>
    </row>
    <row r="27" spans="2:8" ht="30.95" customHeight="1">
      <c r="B27" s="34">
        <v>2</v>
      </c>
      <c r="C27" s="10" t="s">
        <v>32</v>
      </c>
      <c r="D27" s="11" t="s">
        <v>33</v>
      </c>
      <c r="E27" s="32">
        <v>4825</v>
      </c>
      <c r="F27" s="36"/>
      <c r="G27" s="37"/>
    </row>
    <row r="28" spans="2:8" ht="30.95" customHeight="1" thickBot="1">
      <c r="B28" s="38"/>
      <c r="C28" s="23"/>
      <c r="D28" s="39"/>
      <c r="E28" s="40"/>
      <c r="F28" s="40"/>
      <c r="G28" s="41"/>
    </row>
    <row r="29" spans="2:8" ht="30.95" customHeight="1">
      <c r="B29" s="99"/>
      <c r="C29" s="100"/>
      <c r="D29" s="100"/>
      <c r="E29" s="100"/>
      <c r="F29" s="100"/>
      <c r="G29" s="101"/>
    </row>
    <row r="30" spans="2:8" ht="30.95" customHeight="1" thickBot="1">
      <c r="B30" s="29">
        <v>1</v>
      </c>
      <c r="C30" s="30" t="s">
        <v>35</v>
      </c>
      <c r="D30" s="42" t="s">
        <v>36</v>
      </c>
      <c r="E30" s="32">
        <v>12</v>
      </c>
      <c r="F30" s="32">
        <f>E30+'6'!F30</f>
        <v>105</v>
      </c>
      <c r="G30" s="33">
        <f>E30+'6'!G30</f>
        <v>595</v>
      </c>
    </row>
    <row r="31" spans="2:8" ht="30.95" customHeight="1" thickBot="1">
      <c r="B31" s="34">
        <v>2</v>
      </c>
      <c r="C31" s="10" t="s">
        <v>37</v>
      </c>
      <c r="D31" s="43" t="s">
        <v>38</v>
      </c>
      <c r="E31" s="32">
        <v>13</v>
      </c>
      <c r="F31" s="12">
        <f>E31+'6'!F31</f>
        <v>103</v>
      </c>
      <c r="G31" s="13">
        <f>E31+'6'!G31</f>
        <v>608</v>
      </c>
    </row>
    <row r="32" spans="2:8" ht="30.95" customHeight="1" thickBot="1">
      <c r="B32" s="34">
        <v>3</v>
      </c>
      <c r="C32" s="10" t="s">
        <v>39</v>
      </c>
      <c r="D32" s="43" t="s">
        <v>38</v>
      </c>
      <c r="E32" s="32">
        <v>16</v>
      </c>
      <c r="F32" s="12">
        <f>E32+'6'!F32</f>
        <v>123</v>
      </c>
      <c r="G32" s="13">
        <f>E32+'6'!G32</f>
        <v>661</v>
      </c>
    </row>
    <row r="33" spans="2:7" ht="30.95" customHeight="1" thickBot="1">
      <c r="B33" s="44">
        <v>4</v>
      </c>
      <c r="C33" s="23" t="s">
        <v>40</v>
      </c>
      <c r="D33" s="45" t="s">
        <v>41</v>
      </c>
      <c r="E33" s="32">
        <v>24</v>
      </c>
      <c r="F33" s="46">
        <v>1820</v>
      </c>
      <c r="G33" s="48"/>
    </row>
    <row r="34" spans="2:7" ht="30.95" customHeight="1" thickBot="1">
      <c r="B34" s="93" t="s">
        <v>42</v>
      </c>
      <c r="C34" s="94"/>
      <c r="D34" s="94"/>
      <c r="E34" s="94"/>
      <c r="F34" s="94"/>
      <c r="G34" s="95"/>
    </row>
    <row r="35" spans="2:7" ht="30.95" customHeight="1" thickBot="1">
      <c r="B35" s="49">
        <v>5</v>
      </c>
      <c r="C35" s="50" t="s">
        <v>46</v>
      </c>
      <c r="D35" s="77" t="s">
        <v>17</v>
      </c>
      <c r="E35" s="79">
        <v>0</v>
      </c>
      <c r="F35" s="80">
        <f>E35+'6'!F35</f>
        <v>55</v>
      </c>
      <c r="G35" s="81">
        <f>E35+'6'!G35</f>
        <v>687</v>
      </c>
    </row>
    <row r="36" spans="2:7" ht="30.95" customHeight="1" thickBot="1">
      <c r="B36" s="52">
        <v>6</v>
      </c>
      <c r="C36" s="53" t="s">
        <v>47</v>
      </c>
      <c r="D36" s="54" t="s">
        <v>43</v>
      </c>
      <c r="E36" s="79">
        <v>4</v>
      </c>
      <c r="F36" s="82">
        <f>E36+'6'!F36</f>
        <v>25</v>
      </c>
      <c r="G36" s="83">
        <f>E36+'6'!G36</f>
        <v>91</v>
      </c>
    </row>
    <row r="37" spans="2:7" ht="30.95" customHeight="1" thickBot="1">
      <c r="B37" s="44">
        <v>7</v>
      </c>
      <c r="C37" s="56" t="s">
        <v>44</v>
      </c>
      <c r="D37" s="57" t="s">
        <v>43</v>
      </c>
      <c r="E37" s="79">
        <v>0</v>
      </c>
      <c r="F37" s="84">
        <f>E37+'6'!F37</f>
        <v>0</v>
      </c>
      <c r="G37" s="85">
        <f>E37+'6'!G37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L40"/>
  <sheetViews>
    <sheetView topLeftCell="B1" zoomScale="80" zoomScaleNormal="80" workbookViewId="0">
      <pane xSplit="3" ySplit="6" topLeftCell="E13" activePane="bottomRight" state="frozen"/>
      <selection pane="topRight"/>
      <selection pane="bottomLeft"/>
      <selection pane="bottomRight" activeCell="E27" sqref="E2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'7'!E6+1</f>
        <v>46150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139900</v>
      </c>
      <c r="F7" s="12">
        <f>E7+'7'!F7</f>
        <v>1148200</v>
      </c>
      <c r="G7" s="13">
        <f>E7+'7'!G7</f>
        <v>5637500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16949</v>
      </c>
      <c r="F8" s="12">
        <f>E8+'7'!F8</f>
        <v>136774</v>
      </c>
      <c r="G8" s="13">
        <f>E8+'7'!G8</f>
        <v>654488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122951</v>
      </c>
      <c r="F9" s="12">
        <f>E9+'7'!F9</f>
        <v>1011426</v>
      </c>
      <c r="G9" s="13">
        <f>E9+'7'!G9</f>
        <v>4983012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12.115082201572552</v>
      </c>
      <c r="F10" s="15">
        <f>F8/F7*100</f>
        <v>11.912036230621844</v>
      </c>
      <c r="G10" s="16">
        <f>G8/G7*100</f>
        <v>11.609543237250554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5.8291666666666666</v>
      </c>
      <c r="F11" s="15">
        <f>F7/F12/1000</f>
        <v>5.9802083333333327</v>
      </c>
      <c r="G11" s="16">
        <f>G7/G12/1000</f>
        <v>6.3012764625667854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E12+'7'!F12</f>
        <v>192</v>
      </c>
      <c r="G12" s="13">
        <f>E12+'7'!G12</f>
        <v>894.66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58.291666666666664</v>
      </c>
      <c r="F13" s="15">
        <f>F11/10*100</f>
        <v>59.802083333333321</v>
      </c>
      <c r="G13" s="16">
        <f>G11/10*100</f>
        <v>63.012764625667849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692</v>
      </c>
      <c r="F14" s="12">
        <f>E14+'7'!F14</f>
        <v>5481</v>
      </c>
      <c r="G14" s="13">
        <f>E14+'7'!G14</f>
        <v>26580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670</v>
      </c>
      <c r="F15" s="12">
        <f>E15+'7'!F15</f>
        <v>5328</v>
      </c>
      <c r="G15" s="13">
        <f>E15+'7'!G15</f>
        <v>25822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9</v>
      </c>
      <c r="F16" s="12">
        <f>E16+'7'!F16</f>
        <v>293</v>
      </c>
      <c r="G16" s="13">
        <f>E16+'7'!G16</f>
        <v>1485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569</v>
      </c>
      <c r="F17" s="12">
        <f>E17+'7'!F17</f>
        <v>4778</v>
      </c>
      <c r="G17" s="13">
        <f>E17+'7'!G17</f>
        <v>23455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492</v>
      </c>
      <c r="F18" s="12">
        <f>E18+'7'!F18</f>
        <v>3863</v>
      </c>
      <c r="G18" s="13">
        <f>E18+'7'!G18</f>
        <v>19044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E19+'7'!F19</f>
        <v>143</v>
      </c>
      <c r="G19" s="13">
        <f>E19+'7'!G19</f>
        <v>671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4.0671908506075765</v>
      </c>
      <c r="F20" s="15">
        <f>F17*1000/F7</f>
        <v>4.161295941473611</v>
      </c>
      <c r="G20" s="16">
        <f>G17*1000/G7</f>
        <v>4.1605321507760529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0.85775553967119367</v>
      </c>
      <c r="F21" s="19">
        <f>F26*1000/F7</f>
        <v>0.85002612785229059</v>
      </c>
      <c r="G21" s="20">
        <f>G26*1000/G7</f>
        <v>0.85942350332594231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2739.7927090779126</v>
      </c>
      <c r="F22" s="21">
        <f t="shared" ref="F22:G22" si="0">((F17*(803-130)+F31*(30))*1000)/F7</f>
        <v>2803.5568716251523</v>
      </c>
      <c r="G22" s="21">
        <f t="shared" si="0"/>
        <v>2803.3374722838139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4132.1639999266872</v>
      </c>
      <c r="F23" s="21">
        <f t="shared" ref="F23:G23" si="1">(F15*(803-130))*1000/(F7*0.78)</f>
        <v>4003.7516916109494</v>
      </c>
      <c r="G23" s="21">
        <f t="shared" si="1"/>
        <v>3952.0623116720676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E24+'7'!F24</f>
        <v>0</v>
      </c>
      <c r="G24" s="48">
        <f>E24+'7'!G24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120</v>
      </c>
      <c r="F26" s="32">
        <f>E26+'7'!F26</f>
        <v>976</v>
      </c>
      <c r="G26" s="33">
        <f>E26+'7'!G26</f>
        <v>4845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4755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13</v>
      </c>
      <c r="F30" s="32">
        <f>E30+'7'!F30</f>
        <v>118</v>
      </c>
      <c r="G30" s="33">
        <f>E30+'7'!G30</f>
        <v>608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E31+'7'!F31</f>
        <v>115</v>
      </c>
      <c r="G31" s="13">
        <f>E31+'7'!G31</f>
        <v>620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E32+'7'!F32</f>
        <v>140</v>
      </c>
      <c r="G32" s="13">
        <f>E32+'7'!G32</f>
        <v>678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25</v>
      </c>
      <c r="F33" s="46">
        <v>1776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25</v>
      </c>
      <c r="F35" s="32">
        <f>E35+'7'!F35</f>
        <v>80</v>
      </c>
      <c r="G35" s="33">
        <f>E35+'7'!G35</f>
        <v>712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1</v>
      </c>
      <c r="F36" s="12">
        <f>E36+'7'!F36</f>
        <v>26</v>
      </c>
      <c r="G36" s="13">
        <f>E36+'7'!G36</f>
        <v>92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/>
      <c r="F37" s="47">
        <f>E37+'7'!F37</f>
        <v>0</v>
      </c>
      <c r="G37" s="48">
        <f>E37+'7'!G37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40"/>
  <sheetViews>
    <sheetView zoomScale="85" zoomScaleNormal="85" workbookViewId="0">
      <pane xSplit="4" ySplit="6" topLeftCell="E28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6.28515625" style="1" customWidth="1"/>
    <col min="2" max="2" width="10.140625" style="1" customWidth="1"/>
    <col min="3" max="3" width="29.42578125" style="1" customWidth="1"/>
    <col min="4" max="4" width="14.5703125" style="2" customWidth="1"/>
    <col min="5" max="5" width="34.5703125" style="1" customWidth="1"/>
    <col min="6" max="6" width="37.28515625" style="1" customWidth="1"/>
    <col min="7" max="7" width="38.28515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'8'!E6+1</f>
        <v>46151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133200</v>
      </c>
      <c r="F7" s="12">
        <f>E7+'8'!F7</f>
        <v>1281400</v>
      </c>
      <c r="G7" s="13">
        <f>E7+'8'!G7</f>
        <v>5770700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17083</v>
      </c>
      <c r="F8" s="12">
        <f>E8+'8'!F8</f>
        <v>153857</v>
      </c>
      <c r="G8" s="13">
        <f>E8+'8'!G8</f>
        <v>671571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116117</v>
      </c>
      <c r="F9" s="12">
        <f>E9+'8'!F9</f>
        <v>1127543</v>
      </c>
      <c r="G9" s="13">
        <f>E9+'8'!G9</f>
        <v>5099129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12.825075075075077</v>
      </c>
      <c r="F10" s="15">
        <f>F8/F7*100</f>
        <v>12.006945528328391</v>
      </c>
      <c r="G10" s="16">
        <f>G8/G7*100</f>
        <v>11.63760029112586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5.55</v>
      </c>
      <c r="F11" s="15">
        <f>F7/F12/1000</f>
        <v>5.9324074074074078</v>
      </c>
      <c r="G11" s="16">
        <f>G7/G12/1000</f>
        <v>6.2816493588487585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E12+'8'!F12</f>
        <v>216</v>
      </c>
      <c r="G12" s="13">
        <f>E12+'8'!G12</f>
        <v>918.66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55.499999999999993</v>
      </c>
      <c r="F13" s="15">
        <f>F11/10*100</f>
        <v>59.324074074074076</v>
      </c>
      <c r="G13" s="16">
        <f>G11/10*100</f>
        <v>62.816493588487589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662</v>
      </c>
      <c r="F14" s="12">
        <f>E14+'8'!F14</f>
        <v>6143</v>
      </c>
      <c r="G14" s="13">
        <f>E14+'8'!G14</f>
        <v>27242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636</v>
      </c>
      <c r="F15" s="12">
        <f>E15+'8'!F15</f>
        <v>5964</v>
      </c>
      <c r="G15" s="13">
        <f>E15+'8'!G15</f>
        <v>26458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11</v>
      </c>
      <c r="F16" s="12">
        <f>E16+'8'!F16</f>
        <v>304</v>
      </c>
      <c r="G16" s="13">
        <f>E16+'8'!G16</f>
        <v>1496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542</v>
      </c>
      <c r="F17" s="12">
        <f>E17+'8'!F17</f>
        <v>5320</v>
      </c>
      <c r="G17" s="13">
        <f>E17+'8'!G17</f>
        <v>23997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466</v>
      </c>
      <c r="F18" s="12">
        <f>E18+'8'!F18</f>
        <v>4329</v>
      </c>
      <c r="G18" s="13">
        <f>E18+'8'!G18</f>
        <v>19510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E19+'8'!F19</f>
        <v>161</v>
      </c>
      <c r="G19" s="13">
        <f>E19+'8'!G19</f>
        <v>689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4.0690690690690694</v>
      </c>
      <c r="F20" s="15">
        <f>F17*1000/F7</f>
        <v>4.1517090682066486</v>
      </c>
      <c r="G20" s="16">
        <f>G17*1000/G7</f>
        <v>4.1584209887881887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0.97597597597597596</v>
      </c>
      <c r="F21" s="19">
        <f>F26*1000/F7</f>
        <v>0.86311846417980331</v>
      </c>
      <c r="G21" s="20">
        <f>G26*1000/G7</f>
        <v>0.86211378169026287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2742.0870870870872</v>
      </c>
      <c r="F22" s="21">
        <f t="shared" ref="F22:G22" si="0">((F17*(803-130)+F31*(30))*1000)/F7</f>
        <v>2797.1671609177461</v>
      </c>
      <c r="G22" s="78">
        <f t="shared" si="0"/>
        <v>2801.9236834352851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4119.7736197736194</v>
      </c>
      <c r="F23" s="21">
        <f t="shared" ref="F23:G23" si="1">(F15*(803-130))*1000/(F7*0.78)</f>
        <v>4015.8120325125165</v>
      </c>
      <c r="G23" s="21">
        <f t="shared" si="1"/>
        <v>3955.9334445050217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E24+'8'!F24</f>
        <v>0</v>
      </c>
      <c r="G24" s="48">
        <f>E24+'8'!G24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130</v>
      </c>
      <c r="F26" s="32">
        <f>E26+'8'!F26</f>
        <v>1106</v>
      </c>
      <c r="G26" s="33">
        <f>E26+'8'!G26</f>
        <v>4975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4067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E30+'8'!F30</f>
        <v>133</v>
      </c>
      <c r="G30" s="33">
        <f>E30+'8'!G30</f>
        <v>623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E31+'8'!F31</f>
        <v>131</v>
      </c>
      <c r="G31" s="13">
        <f>E31+'8'!G31</f>
        <v>636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E32+'8'!F32</f>
        <v>157</v>
      </c>
      <c r="G32" s="13">
        <f>E32+'8'!G32</f>
        <v>695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6">
        <v>1581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44</v>
      </c>
      <c r="F35" s="32">
        <f>E35+'8'!F35</f>
        <v>124</v>
      </c>
      <c r="G35" s="33">
        <f>E35+'8'!G35</f>
        <v>756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E36+'8'!F36</f>
        <v>26</v>
      </c>
      <c r="G36" s="13">
        <f>E36+'8'!G36</f>
        <v>92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E37+'8'!F37</f>
        <v>0</v>
      </c>
      <c r="G37" s="48">
        <f>E37+'8'!G37</f>
        <v>0</v>
      </c>
    </row>
    <row r="38" spans="2:7" ht="30.95" customHeight="1">
      <c r="D38" s="1"/>
      <c r="G38" s="1" t="s">
        <v>49</v>
      </c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45" top="0.75" bottom="0.75" header="0.3" footer="0.3"/>
  <pageSetup scale="4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40"/>
  <sheetViews>
    <sheetView topLeftCell="C1" zoomScale="85" zoomScaleNormal="85" workbookViewId="0">
      <pane xSplit="2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6.7109375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6" width="38.7109375" style="1" customWidth="1"/>
    <col min="7" max="7" width="38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'9'!E6+1</f>
        <v>46152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141900</v>
      </c>
      <c r="F7" s="36">
        <f>E7+'9'!F7</f>
        <v>1423300</v>
      </c>
      <c r="G7" s="13">
        <f>E7+'9'!G7</f>
        <v>5912600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17074</v>
      </c>
      <c r="F8" s="12">
        <f>E8+'9'!F8</f>
        <v>170931</v>
      </c>
      <c r="G8" s="13">
        <f>E8+'9'!G8</f>
        <v>688645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124826</v>
      </c>
      <c r="F9" s="12">
        <f>E9+'9'!F9</f>
        <v>1252369</v>
      </c>
      <c r="G9" s="13">
        <f>E9+'9'!G9</f>
        <v>5223955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12.032417195207893</v>
      </c>
      <c r="F10" s="15">
        <f>F8/F7*100</f>
        <v>12.009484999648704</v>
      </c>
      <c r="G10" s="16">
        <f>G8/G7*100</f>
        <v>11.647075736562595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5.9124999999999996</v>
      </c>
      <c r="F11" s="15">
        <f>F7/F12/1000</f>
        <v>5.9304166666666669</v>
      </c>
      <c r="G11" s="16">
        <f>G7/G12/1000</f>
        <v>6.2722508645747137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E12+'9'!F12</f>
        <v>240</v>
      </c>
      <c r="G12" s="13">
        <f>E12+'9'!G12</f>
        <v>942.66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59.124999999999993</v>
      </c>
      <c r="F13" s="15">
        <f>F11/10*100</f>
        <v>59.304166666666667</v>
      </c>
      <c r="G13" s="16">
        <f>G11/10*100</f>
        <v>62.722508645747133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688</v>
      </c>
      <c r="F14" s="12">
        <f>E14+'9'!F14</f>
        <v>6831</v>
      </c>
      <c r="G14" s="13">
        <f>E14+'9'!G14</f>
        <v>27930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670</v>
      </c>
      <c r="F15" s="12">
        <f>E15+'9'!F15</f>
        <v>6634</v>
      </c>
      <c r="G15" s="13">
        <f>E15+'9'!G15</f>
        <v>27128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18</v>
      </c>
      <c r="F16" s="70">
        <f>E16+'9'!F16</f>
        <v>322</v>
      </c>
      <c r="G16" s="13">
        <f>E16+'9'!G16</f>
        <v>1514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581</v>
      </c>
      <c r="F17" s="12">
        <f>E17+'9'!F17</f>
        <v>5901</v>
      </c>
      <c r="G17" s="13">
        <f>E17+'9'!G17</f>
        <v>24578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488</v>
      </c>
      <c r="F18" s="12">
        <f>E18+'9'!F18</f>
        <v>4817</v>
      </c>
      <c r="G18" s="13">
        <f>E18+'9'!G18</f>
        <v>19998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E19+'9'!F19</f>
        <v>179</v>
      </c>
      <c r="G19" s="13">
        <f>E19+'9'!G19</f>
        <v>707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4.0944326990838622</v>
      </c>
      <c r="F20" s="15">
        <f>F17*1000/F7</f>
        <v>4.1459987353333805</v>
      </c>
      <c r="G20" s="16">
        <f>G17*1000/G7</f>
        <v>4.1568852958089506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0.98661028893587033</v>
      </c>
      <c r="F21" s="19">
        <f>F26*1000/F7</f>
        <v>0.87543033794702452</v>
      </c>
      <c r="G21" s="20">
        <f>G26*1000/G7</f>
        <v>0.86510164732943207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2758.7244538407331</v>
      </c>
      <c r="F22" s="21">
        <f t="shared" ref="F22:G22" si="0">((F17*(803-130)+F31*(30))*1000)/F7</f>
        <v>2793.3345043209442</v>
      </c>
      <c r="G22" s="78">
        <f t="shared" si="0"/>
        <v>2800.8869194601361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4073.9234925281435</v>
      </c>
      <c r="F23" s="21">
        <f t="shared" ref="F23:G23" si="1">(F15*(803-130))*1000/(F7*0.78)</f>
        <v>4021.605622181748</v>
      </c>
      <c r="G23" s="21">
        <f t="shared" si="1"/>
        <v>3958.7651577639062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E24+'9'!F24</f>
        <v>0</v>
      </c>
      <c r="G24" s="48">
        <f>E24+'9'!G24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140</v>
      </c>
      <c r="F26" s="32">
        <f>E26+'9'!F26</f>
        <v>1246</v>
      </c>
      <c r="G26" s="33">
        <f>E26+'9'!G26</f>
        <v>5115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4109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17</v>
      </c>
      <c r="F30" s="32">
        <f>E30+'9'!F30</f>
        <v>150</v>
      </c>
      <c r="G30" s="33">
        <f>E30+'9'!G30</f>
        <v>640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E31+'9'!F31</f>
        <v>146</v>
      </c>
      <c r="G31" s="13">
        <f>E31+'9'!G31</f>
        <v>651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38</v>
      </c>
      <c r="F32" s="12">
        <f>E32+'9'!F32</f>
        <v>195</v>
      </c>
      <c r="G32" s="13">
        <f>E32+'9'!G32</f>
        <v>733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20</v>
      </c>
      <c r="F33" s="35">
        <v>1502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E35+'9'!F35</f>
        <v>124</v>
      </c>
      <c r="G35" s="33">
        <f>E35+'9'!G35</f>
        <v>756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E36+'9'!F36</f>
        <v>31</v>
      </c>
      <c r="G36" s="13">
        <f>E36+'9'!G36</f>
        <v>97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E37+'9'!F37</f>
        <v>0</v>
      </c>
      <c r="G37" s="48">
        <f>E37+'9'!G37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45" right="0.45" top="0.75" bottom="0.75" header="0.3" footer="0.3"/>
  <pageSetup scale="5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40"/>
  <sheetViews>
    <sheetView topLeftCell="C1" zoomScale="80" zoomScaleNormal="80" workbookViewId="0">
      <pane xSplit="2" ySplit="6" topLeftCell="E19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'10'!E6+1</f>
        <v>46153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134900</v>
      </c>
      <c r="F7" s="12">
        <f>E7+'10'!F7</f>
        <v>1558200</v>
      </c>
      <c r="G7" s="13">
        <f>E7+'10'!G7</f>
        <v>6047500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17357</v>
      </c>
      <c r="F8" s="12">
        <f>E8+'10'!F8</f>
        <v>188288</v>
      </c>
      <c r="G8" s="13">
        <f>E8+'10'!G8</f>
        <v>706002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117543</v>
      </c>
      <c r="F9" s="12">
        <f>E9+'10'!F9</f>
        <v>1369912</v>
      </c>
      <c r="G9" s="13">
        <f>E9+'10'!G9</f>
        <v>5341498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12.866567828020756</v>
      </c>
      <c r="F10" s="15">
        <f>F8/F7*100</f>
        <v>12.083686304710564</v>
      </c>
      <c r="G10" s="16">
        <f>G8/G7*100</f>
        <v>11.674278627532038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5.6208333333333327</v>
      </c>
      <c r="F11" s="15">
        <f>F7/F12/1000</f>
        <v>5.9022727272727273</v>
      </c>
      <c r="G11" s="16">
        <f>G7/G12/1000</f>
        <v>6.2560776281215729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E12+'10'!F12</f>
        <v>264</v>
      </c>
      <c r="G12" s="13">
        <f>E12+'10'!G12</f>
        <v>966.66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56.208333333333329</v>
      </c>
      <c r="F13" s="15">
        <f>F11/10*100</f>
        <v>59.022727272727273</v>
      </c>
      <c r="G13" s="16">
        <f>G11/10*100</f>
        <v>62.560776281215723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680</v>
      </c>
      <c r="F14" s="12">
        <f>E14+'10'!F14</f>
        <v>7511</v>
      </c>
      <c r="G14" s="13">
        <f>E14+'10'!G14</f>
        <v>28610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660</v>
      </c>
      <c r="F15" s="12">
        <f>E15+'10'!F15</f>
        <v>7294</v>
      </c>
      <c r="G15" s="13">
        <f>E15+'10'!G15</f>
        <v>27788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0</v>
      </c>
      <c r="F16" s="70">
        <f>E16+'10'!F16</f>
        <v>322</v>
      </c>
      <c r="G16" s="13">
        <f>E16+'10'!G16</f>
        <v>1514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547</v>
      </c>
      <c r="F17" s="12">
        <f>E17+'10'!F17</f>
        <v>6448</v>
      </c>
      <c r="G17" s="13">
        <f>E17+'10'!G17</f>
        <v>25125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481</v>
      </c>
      <c r="F18" s="12">
        <f>E18+'10'!F18</f>
        <v>5298</v>
      </c>
      <c r="G18" s="13">
        <f>E18+'10'!G18</f>
        <v>20479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E19+'10'!F19</f>
        <v>197</v>
      </c>
      <c r="G19" s="13">
        <f>E19+'10'!G19</f>
        <v>725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4.0548554484803558</v>
      </c>
      <c r="F20" s="15">
        <f>F17*1000/F7</f>
        <v>4.1381080734180467</v>
      </c>
      <c r="G20" s="16">
        <f>G17*1000/G7</f>
        <v>4.1546093427035968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1.0229799851742032</v>
      </c>
      <c r="F21" s="19">
        <f>F26*1000/F7</f>
        <v>0.88820433833910928</v>
      </c>
      <c r="G21" s="20">
        <f>G26*1000/G7</f>
        <v>0.86862339809838773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2733.1430689399554</v>
      </c>
      <c r="F22" s="21">
        <f t="shared" ref="F22:G22" si="0">((F17*(803-130)+F31*(30))*1000)/F7</f>
        <v>2788.1234758054165</v>
      </c>
      <c r="G22" s="21">
        <f t="shared" si="0"/>
        <v>2799.3757751136832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4221.360551975823</v>
      </c>
      <c r="F23" s="21">
        <f t="shared" ref="F23:G23" si="1">(F15*(803-130))*1000/(F7*0.78)</f>
        <v>4038.899255880388</v>
      </c>
      <c r="G23" s="21">
        <f t="shared" si="1"/>
        <v>3964.6228045070543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E24+'10'!F24</f>
        <v>0</v>
      </c>
      <c r="G24" s="48">
        <f>E24+'10'!G24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E26+'10'!F26</f>
        <v>1384</v>
      </c>
      <c r="G26" s="33">
        <f>E26+'10'!G26</f>
        <v>5253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4122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5" t="s">
        <v>34</v>
      </c>
      <c r="C29" s="106"/>
      <c r="D29" s="106"/>
      <c r="E29" s="106"/>
      <c r="F29" s="106"/>
      <c r="G29" s="107"/>
    </row>
    <row r="30" spans="2:8" ht="30.95" customHeight="1">
      <c r="B30" s="74">
        <v>1</v>
      </c>
      <c r="C30" s="75" t="s">
        <v>35</v>
      </c>
      <c r="D30" s="76" t="s">
        <v>38</v>
      </c>
      <c r="E30" s="71">
        <v>19</v>
      </c>
      <c r="F30" s="71">
        <f>E30+'10'!F30</f>
        <v>169</v>
      </c>
      <c r="G30" s="72">
        <f>E30+'10'!G30</f>
        <v>659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19</v>
      </c>
      <c r="F31" s="12">
        <f>E31+'10'!F31</f>
        <v>165</v>
      </c>
      <c r="G31" s="13">
        <f>E31+'10'!G31</f>
        <v>670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20</v>
      </c>
      <c r="F32" s="12">
        <f>E32+'10'!F32</f>
        <v>215</v>
      </c>
      <c r="G32" s="13">
        <f>E32+'10'!G32</f>
        <v>753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20.8</v>
      </c>
      <c r="F33" s="35">
        <v>1425</v>
      </c>
      <c r="G33" s="73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15</v>
      </c>
      <c r="F35" s="32">
        <f>E35+'10'!F35</f>
        <v>139</v>
      </c>
      <c r="G35" s="33">
        <f>E35+'10'!G35</f>
        <v>771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E36+'10'!F36</f>
        <v>34</v>
      </c>
      <c r="G36" s="13">
        <f>E36+'10'!G36</f>
        <v>100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E37+'10'!F37</f>
        <v>0</v>
      </c>
      <c r="G37" s="48">
        <f>E37+'10'!G37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L40"/>
  <sheetViews>
    <sheetView topLeftCell="C1" zoomScale="80" zoomScaleNormal="80" workbookViewId="0">
      <pane xSplit="2" ySplit="6" topLeftCell="E19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'11'!E6+1</f>
        <v>46154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140000</v>
      </c>
      <c r="F7" s="12">
        <f>E7+'11'!F7</f>
        <v>1698200</v>
      </c>
      <c r="G7" s="13">
        <f>E7+'11'!G7</f>
        <v>6187500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17149</v>
      </c>
      <c r="F8" s="12">
        <f>E8+'11'!F8</f>
        <v>205437</v>
      </c>
      <c r="G8" s="13">
        <f>E8+'11'!G8</f>
        <v>723151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122851</v>
      </c>
      <c r="F9" s="12">
        <f>E9+'11'!F9</f>
        <v>1492763</v>
      </c>
      <c r="G9" s="13">
        <f>E9+'11'!G9</f>
        <v>5464349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12.249285714285714</v>
      </c>
      <c r="F10" s="15">
        <f>F8/F7*100</f>
        <v>12.097338358261689</v>
      </c>
      <c r="G10" s="16">
        <f>G8/G7*100</f>
        <v>11.687288888888888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5.833333333333333</v>
      </c>
      <c r="F11" s="15">
        <f>F7/F12/1000</f>
        <v>5.8965277777777771</v>
      </c>
      <c r="G11" s="16">
        <f>G7/G12/1000</f>
        <v>6.2458361092604928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E12+'11'!F12</f>
        <v>288</v>
      </c>
      <c r="G12" s="13">
        <f>E12+'11'!G12</f>
        <v>990.66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58.333333333333329</v>
      </c>
      <c r="F13" s="15">
        <f>F11/10*100</f>
        <v>58.965277777777771</v>
      </c>
      <c r="G13" s="16">
        <f>G11/10*100</f>
        <v>62.458361092604932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698</v>
      </c>
      <c r="F14" s="12">
        <f>E14+'11'!F14</f>
        <v>8209</v>
      </c>
      <c r="G14" s="13">
        <f>E14+'11'!G14</f>
        <v>29308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672</v>
      </c>
      <c r="F15" s="12">
        <f>E15+'11'!F15</f>
        <v>7966</v>
      </c>
      <c r="G15" s="13">
        <f>E15+'11'!G15</f>
        <v>28460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0</v>
      </c>
      <c r="F16" s="70">
        <f>E16+'11'!F16</f>
        <v>322</v>
      </c>
      <c r="G16" s="13">
        <f>E16+'11'!G16</f>
        <v>1514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567</v>
      </c>
      <c r="F17" s="12">
        <f>E17+'11'!F17</f>
        <v>7015</v>
      </c>
      <c r="G17" s="13">
        <f>E17+'11'!G17</f>
        <v>25692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499</v>
      </c>
      <c r="F18" s="12">
        <f>E18+'11'!F18</f>
        <v>5797</v>
      </c>
      <c r="G18" s="13">
        <f>E18+'11'!G18</f>
        <v>20978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E19+'11'!F19</f>
        <v>215</v>
      </c>
      <c r="G19" s="13">
        <f>E19+'11'!G19</f>
        <v>743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4.05</v>
      </c>
      <c r="F20" s="15">
        <f>F17*1000/F7</f>
        <v>4.1308444235072432</v>
      </c>
      <c r="G20" s="16">
        <f>G17*1000/G7</f>
        <v>4.1522424242424245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0.98571428571428577</v>
      </c>
      <c r="F21" s="19">
        <f>F26*1000/F7</f>
        <v>0.89624308090919802</v>
      </c>
      <c r="G21" s="20">
        <f>G26*1000/G7</f>
        <v>0.87127272727272731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2728.8642857142859</v>
      </c>
      <c r="F22" s="21">
        <f t="shared" ref="F22:G22" si="0">((F17*(803-130)+F31*(30))*1000)/F7</f>
        <v>2783.2381344953478</v>
      </c>
      <c r="G22" s="21">
        <f t="shared" si="0"/>
        <v>2797.7803636363637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4141.5384615384619</v>
      </c>
      <c r="F23" s="21">
        <f t="shared" ref="F23:G23" si="1">(F15*(803-130))*1000/(F7*0.78)</f>
        <v>4047.3608556873191</v>
      </c>
      <c r="G23" s="21">
        <f t="shared" si="1"/>
        <v>3968.6257446257446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E24+'11'!F24</f>
        <v>0</v>
      </c>
      <c r="G24" s="48">
        <f>E24+'11'!G24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E26+'11'!F26</f>
        <v>1522</v>
      </c>
      <c r="G26" s="33">
        <f>E26+'11'!G26</f>
        <v>5391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4089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E30+'11'!F30</f>
        <v>183</v>
      </c>
      <c r="G30" s="33">
        <f>E30+'11'!G30</f>
        <v>673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15</v>
      </c>
      <c r="F31" s="12">
        <f>E31+'11'!F31</f>
        <v>180</v>
      </c>
      <c r="G31" s="13">
        <f>E31+'11'!G31</f>
        <v>685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E32+'11'!F32</f>
        <v>232</v>
      </c>
      <c r="G32" s="13">
        <f>E32+'11'!G32</f>
        <v>770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20</v>
      </c>
      <c r="F33" s="46">
        <v>1380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49</v>
      </c>
      <c r="F35" s="32">
        <f>E35+'11'!F35</f>
        <v>188</v>
      </c>
      <c r="G35" s="33">
        <f>E35+'11'!G35</f>
        <v>820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E36+'11'!F36</f>
        <v>34</v>
      </c>
      <c r="G36" s="13">
        <f>E36+'11'!G36</f>
        <v>100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E37+'11'!F37</f>
        <v>0</v>
      </c>
      <c r="G37" s="48">
        <f>E37+'11'!G37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L40"/>
  <sheetViews>
    <sheetView topLeftCell="C1" zoomScale="85" zoomScaleNormal="85" workbookViewId="0">
      <pane xSplit="2" ySplit="6" topLeftCell="E7" activePane="bottomRight" state="frozen"/>
      <selection pane="topRight"/>
      <selection pane="bottomLeft"/>
      <selection pane="bottomRight" activeCell="I8" sqref="I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'12'!E6+1</f>
        <v>46155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146600</v>
      </c>
      <c r="F7" s="12">
        <f>E7+'12'!F7</f>
        <v>1844800</v>
      </c>
      <c r="G7" s="13">
        <f>E7+'12'!G7</f>
        <v>6334100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17460</v>
      </c>
      <c r="F8" s="12">
        <f>E8+'12'!F8</f>
        <v>222897</v>
      </c>
      <c r="G8" s="13">
        <f>E8+'12'!G8</f>
        <v>740611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129140</v>
      </c>
      <c r="F9" s="12">
        <f>E9+'12'!F9</f>
        <v>1621903</v>
      </c>
      <c r="G9" s="13">
        <f>E9+'12'!G9</f>
        <v>5593489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11.909959072305593</v>
      </c>
      <c r="F10" s="15">
        <f>F8/F7*100</f>
        <v>12.082447961838682</v>
      </c>
      <c r="G10" s="16">
        <f>G8/G7*100</f>
        <v>11.692442493803382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6.1083333333333334</v>
      </c>
      <c r="F11" s="15">
        <f>F7/F12/1000</f>
        <v>5.9128205128205131</v>
      </c>
      <c r="G11" s="16">
        <f>G7/G12/1000</f>
        <v>6.2425837226262981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E12+'12'!F12</f>
        <v>312</v>
      </c>
      <c r="G12" s="13">
        <f>E12+'12'!G12</f>
        <v>1014.66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61.083333333333336</v>
      </c>
      <c r="F13" s="15">
        <f>F11/10*100</f>
        <v>59.128205128205138</v>
      </c>
      <c r="G13" s="16">
        <f>G11/10*100</f>
        <v>62.425837226262985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723</v>
      </c>
      <c r="F14" s="12">
        <f>E14+'12'!F14</f>
        <v>8932</v>
      </c>
      <c r="G14" s="13">
        <f>E14+'12'!G14</f>
        <v>30031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693</v>
      </c>
      <c r="F15" s="12">
        <f>E15+'12'!F15</f>
        <v>8659</v>
      </c>
      <c r="G15" s="13">
        <f>E15+'12'!G15</f>
        <v>29153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0</v>
      </c>
      <c r="F16" s="12">
        <f>E16+'12'!F16</f>
        <v>322</v>
      </c>
      <c r="G16" s="13">
        <f>E16+'12'!G16</f>
        <v>1514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591</v>
      </c>
      <c r="F17" s="12">
        <f>E17+'12'!F17</f>
        <v>7606</v>
      </c>
      <c r="G17" s="13">
        <f>E17+'12'!G17</f>
        <v>26283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517</v>
      </c>
      <c r="F18" s="12">
        <f>E18+'12'!F18</f>
        <v>6314</v>
      </c>
      <c r="G18" s="13">
        <f>E18+'12'!G18</f>
        <v>21495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E19+'12'!F19</f>
        <v>232</v>
      </c>
      <c r="G19" s="13">
        <f>E19+'12'!G19</f>
        <v>760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4.0313778990450206</v>
      </c>
      <c r="F20" s="15">
        <f>F17*1000/F7</f>
        <v>4.1229401561144838</v>
      </c>
      <c r="G20" s="16">
        <f>G17*1000/G7</f>
        <v>4.149445067176079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0.96862210095497958</v>
      </c>
      <c r="F21" s="19">
        <f>F26*1000/F7</f>
        <v>0.90199479618386813</v>
      </c>
      <c r="G21" s="20">
        <f>G26*1000/G7</f>
        <v>0.87352583634612657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2715.9822646657572</v>
      </c>
      <c r="F22" s="21">
        <f t="shared" ref="F22:G22" si="0">((F17*(803-130)+F31*(30))*1000)/F7</f>
        <v>2777.8935385949699</v>
      </c>
      <c r="G22" s="21">
        <f t="shared" si="0"/>
        <v>2795.8871820779591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4078.6808689264349</v>
      </c>
      <c r="F23" s="21">
        <f t="shared" ref="F23:G23" si="1">(F15*(803-130))*1000/(F7*0.78)</f>
        <v>4049.8497509284584</v>
      </c>
      <c r="G23" s="21">
        <f t="shared" si="1"/>
        <v>3971.1729227919373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E24+'12'!F24</f>
        <v>0</v>
      </c>
      <c r="G24" s="48">
        <f>E24+'12'!G24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142</v>
      </c>
      <c r="F26" s="32">
        <f>E26+'12'!F26</f>
        <v>1664</v>
      </c>
      <c r="G26" s="33">
        <f>E26+'12'!G26</f>
        <v>5533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4139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E30+'12'!F30</f>
        <v>196</v>
      </c>
      <c r="G30" s="33">
        <f>E30+'12'!G30</f>
        <v>686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E31+'12'!F31</f>
        <v>194</v>
      </c>
      <c r="G31" s="13">
        <f>E31+'12'!G31</f>
        <v>699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E32+'12'!F32</f>
        <v>249</v>
      </c>
      <c r="G32" s="13">
        <f>E32+'12'!G32</f>
        <v>787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6">
        <v>1514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25</v>
      </c>
      <c r="F35" s="32">
        <f>E35+'12'!F35</f>
        <v>213</v>
      </c>
      <c r="G35" s="33">
        <f>E35+'12'!G35</f>
        <v>845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E36+'12'!F36</f>
        <v>37</v>
      </c>
      <c r="G36" s="13">
        <f>E36+'12'!G36</f>
        <v>103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E37+'12'!F37</f>
        <v>0</v>
      </c>
      <c r="G37" s="48">
        <f>E37+'12'!G37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'13'!E6+1</f>
        <v>46156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143500</v>
      </c>
      <c r="F7" s="12">
        <f>E7+'13'!F7</f>
        <v>1988300</v>
      </c>
      <c r="G7" s="13">
        <f>E7+'13'!G7</f>
        <v>6477600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17394</v>
      </c>
      <c r="F8" s="12">
        <f>E8+'13'!F8</f>
        <v>240291</v>
      </c>
      <c r="G8" s="13">
        <f>E8+'13'!G8</f>
        <v>758005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126106</v>
      </c>
      <c r="F9" s="12">
        <f>E9+'13'!F9</f>
        <v>1748009</v>
      </c>
      <c r="G9" s="13">
        <f>E9+'13'!G9</f>
        <v>5719595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12.121254355400698</v>
      </c>
      <c r="F10" s="15">
        <f>F8/F7*100</f>
        <v>12.085248704923805</v>
      </c>
      <c r="G10" s="16">
        <f>G8/G7*100</f>
        <v>11.701942077312586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5.979166666666667</v>
      </c>
      <c r="F11" s="15">
        <f>F7/F12/1000</f>
        <v>5.9175595238095235</v>
      </c>
      <c r="G11" s="16">
        <f>G7/G12/1000</f>
        <v>6.2364970250129979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E12+'13'!F12</f>
        <v>336</v>
      </c>
      <c r="G12" s="13">
        <f>E12+'13'!G12</f>
        <v>1038.6599999999999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59.791666666666664</v>
      </c>
      <c r="F13" s="15">
        <f>F11/10*100</f>
        <v>59.175595238095234</v>
      </c>
      <c r="G13" s="16">
        <f>G11/10*100</f>
        <v>62.364970250129979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695</v>
      </c>
      <c r="F14" s="12">
        <f>E14+'13'!F14</f>
        <v>9627</v>
      </c>
      <c r="G14" s="13">
        <f>E14+'13'!G14</f>
        <v>30726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679</v>
      </c>
      <c r="F15" s="12">
        <f>E15+'13'!F15</f>
        <v>9338</v>
      </c>
      <c r="G15" s="13">
        <f>E15+'13'!G15</f>
        <v>29832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33</v>
      </c>
      <c r="F16" s="12">
        <f>E16+'13'!F16</f>
        <v>355</v>
      </c>
      <c r="G16" s="13">
        <f>E16+'13'!G16</f>
        <v>1547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595</v>
      </c>
      <c r="F17" s="12">
        <f>E17+'13'!F17</f>
        <v>8201</v>
      </c>
      <c r="G17" s="13">
        <f>E17+'13'!G17</f>
        <v>26878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488</v>
      </c>
      <c r="F18" s="12">
        <f>E18+'13'!F18</f>
        <v>6802</v>
      </c>
      <c r="G18" s="13">
        <f>E18+'13'!G18</f>
        <v>21983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E19+'13'!F19</f>
        <v>250</v>
      </c>
      <c r="G19" s="13">
        <f>E19+'13'!G19</f>
        <v>778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4.1463414634146343</v>
      </c>
      <c r="F20" s="15">
        <f>F17*1000/F7</f>
        <v>4.1246290801186944</v>
      </c>
      <c r="G20" s="16">
        <f>G17*1000/G7</f>
        <v>4.1493763122144003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0.94773519163763065</v>
      </c>
      <c r="F21" s="19">
        <f>F26*1000/F7</f>
        <v>0.90529598149172663</v>
      </c>
      <c r="G21" s="20">
        <f>G26*1000/G7</f>
        <v>0.87516981598122756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2794.0418118466901</v>
      </c>
      <c r="F22" s="21">
        <f t="shared" ref="F22:G22" si="0">((F17*(803-130)+F31*(30))*1000)/F7</f>
        <v>2779.0589951214606</v>
      </c>
      <c r="G22" s="21">
        <f t="shared" si="0"/>
        <v>2795.8463010991727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4082.6141338336461</v>
      </c>
      <c r="F23" s="21">
        <f t="shared" ref="F23:G23" si="1">(F15*(803-130))*1000/(F7*0.78)</f>
        <v>4052.2144287672627</v>
      </c>
      <c r="G23" s="21">
        <f t="shared" si="1"/>
        <v>3973.6417096550481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/>
      <c r="F24" s="26">
        <f>E24+'13'!F24</f>
        <v>0</v>
      </c>
      <c r="G24" s="48">
        <f>E24+'13'!G24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136</v>
      </c>
      <c r="F26" s="32">
        <f>E26+'13'!F26</f>
        <v>1800</v>
      </c>
      <c r="G26" s="33">
        <f>E26+'13'!G26</f>
        <v>5669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4290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18</v>
      </c>
      <c r="F30" s="32">
        <f>E30+'13'!F30</f>
        <v>214</v>
      </c>
      <c r="G30" s="33">
        <f>E30+'13'!G30</f>
        <v>704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17</v>
      </c>
      <c r="F31" s="12">
        <f>E31+'13'!F31</f>
        <v>211</v>
      </c>
      <c r="G31" s="13">
        <f>E31+'13'!G31</f>
        <v>716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E32+'13'!F32</f>
        <v>267</v>
      </c>
      <c r="G32" s="13">
        <f>E32+'13'!G32</f>
        <v>805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20</v>
      </c>
      <c r="F33" s="46">
        <v>1410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42</v>
      </c>
      <c r="F35" s="32">
        <f>E35+'13'!F35</f>
        <v>255</v>
      </c>
      <c r="G35" s="33">
        <f>E35+'13'!G35</f>
        <v>887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E36+'13'!F36</f>
        <v>37</v>
      </c>
      <c r="G36" s="13">
        <f>E36+'13'!G36</f>
        <v>103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E37+'13'!F37</f>
        <v>0</v>
      </c>
      <c r="G37" s="48">
        <f>E37+'13'!G37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L40"/>
  <sheetViews>
    <sheetView topLeftCell="C1" zoomScale="80" zoomScaleNormal="80" workbookViewId="0">
      <pane xSplit="2" ySplit="6" topLeftCell="E25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'14'!E6+1</f>
        <v>46157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143000</v>
      </c>
      <c r="F7" s="12">
        <f>E7+'14'!F7</f>
        <v>2131300</v>
      </c>
      <c r="G7" s="13">
        <f>E7+'14'!G7</f>
        <v>6620600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17162</v>
      </c>
      <c r="F8" s="12">
        <f>E8+'14'!F8</f>
        <v>257453</v>
      </c>
      <c r="G8" s="13">
        <f>E8+'14'!G8</f>
        <v>775167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125838</v>
      </c>
      <c r="F9" s="12">
        <f>E9+'14'!F9</f>
        <v>1873847</v>
      </c>
      <c r="G9" s="13">
        <f>E9+'14'!G9</f>
        <v>5845433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12.0013986013986</v>
      </c>
      <c r="F10" s="15">
        <f>F8/F7*100</f>
        <v>12.079622765448319</v>
      </c>
      <c r="G10" s="16">
        <f>G8/G7*100</f>
        <v>11.708410113886959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5.958333333333333</v>
      </c>
      <c r="F11" s="15">
        <f>F7/F12/1000</f>
        <v>5.9202777777777778</v>
      </c>
      <c r="G11" s="16">
        <f>G7/G12/1000</f>
        <v>6.230214744132649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E12+'14'!F12</f>
        <v>360</v>
      </c>
      <c r="G12" s="13">
        <f>E12+'14'!G12</f>
        <v>1062.6599999999999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59.583333333333336</v>
      </c>
      <c r="F13" s="15">
        <f>F11/10*100</f>
        <v>59.202777777777783</v>
      </c>
      <c r="G13" s="16">
        <f>G11/10*100</f>
        <v>62.302147441326497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678</v>
      </c>
      <c r="F14" s="12">
        <f>E14+'14'!F14</f>
        <v>10305</v>
      </c>
      <c r="G14" s="13">
        <f>E14+'14'!G14</f>
        <v>31404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655</v>
      </c>
      <c r="F15" s="12">
        <f>E15+'14'!F15</f>
        <v>9993</v>
      </c>
      <c r="G15" s="13">
        <f>E15+'14'!G15</f>
        <v>30487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52</v>
      </c>
      <c r="F16" s="12">
        <f>E16+'14'!F16</f>
        <v>407</v>
      </c>
      <c r="G16" s="13">
        <f>E16+'14'!G16</f>
        <v>1599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602</v>
      </c>
      <c r="F17" s="12">
        <f>E17+'14'!F17</f>
        <v>8803</v>
      </c>
      <c r="G17" s="13">
        <f>E17+'14'!G17</f>
        <v>27480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471</v>
      </c>
      <c r="F18" s="12">
        <f>E18+'14'!F18</f>
        <v>7273</v>
      </c>
      <c r="G18" s="13">
        <f>E18+'14'!G18</f>
        <v>22454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E19+'14'!F19</f>
        <v>268</v>
      </c>
      <c r="G19" s="13">
        <f>E19+'14'!G19</f>
        <v>796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4.20979020979021</v>
      </c>
      <c r="F20" s="15">
        <f>F17*1000/F7</f>
        <v>4.1303429831558205</v>
      </c>
      <c r="G20" s="16">
        <f>G17*1000/G7</f>
        <v>4.1506812071413464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0.93006993006993011</v>
      </c>
      <c r="F21" s="19">
        <f>F26*1000/F7</f>
        <v>0.9069581945291606</v>
      </c>
      <c r="G21" s="20">
        <f>G26*1000/G7</f>
        <v>0.87635561731565115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2836.5454545454545</v>
      </c>
      <c r="F22" s="21">
        <f t="shared" ref="F22:G22" si="0">((F17*(803-130)+F31*(30))*1000)/F7</f>
        <v>2782.9160606202786</v>
      </c>
      <c r="G22" s="21">
        <f t="shared" si="0"/>
        <v>2796.72537232275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3952.0799713107403</v>
      </c>
      <c r="F23" s="21">
        <f t="shared" ref="F23:G23" si="1">(F15*(803-130))*1000/(F7*0.78)</f>
        <v>4045.49588730605</v>
      </c>
      <c r="G23" s="21">
        <f t="shared" si="1"/>
        <v>3973.1759922603651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E24+'14'!F24</f>
        <v>0</v>
      </c>
      <c r="G24" s="48">
        <f>E24+'14'!G24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133</v>
      </c>
      <c r="F26" s="32">
        <f>E26+'14'!F26</f>
        <v>1933</v>
      </c>
      <c r="G26" s="33">
        <f>E26+'14'!G26</f>
        <v>5802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4230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E30+'14'!F30</f>
        <v>228</v>
      </c>
      <c r="G30" s="33">
        <f>E30+'14'!G30</f>
        <v>718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16</v>
      </c>
      <c r="F31" s="12">
        <f>E31+'14'!F31</f>
        <v>227</v>
      </c>
      <c r="G31" s="13">
        <f>E31+'14'!G31</f>
        <v>732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E32+'14'!F32</f>
        <v>285</v>
      </c>
      <c r="G32" s="13">
        <f>E32+'14'!G32</f>
        <v>823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6">
        <v>1380</v>
      </c>
      <c r="G33" s="73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E35+'14'!F35</f>
        <v>255</v>
      </c>
      <c r="G35" s="33">
        <f>E35+'14'!G35</f>
        <v>887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E36+'14'!F36</f>
        <v>41</v>
      </c>
      <c r="G36" s="13">
        <f>E36+'14'!G36</f>
        <v>107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E37+'14'!F37</f>
        <v>0</v>
      </c>
      <c r="G37" s="48">
        <f>E37+'14'!G37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28" sqref="E2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'15'!E6+1</f>
        <v>46158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159300</v>
      </c>
      <c r="F7" s="12">
        <f>E7+'15'!F7</f>
        <v>2290600</v>
      </c>
      <c r="G7" s="13">
        <f>E7+'15'!G7</f>
        <v>6779900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17434</v>
      </c>
      <c r="F8" s="12">
        <f>E8+'15'!F8</f>
        <v>274887</v>
      </c>
      <c r="G8" s="13">
        <f>E8+'15'!G8</f>
        <v>792601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141866</v>
      </c>
      <c r="F9" s="12">
        <f>E9+'15'!F9</f>
        <v>2015713</v>
      </c>
      <c r="G9" s="13">
        <f>E9+'15'!G9</f>
        <v>5987299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10.944130571249215</v>
      </c>
      <c r="F10" s="15">
        <f>F8/F7*100</f>
        <v>12.000654850257575</v>
      </c>
      <c r="G10" s="16">
        <f>G8/G7*100</f>
        <v>11.690452661543681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6.6375000000000002</v>
      </c>
      <c r="F11" s="15">
        <f>F7/F12/1000</f>
        <v>5.9651041666666673</v>
      </c>
      <c r="G11" s="16">
        <f>G7/G12/1000</f>
        <v>6.2392100565034152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E12+'15'!F12</f>
        <v>384</v>
      </c>
      <c r="G12" s="13">
        <f>E12+'15'!G12</f>
        <v>1086.6599999999999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66.375</v>
      </c>
      <c r="F13" s="15">
        <f>F11/10*100</f>
        <v>59.651041666666671</v>
      </c>
      <c r="G13" s="16">
        <f>G11/10*100</f>
        <v>62.392100565034148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735</v>
      </c>
      <c r="F14" s="12">
        <f>E14+'15'!F14</f>
        <v>11040</v>
      </c>
      <c r="G14" s="13">
        <f>E14+'15'!G14</f>
        <v>32139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725</v>
      </c>
      <c r="F15" s="12">
        <f>E15+'15'!F15</f>
        <v>10718</v>
      </c>
      <c r="G15" s="13">
        <f>E15+'15'!G15</f>
        <v>31212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43</v>
      </c>
      <c r="F16" s="70">
        <f>E16+'15'!F16</f>
        <v>450</v>
      </c>
      <c r="G16" s="13">
        <f>E16+'15'!G16</f>
        <v>1642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660</v>
      </c>
      <c r="F17" s="12">
        <f>E17+'15'!F17</f>
        <v>9463</v>
      </c>
      <c r="G17" s="13">
        <f>E17+'15'!G17</f>
        <v>28140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523</v>
      </c>
      <c r="F18" s="12">
        <f>E18+'15'!F18</f>
        <v>7796</v>
      </c>
      <c r="G18" s="13">
        <f>E18+'15'!G18</f>
        <v>22977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E19+'15'!F19</f>
        <v>286</v>
      </c>
      <c r="G19" s="13">
        <f>E19+'15'!G19</f>
        <v>814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4.1431261770244818</v>
      </c>
      <c r="F20" s="15">
        <f>F17*1000/F7</f>
        <v>4.1312319916179163</v>
      </c>
      <c r="G20" s="16">
        <f>G17*1000/G7</f>
        <v>4.15050369474476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0.91023226616446951</v>
      </c>
      <c r="F21" s="19">
        <f>F26*1000/F7</f>
        <v>0.90718589015978346</v>
      </c>
      <c r="G21" s="20">
        <f>G26*1000/G7</f>
        <v>0.87715158040679064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2790.7721280602636</v>
      </c>
      <c r="F22" s="21">
        <f t="shared" ref="F22:G22" si="0">((F17*(803-130)+F31*(30))*1000)/F7</f>
        <v>2783.4624115952151</v>
      </c>
      <c r="G22" s="21">
        <f t="shared" si="0"/>
        <v>2796.5854953612884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3926.8353533890258</v>
      </c>
      <c r="F23" s="21">
        <f t="shared" ref="F23:G23" si="1">(F15*(803-130))*1000/(F7*0.78)</f>
        <v>4037.2436289226648</v>
      </c>
      <c r="G23" s="21">
        <f t="shared" si="1"/>
        <v>3972.0871762347301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E24+'15'!F24</f>
        <v>0</v>
      </c>
      <c r="G24" s="48">
        <f>E24+'15'!G24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145</v>
      </c>
      <c r="F26" s="32">
        <f>E26+'15'!F26</f>
        <v>2078</v>
      </c>
      <c r="G26" s="33">
        <f>E26+'15'!G26</f>
        <v>5947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4199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15</v>
      </c>
      <c r="F30" s="32">
        <f>E30+'15'!F30</f>
        <v>243</v>
      </c>
      <c r="G30" s="33">
        <f>E30+'15'!G30</f>
        <v>733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13</v>
      </c>
      <c r="F31" s="12">
        <f>E31+'15'!F31</f>
        <v>240</v>
      </c>
      <c r="G31" s="13">
        <f>E31+'15'!G31</f>
        <v>745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E32+'15'!F32</f>
        <v>302</v>
      </c>
      <c r="G32" s="13">
        <f>E32+'15'!G32</f>
        <v>840</v>
      </c>
    </row>
    <row r="33" spans="2:7" ht="30.95" customHeight="1">
      <c r="B33" s="67">
        <v>4</v>
      </c>
      <c r="C33" s="10" t="s">
        <v>40</v>
      </c>
      <c r="D33" s="43" t="s">
        <v>41</v>
      </c>
      <c r="E33" s="35">
        <v>18</v>
      </c>
      <c r="F33" s="35">
        <v>1405</v>
      </c>
      <c r="G33" s="12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5">
        <v>0</v>
      </c>
      <c r="F35" s="12">
        <f>E35+'15'!F35</f>
        <v>255</v>
      </c>
      <c r="G35" s="12">
        <f>E35+'15'!G35</f>
        <v>887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E36+'15'!F36</f>
        <v>45</v>
      </c>
      <c r="G36" s="13">
        <f>E36+'15'!G36</f>
        <v>111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E37+'15'!F37</f>
        <v>0</v>
      </c>
      <c r="G37" s="48">
        <f>E37+'15'!G37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39" right="0.7" top="0.75" bottom="0.75" header="0.3" footer="0.3"/>
  <pageSetup scale="45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L40"/>
  <sheetViews>
    <sheetView topLeftCell="C1" zoomScale="70" zoomScaleNormal="70" workbookViewId="0">
      <pane xSplit="2" ySplit="6" topLeftCell="E19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27" style="2" customWidth="1"/>
    <col min="5" max="5" width="45.140625" style="1" customWidth="1"/>
    <col min="6" max="6" width="44" style="1" customWidth="1"/>
    <col min="7" max="7" width="43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'16'!E6+1</f>
        <v>46159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160600</v>
      </c>
      <c r="F7" s="12">
        <f>E7+'16'!F7</f>
        <v>2451200</v>
      </c>
      <c r="G7" s="13">
        <f>E7+'16'!G7</f>
        <v>6940500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17570</v>
      </c>
      <c r="F8" s="12">
        <f>E8+'16'!F8</f>
        <v>292457</v>
      </c>
      <c r="G8" s="13">
        <f>E8+'16'!G8</f>
        <v>810171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143030</v>
      </c>
      <c r="F9" s="12">
        <f>E9+'16'!F9</f>
        <v>2158743</v>
      </c>
      <c r="G9" s="13">
        <f>E9+'16'!G9</f>
        <v>6130329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10.940224159402241</v>
      </c>
      <c r="F10" s="15">
        <f>F8/F7*100</f>
        <v>11.931176566579635</v>
      </c>
      <c r="G10" s="16">
        <f>G8/G7*100</f>
        <v>11.673092716663065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6.6916666666666673</v>
      </c>
      <c r="F11" s="15">
        <f>F7/F12/1000</f>
        <v>6.0078431372549019</v>
      </c>
      <c r="G11" s="16">
        <f>G7/G12/1000</f>
        <v>6.2489870887580361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E12+'16'!F12</f>
        <v>408</v>
      </c>
      <c r="G12" s="13">
        <f>E12+'16'!G12</f>
        <v>1110.6599999999999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66.916666666666671</v>
      </c>
      <c r="F13" s="15">
        <f>F11/10*100</f>
        <v>60.078431372549026</v>
      </c>
      <c r="G13" s="16">
        <f>G11/10*100</f>
        <v>62.489870887580359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743</v>
      </c>
      <c r="F14" s="12">
        <f>E14+'16'!F14</f>
        <v>11783</v>
      </c>
      <c r="G14" s="13">
        <f>E14+'16'!G14</f>
        <v>32882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714</v>
      </c>
      <c r="F15" s="12">
        <f>E15+'16'!F15</f>
        <v>11432</v>
      </c>
      <c r="G15" s="13">
        <f>E15+'16'!G15</f>
        <v>31926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48</v>
      </c>
      <c r="F16" s="70">
        <f>E16+'16'!F16</f>
        <v>498</v>
      </c>
      <c r="G16" s="13">
        <f>E16+'16'!G16</f>
        <v>1690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672</v>
      </c>
      <c r="F17" s="12">
        <f>E17+'16'!F17</f>
        <v>10135</v>
      </c>
      <c r="G17" s="13">
        <f>E17+'16'!G17</f>
        <v>28812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529</v>
      </c>
      <c r="F18" s="12">
        <f>E18+'16'!F18</f>
        <v>8325</v>
      </c>
      <c r="G18" s="13">
        <f>E18+'16'!G18</f>
        <v>23506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E19+'16'!F19</f>
        <v>303</v>
      </c>
      <c r="G19" s="13">
        <f>E19+'16'!G19</f>
        <v>831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4.1843088418430883</v>
      </c>
      <c r="F20" s="15">
        <f>F17*1000/F7</f>
        <v>4.1347095300261101</v>
      </c>
      <c r="G20" s="16">
        <f>G17*1000/G7</f>
        <v>4.1512859304084717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0.90909090909090906</v>
      </c>
      <c r="F21" s="19">
        <f>F26*1000/F7</f>
        <v>0.90731070496083555</v>
      </c>
      <c r="G21" s="20">
        <f>G26*1000/G7</f>
        <v>0.87789064188459043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2818.6550435865506</v>
      </c>
      <c r="F22" s="21">
        <f t="shared" ref="F22:G22" si="0">((F17*(803-130)+F31*(30))*1000)/F7</f>
        <v>2785.7681951697127</v>
      </c>
      <c r="G22" s="21">
        <f t="shared" si="0"/>
        <v>2797.0961746271882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3835.9517195133635</v>
      </c>
      <c r="F23" s="21">
        <f t="shared" ref="F23:G23" si="1">(F15*(803-130))*1000/(F7*0.78)</f>
        <v>4024.0551985003681</v>
      </c>
      <c r="G23" s="21">
        <f t="shared" si="1"/>
        <v>3968.9370639446283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E24+'16'!F24</f>
        <v>0</v>
      </c>
      <c r="G24" s="48">
        <f>E24+'16'!G24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146</v>
      </c>
      <c r="F26" s="32">
        <f>E26+'16'!F26</f>
        <v>2224</v>
      </c>
      <c r="G26" s="33">
        <f>E26+'16'!G26</f>
        <v>6093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4192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E30+'16'!F30</f>
        <v>256</v>
      </c>
      <c r="G30" s="33">
        <f>E30+'16'!G30</f>
        <v>746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E31+'16'!F31</f>
        <v>254</v>
      </c>
      <c r="G31" s="13">
        <f>E31+'16'!G31</f>
        <v>759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E32+'16'!F32</f>
        <v>319</v>
      </c>
      <c r="G32" s="13">
        <f>E32+'16'!G32</f>
        <v>857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6">
        <v>1429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20</v>
      </c>
      <c r="F35" s="32">
        <f>E35+'16'!F35</f>
        <v>275</v>
      </c>
      <c r="G35" s="33">
        <f>E35+'16'!G35</f>
        <v>907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E36+'16'!F36</f>
        <v>48</v>
      </c>
      <c r="G36" s="13">
        <f>E36+'16'!G36</f>
        <v>114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E37+'16'!F37</f>
        <v>0</v>
      </c>
      <c r="G37" s="48">
        <f>E37+'16'!G37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L40"/>
  <sheetViews>
    <sheetView topLeftCell="C1" zoomScale="85" zoomScaleNormal="85" workbookViewId="0">
      <pane xSplit="2" ySplit="6" topLeftCell="E22" activePane="bottomRight" state="frozen"/>
      <selection pane="topRight"/>
      <selection pane="bottomLeft"/>
      <selection pane="bottomRight" activeCell="F39" sqref="F39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11.285156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'17'!E6+1</f>
        <v>46160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169700</v>
      </c>
      <c r="F7" s="12">
        <f>E7+'17'!F7</f>
        <v>2620900</v>
      </c>
      <c r="G7" s="13">
        <f>E7+'17'!G7</f>
        <v>7110200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17904</v>
      </c>
      <c r="F8" s="12">
        <f>E8+'17'!F8</f>
        <v>310361</v>
      </c>
      <c r="G8" s="13">
        <f>E8+'17'!G8</f>
        <v>828075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151796</v>
      </c>
      <c r="F9" s="12">
        <f>E9+'17'!F9</f>
        <v>2310539</v>
      </c>
      <c r="G9" s="13">
        <f>E9+'17'!G9</f>
        <v>6282125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10.550383028874483</v>
      </c>
      <c r="F10" s="15">
        <f>F8/F7*100</f>
        <v>11.841771910412453</v>
      </c>
      <c r="G10" s="16">
        <f>G8/G7*100</f>
        <v>11.646296869286378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7.0708333333333329</v>
      </c>
      <c r="F11" s="15">
        <f>F7/F12/1000</f>
        <v>6.0668981481481481</v>
      </c>
      <c r="G11" s="16">
        <f>G7/G12/1000</f>
        <v>6.2663705427176426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E12+'17'!F12</f>
        <v>432</v>
      </c>
      <c r="G12" s="13">
        <f>E12+'17'!G12</f>
        <v>1134.6599999999999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70.708333333333329</v>
      </c>
      <c r="F13" s="15">
        <f>F11/10*100</f>
        <v>60.668981481481474</v>
      </c>
      <c r="G13" s="16">
        <f>G11/10*100</f>
        <v>62.663705427176431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776</v>
      </c>
      <c r="F14" s="12">
        <f>E14+'17'!F14</f>
        <v>12559</v>
      </c>
      <c r="G14" s="13">
        <f>E14+'17'!G14</f>
        <v>33658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745</v>
      </c>
      <c r="F15" s="12">
        <f>E15+'17'!F15</f>
        <v>12177</v>
      </c>
      <c r="G15" s="13">
        <f>E15+'17'!G15</f>
        <v>32671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56</v>
      </c>
      <c r="F16" s="70">
        <f>E16+'17'!F16</f>
        <v>554</v>
      </c>
      <c r="G16" s="13">
        <f>E16+'17'!G16</f>
        <v>1746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711</v>
      </c>
      <c r="F17" s="12">
        <f>E17+'17'!F17</f>
        <v>10846</v>
      </c>
      <c r="G17" s="13">
        <f>E17+'17'!G17</f>
        <v>29523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557</v>
      </c>
      <c r="F18" s="12">
        <f>E18+'17'!F18</f>
        <v>8882</v>
      </c>
      <c r="G18" s="13">
        <f>E18+'17'!G18</f>
        <v>24063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E19+'17'!F19</f>
        <v>321</v>
      </c>
      <c r="G19" s="13">
        <f>E19+'17'!G19</f>
        <v>849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4.1897466116676485</v>
      </c>
      <c r="F20" s="15">
        <f>F17*1000/F7</f>
        <v>4.1382731122896717</v>
      </c>
      <c r="G20" s="16">
        <f>G17*1000/G7</f>
        <v>4.1522038761216278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0.84266352386564525</v>
      </c>
      <c r="F21" s="19">
        <f>F26*1000/F7</f>
        <v>0.90312488076614905</v>
      </c>
      <c r="G21" s="20">
        <f>G26*1000/G7</f>
        <v>0.87704987201485185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2821.9976428992341</v>
      </c>
      <c r="F22" s="21">
        <f t="shared" ref="F22:G22" si="0">((F17*(803-130)+F31*(30))*1000)/F7</f>
        <v>2788.1140066389407</v>
      </c>
      <c r="G22" s="21">
        <f t="shared" si="0"/>
        <v>2797.6905009704369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3787.8684858649503</v>
      </c>
      <c r="F23" s="21">
        <f t="shared" ref="F23:G23" si="1">(F15*(803-130))*1000/(F7*0.78)</f>
        <v>4008.7624039892344</v>
      </c>
      <c r="G23" s="21">
        <f t="shared" si="1"/>
        <v>3964.6154783773977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E24+'17'!F24</f>
        <v>0</v>
      </c>
      <c r="G24" s="48">
        <f>E24+'17'!G24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143</v>
      </c>
      <c r="F26" s="32">
        <f>E26+'17'!F26</f>
        <v>2367</v>
      </c>
      <c r="G26" s="33">
        <f>E26+'17'!G26</f>
        <v>6236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4470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E30+'17'!F30</f>
        <v>270</v>
      </c>
      <c r="G30" s="33">
        <f>E30+'17'!G30</f>
        <v>760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13</v>
      </c>
      <c r="F31" s="12">
        <f>E31+'17'!F31</f>
        <v>267</v>
      </c>
      <c r="G31" s="13">
        <f>E31+'17'!G31</f>
        <v>772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45</v>
      </c>
      <c r="F32" s="12">
        <f>E32+'17'!F32</f>
        <v>364</v>
      </c>
      <c r="G32" s="13">
        <f>E32+'17'!G32</f>
        <v>902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21</v>
      </c>
      <c r="F33" s="47">
        <v>1421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25</v>
      </c>
      <c r="F35" s="32">
        <f>E35+'17'!F35</f>
        <v>300</v>
      </c>
      <c r="G35" s="33">
        <f>E35+'17'!G35</f>
        <v>932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E36+'17'!F36</f>
        <v>50</v>
      </c>
      <c r="G36" s="13">
        <f>E36+'17'!G36</f>
        <v>116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E37+'17'!F37</f>
        <v>0</v>
      </c>
      <c r="G37" s="48">
        <f>E37+'17'!G37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L40"/>
  <sheetViews>
    <sheetView topLeftCell="C1" zoomScale="80" zoomScaleNormal="80" workbookViewId="0">
      <pane xSplit="2" ySplit="6" topLeftCell="E22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'18'!E6+1</f>
        <v>46161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169400</v>
      </c>
      <c r="F7" s="12">
        <f>E7+'18'!F7</f>
        <v>2790300</v>
      </c>
      <c r="G7" s="13">
        <f>E7+'18'!G7</f>
        <v>7279600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18101</v>
      </c>
      <c r="F8" s="12">
        <f>E8+'18'!F8</f>
        <v>328462</v>
      </c>
      <c r="G8" s="13">
        <f>E8+'18'!G8</f>
        <v>846176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151299</v>
      </c>
      <c r="F9" s="12">
        <f>E9+'18'!F9</f>
        <v>2461838</v>
      </c>
      <c r="G9" s="13">
        <f>E9+'18'!G9</f>
        <v>6433424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10.685360094451003</v>
      </c>
      <c r="F10" s="15">
        <f>F8/F7*100</f>
        <v>11.771565781457191</v>
      </c>
      <c r="G10" s="16">
        <f>G8/G7*100</f>
        <v>11.623935381064895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7.0583333333333327</v>
      </c>
      <c r="F11" s="15">
        <f>F7/F12/1000</f>
        <v>6.1190789473684211</v>
      </c>
      <c r="G11" s="16">
        <f>G7/G12/1000</f>
        <v>6.2827749296601247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E12+'18'!F12</f>
        <v>456</v>
      </c>
      <c r="G12" s="13">
        <f>E12+'18'!G12</f>
        <v>1158.6599999999999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70.583333333333329</v>
      </c>
      <c r="F13" s="15">
        <f>F11/10*100</f>
        <v>61.190789473684212</v>
      </c>
      <c r="G13" s="16">
        <f>G11/10*100</f>
        <v>62.82774929660124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777</v>
      </c>
      <c r="F14" s="12">
        <f>E14+'18'!F14</f>
        <v>13336</v>
      </c>
      <c r="G14" s="13">
        <f>E14+'18'!G14</f>
        <v>34435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745</v>
      </c>
      <c r="F15" s="12">
        <f>E15+'18'!F15</f>
        <v>12922</v>
      </c>
      <c r="G15" s="13">
        <f>E15+'18'!G15</f>
        <v>33416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54</v>
      </c>
      <c r="F16" s="70">
        <f>E16+'18'!F16</f>
        <v>608</v>
      </c>
      <c r="G16" s="13">
        <f>E16+'18'!G16</f>
        <v>1800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704</v>
      </c>
      <c r="F17" s="12">
        <f>E17+'18'!F17</f>
        <v>11550</v>
      </c>
      <c r="G17" s="13">
        <f>E17+'18'!G17</f>
        <v>30227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555</v>
      </c>
      <c r="F18" s="12">
        <f>E18+'18'!F18</f>
        <v>9437</v>
      </c>
      <c r="G18" s="13">
        <f>E18+'18'!G18</f>
        <v>24618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E19+'18'!F19</f>
        <v>340</v>
      </c>
      <c r="G19" s="13">
        <f>E19+'18'!G19</f>
        <v>868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4.1558441558441555</v>
      </c>
      <c r="F20" s="15">
        <f>F17*1000/F7</f>
        <v>4.1393398559294701</v>
      </c>
      <c r="G20" s="16">
        <f>G17*1000/G7</f>
        <v>4.1522885872850157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0.90318772136953951</v>
      </c>
      <c r="F21" s="19">
        <f>F26*1000/F7</f>
        <v>0.90312869583915711</v>
      </c>
      <c r="G21" s="20">
        <f>G26*1000/G7</f>
        <v>0.87765811308313646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2799.7166469893741</v>
      </c>
      <c r="F22" s="21">
        <f t="shared" ref="F22:G22" si="0">((F17*(803-130)+F31*(30))*1000)/F7</f>
        <v>2788.8184066229437</v>
      </c>
      <c r="G22" s="21">
        <f t="shared" si="0"/>
        <v>2797.7376504203526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3794.5766354857265</v>
      </c>
      <c r="F23" s="21">
        <f t="shared" ref="F23:G23" si="1">(F15*(803-130))*1000/(F7*0.78)</f>
        <v>3995.7591178965226</v>
      </c>
      <c r="G23" s="21">
        <f t="shared" si="1"/>
        <v>3960.6585878908536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E24+'18'!F24</f>
        <v>0</v>
      </c>
      <c r="G24" s="48">
        <f>E24+'18'!G24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153</v>
      </c>
      <c r="F26" s="32">
        <f>E26+'18'!F26</f>
        <v>2520</v>
      </c>
      <c r="G26" s="33">
        <f>E26+'18'!G26</f>
        <v>6389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4180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16</v>
      </c>
      <c r="F30" s="32">
        <f>E30+'18'!F30</f>
        <v>286</v>
      </c>
      <c r="G30" s="33">
        <f>E30+'18'!G30</f>
        <v>776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16</v>
      </c>
      <c r="F31" s="12">
        <f>E31+'18'!F31</f>
        <v>283</v>
      </c>
      <c r="G31" s="13">
        <f>E31+'18'!G31</f>
        <v>788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20</v>
      </c>
      <c r="F32" s="12">
        <f>E32+'18'!F32</f>
        <v>384</v>
      </c>
      <c r="G32" s="13">
        <f>E32+'18'!G32</f>
        <v>922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7">
        <v>1380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20</v>
      </c>
      <c r="F35" s="32">
        <f>E35+'18'!F35</f>
        <v>320</v>
      </c>
      <c r="G35" s="33">
        <f>E35+'18'!G35</f>
        <v>952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E36+'18'!F36</f>
        <v>54</v>
      </c>
      <c r="G36" s="13">
        <f>E36+'18'!G36</f>
        <v>120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E37+'18'!F37</f>
        <v>0</v>
      </c>
      <c r="G37" s="48">
        <f>E37+'18'!G37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L40"/>
  <sheetViews>
    <sheetView topLeftCell="C1" zoomScale="66" zoomScaleNormal="66" workbookViewId="0">
      <pane xSplit="2" ySplit="6" topLeftCell="E19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'19'!E6+1</f>
        <v>46162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175900</v>
      </c>
      <c r="F7" s="12">
        <f>E7+'19'!F7</f>
        <v>2966200</v>
      </c>
      <c r="G7" s="13">
        <f>E7+'19'!G7</f>
        <v>7455500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17932</v>
      </c>
      <c r="F8" s="12">
        <f>E8+'19'!F8</f>
        <v>346394</v>
      </c>
      <c r="G8" s="13">
        <f>E8+'19'!G8</f>
        <v>864108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157968</v>
      </c>
      <c r="F9" s="12">
        <f>E9+'19'!F9</f>
        <v>2619806</v>
      </c>
      <c r="G9" s="13">
        <f>E9+'19'!G9</f>
        <v>6591392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10.194428652643547</v>
      </c>
      <c r="F10" s="15">
        <f>F8/F7*100</f>
        <v>11.678039242127976</v>
      </c>
      <c r="G10" s="16">
        <f>G8/G7*100</f>
        <v>11.590208570853733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7.3291666666666666</v>
      </c>
      <c r="F11" s="15">
        <f>F7/F12/1000</f>
        <v>6.1795833333333334</v>
      </c>
      <c r="G11" s="16">
        <f>G7/G12/1000</f>
        <v>6.3040096054656463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E12+'19'!F12</f>
        <v>480</v>
      </c>
      <c r="G12" s="13">
        <f>E12+'19'!G12</f>
        <v>1182.6599999999999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73.291666666666671</v>
      </c>
      <c r="F13" s="15">
        <f>F11/10*100</f>
        <v>61.795833333333341</v>
      </c>
      <c r="G13" s="16">
        <f>G11/10*100</f>
        <v>63.040096054656459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797</v>
      </c>
      <c r="F14" s="12">
        <f>E14+'19'!F14</f>
        <v>14133</v>
      </c>
      <c r="G14" s="13">
        <f>E14+'19'!G14</f>
        <v>35232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780</v>
      </c>
      <c r="F15" s="12">
        <f>E15+'19'!F15</f>
        <v>13702</v>
      </c>
      <c r="G15" s="13">
        <f>E15+'19'!G15</f>
        <v>34196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59</v>
      </c>
      <c r="F16" s="12">
        <f>E16+'19'!F16</f>
        <v>667</v>
      </c>
      <c r="G16" s="13">
        <f>E16+'19'!G16</f>
        <v>1859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733</v>
      </c>
      <c r="F17" s="12">
        <f>E17+'19'!F17</f>
        <v>12283</v>
      </c>
      <c r="G17" s="13">
        <f>E17+'19'!G17</f>
        <v>30960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569</v>
      </c>
      <c r="F18" s="12">
        <f>E18+'19'!F18</f>
        <v>10006</v>
      </c>
      <c r="G18" s="13">
        <f>E18+'19'!G18</f>
        <v>25187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E19+'19'!F19</f>
        <v>357</v>
      </c>
      <c r="G19" s="13">
        <f>E19+'19'!G19</f>
        <v>885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4.1671404206935758</v>
      </c>
      <c r="F20" s="15">
        <f>F17*1000/F7</f>
        <v>4.1409884700964197</v>
      </c>
      <c r="G20" s="16">
        <f>G17*1000/G7</f>
        <v>4.1526389913486685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0.87549744172825472</v>
      </c>
      <c r="F21" s="19">
        <f>F26*1000/F7</f>
        <v>0.90149012204166945</v>
      </c>
      <c r="G21" s="20">
        <f>G26*1000/G7</f>
        <v>0.87760713567165183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2806.7026719727119</v>
      </c>
      <c r="F22" s="21">
        <f t="shared" ref="F22:G22" si="0">((F17*(803-130)+F31*(30))*1000)/F7</f>
        <v>2789.8789697255747</v>
      </c>
      <c r="G22" s="21">
        <f t="shared" si="0"/>
        <v>2797.949165045939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3826.0375213189313</v>
      </c>
      <c r="F23" s="21">
        <f t="shared" ref="F23:G23" si="1">(F15*(803-130))*1000/(F7*0.78)</f>
        <v>3985.6943788910617</v>
      </c>
      <c r="G23" s="21">
        <f t="shared" si="1"/>
        <v>3957.4824299390057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E24+'19'!F24</f>
        <v>0</v>
      </c>
      <c r="G24" s="48">
        <f>E24+'19'!G24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154</v>
      </c>
      <c r="F26" s="32">
        <f>E26+'19'!F26</f>
        <v>2674</v>
      </c>
      <c r="G26" s="33">
        <f>E26+'19'!G26</f>
        <v>6543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4322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12</v>
      </c>
      <c r="F30" s="32">
        <f>E30+'19'!F30</f>
        <v>298</v>
      </c>
      <c r="G30" s="33">
        <f>E30+'19'!G30</f>
        <v>788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13</v>
      </c>
      <c r="F31" s="12">
        <f>E31+'19'!F31</f>
        <v>296</v>
      </c>
      <c r="G31" s="13">
        <f>E31+'19'!G31</f>
        <v>801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20</v>
      </c>
      <c r="F32" s="12">
        <f>E32+'19'!F32</f>
        <v>404</v>
      </c>
      <c r="G32" s="13">
        <f>E32+'19'!G32</f>
        <v>942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7">
        <v>1413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20</v>
      </c>
      <c r="F35" s="32">
        <f>E35+'19'!F35</f>
        <v>340</v>
      </c>
      <c r="G35" s="33">
        <f>E35+'19'!G35</f>
        <v>972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E36+'19'!F36</f>
        <v>58</v>
      </c>
      <c r="G36" s="13">
        <f>E36+'19'!G36</f>
        <v>124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E37+'19'!F37</f>
        <v>0</v>
      </c>
      <c r="G37" s="48">
        <f>E37+'19'!G37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L40"/>
  <sheetViews>
    <sheetView topLeftCell="C1" zoomScale="80" zoomScaleNormal="80" workbookViewId="0">
      <pane xSplit="2" ySplit="6" topLeftCell="E19" activePane="bottomRight" state="frozen"/>
      <selection pane="topRight"/>
      <selection pane="bottomLeft"/>
      <selection pane="bottomRight" activeCell="E15" sqref="E1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'20'!E6+1</f>
        <v>46163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176800</v>
      </c>
      <c r="F7" s="12">
        <f>E7+'20'!F7</f>
        <v>3143000</v>
      </c>
      <c r="G7" s="13">
        <f>E7+'20'!G7</f>
        <v>7632300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18003</v>
      </c>
      <c r="F8" s="12">
        <f>E8+'20'!F8</f>
        <v>364397</v>
      </c>
      <c r="G8" s="13">
        <f>E8+'20'!G8</f>
        <v>882111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158797</v>
      </c>
      <c r="F9" s="12">
        <f>E9+'20'!F9</f>
        <v>2778603</v>
      </c>
      <c r="G9" s="13">
        <f>E9+'20'!G9</f>
        <v>6750189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10.182692307692308</v>
      </c>
      <c r="F10" s="15">
        <f>F8/F7*100</f>
        <v>11.593923003499841</v>
      </c>
      <c r="G10" s="16">
        <f>G8/G7*100</f>
        <v>11.557603867772494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7.3666666666666671</v>
      </c>
      <c r="F11" s="15">
        <f>F7/F12/1000</f>
        <v>6.2361111111111116</v>
      </c>
      <c r="G11" s="16">
        <f>G7/G12/1000</f>
        <v>6.3251454427925031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E12+'20'!F12</f>
        <v>504</v>
      </c>
      <c r="G12" s="13">
        <f>E12+'20'!G12</f>
        <v>1206.6599999999999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73.666666666666671</v>
      </c>
      <c r="F13" s="15">
        <f>F11/10*100</f>
        <v>62.361111111111114</v>
      </c>
      <c r="G13" s="16">
        <f>G11/10*100</f>
        <v>63.251454427925033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806</v>
      </c>
      <c r="F14" s="12">
        <f>E14+'20'!F14</f>
        <v>14939</v>
      </c>
      <c r="G14" s="13">
        <f>E14+'20'!G14</f>
        <v>36038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786</v>
      </c>
      <c r="F15" s="12">
        <f>E15+'20'!F15</f>
        <v>14488</v>
      </c>
      <c r="G15" s="13">
        <f>E15+'20'!G15</f>
        <v>34982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60</v>
      </c>
      <c r="F16" s="12">
        <f>E16+'20'!F16</f>
        <v>727</v>
      </c>
      <c r="G16" s="13">
        <f>E16+'20'!G16</f>
        <v>1919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740</v>
      </c>
      <c r="F17" s="12">
        <f>E17+'20'!F17</f>
        <v>13023</v>
      </c>
      <c r="G17" s="13">
        <f>E17+'20'!G17</f>
        <v>31700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577</v>
      </c>
      <c r="F18" s="12">
        <f>E18+'20'!F18</f>
        <v>10583</v>
      </c>
      <c r="G18" s="13">
        <f>E18+'20'!G18</f>
        <v>25764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E19+'20'!F19</f>
        <v>375</v>
      </c>
      <c r="G19" s="13">
        <f>E19+'20'!G19</f>
        <v>903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4.1855203619909505</v>
      </c>
      <c r="F20" s="15">
        <f>F17*1000/F7</f>
        <v>4.1434934775692014</v>
      </c>
      <c r="G20" s="16">
        <f>G17*1000/G7</f>
        <v>4.1534006786944957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0.87104072398190047</v>
      </c>
      <c r="F21" s="19">
        <f>F26*1000/F7</f>
        <v>0.89977728285077951</v>
      </c>
      <c r="G21" s="20">
        <f>G26*1000/G7</f>
        <v>0.87745502666299802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2819.4004524886877</v>
      </c>
      <c r="F22" s="21">
        <f t="shared" ref="F22:G22" si="0">((F17*(803-130)+F31*(30))*1000)/F7</f>
        <v>2791.5396118358258</v>
      </c>
      <c r="G22" s="21">
        <f t="shared" si="0"/>
        <v>2798.4460778533339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3835.8423250957189</v>
      </c>
      <c r="F23" s="21">
        <f t="shared" ref="F23:G23" si="1">(F15*(803-130))*1000/(F7*0.78)</f>
        <v>3977.2649028773749</v>
      </c>
      <c r="G23" s="21">
        <f t="shared" si="1"/>
        <v>3954.6646724430616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E24+'20'!F24</f>
        <v>0</v>
      </c>
      <c r="G24" s="48">
        <f>E24+'20'!G24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154</v>
      </c>
      <c r="F26" s="32">
        <f>E26+'20'!F26</f>
        <v>2828</v>
      </c>
      <c r="G26" s="33">
        <f>E26+'20'!G26</f>
        <v>6697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4402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/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17</v>
      </c>
      <c r="F30" s="32">
        <f>E30+'20'!F30</f>
        <v>315</v>
      </c>
      <c r="G30" s="33">
        <f>E30+'20'!G30</f>
        <v>805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E31+'20'!F31</f>
        <v>311</v>
      </c>
      <c r="G31" s="13">
        <f>E31+'20'!G31</f>
        <v>816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16</v>
      </c>
      <c r="F32" s="12">
        <f>E32+'20'!F32</f>
        <v>420</v>
      </c>
      <c r="G32" s="13">
        <f>E32+'20'!G32</f>
        <v>958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22</v>
      </c>
      <c r="F33" s="47">
        <v>1533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20</v>
      </c>
      <c r="F35" s="32">
        <f>E35+'20'!F35</f>
        <v>360</v>
      </c>
      <c r="G35" s="33">
        <f>E35+'20'!G35</f>
        <v>992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E36+'20'!F36</f>
        <v>62</v>
      </c>
      <c r="G36" s="13">
        <f>E36+'20'!G36</f>
        <v>128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E37+'20'!F37</f>
        <v>0</v>
      </c>
      <c r="G37" s="48">
        <f>E37+'20'!G37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L40"/>
  <sheetViews>
    <sheetView topLeftCell="C1" zoomScale="80" zoomScaleNormal="80" workbookViewId="0">
      <pane xSplit="2" ySplit="6" topLeftCell="E19" activePane="bottomRight" state="frozen"/>
      <selection pane="topRight"/>
      <selection pane="bottomLeft"/>
      <selection pane="bottomRight" activeCell="E15" sqref="E1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69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'21'!E6+1</f>
        <v>46164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157500</v>
      </c>
      <c r="F7" s="12">
        <f>E7+'21'!F7</f>
        <v>3300500</v>
      </c>
      <c r="G7" s="13">
        <f>E7+'21'!G7</f>
        <v>7789800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17586</v>
      </c>
      <c r="F8" s="12">
        <f>E8+'21'!F8</f>
        <v>381983</v>
      </c>
      <c r="G8" s="13">
        <f>E8+'21'!G8</f>
        <v>899697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139914</v>
      </c>
      <c r="F9" s="12">
        <f>E9+'21'!F9</f>
        <v>2918517</v>
      </c>
      <c r="G9" s="13">
        <f>E9+'21'!G9</f>
        <v>6890103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11.165714285714285</v>
      </c>
      <c r="F10" s="15">
        <f>F8/F7*100</f>
        <v>11.573488865323437</v>
      </c>
      <c r="G10" s="16">
        <f>G8/G7*100</f>
        <v>11.549680351228529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6.5625</v>
      </c>
      <c r="F11" s="15">
        <f>F7/F12/1000</f>
        <v>6.2509469696969697</v>
      </c>
      <c r="G11" s="16">
        <f>G7/G12/1000</f>
        <v>6.3297742674662389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E12+'21'!F12</f>
        <v>528</v>
      </c>
      <c r="G12" s="13">
        <f>E12+'21'!G12</f>
        <v>1230.6599999999999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65.625</v>
      </c>
      <c r="F13" s="15">
        <f>F11/10*100</f>
        <v>62.509469696969703</v>
      </c>
      <c r="G13" s="16">
        <f>G11/10*100</f>
        <v>63.297742674662395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734</v>
      </c>
      <c r="F14" s="12">
        <f>E14+'21'!F14</f>
        <v>15673</v>
      </c>
      <c r="G14" s="13">
        <f>E14+'21'!G14</f>
        <v>36772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708</v>
      </c>
      <c r="F15" s="12">
        <f>E15+'21'!F15</f>
        <v>15196</v>
      </c>
      <c r="G15" s="13">
        <f>E15+'21'!G15</f>
        <v>35690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49</v>
      </c>
      <c r="F16" s="12">
        <f>E16+'21'!F16</f>
        <v>776</v>
      </c>
      <c r="G16" s="13">
        <f>E16+'21'!G16</f>
        <v>1968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658</v>
      </c>
      <c r="F17" s="12">
        <f>E17+'21'!F17</f>
        <v>13681</v>
      </c>
      <c r="G17" s="13">
        <f>E17+'21'!G17</f>
        <v>32358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519</v>
      </c>
      <c r="F18" s="12">
        <f>E18+'21'!F18</f>
        <v>11102</v>
      </c>
      <c r="G18" s="13">
        <f>E18+'21'!G18</f>
        <v>26283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E19+'21'!F19</f>
        <v>393</v>
      </c>
      <c r="G19" s="13">
        <f>E19+'21'!G19</f>
        <v>921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4.177777777777778</v>
      </c>
      <c r="F20" s="15">
        <f>F17*1000/F7</f>
        <v>4.1451295258294198</v>
      </c>
      <c r="G20" s="16">
        <f>G17*1000/G7</f>
        <v>4.1538935531079106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0.86349206349206353</v>
      </c>
      <c r="F21" s="19">
        <f>F26*1000/F7</f>
        <v>0.89804575064384184</v>
      </c>
      <c r="G21" s="20">
        <f>G26*1000/G7</f>
        <v>0.87717271303499444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2814.5015873015873</v>
      </c>
      <c r="F22" s="21">
        <f t="shared" ref="F22:G22" si="0">((F17*(803-130)+F31*(30))*1000)/F7</f>
        <v>2792.6353582790484</v>
      </c>
      <c r="G22" s="21">
        <f t="shared" si="0"/>
        <v>2798.770700146345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3878.5836385836387</v>
      </c>
      <c r="F23" s="21">
        <f t="shared" ref="F23:G23" si="1">(F15*(803-130))*1000/(F7*0.78)</f>
        <v>3972.5558287594345</v>
      </c>
      <c r="G23" s="21">
        <f t="shared" si="1"/>
        <v>3953.126409222843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E24+'21'!F24</f>
        <v>0</v>
      </c>
      <c r="G24" s="48">
        <f>E24+'21'!G24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136</v>
      </c>
      <c r="F26" s="32">
        <f>E26+'21'!F26</f>
        <v>2964</v>
      </c>
      <c r="G26" s="33">
        <f>E26+'21'!G26</f>
        <v>6833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4435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17</v>
      </c>
      <c r="F30" s="32">
        <f>E30+'21'!F30</f>
        <v>332</v>
      </c>
      <c r="G30" s="33">
        <f>E30+'21'!G30</f>
        <v>822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15</v>
      </c>
      <c r="F31" s="12">
        <f>E31+'21'!F31</f>
        <v>326</v>
      </c>
      <c r="G31" s="13">
        <f>E31+'21'!G31</f>
        <v>831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16</v>
      </c>
      <c r="F32" s="12">
        <f>E32+'21'!F32</f>
        <v>436</v>
      </c>
      <c r="G32" s="13">
        <f>E32+'21'!G32</f>
        <v>974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7">
        <v>1381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35</v>
      </c>
      <c r="F35" s="32">
        <f>E35+'21'!F35</f>
        <v>395</v>
      </c>
      <c r="G35" s="33">
        <f>E35+'21'!G35</f>
        <v>1027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E36+'21'!F36</f>
        <v>65</v>
      </c>
      <c r="G36" s="13">
        <f>E36+'21'!G36</f>
        <v>131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E37+'21'!F37</f>
        <v>0</v>
      </c>
      <c r="G37" s="48">
        <f>E37+'21'!G37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L40"/>
  <sheetViews>
    <sheetView topLeftCell="C1" zoomScale="80" zoomScaleNormal="80" workbookViewId="0">
      <pane xSplit="2" ySplit="6" topLeftCell="E19" activePane="bottomRight" state="frozen"/>
      <selection pane="topRight"/>
      <selection pane="bottomLeft"/>
      <selection pane="bottomRight" activeCell="E28" sqref="E2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'22'!E6+1</f>
        <v>46165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151600</v>
      </c>
      <c r="F7" s="12">
        <f>E7+'22'!F7</f>
        <v>3452100</v>
      </c>
      <c r="G7" s="13">
        <f>E7+'22'!G7</f>
        <v>7941400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18383</v>
      </c>
      <c r="F8" s="12">
        <f>E8+'22'!F8</f>
        <v>400366</v>
      </c>
      <c r="G8" s="13">
        <f>E8+'22'!G8</f>
        <v>918080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133217</v>
      </c>
      <c r="F9" s="12">
        <f>E9+'22'!F9</f>
        <v>3051734</v>
      </c>
      <c r="G9" s="13">
        <f>E9+'22'!G9</f>
        <v>7023320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12.125989445910291</v>
      </c>
      <c r="F10" s="15">
        <f>F8/F7*100</f>
        <v>11.597752092928943</v>
      </c>
      <c r="G10" s="16">
        <f>G8/G7*100</f>
        <v>11.560681995617902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6.3166666666666673</v>
      </c>
      <c r="F11" s="15">
        <f>F7/F12/1000</f>
        <v>6.2538043478260867</v>
      </c>
      <c r="G11" s="16">
        <f>G7/G12/1000</f>
        <v>6.3295235362568354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E12+'22'!F12</f>
        <v>552</v>
      </c>
      <c r="G12" s="13">
        <f>E12+'22'!G12</f>
        <v>1254.6599999999999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63.166666666666671</v>
      </c>
      <c r="F13" s="15">
        <f>F11/10*100</f>
        <v>62.53804347826086</v>
      </c>
      <c r="G13" s="16">
        <f>G11/10*100</f>
        <v>63.295235362568356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723</v>
      </c>
      <c r="F14" s="12">
        <f>E14+'22'!F14</f>
        <v>16396</v>
      </c>
      <c r="G14" s="13">
        <f>E14+'22'!G14</f>
        <v>37495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690</v>
      </c>
      <c r="F15" s="12">
        <f>E15+'22'!F15</f>
        <v>15886</v>
      </c>
      <c r="G15" s="13">
        <f>E15+'22'!G15</f>
        <v>36380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48</v>
      </c>
      <c r="F16" s="12">
        <f>E16+'22'!F16</f>
        <v>824</v>
      </c>
      <c r="G16" s="13">
        <f>E16+'22'!G16</f>
        <v>2016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637</v>
      </c>
      <c r="F17" s="12">
        <f>E17+'22'!F17</f>
        <v>14318</v>
      </c>
      <c r="G17" s="13">
        <f>E17+'22'!G17</f>
        <v>32995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508</v>
      </c>
      <c r="F18" s="12">
        <f>E18+'22'!F18</f>
        <v>11610</v>
      </c>
      <c r="G18" s="13">
        <f>E18+'22'!G18</f>
        <v>26791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E19+'22'!F19</f>
        <v>410</v>
      </c>
      <c r="G19" s="13">
        <f>E19+'22'!G19</f>
        <v>938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4.2018469656992083</v>
      </c>
      <c r="F20" s="15">
        <f>F17*1000/F7</f>
        <v>4.1476202890993887</v>
      </c>
      <c r="G20" s="16">
        <f>G17*1000/G7</f>
        <v>4.1548089757473496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0.9366754617414248</v>
      </c>
      <c r="F21" s="19">
        <f>F26*1000/F7</f>
        <v>0.89974218591581934</v>
      </c>
      <c r="G21" s="20">
        <f>G26*1000/G7</f>
        <v>0.87830861057244314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2832.1965699208445</v>
      </c>
      <c r="F22" s="21">
        <f t="shared" ref="F22:G22" si="0">((F17*(803-130)+F31*(30))*1000)/F7</f>
        <v>2794.3727006749514</v>
      </c>
      <c r="G22" s="21">
        <f t="shared" si="0"/>
        <v>2799.4087944191201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3927.0854475339966</v>
      </c>
      <c r="F23" s="21">
        <f t="shared" ref="F23:G23" si="1">(F15*(803-130))*1000/(F7*0.78)</f>
        <v>3970.5589834207199</v>
      </c>
      <c r="G23" s="21">
        <f t="shared" si="1"/>
        <v>3952.6292916123425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E24+'22'!F24</f>
        <v>0</v>
      </c>
      <c r="G24" s="48">
        <f>E24+'22'!G24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142</v>
      </c>
      <c r="F26" s="32">
        <f>E26+'22'!F26</f>
        <v>3106</v>
      </c>
      <c r="G26" s="33">
        <f>E26+'22'!G26</f>
        <v>6975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4200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20</v>
      </c>
      <c r="F30" s="32">
        <f>E30+'22'!F30</f>
        <v>352</v>
      </c>
      <c r="G30" s="33">
        <f>E30+'22'!G30</f>
        <v>842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22</v>
      </c>
      <c r="F31" s="12">
        <f>E31+'22'!F31</f>
        <v>348</v>
      </c>
      <c r="G31" s="13">
        <f>E31+'22'!G31</f>
        <v>853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20</v>
      </c>
      <c r="F32" s="12">
        <f>E32+'22'!F32</f>
        <v>456</v>
      </c>
      <c r="G32" s="13">
        <f>E32+'22'!G32</f>
        <v>994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7">
        <v>1378</v>
      </c>
      <c r="G33" s="48"/>
    </row>
    <row r="34" spans="2:7" ht="30.95" customHeight="1">
      <c r="B34" s="93"/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40</v>
      </c>
      <c r="F35" s="32">
        <f>E35+'22'!F35</f>
        <v>435</v>
      </c>
      <c r="G35" s="33">
        <f>E35+'22'!G35</f>
        <v>1067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E36+'22'!F36</f>
        <v>68</v>
      </c>
      <c r="G36" s="13">
        <f>E36+'22'!G36</f>
        <v>134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E37+'22'!F37</f>
        <v>0</v>
      </c>
      <c r="G37" s="48">
        <f>E37+'22'!G37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L40"/>
  <sheetViews>
    <sheetView topLeftCell="B1" zoomScale="80" zoomScaleNormal="80" workbookViewId="0">
      <pane xSplit="3" ySplit="6" topLeftCell="E19" activePane="bottomRight" state="frozen"/>
      <selection pane="topRight"/>
      <selection pane="bottomLeft"/>
      <selection pane="bottomRight" activeCell="F22" sqref="F22"/>
    </sheetView>
  </sheetViews>
  <sheetFormatPr defaultColWidth="9.140625" defaultRowHeight="30.95" customHeight="1"/>
  <cols>
    <col min="1" max="1" width="7" style="1" customWidth="1"/>
    <col min="2" max="2" width="14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'23'!E6+1</f>
        <v>46166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181400</v>
      </c>
      <c r="F7" s="12">
        <f>E7+'23'!F7</f>
        <v>3633500</v>
      </c>
      <c r="G7" s="13">
        <f>E7+'23'!G7</f>
        <v>8122800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17879</v>
      </c>
      <c r="F8" s="12">
        <f>E8+'23'!F8</f>
        <v>418245</v>
      </c>
      <c r="G8" s="13">
        <f>E8+'23'!G8</f>
        <v>935959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163521</v>
      </c>
      <c r="F9" s="12">
        <f>E9+'23'!F9</f>
        <v>3215255</v>
      </c>
      <c r="G9" s="13">
        <f>E9+'23'!G9</f>
        <v>7186841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9.8561190738699018</v>
      </c>
      <c r="F10" s="15">
        <f>F8/F7*100</f>
        <v>11.510802256777213</v>
      </c>
      <c r="G10" s="16">
        <f>G8/G7*100</f>
        <v>11.522615354311322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7.5583333333333327</v>
      </c>
      <c r="F11" s="15">
        <f>F7/F12/1000</f>
        <v>6.3081597222222223</v>
      </c>
      <c r="G11" s="16">
        <f>G7/G12/1000</f>
        <v>6.3525878654216141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E12+'23'!F12</f>
        <v>576</v>
      </c>
      <c r="G12" s="13">
        <f>E12+'23'!G12</f>
        <v>1278.6599999999999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75.583333333333329</v>
      </c>
      <c r="F13" s="15">
        <f>F11/10*100</f>
        <v>63.081597222222221</v>
      </c>
      <c r="G13" s="16">
        <f>G11/10*100</f>
        <v>63.525878654216136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825</v>
      </c>
      <c r="F14" s="12">
        <f>E14+'23'!F14</f>
        <v>17221</v>
      </c>
      <c r="G14" s="13">
        <f>E14+'23'!G14</f>
        <v>38320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802</v>
      </c>
      <c r="F15" s="12">
        <f>E15+'23'!F15</f>
        <v>16688</v>
      </c>
      <c r="G15" s="13">
        <f>E15+'23'!G15</f>
        <v>37182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68</v>
      </c>
      <c r="F16" s="12">
        <f>E16+'23'!F16</f>
        <v>892</v>
      </c>
      <c r="G16" s="13">
        <f>E16+'23'!G16</f>
        <v>2084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757</v>
      </c>
      <c r="F17" s="12">
        <f>E17+'23'!F17</f>
        <v>15075</v>
      </c>
      <c r="G17" s="13">
        <f>E17+'23'!G17</f>
        <v>33752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588</v>
      </c>
      <c r="F18" s="12">
        <f>E18+'23'!F18</f>
        <v>12198</v>
      </c>
      <c r="G18" s="13">
        <f>E18+'23'!G18</f>
        <v>27379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E19+'23'!F19</f>
        <v>428</v>
      </c>
      <c r="G19" s="13">
        <f>E19+'23'!G19</f>
        <v>956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4.1730981256890853</v>
      </c>
      <c r="F20" s="15">
        <f>F17*1000/F7</f>
        <v>4.1488922526489613</v>
      </c>
      <c r="G20" s="16">
        <f>G17*1000/G7</f>
        <v>4.1552174127148271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0.88202866593164275</v>
      </c>
      <c r="F21" s="19">
        <f>F26*1000/F7</f>
        <v>0.89885785055731393</v>
      </c>
      <c r="G21" s="20">
        <f>G26*1000/G7</f>
        <v>0.87839168759541042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2810.8103638368248</v>
      </c>
      <c r="F22" s="21">
        <f t="shared" ref="F22:G22" si="0">((F17*803)-(F17+F31)*142)*1000/F7</f>
        <v>2728.2705380487132</v>
      </c>
      <c r="G22" s="21">
        <f t="shared" si="0"/>
        <v>2731.4421135569014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3814.6750346309332</v>
      </c>
      <c r="F23" s="21">
        <f t="shared" ref="F23:G23" si="1">(F15*(803-130))*1000/(F7*0.78)</f>
        <v>3962.7765839957942</v>
      </c>
      <c r="G23" s="21">
        <f t="shared" si="1"/>
        <v>3949.5484694553979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E24+'23'!F24</f>
        <v>0</v>
      </c>
      <c r="G24" s="48">
        <f>E24+'23'!G24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160</v>
      </c>
      <c r="F26" s="32">
        <f>E26+'23'!F26</f>
        <v>3266</v>
      </c>
      <c r="G26" s="33">
        <f>E26+'23'!G26</f>
        <v>7135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4309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15</v>
      </c>
      <c r="F30" s="32">
        <f>E30+'23'!F30</f>
        <v>367</v>
      </c>
      <c r="G30" s="33">
        <f>E30+'23'!G30</f>
        <v>857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E31+'23'!F31</f>
        <v>362</v>
      </c>
      <c r="G31" s="13">
        <f>E31+'23'!G31</f>
        <v>867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E32+'23'!F32</f>
        <v>474</v>
      </c>
      <c r="G32" s="13">
        <f>E32+'23'!G32</f>
        <v>1012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17.46</v>
      </c>
      <c r="F33" s="61">
        <v>1362</v>
      </c>
      <c r="G33" s="62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60</v>
      </c>
      <c r="F35" s="32">
        <f>E35+'23'!F35</f>
        <v>495</v>
      </c>
      <c r="G35" s="33">
        <f>E35+'23'!G35</f>
        <v>1127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E36+'23'!F36</f>
        <v>72</v>
      </c>
      <c r="G36" s="13">
        <f>E36+'23'!G36</f>
        <v>138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E37+'23'!F37</f>
        <v>0</v>
      </c>
      <c r="G37" s="48">
        <f>E37+'23'!G37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L39"/>
  <sheetViews>
    <sheetView zoomScale="80" zoomScaleNormal="80" workbookViewId="0">
      <pane xSplit="4" ySplit="6" topLeftCell="E20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'24'!E6+1</f>
        <v>46167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165000</v>
      </c>
      <c r="F7" s="12">
        <f>E7+'24'!F7</f>
        <v>3798500</v>
      </c>
      <c r="G7" s="13">
        <f>E7+'24'!G7</f>
        <v>8287800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17657</v>
      </c>
      <c r="F8" s="12">
        <f>E8+'24'!F8</f>
        <v>435902</v>
      </c>
      <c r="G8" s="13">
        <f>E8+'24'!G8</f>
        <v>953616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147343</v>
      </c>
      <c r="F9" s="12">
        <f>E9+'24'!F9</f>
        <v>3362598</v>
      </c>
      <c r="G9" s="13">
        <f>E9+'24'!G9</f>
        <v>7334184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10.701212121212121</v>
      </c>
      <c r="F10" s="15">
        <f>F8/F7*100</f>
        <v>11.475635119125972</v>
      </c>
      <c r="G10" s="16">
        <f>G8/G7*100</f>
        <v>11.506262216752335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6.875</v>
      </c>
      <c r="F11" s="15">
        <f>F7/F12/1000</f>
        <v>6.3308333333333326</v>
      </c>
      <c r="G11" s="16">
        <f>G7/G12/1000</f>
        <v>6.36221270323799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E12+'24'!F12</f>
        <v>600</v>
      </c>
      <c r="G12" s="13">
        <f>E12+'24'!G12</f>
        <v>1302.6599999999999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68.75</v>
      </c>
      <c r="F13" s="15">
        <f>F11/10*100</f>
        <v>63.308333333333323</v>
      </c>
      <c r="G13" s="16">
        <f>G11/10*100</f>
        <v>63.622127032379908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756</v>
      </c>
      <c r="F14" s="12">
        <f>E14+'24'!F14</f>
        <v>17977</v>
      </c>
      <c r="G14" s="13">
        <f>E14+'24'!G14</f>
        <v>39076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730</v>
      </c>
      <c r="F15" s="12">
        <f>E15+'24'!F15</f>
        <v>17418</v>
      </c>
      <c r="G15" s="13">
        <f>E15+'24'!G15</f>
        <v>37912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57</v>
      </c>
      <c r="F16" s="12">
        <f>E16+'24'!F16</f>
        <v>949</v>
      </c>
      <c r="G16" s="13">
        <f>E16+'24'!G16</f>
        <v>2141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689</v>
      </c>
      <c r="F17" s="12">
        <f>E17+'24'!F17</f>
        <v>15764</v>
      </c>
      <c r="G17" s="13">
        <f>E17+'24'!G17</f>
        <v>34441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536</v>
      </c>
      <c r="F18" s="12">
        <f>E18+'24'!F18</f>
        <v>12734</v>
      </c>
      <c r="G18" s="13">
        <f>E18+'24'!G18</f>
        <v>27915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E19+'24'!F19</f>
        <v>446</v>
      </c>
      <c r="G19" s="13">
        <f>E19+'24'!G19</f>
        <v>974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4.1757575757575758</v>
      </c>
      <c r="F20" s="15">
        <f>F17*1000/F7</f>
        <v>4.1500592339081219</v>
      </c>
      <c r="G20" s="16">
        <f>G17*1000/G7</f>
        <v>4.1556263423345161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0.87272727272727268</v>
      </c>
      <c r="F21" s="19">
        <f>F26*1000/F7</f>
        <v>0.89772278530999083</v>
      </c>
      <c r="G21" s="20">
        <f>G26*1000/G7</f>
        <v>0.87827891599700769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2812.6484848484847</v>
      </c>
      <c r="F22" s="21">
        <f t="shared" ref="F22:G22" si="0">((F17*(803-130)+F31*(30))*1000)/F7</f>
        <v>2795.9515598262474</v>
      </c>
      <c r="G22" s="21">
        <f t="shared" si="0"/>
        <v>2799.9219334443401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3817.3271173271173</v>
      </c>
      <c r="F23" s="21">
        <f t="shared" ref="F23:G23" si="1">(F15*(803-130))*1000/(F7*0.78)</f>
        <v>3956.4585210761334</v>
      </c>
      <c r="G23" s="21">
        <f t="shared" si="1"/>
        <v>3946.9161034353247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E24+'24'!F24</f>
        <v>0</v>
      </c>
      <c r="G24" s="48">
        <f>E24+'24'!G24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144</v>
      </c>
      <c r="F26" s="32">
        <f>E26+'24'!F26</f>
        <v>3410</v>
      </c>
      <c r="G26" s="33">
        <f>E26+'24'!G26</f>
        <v>7279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4350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12</v>
      </c>
      <c r="F30" s="32">
        <f>E30+'24'!F30</f>
        <v>379</v>
      </c>
      <c r="G30" s="33">
        <f>E30+'24'!G30</f>
        <v>869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E31+'24'!F31</f>
        <v>375</v>
      </c>
      <c r="G31" s="13">
        <f>E31+'24'!G31</f>
        <v>880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E32+'24'!F32</f>
        <v>492</v>
      </c>
      <c r="G32" s="13">
        <f>E32+'24'!G32</f>
        <v>1030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1338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30</v>
      </c>
      <c r="F35" s="32">
        <f>E35+'24'!F35</f>
        <v>525</v>
      </c>
      <c r="G35" s="33">
        <f>E35+'24'!G35</f>
        <v>1157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2</v>
      </c>
      <c r="F36" s="12">
        <f>E36+'24'!F36</f>
        <v>74</v>
      </c>
      <c r="G36" s="13">
        <f>E36+'24'!G36</f>
        <v>140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E37+'24'!F37</f>
        <v>0</v>
      </c>
      <c r="G37" s="48">
        <f>E37+'24'!G37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L39"/>
  <sheetViews>
    <sheetView topLeftCell="B1" zoomScale="80" zoomScaleNormal="80" workbookViewId="0">
      <pane xSplit="3" ySplit="6" topLeftCell="E19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'25'!E6+1</f>
        <v>46168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143500</v>
      </c>
      <c r="F7" s="12">
        <f>E7+'25'!F7</f>
        <v>3942000</v>
      </c>
      <c r="G7" s="13">
        <f>E7+'25'!G7</f>
        <v>8431300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17264</v>
      </c>
      <c r="F8" s="12">
        <f>E8+'25'!F8</f>
        <v>453166</v>
      </c>
      <c r="G8" s="13">
        <f>E8+'25'!G8</f>
        <v>970880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126236</v>
      </c>
      <c r="F9" s="12">
        <f>E9+'25'!F9</f>
        <v>3488834</v>
      </c>
      <c r="G9" s="13">
        <f>E9+'25'!G9</f>
        <v>7460420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12.030662020905924</v>
      </c>
      <c r="F10" s="15">
        <f>F8/F7*100</f>
        <v>11.49583967529173</v>
      </c>
      <c r="G10" s="16">
        <f>G8/G7*100</f>
        <v>11.515187456264158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5.979166666666667</v>
      </c>
      <c r="F11" s="15">
        <f>F7/F12/1000</f>
        <v>6.3173076923076925</v>
      </c>
      <c r="G11" s="16">
        <f>G7/G12/1000</f>
        <v>6.3552831923778523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E12+'25'!F12</f>
        <v>624</v>
      </c>
      <c r="G12" s="13">
        <f>E12+'25'!G12</f>
        <v>1326.6599999999999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59.791666666666664</v>
      </c>
      <c r="F13" s="15">
        <f>F11/10*100</f>
        <v>63.17307692307692</v>
      </c>
      <c r="G13" s="16">
        <f>G11/10*100</f>
        <v>63.55283192377852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701</v>
      </c>
      <c r="F14" s="12">
        <f>E14+'25'!F14</f>
        <v>18678</v>
      </c>
      <c r="G14" s="13">
        <f>E14+'25'!G14</f>
        <v>39777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679</v>
      </c>
      <c r="F15" s="12">
        <f>E15+'25'!F15</f>
        <v>18097</v>
      </c>
      <c r="G15" s="13">
        <f>E15+'25'!G15</f>
        <v>38591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21</v>
      </c>
      <c r="F16" s="12">
        <f>E16+'25'!F16</f>
        <v>970</v>
      </c>
      <c r="G16" s="13">
        <f>E16+'25'!G16</f>
        <v>2162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592</v>
      </c>
      <c r="F17" s="12">
        <f>E17+'25'!F17</f>
        <v>16356</v>
      </c>
      <c r="G17" s="13">
        <f>E17+'25'!G17</f>
        <v>35033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497</v>
      </c>
      <c r="F18" s="12">
        <f>E18+'25'!F18</f>
        <v>13231</v>
      </c>
      <c r="G18" s="13">
        <f>E18+'25'!G18</f>
        <v>28412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E19+'25'!F19</f>
        <v>464</v>
      </c>
      <c r="G19" s="13">
        <f>E19+'25'!G19</f>
        <v>992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4.1254355400696863</v>
      </c>
      <c r="F20" s="15">
        <f>F17*1000/F7</f>
        <v>4.1491628614916287</v>
      </c>
      <c r="G20" s="16">
        <f>G17*1000/G7</f>
        <v>4.1551124974796299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0.93379790940766549</v>
      </c>
      <c r="F21" s="19">
        <f>F26*1000/F7</f>
        <v>0.89903602232369351</v>
      </c>
      <c r="G21" s="20">
        <f>G26*1000/G7</f>
        <v>0.87922384448424329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2779.97212543554</v>
      </c>
      <c r="F22" s="21">
        <f t="shared" ref="F22:G22" si="0">((F17*(803-130)+F31*(30))*1000)/F7</f>
        <v>2795.3698630136987</v>
      </c>
      <c r="G22" s="21">
        <f t="shared" si="0"/>
        <v>2799.5823894298624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4082.6141338336461</v>
      </c>
      <c r="F23" s="21">
        <f t="shared" ref="F23:G23" si="1">(F15*(803-130))*1000/(F7*0.78)</f>
        <v>3961.0509438135009</v>
      </c>
      <c r="G23" s="21">
        <f t="shared" si="1"/>
        <v>3949.2256722280563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E24+'25'!F24</f>
        <v>0</v>
      </c>
      <c r="G24" s="48">
        <f>E24+'25'!G24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134</v>
      </c>
      <c r="F26" s="32">
        <f>E26+'25'!F26</f>
        <v>3544</v>
      </c>
      <c r="G26" s="33">
        <f>E26+'25'!G26</f>
        <v>7413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4366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16</v>
      </c>
      <c r="F30" s="32">
        <f>E30+'25'!F30</f>
        <v>395</v>
      </c>
      <c r="G30" s="33">
        <f>E30+'25'!G30</f>
        <v>885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17</v>
      </c>
      <c r="F31" s="12">
        <f>E31+'25'!F31</f>
        <v>392</v>
      </c>
      <c r="G31" s="13">
        <f>E31+'25'!G31</f>
        <v>897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E32+'25'!F32</f>
        <v>510</v>
      </c>
      <c r="G32" s="13">
        <f>E32+'25'!G32</f>
        <v>1048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7">
        <v>1325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25</v>
      </c>
      <c r="F35" s="32">
        <f>E35+'25'!F35</f>
        <v>550</v>
      </c>
      <c r="G35" s="33">
        <f>E35+'25'!G35</f>
        <v>1182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4</v>
      </c>
      <c r="F36" s="12">
        <f>E36+'25'!F36</f>
        <v>78</v>
      </c>
      <c r="G36" s="13">
        <f>E36+'25'!G36</f>
        <v>144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v>0</v>
      </c>
      <c r="G37" s="48"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L39"/>
  <sheetViews>
    <sheetView zoomScale="80" zoomScaleNormal="80" workbookViewId="0">
      <pane xSplit="4" ySplit="6" topLeftCell="E19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'26'!E6+1</f>
        <v>46169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167100</v>
      </c>
      <c r="F7" s="12">
        <f>E7+'26'!F7</f>
        <v>4109100</v>
      </c>
      <c r="G7" s="13">
        <f>E7+'26'!G7</f>
        <v>8598400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17580</v>
      </c>
      <c r="F8" s="12">
        <f>E8+'26'!F8</f>
        <v>470746</v>
      </c>
      <c r="G8" s="13">
        <f>E8+'26'!G8</f>
        <v>988460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149520</v>
      </c>
      <c r="F9" s="12">
        <f>E9+'26'!F9</f>
        <v>3638354</v>
      </c>
      <c r="G9" s="13">
        <f>E9+'26'!G9</f>
        <v>7609940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10.520646319569121</v>
      </c>
      <c r="F10" s="15">
        <f>F8/F7*100</f>
        <v>11.456182619065002</v>
      </c>
      <c r="G10" s="16">
        <f>G8/G7*100</f>
        <v>11.495859694826944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6.9625000000000004</v>
      </c>
      <c r="F11" s="15">
        <f>F7/F12/1000</f>
        <v>6.3412037037037035</v>
      </c>
      <c r="G11" s="16">
        <f>G7/G12/1000</f>
        <v>6.3660728828868862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E12+'26'!F12</f>
        <v>648</v>
      </c>
      <c r="G12" s="13">
        <f>E12+'26'!G12</f>
        <v>1350.6599999999999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69.625</v>
      </c>
      <c r="F13" s="15">
        <f>F11/10*100</f>
        <v>63.412037037037038</v>
      </c>
      <c r="G13" s="16">
        <f>G11/10*100</f>
        <v>63.660728828868862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758</v>
      </c>
      <c r="F14" s="12">
        <f>E14+'26'!F14</f>
        <v>19436</v>
      </c>
      <c r="G14" s="13">
        <f>E14+'26'!G14</f>
        <v>40535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740</v>
      </c>
      <c r="F15" s="12">
        <f>E15+'26'!F15</f>
        <v>18837</v>
      </c>
      <c r="G15" s="13">
        <f>E15+'26'!G15</f>
        <v>39331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54</v>
      </c>
      <c r="F16" s="12">
        <f>E16+'26'!F16</f>
        <v>1024</v>
      </c>
      <c r="G16" s="13">
        <f>E16+'26'!G16</f>
        <v>2216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696</v>
      </c>
      <c r="F17" s="12">
        <f>E17+'26'!F17</f>
        <v>17052</v>
      </c>
      <c r="G17" s="13">
        <f>E17+'26'!G17</f>
        <v>35729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540</v>
      </c>
      <c r="F18" s="12">
        <f>E18+'26'!F18</f>
        <v>13771</v>
      </c>
      <c r="G18" s="13">
        <f>E18+'26'!G18</f>
        <v>28952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E19+'26'!F19</f>
        <v>481</v>
      </c>
      <c r="G19" s="13">
        <f>E19+'26'!G19</f>
        <v>1009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4.1651705565529626</v>
      </c>
      <c r="F20" s="15">
        <f>F17*1000/F7</f>
        <v>4.1498138278455139</v>
      </c>
      <c r="G20" s="16">
        <f>G17*1000/G7</f>
        <v>4.1553079642724224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0.88569718731298619</v>
      </c>
      <c r="F21" s="19">
        <f>F26*1000/F7</f>
        <v>0.89849358740356766</v>
      </c>
      <c r="G21" s="20">
        <f>G26*1000/G7</f>
        <v>0.87934964644585034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2805.6732495511669</v>
      </c>
      <c r="F22" s="21">
        <f t="shared" ref="F22:G22" si="0">((F17*(803-130)+F31*(30))*1000)/F7</f>
        <v>2795.7888588742062</v>
      </c>
      <c r="G22" s="21">
        <f t="shared" si="0"/>
        <v>2799.7007582806104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3820.9885068053827</v>
      </c>
      <c r="F23" s="21">
        <f t="shared" ref="F23:G23" si="1">(F15*(803-130))*1000/(F7*0.78)</f>
        <v>3955.3551872672847</v>
      </c>
      <c r="G23" s="21">
        <f t="shared" si="1"/>
        <v>3946.7335306270456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E24+'26'!F24</f>
        <v>0</v>
      </c>
      <c r="G24" s="48">
        <f>E24+'26'!G24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148</v>
      </c>
      <c r="F26" s="32">
        <f>E26+'26'!F26</f>
        <v>3692</v>
      </c>
      <c r="G26" s="33">
        <f>E26+'26'!G26</f>
        <v>7561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4288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14</v>
      </c>
      <c r="F30" s="32">
        <f>E30+'26'!F30</f>
        <v>409</v>
      </c>
      <c r="G30" s="33">
        <f>E30+'26'!G30</f>
        <v>899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E31+'26'!F31</f>
        <v>406</v>
      </c>
      <c r="G31" s="13">
        <f>E31+'26'!G31</f>
        <v>911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E32+'26'!F32</f>
        <v>528</v>
      </c>
      <c r="G32" s="13">
        <f>E32+'26'!G32</f>
        <v>1066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1387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53</v>
      </c>
      <c r="F35" s="32">
        <f>E35+'26'!F35</f>
        <v>603</v>
      </c>
      <c r="G35" s="33">
        <f>E35+'26'!G35</f>
        <v>1235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1</v>
      </c>
      <c r="F36" s="12">
        <f>E36+'26'!F36</f>
        <v>79</v>
      </c>
      <c r="G36" s="13">
        <f>E36+'26'!G36</f>
        <v>145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/>
      <c r="F37" s="47">
        <f>E37+'26'!F37</f>
        <v>0</v>
      </c>
      <c r="G37" s="48">
        <f>E37+'26'!G37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L40"/>
  <sheetViews>
    <sheetView zoomScale="80" zoomScaleNormal="80" workbookViewId="0">
      <pane xSplit="4" ySplit="6" topLeftCell="E19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'27'!E6+1</f>
        <v>46170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175300</v>
      </c>
      <c r="F7" s="12">
        <f>E7+'27'!F7</f>
        <v>4284400</v>
      </c>
      <c r="G7" s="13">
        <f>E7+'27'!G7</f>
        <v>8773700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17127</v>
      </c>
      <c r="F8" s="12">
        <f>E8+'27'!F8</f>
        <v>487873</v>
      </c>
      <c r="G8" s="13">
        <f>E8+'27'!G8</f>
        <v>1005587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158173</v>
      </c>
      <c r="F9" s="12">
        <f>E9+'27'!F9</f>
        <v>3796527</v>
      </c>
      <c r="G9" s="13">
        <f>E9+'27'!G9</f>
        <v>7768113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9.770108385624642</v>
      </c>
      <c r="F10" s="15">
        <f>F8/F7*100</f>
        <v>11.387195406591355</v>
      </c>
      <c r="G10" s="16">
        <f>G8/G7*100</f>
        <v>11.461378893739244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7.3041666666666671</v>
      </c>
      <c r="F11" s="15">
        <f>F7/F12/1000</f>
        <v>6.3755952380952383</v>
      </c>
      <c r="G11" s="16">
        <f>G7/G12/1000</f>
        <v>6.382450933321695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E12+'27'!F12</f>
        <v>672</v>
      </c>
      <c r="G12" s="13">
        <f>E12+'27'!G12</f>
        <v>1374.6599999999999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73.041666666666671</v>
      </c>
      <c r="F13" s="15">
        <f>F11/10*100</f>
        <v>63.755952380952387</v>
      </c>
      <c r="G13" s="16">
        <f>G11/10*100</f>
        <v>63.824509333216952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796</v>
      </c>
      <c r="F14" s="12">
        <f>E14+'27'!F14</f>
        <v>20232</v>
      </c>
      <c r="G14" s="13">
        <f>E14+'27'!G14</f>
        <v>41331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775</v>
      </c>
      <c r="F15" s="12">
        <f>E15+'27'!F15</f>
        <v>19612</v>
      </c>
      <c r="G15" s="13">
        <f>E15+'27'!G15</f>
        <v>40106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59</v>
      </c>
      <c r="F16" s="12">
        <f>E16+'27'!F16</f>
        <v>1083</v>
      </c>
      <c r="G16" s="13">
        <f>E16+'27'!G16</f>
        <v>2275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733</v>
      </c>
      <c r="F17" s="12">
        <f>E17+'27'!F17</f>
        <v>17785</v>
      </c>
      <c r="G17" s="13">
        <f>E17+'27'!G17</f>
        <v>36462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570</v>
      </c>
      <c r="F18" s="12">
        <f>E18+'27'!F18</f>
        <v>14341</v>
      </c>
      <c r="G18" s="13">
        <f>E18+'27'!G18</f>
        <v>29522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E19+'27'!F19</f>
        <v>499</v>
      </c>
      <c r="G19" s="13">
        <f>E19+'27'!G19</f>
        <v>1027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4.1814033086138052</v>
      </c>
      <c r="F20" s="15">
        <f>F17*1000/F7</f>
        <v>4.1511063392773782</v>
      </c>
      <c r="G20" s="16">
        <f>G17*1000/G7</f>
        <v>4.1558293536364364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0.8784940102681118</v>
      </c>
      <c r="F21" s="19">
        <f>F26*1000/F7</f>
        <v>0.89767528708804034</v>
      </c>
      <c r="G21" s="20">
        <f>G26*1000/G7</f>
        <v>0.87933255069127048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2816.1380490587562</v>
      </c>
      <c r="F22" s="21">
        <f t="shared" ref="F22:G22" si="0">((F17*(803-130)+F31*(30))*1000)/F7</f>
        <v>2796.621463915601</v>
      </c>
      <c r="G22" s="21">
        <f t="shared" si="0"/>
        <v>2800.0291781118572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3814.5230886246291</v>
      </c>
      <c r="F23" s="21">
        <f t="shared" ref="F23:G23" si="1">(F15*(803-130))*1000/(F7*0.78)</f>
        <v>3949.5929178965312</v>
      </c>
      <c r="G23" s="21">
        <f t="shared" si="1"/>
        <v>3944.0919437842058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E24+'27'!F24</f>
        <v>0</v>
      </c>
      <c r="G24" s="48">
        <f>E24+'27'!G24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154</v>
      </c>
      <c r="F26" s="32">
        <f>E26+'27'!F26</f>
        <v>3846</v>
      </c>
      <c r="G26" s="33">
        <f>E26+'27'!G26</f>
        <v>7715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4299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12</v>
      </c>
      <c r="F30" s="32">
        <f>E30+'27'!F30</f>
        <v>421</v>
      </c>
      <c r="G30" s="33">
        <f>E30+'27'!G30</f>
        <v>911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E31+'27'!F31</f>
        <v>418</v>
      </c>
      <c r="G31" s="13">
        <f>E31+'27'!G31</f>
        <v>923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E32+'27'!F32</f>
        <v>545</v>
      </c>
      <c r="G32" s="13">
        <f>E32+'27'!G32</f>
        <v>1083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</v>
      </c>
      <c r="F33" s="47">
        <v>1451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40</v>
      </c>
      <c r="F35" s="32">
        <f>E35+'27'!F35</f>
        <v>643</v>
      </c>
      <c r="G35" s="33">
        <f>E35+'27'!G35</f>
        <v>1275</v>
      </c>
    </row>
    <row r="36" spans="2:7" ht="30.95" customHeight="1">
      <c r="B36" s="59">
        <v>6</v>
      </c>
      <c r="C36" s="53" t="s">
        <v>50</v>
      </c>
      <c r="D36" s="54" t="s">
        <v>43</v>
      </c>
      <c r="E36" s="60">
        <v>3</v>
      </c>
      <c r="F36" s="12">
        <f>E36+'27'!F36</f>
        <v>82</v>
      </c>
      <c r="G36" s="13">
        <f>E36+'27'!G36</f>
        <v>148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E37+'27'!F37</f>
        <v>0</v>
      </c>
      <c r="G37" s="48">
        <f>E37+'27'!G37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5" sqref="E3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'28'!E6+1</f>
        <v>46171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160900</v>
      </c>
      <c r="F7" s="12">
        <f>E7+'28'!F7</f>
        <v>4445300</v>
      </c>
      <c r="G7" s="13">
        <f>E7+'28'!G7</f>
        <v>8934600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17411</v>
      </c>
      <c r="F8" s="12">
        <f>E8+'28'!F8</f>
        <v>505284</v>
      </c>
      <c r="G8" s="13">
        <f>E8+'28'!G8</f>
        <v>1022998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143489</v>
      </c>
      <c r="F9" s="12">
        <f>E9+'28'!F9</f>
        <v>3940016</v>
      </c>
      <c r="G9" s="13">
        <f>E9+'28'!G9</f>
        <v>7911602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10.821006836544438</v>
      </c>
      <c r="F10" s="15">
        <f>F8/F7*100</f>
        <v>11.366701909882346</v>
      </c>
      <c r="G10" s="16">
        <f>G8/G7*100</f>
        <v>11.449846663532783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6.7041666666666666</v>
      </c>
      <c r="F11" s="15">
        <f>F7/F12/1000</f>
        <v>6.3869252873563216</v>
      </c>
      <c r="G11" s="16">
        <f>G7/G12/1000</f>
        <v>6.3879713440006869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E12+'28'!F12</f>
        <v>696</v>
      </c>
      <c r="G12" s="13">
        <f>E12+'28'!G12</f>
        <v>1398.6599999999999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67.041666666666671</v>
      </c>
      <c r="F13" s="15">
        <f>F11/10*100</f>
        <v>63.869252873563219</v>
      </c>
      <c r="G13" s="16">
        <f>G11/10*100</f>
        <v>63.879713440006867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742</v>
      </c>
      <c r="F14" s="12">
        <f>E14+'28'!F14</f>
        <v>20974</v>
      </c>
      <c r="G14" s="13">
        <f>E14+'28'!G14</f>
        <v>42073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715</v>
      </c>
      <c r="F15" s="12">
        <f>E15+'28'!F15</f>
        <v>20327</v>
      </c>
      <c r="G15" s="13">
        <f>E15+'28'!G15</f>
        <v>40821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53</v>
      </c>
      <c r="F16" s="12">
        <f>E16+'28'!F16</f>
        <v>1136</v>
      </c>
      <c r="G16" s="13">
        <f>E16+'28'!G16</f>
        <v>2328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674</v>
      </c>
      <c r="F17" s="12">
        <f>E17+'28'!F17</f>
        <v>18459</v>
      </c>
      <c r="G17" s="13">
        <f>E17+'28'!G17</f>
        <v>37136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528</v>
      </c>
      <c r="F18" s="12">
        <f>E18+'28'!F18</f>
        <v>14869</v>
      </c>
      <c r="G18" s="13">
        <f>E18+'28'!G18</f>
        <v>30050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E19+'28'!F19</f>
        <v>518</v>
      </c>
      <c r="G19" s="13">
        <f>E19+'28'!G19</f>
        <v>1046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4.1889372280919828</v>
      </c>
      <c r="F20" s="15">
        <f>F17*1000/F7</f>
        <v>4.1524756484376759</v>
      </c>
      <c r="G20" s="16">
        <f>G17*1000/G7</f>
        <v>4.1564255814474071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0.88253573648228711</v>
      </c>
      <c r="F21" s="19">
        <f>F26*1000/F7</f>
        <v>0.89712730299417365</v>
      </c>
      <c r="G21" s="20">
        <f>G26*1000/G7</f>
        <v>0.87939023571284669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2822.1379738968303</v>
      </c>
      <c r="F22" s="21">
        <f t="shared" ref="F22:G22" si="0">((F17*(803-130)+F31*(30))*1000)/F7</f>
        <v>2797.5450475783414</v>
      </c>
      <c r="G22" s="21">
        <f t="shared" si="0"/>
        <v>2800.4273274684933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3834.1620053863685</v>
      </c>
      <c r="F23" s="21">
        <f t="shared" ref="F23:G23" si="1">(F15*(803-130))*1000/(F7*0.78)</f>
        <v>3945.4148345674225</v>
      </c>
      <c r="G23" s="21">
        <f t="shared" si="1"/>
        <v>3942.1122550361688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E24+'28'!F24</f>
        <v>0</v>
      </c>
      <c r="G24" s="27">
        <f>E24+'28'!G24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142</v>
      </c>
      <c r="F26" s="32">
        <f>E26+'28'!F26</f>
        <v>3988</v>
      </c>
      <c r="G26" s="33">
        <f>E26+'28'!G26</f>
        <v>7857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4325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14</v>
      </c>
      <c r="F30" s="32">
        <f>E30+'28'!F30</f>
        <v>435</v>
      </c>
      <c r="G30" s="33">
        <f>E30+'28'!G30</f>
        <v>925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E31+'28'!F31</f>
        <v>434</v>
      </c>
      <c r="G31" s="13">
        <f>E31+'28'!G31</f>
        <v>939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E32+'28'!F32</f>
        <v>563</v>
      </c>
      <c r="G32" s="13">
        <f>E32+'28'!G32</f>
        <v>1101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7">
        <v>1345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35</v>
      </c>
      <c r="F35" s="32">
        <f>E35+'28'!F35</f>
        <v>678</v>
      </c>
      <c r="G35" s="33">
        <f>E35+'28'!G35</f>
        <v>1310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2</v>
      </c>
      <c r="F36" s="12">
        <f>E36+'28'!F36</f>
        <v>84</v>
      </c>
      <c r="G36" s="13">
        <f>E36+'28'!G36</f>
        <v>150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E37+'28'!F37</f>
        <v>0</v>
      </c>
      <c r="G37" s="48">
        <f>E37+'28'!G37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'29'!E6+1</f>
        <v>46172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176700</v>
      </c>
      <c r="F7" s="12">
        <f>E7+'29'!F7</f>
        <v>4622000</v>
      </c>
      <c r="G7" s="13">
        <f>E7+'29'!G7</f>
        <v>9111300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17616</v>
      </c>
      <c r="F8" s="12">
        <f>E8+'29'!F8</f>
        <v>522900</v>
      </c>
      <c r="G8" s="13">
        <f>E8+'29'!G8</f>
        <v>1040614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159084</v>
      </c>
      <c r="F9" s="12">
        <f>E9+'29'!F9</f>
        <v>4099100</v>
      </c>
      <c r="G9" s="13">
        <f>E9+'29'!G9</f>
        <v>8070686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9.9694397283531409</v>
      </c>
      <c r="F10" s="15">
        <f>F8/F7*100</f>
        <v>11.313284292514062</v>
      </c>
      <c r="G10" s="16">
        <f>G8/G7*100</f>
        <v>11.421136391074819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7.3624999999999998</v>
      </c>
      <c r="F11" s="15">
        <f>F7/F12/1000</f>
        <v>6.4194444444444443</v>
      </c>
      <c r="G11" s="16">
        <f>G7/G12/1000</f>
        <v>6.4044114545991313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E12+'29'!F12</f>
        <v>720</v>
      </c>
      <c r="G12" s="13">
        <f>E12+'29'!G12</f>
        <v>1422.6599999999999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73.625</v>
      </c>
      <c r="F13" s="15">
        <f>F11/10*100</f>
        <v>64.194444444444443</v>
      </c>
      <c r="G13" s="16">
        <f>G11/10*100</f>
        <v>64.04411454599132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799</v>
      </c>
      <c r="F14" s="12">
        <f>E14+'29'!F14</f>
        <v>21773</v>
      </c>
      <c r="G14" s="13">
        <f>E14+'29'!G14</f>
        <v>42872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779</v>
      </c>
      <c r="F15" s="12">
        <f>E15+'29'!F15</f>
        <v>21106</v>
      </c>
      <c r="G15" s="13">
        <f>E15+'29'!G15</f>
        <v>41600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59</v>
      </c>
      <c r="F16" s="12">
        <f>E16+'29'!F16</f>
        <v>1195</v>
      </c>
      <c r="G16" s="13">
        <f>E16+'29'!G16</f>
        <v>2387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734</v>
      </c>
      <c r="F17" s="12">
        <f>E17+'29'!F17</f>
        <v>19193</v>
      </c>
      <c r="G17" s="13">
        <f>E17+'29'!G17</f>
        <v>37870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571</v>
      </c>
      <c r="F18" s="12">
        <f>E18+'29'!F18</f>
        <v>15440</v>
      </c>
      <c r="G18" s="13">
        <f>E18+'29'!G18</f>
        <v>30621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E19+'29'!F19</f>
        <v>535</v>
      </c>
      <c r="G19" s="13">
        <f>E19+'29'!G19</f>
        <v>1063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4.1539332201471417</v>
      </c>
      <c r="F20" s="15">
        <f>F17*1000/F7</f>
        <v>4.1525313717005625</v>
      </c>
      <c r="G20" s="16">
        <f>G17*1000/G7</f>
        <v>4.1563772458375867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0.8771929824561403</v>
      </c>
      <c r="F21" s="19">
        <f>F26*1000/F7</f>
        <v>0.89636520986585888</v>
      </c>
      <c r="G21" s="20">
        <f>G26*1000/G7</f>
        <v>0.87934762328098071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2797.8041878890776</v>
      </c>
      <c r="F22" s="21">
        <f t="shared" ref="F22:G22" si="0">((F17*(803-130)+F31*(30))*1000)/F7</f>
        <v>2797.5549545651234</v>
      </c>
      <c r="G22" s="21">
        <f t="shared" si="0"/>
        <v>2800.3764556100668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3803.8323683484973</v>
      </c>
      <c r="F23" s="21">
        <f t="shared" ref="F23:G23" si="1">(F15*(803-130))*1000/(F7*0.78)</f>
        <v>3940.0021080895162</v>
      </c>
      <c r="G23" s="21">
        <f t="shared" si="1"/>
        <v>3939.4305240013318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E24+'29'!F24</f>
        <v>0</v>
      </c>
      <c r="G24" s="27">
        <f>E24+'29'!G24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155</v>
      </c>
      <c r="F26" s="32">
        <f>E26+'29'!F26</f>
        <v>4143</v>
      </c>
      <c r="G26" s="33">
        <f>E26+'29'!G26</f>
        <v>8012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4294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16</v>
      </c>
      <c r="F30" s="32">
        <f>E30+'29'!F30</f>
        <v>451</v>
      </c>
      <c r="G30" s="33">
        <f>E30+'29'!G30</f>
        <v>941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E31+'29'!F31</f>
        <v>447</v>
      </c>
      <c r="G31" s="13">
        <f>E31+'29'!G31</f>
        <v>952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E32+'29'!F32</f>
        <v>580</v>
      </c>
      <c r="G32" s="13">
        <f>E32+'29'!G32</f>
        <v>1118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1389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25</v>
      </c>
      <c r="F35" s="32">
        <f>E35+'29'!F35</f>
        <v>703</v>
      </c>
      <c r="G35" s="33">
        <f>E35+'29'!G35</f>
        <v>1335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3</v>
      </c>
      <c r="F36" s="12">
        <f>E36+'29'!F36</f>
        <v>87</v>
      </c>
      <c r="G36" s="13">
        <f>E36+'29'!G36</f>
        <v>153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E37+'29'!F37</f>
        <v>0</v>
      </c>
      <c r="G37" s="48">
        <f>E37+'29'!G37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L40"/>
  <sheetViews>
    <sheetView tabSelected="1" zoomScale="80" zoomScaleNormal="80" workbookViewId="0">
      <pane xSplit="4" ySplit="6" topLeftCell="E7" activePane="bottomRight" state="frozen"/>
      <selection pane="topRight"/>
      <selection pane="bottomLeft"/>
      <selection pane="bottomRight" activeCell="E38" sqref="E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6"/>
      <c r="C2" s="96"/>
      <c r="D2" s="96"/>
      <c r="E2" s="96"/>
      <c r="F2" s="96"/>
      <c r="G2" s="96"/>
      <c r="H2" s="3"/>
      <c r="I2" s="3"/>
      <c r="J2" s="3"/>
      <c r="K2" s="3"/>
      <c r="L2" s="3"/>
    </row>
    <row r="3" spans="1:12" ht="36.75" customHeight="1">
      <c r="B3" s="97" t="s">
        <v>0</v>
      </c>
      <c r="C3" s="97"/>
      <c r="D3" s="97"/>
      <c r="E3" s="97"/>
      <c r="F3" s="97"/>
      <c r="G3" s="97"/>
      <c r="H3" s="4"/>
      <c r="I3" s="4"/>
      <c r="J3" s="4"/>
      <c r="K3" s="4"/>
      <c r="L3" s="3"/>
    </row>
    <row r="4" spans="1:12" ht="30.95" customHeight="1">
      <c r="B4" s="98" t="s">
        <v>51</v>
      </c>
      <c r="C4" s="98"/>
      <c r="D4" s="98"/>
      <c r="E4" s="98"/>
      <c r="F4" s="98"/>
      <c r="G4" s="98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'30'!E6+1</f>
        <v>46173</v>
      </c>
      <c r="F6" s="7" t="s">
        <v>4</v>
      </c>
      <c r="G6" s="90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177800</v>
      </c>
      <c r="F7" s="12">
        <f>E7+'30'!F7</f>
        <v>4799800</v>
      </c>
      <c r="G7" s="13">
        <f>E7+'30'!G7</f>
        <v>9289100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17870</v>
      </c>
      <c r="F8" s="12">
        <f>E8+'30'!F8</f>
        <v>540770</v>
      </c>
      <c r="G8" s="13">
        <f>E8+'30'!G8</f>
        <v>1058484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159930</v>
      </c>
      <c r="F9" s="12">
        <f>E9+'30'!F9</f>
        <v>4259030</v>
      </c>
      <c r="G9" s="13">
        <f>E9+'30'!G9</f>
        <v>8230616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10.050618672665916</v>
      </c>
      <c r="F10" s="15">
        <f>F8/F7*100</f>
        <v>11.266511104629359</v>
      </c>
      <c r="G10" s="16">
        <f>G8/G7*100</f>
        <v>11.394903704341647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7.4083333333333332</v>
      </c>
      <c r="F11" s="15">
        <f>F7/F12/1000</f>
        <v>6.4513440860215052</v>
      </c>
      <c r="G11" s="16">
        <f>G7/G12/1000</f>
        <v>6.4210664565274502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E12+'30'!F12</f>
        <v>744</v>
      </c>
      <c r="G12" s="13">
        <f>E12+'30'!G12</f>
        <v>1446.6599999999999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74.083333333333329</v>
      </c>
      <c r="F13" s="15">
        <f>F11/10*100</f>
        <v>64.513440860215056</v>
      </c>
      <c r="G13" s="16">
        <f>G11/10*100</f>
        <v>64.210664565274499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816</v>
      </c>
      <c r="F14" s="12">
        <f>E14+'30'!F14</f>
        <v>22589</v>
      </c>
      <c r="G14" s="13">
        <f>E14+'30'!G14</f>
        <v>43688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789</v>
      </c>
      <c r="F15" s="12">
        <f>E15+'30'!F15</f>
        <v>21895</v>
      </c>
      <c r="G15" s="13">
        <f>E15+'30'!G15</f>
        <v>42389</v>
      </c>
    </row>
    <row r="16" spans="1:12" ht="30.95" customHeight="1">
      <c r="B16" s="9">
        <v>9</v>
      </c>
      <c r="C16" s="10" t="s">
        <v>19</v>
      </c>
      <c r="D16" s="88" t="s">
        <v>17</v>
      </c>
      <c r="E16" s="17">
        <v>58</v>
      </c>
      <c r="F16" s="12">
        <f>E16+'30'!F16</f>
        <v>1253</v>
      </c>
      <c r="G16" s="13">
        <f>E16+'30'!G16</f>
        <v>2445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744</v>
      </c>
      <c r="F17" s="12">
        <f>E17+'30'!F17</f>
        <v>19937</v>
      </c>
      <c r="G17" s="13">
        <f>E17+'30'!G17</f>
        <v>38614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585</v>
      </c>
      <c r="F18" s="12">
        <f>E18+'30'!F18</f>
        <v>16025</v>
      </c>
      <c r="G18" s="13">
        <f>E18+'30'!G18</f>
        <v>31206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E19+'30'!F19</f>
        <v>553</v>
      </c>
      <c r="G19" s="13">
        <f>E19+'30'!G19</f>
        <v>1081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4.184476940382452</v>
      </c>
      <c r="F20" s="15">
        <f>F17*1000/F7</f>
        <v>4.153714738114088</v>
      </c>
      <c r="G20" s="16">
        <f>G17*1000/G7</f>
        <v>4.156915094034944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0.89988751406074241</v>
      </c>
      <c r="F21" s="19">
        <f>F26*1000/F7</f>
        <v>0.89649568732030505</v>
      </c>
      <c r="G21" s="20">
        <f>G26*1000/G7</f>
        <v>0.87974077144179741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2818.683914510686</v>
      </c>
      <c r="F22" s="21">
        <f t="shared" ref="F22:G22" si="0">((F17*(803-130)+F31*(30))*1000)/F7</f>
        <v>2798.3376390682947</v>
      </c>
      <c r="G22" s="21">
        <f t="shared" si="0"/>
        <v>2800.7268734323025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3828.8266851258977</v>
      </c>
      <c r="F23" s="21">
        <f t="shared" ref="F23:G23" si="1">(F15*(803-130))*1000/(F7*0.78)</f>
        <v>3935.8838135349656</v>
      </c>
      <c r="G23" s="21">
        <f t="shared" si="1"/>
        <v>3937.3134876305257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E24+'30'!F24</f>
        <v>0</v>
      </c>
      <c r="G24" s="27">
        <f>E24+'30'!G24</f>
        <v>0</v>
      </c>
    </row>
    <row r="25" spans="2:8" ht="30.95" customHeight="1">
      <c r="B25" s="99" t="s">
        <v>30</v>
      </c>
      <c r="C25" s="100"/>
      <c r="D25" s="100"/>
      <c r="E25" s="100"/>
      <c r="F25" s="100"/>
      <c r="G25" s="101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160</v>
      </c>
      <c r="F26" s="32">
        <f>E26+'30'!F26</f>
        <v>4303</v>
      </c>
      <c r="G26" s="33">
        <f>E26+'30'!G26</f>
        <v>8172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4262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99" t="s">
        <v>34</v>
      </c>
      <c r="C29" s="100"/>
      <c r="D29" s="100"/>
      <c r="E29" s="100"/>
      <c r="F29" s="100"/>
      <c r="G29" s="101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14</v>
      </c>
      <c r="F30" s="32">
        <f>E30+'30'!F30</f>
        <v>465</v>
      </c>
      <c r="G30" s="33">
        <f>E30+'30'!G30</f>
        <v>955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E31+'30'!F31</f>
        <v>462</v>
      </c>
      <c r="G31" s="13">
        <f>E31+'30'!G31</f>
        <v>967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E32+'30'!F32</f>
        <v>598</v>
      </c>
      <c r="G32" s="13">
        <f>E32+'30'!G32</f>
        <v>1136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18.66</v>
      </c>
      <c r="F33" s="47">
        <v>1366</v>
      </c>
      <c r="G33" s="48"/>
    </row>
    <row r="34" spans="2:7" ht="30.95" customHeight="1">
      <c r="B34" s="93" t="s">
        <v>42</v>
      </c>
      <c r="C34" s="94"/>
      <c r="D34" s="94"/>
      <c r="E34" s="94"/>
      <c r="F34" s="94"/>
      <c r="G34" s="95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36</v>
      </c>
      <c r="F35" s="32">
        <f>E35+'30'!F35</f>
        <v>739</v>
      </c>
      <c r="G35" s="33">
        <f>E35+'30'!G35</f>
        <v>1371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2</v>
      </c>
      <c r="F36" s="12">
        <f>E36+'30'!F36</f>
        <v>89</v>
      </c>
      <c r="G36" s="13">
        <f>E36+'30'!G36</f>
        <v>155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E37+'30'!F37</f>
        <v>0</v>
      </c>
      <c r="G37" s="48">
        <f>F37+'30'!G37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'0'!Print_Area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shishupal_2</dc:creator>
  <cp:lastModifiedBy>POWER PLANT</cp:lastModifiedBy>
  <cp:lastPrinted>2018-03-31T06:53:00Z</cp:lastPrinted>
  <dcterms:created xsi:type="dcterms:W3CDTF">2014-07-10T19:27:00Z</dcterms:created>
  <dcterms:modified xsi:type="dcterms:W3CDTF">2026-05-31T19:31:06Z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4D0260AB3DDA40C18C57D4897C40BC09</vt:lpwstr>
  </property>
  <property fmtid="{D5CDD505-2E9C-101B-9397-08002B2CF9AE}" pid="3" name="KSOProductBuildVer">
    <vt:lpwstr>1033-11.2.0.11156</vt:lpwstr>
  </property>
</Properties>
</file>