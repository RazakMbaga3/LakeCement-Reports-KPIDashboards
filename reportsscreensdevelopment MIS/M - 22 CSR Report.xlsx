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onthly reports\2026\Jan 2026\"/>
    </mc:Choice>
  </mc:AlternateContent>
  <xr:revisionPtr revIDLastSave="0" documentId="13_ncr:1_{2779E42B-3FF2-4CA4-B01D-B74E8FC5FDBE}" xr6:coauthVersionLast="36" xr6:coauthVersionMax="45" xr10:uidLastSave="{00000000-0000-0000-0000-000000000000}"/>
  <bookViews>
    <workbookView xWindow="0" yWindow="0" windowWidth="15345" windowHeight="3570" firstSheet="4" activeTab="15" xr2:uid="{00000000-000D-0000-FFFF-FFFF00000000}"/>
  </bookViews>
  <sheets>
    <sheet name="2011" sheetId="10" r:id="rId1"/>
    <sheet name="2012" sheetId="11" r:id="rId2"/>
    <sheet name="2013" sheetId="12" r:id="rId3"/>
    <sheet name="2014" sheetId="13" r:id="rId4"/>
    <sheet name="2015" sheetId="14" r:id="rId5"/>
    <sheet name="2016" sheetId="15" r:id="rId6"/>
    <sheet name="2017" sheetId="16" r:id="rId7"/>
    <sheet name="2018" sheetId="17" r:id="rId8"/>
    <sheet name="2019" sheetId="18" r:id="rId9"/>
    <sheet name="2020" sheetId="19" r:id="rId10"/>
    <sheet name="2021" sheetId="20" r:id="rId11"/>
    <sheet name="2022" sheetId="21" r:id="rId12"/>
    <sheet name="2023" sheetId="22" r:id="rId13"/>
    <sheet name="2024" sheetId="23" r:id="rId14"/>
    <sheet name="2025" sheetId="24" r:id="rId15"/>
    <sheet name="2026" sheetId="25" r:id="rId1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25" l="1"/>
  <c r="C20" i="24" l="1"/>
  <c r="C19" i="23" l="1"/>
  <c r="C19" i="22" l="1"/>
  <c r="D28" i="20" l="1"/>
  <c r="D33" i="20" l="1"/>
</calcChain>
</file>

<file path=xl/sharedStrings.xml><?xml version="1.0" encoding="utf-8"?>
<sst xmlns="http://schemas.openxmlformats.org/spreadsheetml/2006/main" count="483" uniqueCount="222">
  <si>
    <t>S/N</t>
  </si>
  <si>
    <t>ACTIVITIES</t>
  </si>
  <si>
    <t>DATE</t>
  </si>
  <si>
    <t>COST</t>
  </si>
  <si>
    <t>TOTAL</t>
  </si>
  <si>
    <t>200 bgs</t>
  </si>
  <si>
    <t>MEI MOSI SPORTS AND GAMES</t>
  </si>
  <si>
    <t>STATUS</t>
  </si>
  <si>
    <t>COMPLETED</t>
  </si>
  <si>
    <t>DONATION OF QUALITY CLASS AT KIMBIJI SECONDARY SCHOOL</t>
  </si>
  <si>
    <t>LEVELING GOLANI PLAY GROUND</t>
  </si>
  <si>
    <t>AWARD TOP LINKING IN CIVIL ENGINERING (DIT)</t>
  </si>
  <si>
    <t>FACTORY GREEN BELT PLANTATION</t>
  </si>
  <si>
    <t>CONTRIBUTION TO NEEDY(ELDERS&amp; ORPHANS)</t>
  </si>
  <si>
    <t>SWASH PROGRAM KIMBIJI PRIMARY SCHOOL</t>
  </si>
  <si>
    <t>DONATION OF DOMITORY AT KIMBIJI SECONDARY SCHOOL</t>
  </si>
  <si>
    <t>SWASH PROGRAM</t>
  </si>
  <si>
    <t>PRIME MINISTER/UHURU TOURCH DAY (1000bgs of 40.2N)</t>
  </si>
  <si>
    <t>REPARING ROAD KIMBIJI TO NGOBANYA</t>
  </si>
  <si>
    <t>DONATION OF TRICYCLES (2)</t>
  </si>
  <si>
    <t>RENOVATION OF TALAWANDA PRIMARY SCHOOL BAGAMOYO-PWANI</t>
  </si>
  <si>
    <t>YOUTH SEMINER</t>
  </si>
  <si>
    <t>CONTRIBUTION TO NEEDY(VIJIBWEN HOSPITAL &amp;ORPHANS)</t>
  </si>
  <si>
    <t>SAFETY TRAINING TO MOTORCYCLE DRIVERS</t>
  </si>
  <si>
    <t>DONATION OF SEED AND FERTILIZER TO POOR FARMERS</t>
  </si>
  <si>
    <t>RECONSTRUCTION OF GOLANI OFFICE</t>
  </si>
  <si>
    <t>DONATION OF PUMPS,SEEDS,FERTILIZER,SPRAYING PUMPS FOR IRRIGATION PROJECT</t>
  </si>
  <si>
    <t>COMPENSATION TO COMPLAINERS NEAR MINING AREA</t>
  </si>
  <si>
    <t xml:space="preserve">                                          LAKE CEMENT LIMITED CSR PROJECTS -2019</t>
  </si>
  <si>
    <t>SR.NO</t>
  </si>
  <si>
    <t>ITEMS</t>
  </si>
  <si>
    <t>DOZZER    (WEEK)     -KIMBIJI HOSPITAL  (levelling)</t>
  </si>
  <si>
    <t>Completed</t>
  </si>
  <si>
    <t>WHEEL LOADER ( 1 WEEK) -NEW KIGAMBONI  HOSPITAL GEZA ( cleaning)</t>
  </si>
  <si>
    <t>CLEANING OF DAMPO- KIMBIJI WARD</t>
  </si>
  <si>
    <t>HYDRA  (6HRS) -KIMBIJI HOSPITAL    ( shifting washing machines)</t>
  </si>
  <si>
    <t>TREE PLANTATION ( KIMBIJI SECONDARY) (150TREES) - SHADES AND FRUITS TREES</t>
  </si>
  <si>
    <t>TREE PLANTATION (150 TREES) ( KIJAKA PRIMARY SCHOOL &amp; HOSPITAL)-      ''</t>
  </si>
  <si>
    <t>CEMENT   300 BGS (PRISON)</t>
  </si>
  <si>
    <t>TREE PLANTATION (150) MIKENGE PRIMARY SCHOOL-              ''</t>
  </si>
  <si>
    <t>TREE PLANTATION (150) ( GOLANI PRIMARY SCHOOL)-                       ''</t>
  </si>
  <si>
    <t>DONATION OF IRRIGATION PIPES (3) ROLLS-KIMBIJI WARD</t>
  </si>
  <si>
    <t>TREE PLANTATION (150) BOHARI PRIMARY SCHOOL -          ''</t>
  </si>
  <si>
    <t xml:space="preserve"> SEPT-19</t>
  </si>
  <si>
    <t>CONTRIBUTION FOR MAINTAIN SECURITY AT KIGAMBONI MINICIPAL</t>
  </si>
  <si>
    <t>SR NO</t>
  </si>
  <si>
    <t>PROJECTS</t>
  </si>
  <si>
    <t>CONTRIBUTION FOR VISITATION OF THE PRESIDENT IN KIGAMBONI MUNICIPAL</t>
  </si>
  <si>
    <t>CONTRIBUTION FOR EIGHT TYRES FOR TWO POLICE VEHICLES OF KIGAMBONI</t>
  </si>
  <si>
    <t>DONATION FOR RENOVATION OF GOLANI PRIMARY SCHOOL (2 CLASSES)</t>
  </si>
  <si>
    <t>CONTRIBUTION FOR ELECTION TO DC 30 MILLION</t>
  </si>
  <si>
    <t>CEMENT TO REGIONAL COMMISSIONER (RC) 1500 BAGS</t>
  </si>
  <si>
    <t>SUPPLIED TO TARURA 60 TRIPS OF WASTE FOR THE ROAD REPAIR AT KIMBIJI MWASONGA ROAD</t>
  </si>
  <si>
    <t>CONTRIBUTION FOR ELECTION TO REGIONAL COMMISSIONER 40 MILLION</t>
  </si>
  <si>
    <t>REPAIRING OF ROAD NEAR KIMBIJI VILLAGE HOSPITAL</t>
  </si>
  <si>
    <t>DONATION OF 13 SETS OF CHAIRS AND TABLES FOR KIMBIJI SECONDARY SCHOOL</t>
  </si>
  <si>
    <t>Jan 2021</t>
  </si>
  <si>
    <t>CONSTRUCTION OF  FIVE (5) TOILETS IN GOLANI PRIMARY SCHOOL INCLUDING SOAK PIT AND DEVELOPMENT OF SURROUNDING AREA</t>
  </si>
  <si>
    <t>SUPPAORT TO GOLANI PRIMARY SCHOOL (2 CLASSROOMS), INCLUDING DOORS, WINDOWS, FLOORING, ROOFING SHEETS, WALL PLASTERING AND DEVELOPMENT OF SURROUNDING AREA</t>
  </si>
  <si>
    <t>CONTRIBUTION TOWARDS FIRE &amp; RESCUE WELFARE FUND</t>
  </si>
  <si>
    <t>DONATED 200 KGS OF RICE TO ORPHANAGE  DURING WOMEN'S DAY</t>
  </si>
  <si>
    <t>CONTRIBUTION TO TUICO FOR MEI MOSI (WORKERS' DAY)  CELEBRATION EVENT</t>
  </si>
  <si>
    <t>RENOVATION OF ONE DOMITORY  AND CONSTRUCTION OF SEPTIC TANK AT KIMBIJI SECONDARY SCHOOL</t>
  </si>
  <si>
    <t>CLEARING THE  AREA FOR CONSTRUCTION OF BOY'S DORMITORY AT KIMBIJI SECONDARY SCHOOL</t>
  </si>
  <si>
    <t>SUPPLY OF GRAVEL FOR CONSTRUCTION OF BOY'S DORMITORY AT KIMBIJI SECONDARY SCHOOL</t>
  </si>
  <si>
    <t>SUPPLY OF SAND FOR CONSTRUCTION OF BOY'S DORMITORY AT KIMBIJI SECONDARY SCHOOL</t>
  </si>
  <si>
    <t>Jun-21</t>
  </si>
  <si>
    <t>CONTRIBUTION FOR UHURU TORCH CEREMONY TO KIGAMBONI DISTRICT</t>
  </si>
  <si>
    <t>Jul-21</t>
  </si>
  <si>
    <t>SUPPLY OF RUBBLES  AND CLEANLINESS  AT KIMBIJI HOSPITAL  FOR THE PREPARATION OF UHURU TORCH</t>
  </si>
  <si>
    <t>Aug-21</t>
  </si>
  <si>
    <t>CLEANING OF DAMPO  AREA AT LINGATO - KISARAWE 2 TO SUPPORT NEMC</t>
  </si>
  <si>
    <t>Sept-21</t>
  </si>
  <si>
    <t>SUPPLY OF RUBBLES  AROUND  GOLANI OFFICE AND PRIMARY SCHOOL</t>
  </si>
  <si>
    <t>Oct-21</t>
  </si>
  <si>
    <t>SUPPLY  OF RUBBLES  FOR LEVELING OF ONE CLASS AT MIKENGE PRIMARY SCHOOL</t>
  </si>
  <si>
    <t>CLEAR BUSH / MAINTAIN  ROAD FROM GOLANI TO KIDAGAA/MIKENGE</t>
  </si>
  <si>
    <t>SUPPORT TO KIGAMBONI DISTRICT CLEANING CAMPAIGN BY DONATING (10 WASTE BINS) @70,000</t>
  </si>
  <si>
    <t>SUPPLY OF RUBBLES  FOR CONSTRUCTION OF (8 CLASSES) AT KIMBIJI SECONDARY SCHOOL</t>
  </si>
  <si>
    <t>Nov-21</t>
  </si>
  <si>
    <t>SUPPLY OF RUBBLES  FOR CONSTRUCTION OF (2 CLASSES ) AT GOLAN SHIKIZI PRIMARY  SCHOOL</t>
  </si>
  <si>
    <t>CONSTRUCTION OF KWA CHARLE OFFICE (20 BAGS OF CEMENT)</t>
  </si>
  <si>
    <t>DONATED  600 CEMENT  BAGS OF 42.5 TO RUANGWA DISTRICT COUNCIL (REQUEST FROM PMO)</t>
  </si>
  <si>
    <t>SUPPLY OF WATER FOR KIMBIJI CLEANING COMPAIGN (200 bottles @400)</t>
  </si>
  <si>
    <t>Dec-21</t>
  </si>
  <si>
    <t>VETA APPRENTICEES SPONSORED BY LAKE CMENT LTD (9 APPRENTICEES)</t>
  </si>
  <si>
    <t>SR. NO</t>
  </si>
  <si>
    <t>ACTIVITIES / PROJECTS COMPLETED  (WITHOUT DOCUMENTS)- 2021</t>
  </si>
  <si>
    <t>DEVELOPMENT  OF ROAD  OF KIJAKA DISPENSARY</t>
  </si>
  <si>
    <t>Feb 2021</t>
  </si>
  <si>
    <t xml:space="preserve">SUPPLY OF RUBBLES ( 6 TRIPS )  AT KIMBIJI HEALTH CENTRE  FOR PREPARATION OF UHURU TORCH </t>
  </si>
  <si>
    <t>ACTIVITIES / PROJECTS COMPLETED  (WITH DOCUMENTS) - 2021</t>
  </si>
  <si>
    <t>Summary of work done under CSR and Community development - 2021</t>
  </si>
  <si>
    <t>LAKE CEMENT LIMITED CSR PROJECTS - 2011</t>
  </si>
  <si>
    <t>LAKE CEMENT LIMITED CSR PROJECTS - 2012</t>
  </si>
  <si>
    <t>LAKE CEMENT LIMITED CSR PROJECTS - 2013</t>
  </si>
  <si>
    <t>LAKE CEMENT LIMITED CSR PROJECTS - 2014</t>
  </si>
  <si>
    <t>LAKE CEMENT LIMITED CSR PROJECTS -  2015</t>
  </si>
  <si>
    <t>LAKE CEMENT LIMITED CSR PROJECTS - 2016</t>
  </si>
  <si>
    <t>LAKE CEMENT LIMITED CSR PROJECTS - 2017</t>
  </si>
  <si>
    <t xml:space="preserve">         LAKE CEMENT LIMITED CSR PROJECTS - 2018</t>
  </si>
  <si>
    <t xml:space="preserve">                         LAKE CEMENT COMPANY LTD CSR PROJECTS - 2020</t>
  </si>
  <si>
    <t xml:space="preserve">SUPPLY OF WATER (CARTON 100) AND 200 KG RICE TO KIGAMBONI MUNICIPAL FOR WOMENS  DAY </t>
  </si>
  <si>
    <t>CONTRIBUTION NATIONAL CEREMONY</t>
  </si>
  <si>
    <t>CONNECTING ELECTRICAL POWER SUPPLY AT DISPENSARY</t>
  </si>
  <si>
    <t>TANROAD (MWASONGA ROAD)</t>
  </si>
  <si>
    <t xml:space="preserve"> DONATION OF CEMENT FOR KAHAMA FLOOD VICTIMS</t>
  </si>
  <si>
    <t>SUPPORTING OF LABORATORY EQUIPMENTS (DIT)</t>
  </si>
  <si>
    <t>DONATION OF CEMENT TO BAGAMOYO COMMISIONER (400 bgs)</t>
  </si>
  <si>
    <t>DONATION OF CEMENT FOR KIMBIJI PRISON OFFICES (200 bgs)</t>
  </si>
  <si>
    <t>DONATION OF COLOUR PAINTS TO POLICE STATION</t>
  </si>
  <si>
    <t>DONATION OF SEEDS AND MEDICINE TO POOR FARMERS</t>
  </si>
  <si>
    <t xml:space="preserve">SUPPLY OF AGGREGATES AND WHEEL LODER </t>
  </si>
  <si>
    <t>SUPPLY OF CONSTRUCTION MATERIAL TO JKT</t>
  </si>
  <si>
    <t>REPAIRING KIMBIJI TO MWASONGA ROAD</t>
  </si>
  <si>
    <t>DONATION OF SCHOOL ITEMS TO POOR STUDENTS</t>
  </si>
  <si>
    <t>DONATION OF CEMENT TO ILALA MUNICIPAL (100 bgs)</t>
  </si>
  <si>
    <t>TREE PLANTATION AT KIMBIJI SECONDARY SCHOOL</t>
  </si>
  <si>
    <t>MITIWANGO COMPAIGN KIGAMBONI MUNICIPAL</t>
  </si>
  <si>
    <t>JAN-DEC 2016</t>
  </si>
  <si>
    <t>VOLUNTEERING TEACHING PROGRAM KIMBIJ SECONDARY</t>
  </si>
  <si>
    <t>JAN-DEC 2017</t>
  </si>
  <si>
    <t>DONATION OF SEEDS AND FERTILIZER TO FARMERS</t>
  </si>
  <si>
    <t>VOLUNTEERING CLEANING AT BEACH AREAS</t>
  </si>
  <si>
    <t>JAN-DEC 2018</t>
  </si>
  <si>
    <t>SUPPLY OF WASTE MATERIALS ( 5TRIPS) - KIMBIJI HOSPITAL (Reparing kimbiji hospital road) 5*20*20,000=2,000,000</t>
  </si>
  <si>
    <t>SUPPLY OF WASTE MATERIAL (8 TRIPS)-KIJAKA 8*20*20,000 = 3,200,000</t>
  </si>
  <si>
    <t>SUPPLY OF CLAY MATERIAL (5TRIPS) -PRISON (5*20*15,000 = 1,500,000 /=</t>
  </si>
  <si>
    <t>JAN-DEC 2019</t>
  </si>
  <si>
    <t>BALAKRISHNA FOUNDATION CONSTRUCTION OF CANTEEN FOR UPANGA PRIMARY SCHOOL</t>
  </si>
  <si>
    <t>IRIMBA ,SINGIDA CONSTITUENCY FOR CONSTRUCTION OF GIRL'S SECONDARY SCHOOL HOSTEL</t>
  </si>
  <si>
    <t>CONTRIBUTION FOR REPAIRING KIGAMBONI POLICE VEHICLE TOYOTA LAND CRUISER</t>
  </si>
  <si>
    <t>RECONSTRUCTION OF DOMITORY FOR KIMBIJI SECONDARY SCHOOL</t>
  </si>
  <si>
    <t>JAN -DEC    2020</t>
  </si>
  <si>
    <t>Jan-March 22</t>
  </si>
  <si>
    <t>VETA APPRENTICEES SPONSORED BY LAKE CMENT LTD (8 APPRENTICEES)</t>
  </si>
  <si>
    <t>VETA APPRENTICES SPONSORED BY LAKE CEMENT (4 APPRENTICEES)</t>
  </si>
  <si>
    <t>VETA APPRENTICES SPONSORED BY LAKE CEMENT (2 APPRENTICEES)</t>
  </si>
  <si>
    <t>VETA APPRENTICEES SPONSORED BY LAKE CEMENT LTD (4 APPRENTICEES)</t>
  </si>
  <si>
    <t>VETA APPRENTICEES  SPONSORED BY LAKE CEMENT LTD (6 APPRENTICEES)</t>
  </si>
  <si>
    <t>JUNE-DEC 15</t>
  </si>
  <si>
    <t>STREET YOUTH SEMINER</t>
  </si>
  <si>
    <t>DONATION OF SEWING MACHINE(1) -GOLANI STREET</t>
  </si>
  <si>
    <t>DONATION OF SEWING MACHINE(1)-KIZITOHUONJWA</t>
  </si>
  <si>
    <t>DONATION OFSEWING MACHINE(1)- MIKENGE</t>
  </si>
  <si>
    <t>DONATION OF SEWING MACHINE(1) - KWA CHALE</t>
  </si>
  <si>
    <t>DONATION OF SEWING MACHINE(1) - KIJAKA</t>
  </si>
  <si>
    <t>CONTRIBUTION OF 5 NEW BALLS TO SUPPORT LOCAL FOOTBALL TOURNAMENT AT MIKENGE FOOTBALL CLUB</t>
  </si>
  <si>
    <t>Jan 21-Dec 21</t>
  </si>
  <si>
    <t>SUPPLY OF RUBBLES AT KIMBIJI SECONDARY SCHOOL</t>
  </si>
  <si>
    <t>CONTRIBUTION FOR UHURU TORCH CEREMONY TO CHALINZE MUNICIPAL COUNCIL</t>
  </si>
  <si>
    <t xml:space="preserve">DONATION OF 30 RAIN COATS TO SIX STREETS FOR KIMBIJI WARD </t>
  </si>
  <si>
    <t>DONATION OF 10 DUST BINS TO WARD COUNCILOR FOR THE KIMBIJI WARD</t>
  </si>
  <si>
    <t>DONATED 200 CEMENT BAGS TO RPC ILALA FOR THE CONSTRUCTION OF POLICE STATION AT MWANAGATI</t>
  </si>
  <si>
    <t>Apr-June 22</t>
  </si>
  <si>
    <t>REPAIR OF ROAD AT THE BEACH AT KIDAGAA AREA</t>
  </si>
  <si>
    <t>CONSTRUCTION OF GEZAULOLE BUS STAND AT KIGAMBONI MUNICIPAL COUNCIL</t>
  </si>
  <si>
    <t>2 SPEED HUMPS,4 TRIPS OF WASTE MATERIAL - GOLAN PRIMARY SCHOOL</t>
  </si>
  <si>
    <t>5 TRIPS OF WASTE MARERIAL FOR LANDSCAPING - KIMBIJI SECONDARY SCHOOL</t>
  </si>
  <si>
    <t>8 TRIPS OF WASTE MATERIAL FOR LANDSCAPING - KIJAKA DISPENSARY &amp; KIJAKA PRIMARY SCHOOL</t>
  </si>
  <si>
    <t xml:space="preserve">SUPPLY AGGREGATE MATERIALS FOR KIMBIJI WARD SECONDARY SCHOOL 5trips </t>
  </si>
  <si>
    <t xml:space="preserve">SUPPLY TOP SOIL AT KIJAKA HEALTH CENTER 8trips </t>
  </si>
  <si>
    <t xml:space="preserve">GROUND LEVELLING AT TUNDWI SONGANI SECONDARY SCHOOL 28hrs </t>
  </si>
  <si>
    <t xml:space="preserve">SIGNAGES - GOLAN PRIMARY SCHOOL          </t>
  </si>
  <si>
    <t>ACTIVITIES / PROJECTS COMPLETED  (WITH DOCUMENTS) - 2022</t>
  </si>
  <si>
    <t>Summary of work done under CSR and Community development - 2022</t>
  </si>
  <si>
    <t>Summary of work done under CSR and Community development - 2023</t>
  </si>
  <si>
    <t>ACTIVITIES / PROJECTS COMPLETED  (WITH DOCUMENTS) - 2023</t>
  </si>
  <si>
    <t>ROAD REPAIR AT KIMBIJI WARD FOR PREPARATION OF UHURU TORCH</t>
  </si>
  <si>
    <t>DONATION OF RUBBLE  MATERIAL FOR THE FOUNDATION OF CHURCH BULIDING -  20 TRIPS</t>
  </si>
  <si>
    <t>CONSTRUCTION OF TWO (2) CLASSROOMS AT NGOBANYA PRIMARY SCHOOL</t>
  </si>
  <si>
    <t>DONATION OF  SPORT EQUIPMENTS FOR BIGSTONE BASKETBALL TEAM</t>
  </si>
  <si>
    <t>NGOBANYA PRIMARY SCHOOL ROAD REPAIR -22 TRIPS</t>
  </si>
  <si>
    <t>MWASONGA ROAD REPAIR - 83 TRIPS</t>
  </si>
  <si>
    <t>Jan-March 23</t>
  </si>
  <si>
    <t>April-June 23</t>
  </si>
  <si>
    <t>July-August 23</t>
  </si>
  <si>
    <t>Total</t>
  </si>
  <si>
    <t>VETA APPRENTICES SPONSORED BY LAKE CMENT LTD (10 APPRENTICEES)</t>
  </si>
  <si>
    <t>March 2023</t>
  </si>
  <si>
    <t>Sept-Dec 23</t>
  </si>
  <si>
    <t>Planned</t>
  </si>
  <si>
    <t>KIGAMBONI MUNICIPAL TOP SOIL FOR PLANTATION (for loading only) - 16 TRIPS</t>
  </si>
  <si>
    <t>DONATION OF  200 KG PREMIUM QUALITY RICE TO KIGAMBONI MUNICIPAL FOR WOMENS'  DAY CELEBRATION</t>
  </si>
  <si>
    <t>HIRING OF MOTOR GRADER FOR NGOBANYA SCHOOL &amp; MWASONGA ROAD REPAIR</t>
  </si>
  <si>
    <t>DONATION OF 308 BAGS TO THE DC KIGAMBONI FOR THE CONSTRUCTION OF TOILET BLOCKS IN MWONGOZO PRIMARY SCHOOL</t>
  </si>
  <si>
    <t>VETA APPRENTICES SPONSORED BY LAKE CMENT LTD (8 APPRENTICEES)</t>
  </si>
  <si>
    <t>EXCAVATOR FOR CLEANING AREA AT KIJAKA</t>
  </si>
  <si>
    <t>DONATION OF  166 KG PREMIUM QUALITY RICE TO TANZANIA LOCAL GOVERNMENT WORKERS UNION TEMEKE REGION  FOR WOMENS'  DAY CELEBRATION</t>
  </si>
  <si>
    <t>Jan-March 24</t>
  </si>
  <si>
    <t>April - Dec24</t>
  </si>
  <si>
    <t>VETA APPRENTICES SPONSORED BY LAKE CEMENT LTD (8 APPRENTICEES)</t>
  </si>
  <si>
    <t xml:space="preserve">                                                                              Summary of work done under CSR and Community development - 2024</t>
  </si>
  <si>
    <t xml:space="preserve">DONATED 20 UMBRELLAS TO KIMBIJI WARD </t>
  </si>
  <si>
    <t>REPAIRS TO TARURA &amp; TANROADS ROUGH ROADS IN THE KIMBIJI-MWASONGA ZONE</t>
  </si>
  <si>
    <t>Ongoing</t>
  </si>
  <si>
    <t>DONATED 10 BARRELS/ DRUMS TO GOLANI VILLAGE COUNCIL</t>
  </si>
  <si>
    <t xml:space="preserve">DONATED 10 BARRELS/DRUM TO KIMBIJI PRISION FORCE </t>
  </si>
  <si>
    <t>LAKE CEMENT LIMITED</t>
  </si>
  <si>
    <t>DONATED CONSTRUCTION DEBRIS/ WASTE FOR CONSTRUCTION FOR ROAD RECONSTRUCTION AROUND KIMBIJI PRISON AREA</t>
  </si>
  <si>
    <t xml:space="preserve">DONATED CONSTRUCTION DEBRIS/ WASTE FOR CONSTRUCTION OF TWO CLASSES IN GOLANI AND GOBANYA </t>
  </si>
  <si>
    <t>DONATED 6 TRIPS OF WASTE MATERIAL TO KIMBIJI PRESBITARIAN CHURCH</t>
  </si>
  <si>
    <t xml:space="preserve">VETA APPRENTICE APRIL TO DECEMBER 2024 </t>
  </si>
  <si>
    <t xml:space="preserve">                                                                              Summary of work done under CSR and Community development - 2025</t>
  </si>
  <si>
    <t>DONATED 5 TRIPS OF SAND &amp; RUBBLES TO MILITARY UNIVERSITY AT KIMBIJI.</t>
  </si>
  <si>
    <t xml:space="preserve">Completed </t>
  </si>
  <si>
    <t xml:space="preserve">DONATED 5 TRIPS OF SAND &amp; RUBBLES TO GOLANI VILLAGE COUNCIL </t>
  </si>
  <si>
    <t>VETA APPRENTICES SPONSORED BY LAKE CEMENT LTD (4 APPRENTICEES)</t>
  </si>
  <si>
    <t xml:space="preserve">REPAIRING OF  KIJAKA - MWASONGA ROAD  </t>
  </si>
  <si>
    <t xml:space="preserve">DONATED 10 TRIPS OF SAND &amp; RUBBLES TO MILLITARY UNIVERSITY AT KIMBIJI </t>
  </si>
  <si>
    <t xml:space="preserve">REPAIRING OF KIJAKA - MWASONGA ROAD </t>
  </si>
  <si>
    <t xml:space="preserve">DONATED 119 TRIPS OF SANDS TO GOLANI VILLAGE IN KIGAMBONI FOR REPAIRING OF ROADS </t>
  </si>
  <si>
    <t xml:space="preserve">GENERAL ELECTION CONTRIBUTION - CCM PARTY AT KIMBIJI </t>
  </si>
  <si>
    <t xml:space="preserve">BLOOD DONATION CAMPAIGN </t>
  </si>
  <si>
    <t xml:space="preserve">CHARITY DONATION TO PATEL SAMAJ FOR CHARITY RELIGIOUS EVENT </t>
  </si>
  <si>
    <t xml:space="preserve">TOILET PIT DIGGING FOR NGOBANYA PRIMARY SCHOOL </t>
  </si>
  <si>
    <t xml:space="preserve">ASSISTANCE OF SAND &amp; RUBBLES TO MILITARY UNIVERSITY AT KIMBIJI (14 TRIPS) </t>
  </si>
  <si>
    <t xml:space="preserve">CONSTRUCTION OF THE ROAD FROM PLANT (GOLANI) TO CHEKA ( KIMBIJI ROAD) ( 87 TRIPS) </t>
  </si>
  <si>
    <t xml:space="preserve">                                                                              Summary of work done under CSR and Community development - 2026</t>
  </si>
  <si>
    <t>ACTIVITIES / PROJECTS COMPLETED  (WITH DOCUMENTS) - 2026</t>
  </si>
  <si>
    <t>ACTIVITIES / PROJECTS COMPLETED  (WITH DOCUMENTS) - 2025</t>
  </si>
  <si>
    <t>ACTIVITIES / PROJECTS COMPLETED  (WITH DOCUMENTS)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</si>
</sst>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409]d\-mmm\-yy;@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9" fillId="0" borderId="0" applyFont="0" applyFill="0" applyBorder="0" applyAlignment="0" applyProtection="0"/>
  </cellStyleXfs>
  <cellXfs count="14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3" fillId="0" borderId="0" xfId="0" applyFont="1"/>
    <xf numFmtId="0" fontId="0" fillId="0" borderId="1" xfId="0" applyFill="1" applyBorder="1"/>
    <xf numFmtId="3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4" fontId="0" fillId="0" borderId="1" xfId="0" applyNumberForma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/>
    <xf numFmtId="0" fontId="2" fillId="0" borderId="1" xfId="0" applyFont="1" applyFill="1" applyBorder="1"/>
    <xf numFmtId="14" fontId="2" fillId="0" borderId="1" xfId="0" applyNumberFormat="1" applyFont="1" applyFill="1" applyBorder="1" applyAlignment="1">
      <alignment horizontal="center"/>
    </xf>
    <xf numFmtId="3" fontId="2" fillId="0" borderId="1" xfId="0" applyNumberFormat="1" applyFont="1" applyFill="1" applyBorder="1" applyAlignment="1">
      <alignment horizontal="center"/>
    </xf>
    <xf numFmtId="0" fontId="0" fillId="0" borderId="2" xfId="0" applyFill="1" applyBorder="1"/>
    <xf numFmtId="3" fontId="0" fillId="0" borderId="2" xfId="0" applyNumberFormat="1" applyFill="1" applyBorder="1" applyAlignment="1">
      <alignment horizontal="center"/>
    </xf>
    <xf numFmtId="0" fontId="6" fillId="0" borderId="0" xfId="0" applyFont="1"/>
    <xf numFmtId="17" fontId="6" fillId="0" borderId="0" xfId="0" applyNumberFormat="1" applyFont="1"/>
    <xf numFmtId="17" fontId="0" fillId="0" borderId="1" xfId="0" applyNumberFormat="1" applyFill="1" applyBorder="1" applyAlignment="1">
      <alignment horizontal="center"/>
    </xf>
    <xf numFmtId="15" fontId="0" fillId="0" borderId="1" xfId="0" applyNumberFormat="1" applyFill="1" applyBorder="1" applyAlignment="1">
      <alignment horizontal="center"/>
    </xf>
    <xf numFmtId="0" fontId="7" fillId="0" borderId="0" xfId="0" applyFont="1"/>
    <xf numFmtId="0" fontId="5" fillId="0" borderId="1" xfId="0" applyFont="1" applyBorder="1"/>
    <xf numFmtId="0" fontId="5" fillId="0" borderId="3" xfId="0" applyFont="1" applyBorder="1"/>
    <xf numFmtId="0" fontId="1" fillId="0" borderId="1" xfId="0" applyFont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17" fontId="4" fillId="0" borderId="3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vertical="center"/>
    </xf>
    <xf numFmtId="14" fontId="4" fillId="0" borderId="3" xfId="0" applyNumberFormat="1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3" fontId="0" fillId="0" borderId="1" xfId="0" applyNumberFormat="1" applyFont="1" applyBorder="1" applyAlignment="1">
      <alignment horizontal="right"/>
    </xf>
    <xf numFmtId="15" fontId="4" fillId="0" borderId="3" xfId="0" applyNumberFormat="1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right"/>
    </xf>
    <xf numFmtId="0" fontId="4" fillId="0" borderId="1" xfId="0" applyFont="1" applyFill="1" applyBorder="1" applyAlignment="1">
      <alignment horizontal="right"/>
    </xf>
    <xf numFmtId="3" fontId="0" fillId="0" borderId="1" xfId="0" applyNumberFormat="1" applyFill="1" applyBorder="1" applyAlignment="1">
      <alignment horizontal="right"/>
    </xf>
    <xf numFmtId="4" fontId="0" fillId="0" borderId="1" xfId="0" applyNumberFormat="1" applyFill="1" applyBorder="1" applyAlignment="1">
      <alignment horizontal="right"/>
    </xf>
    <xf numFmtId="0" fontId="8" fillId="0" borderId="4" xfId="0" applyFont="1" applyBorder="1" applyAlignment="1">
      <alignment vertical="center"/>
    </xf>
    <xf numFmtId="3" fontId="8" fillId="0" borderId="5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0" fillId="0" borderId="1" xfId="0" applyFont="1" applyFill="1" applyBorder="1"/>
    <xf numFmtId="0" fontId="0" fillId="0" borderId="2" xfId="0" applyBorder="1" applyAlignment="1">
      <alignment vertical="center"/>
    </xf>
    <xf numFmtId="14" fontId="0" fillId="0" borderId="6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1" xfId="0" applyFont="1" applyFill="1" applyBorder="1" applyAlignment="1">
      <alignment horizontal="right"/>
    </xf>
    <xf numFmtId="14" fontId="0" fillId="0" borderId="3" xfId="0" applyNumberFormat="1" applyBorder="1" applyAlignment="1">
      <alignment horizontal="center" vertical="center"/>
    </xf>
    <xf numFmtId="0" fontId="0" fillId="0" borderId="1" xfId="0" applyFont="1" applyBorder="1"/>
    <xf numFmtId="0" fontId="0" fillId="0" borderId="1" xfId="0" applyFont="1" applyBorder="1" applyAlignment="1">
      <alignment horizontal="right"/>
    </xf>
    <xf numFmtId="14" fontId="0" fillId="0" borderId="1" xfId="0" applyNumberForma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7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3" fontId="0" fillId="0" borderId="1" xfId="0" applyNumberFormat="1" applyFont="1" applyFill="1" applyBorder="1" applyAlignment="1">
      <alignment horizontal="center" vertical="center"/>
    </xf>
    <xf numFmtId="3" fontId="0" fillId="0" borderId="1" xfId="1" applyNumberFormat="1" applyFont="1" applyBorder="1" applyAlignment="1">
      <alignment horizontal="center" vertical="top"/>
    </xf>
    <xf numFmtId="0" fontId="10" fillId="0" borderId="0" xfId="0" applyFont="1" applyAlignment="1">
      <alignment vertical="center"/>
    </xf>
    <xf numFmtId="0" fontId="11" fillId="4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17" fontId="10" fillId="0" borderId="1" xfId="0" applyNumberFormat="1" applyFont="1" applyFill="1" applyBorder="1" applyAlignment="1">
      <alignment horizontal="left" vertical="center"/>
    </xf>
    <xf numFmtId="3" fontId="10" fillId="0" borderId="1" xfId="0" applyNumberFormat="1" applyFont="1" applyFill="1" applyBorder="1" applyAlignment="1">
      <alignment horizontal="right" vertical="center"/>
    </xf>
    <xf numFmtId="3" fontId="10" fillId="0" borderId="0" xfId="0" applyNumberFormat="1" applyFont="1" applyAlignment="1">
      <alignment horizontal="right" vertical="center"/>
    </xf>
    <xf numFmtId="0" fontId="10" fillId="0" borderId="1" xfId="0" applyFont="1" applyBorder="1" applyAlignment="1">
      <alignment vertical="center"/>
    </xf>
    <xf numFmtId="3" fontId="10" fillId="0" borderId="1" xfId="0" applyNumberFormat="1" applyFont="1" applyBorder="1" applyAlignment="1">
      <alignment horizontal="right" vertical="center"/>
    </xf>
    <xf numFmtId="3" fontId="10" fillId="0" borderId="1" xfId="1" applyNumberFormat="1" applyFont="1" applyBorder="1" applyAlignment="1">
      <alignment horizontal="right" vertical="center"/>
    </xf>
    <xf numFmtId="0" fontId="10" fillId="0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17" fontId="10" fillId="0" borderId="1" xfId="0" applyNumberFormat="1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0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vertical="center"/>
    </xf>
    <xf numFmtId="17" fontId="10" fillId="0" borderId="1" xfId="0" quotePrefix="1" applyNumberFormat="1" applyFont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0" fontId="0" fillId="0" borderId="0" xfId="0" applyFont="1"/>
    <xf numFmtId="0" fontId="0" fillId="0" borderId="1" xfId="0" applyFont="1" applyBorder="1" applyAlignment="1">
      <alignment horizontal="right" vertical="center"/>
    </xf>
    <xf numFmtId="0" fontId="0" fillId="0" borderId="0" xfId="0" applyFont="1" applyFill="1"/>
    <xf numFmtId="0" fontId="0" fillId="3" borderId="1" xfId="0" applyFont="1" applyFill="1" applyBorder="1" applyAlignment="1">
      <alignment horizontal="left" vertical="center"/>
    </xf>
    <xf numFmtId="17" fontId="0" fillId="0" borderId="1" xfId="0" applyNumberFormat="1" applyFont="1" applyBorder="1" applyAlignment="1">
      <alignment horizontal="center"/>
    </xf>
    <xf numFmtId="3" fontId="0" fillId="0" borderId="1" xfId="0" applyNumberFormat="1" applyFont="1" applyBorder="1" applyAlignment="1">
      <alignment horizontal="center" vertical="center"/>
    </xf>
    <xf numFmtId="0" fontId="0" fillId="3" borderId="1" xfId="0" applyFont="1" applyFill="1" applyBorder="1" applyAlignment="1">
      <alignment vertical="center"/>
    </xf>
    <xf numFmtId="17" fontId="0" fillId="0" borderId="1" xfId="0" quotePrefix="1" applyNumberFormat="1" applyFont="1" applyBorder="1" applyAlignment="1">
      <alignment horizontal="center" vertical="center"/>
    </xf>
    <xf numFmtId="3" fontId="0" fillId="0" borderId="0" xfId="0" applyNumberFormat="1" applyFont="1" applyAlignment="1">
      <alignment horizontal="center"/>
    </xf>
    <xf numFmtId="0" fontId="0" fillId="0" borderId="1" xfId="0" applyFont="1" applyBorder="1" applyAlignment="1">
      <alignment vertical="center"/>
    </xf>
    <xf numFmtId="3" fontId="0" fillId="0" borderId="1" xfId="0" applyNumberFormat="1" applyFont="1" applyBorder="1" applyAlignment="1">
      <alignment horizontal="center"/>
    </xf>
    <xf numFmtId="14" fontId="0" fillId="0" borderId="0" xfId="0" quotePrefix="1" applyNumberFormat="1" applyFont="1" applyAlignment="1">
      <alignment horizontal="center"/>
    </xf>
    <xf numFmtId="15" fontId="0" fillId="0" borderId="1" xfId="0" applyNumberFormat="1" applyFont="1" applyBorder="1"/>
    <xf numFmtId="165" fontId="0" fillId="0" borderId="1" xfId="0" applyNumberFormat="1" applyFont="1" applyBorder="1"/>
    <xf numFmtId="0" fontId="0" fillId="0" borderId="1" xfId="0" applyFont="1" applyBorder="1" applyAlignment="1">
      <alignment horizontal="center" vertical="center"/>
    </xf>
    <xf numFmtId="17" fontId="0" fillId="0" borderId="1" xfId="0" applyNumberFormat="1" applyFont="1" applyFill="1" applyBorder="1" applyAlignment="1">
      <alignment vertical="center"/>
    </xf>
    <xf numFmtId="3" fontId="0" fillId="0" borderId="1" xfId="0" applyNumberFormat="1" applyFont="1" applyBorder="1" applyAlignment="1">
      <alignment vertical="center"/>
    </xf>
    <xf numFmtId="3" fontId="0" fillId="0" borderId="1" xfId="0" applyNumberFormat="1" applyFont="1" applyBorder="1" applyAlignment="1">
      <alignment horizontal="right" vertical="center"/>
    </xf>
    <xf numFmtId="0" fontId="8" fillId="0" borderId="1" xfId="0" quotePrefix="1" applyFont="1" applyFill="1" applyBorder="1" applyAlignment="1">
      <alignment horizontal="right" vertical="center"/>
    </xf>
    <xf numFmtId="3" fontId="8" fillId="0" borderId="1" xfId="0" applyNumberFormat="1" applyFont="1" applyBorder="1" applyAlignment="1">
      <alignment horizontal="right" vertical="center"/>
    </xf>
    <xf numFmtId="17" fontId="0" fillId="0" borderId="1" xfId="0" quotePrefix="1" applyNumberFormat="1" applyFont="1" applyFill="1" applyBorder="1" applyAlignment="1">
      <alignment horizontal="right" vertical="center"/>
    </xf>
    <xf numFmtId="3" fontId="0" fillId="0" borderId="1" xfId="0" applyNumberFormat="1" applyFont="1" applyBorder="1"/>
    <xf numFmtId="17" fontId="0" fillId="0" borderId="1" xfId="0" applyNumberFormat="1" applyFont="1" applyFill="1" applyBorder="1"/>
    <xf numFmtId="0" fontId="0" fillId="0" borderId="1" xfId="0" applyFont="1" applyFill="1" applyBorder="1" applyAlignment="1">
      <alignment horizontal="center" vertical="center"/>
    </xf>
    <xf numFmtId="3" fontId="0" fillId="0" borderId="1" xfId="0" applyNumberFormat="1" applyFont="1" applyFill="1" applyBorder="1"/>
    <xf numFmtId="0" fontId="0" fillId="3" borderId="1" xfId="0" applyFont="1" applyFill="1" applyBorder="1"/>
    <xf numFmtId="0" fontId="1" fillId="0" borderId="1" xfId="0" applyFont="1" applyFill="1" applyBorder="1"/>
    <xf numFmtId="3" fontId="1" fillId="0" borderId="1" xfId="0" applyNumberFormat="1" applyFont="1" applyBorder="1" applyAlignment="1">
      <alignment horizontal="right" vertical="center"/>
    </xf>
    <xf numFmtId="14" fontId="0" fillId="0" borderId="1" xfId="0" quotePrefix="1" applyNumberFormat="1" applyFont="1" applyBorder="1" applyAlignment="1">
      <alignment horizontal="center" vertical="center"/>
    </xf>
    <xf numFmtId="4" fontId="0" fillId="0" borderId="1" xfId="0" applyNumberFormat="1" applyFont="1" applyBorder="1" applyAlignment="1">
      <alignment horizontal="right" vertical="center"/>
    </xf>
    <xf numFmtId="0" fontId="0" fillId="0" borderId="1" xfId="0" applyFont="1" applyBorder="1" applyAlignment="1">
      <alignment vertical="center" wrapText="1"/>
    </xf>
    <xf numFmtId="4" fontId="0" fillId="0" borderId="1" xfId="0" applyNumberFormat="1" applyFont="1" applyBorder="1" applyAlignment="1">
      <alignment vertical="center"/>
    </xf>
    <xf numFmtId="0" fontId="8" fillId="0" borderId="1" xfId="0" quotePrefix="1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4" fontId="1" fillId="0" borderId="1" xfId="0" quotePrefix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3" fontId="1" fillId="0" borderId="1" xfId="0" applyNumberFormat="1" applyFont="1" applyBorder="1" applyAlignment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17" fontId="10" fillId="0" borderId="1" xfId="0" applyNumberFormat="1" applyFont="1" applyFill="1" applyBorder="1" applyAlignment="1">
      <alignment horizontal="center" vertical="center"/>
    </xf>
    <xf numFmtId="17" fontId="10" fillId="0" borderId="1" xfId="0" quotePrefix="1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2" fillId="0" borderId="0" xfId="0" applyFont="1" applyBorder="1" applyAlignment="1">
      <alignment horizontal="left" vertical="center"/>
    </xf>
    <xf numFmtId="14" fontId="11" fillId="0" borderId="1" xfId="0" applyNumberFormat="1" applyFont="1" applyBorder="1" applyAlignment="1">
      <alignment horizontal="center" vertical="center"/>
    </xf>
    <xf numFmtId="4" fontId="11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00"/>
      <color rgb="FF00CC99"/>
      <color rgb="FFFF7C80"/>
      <color rgb="FF0000FF"/>
      <color rgb="FF0066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selection activeCell="B14" sqref="B14"/>
    </sheetView>
  </sheetViews>
  <sheetFormatPr defaultRowHeight="15" x14ac:dyDescent="0.25"/>
  <cols>
    <col min="1" max="1" width="6.7109375" customWidth="1"/>
    <col min="2" max="2" width="73.85546875" customWidth="1"/>
    <col min="3" max="3" width="10.140625" customWidth="1"/>
    <col min="4" max="4" width="18.140625" customWidth="1"/>
    <col min="5" max="5" width="19.5703125" customWidth="1"/>
  </cols>
  <sheetData>
    <row r="1" spans="1:5" s="13" customFormat="1" ht="21" x14ac:dyDescent="0.35">
      <c r="B1" s="6" t="s">
        <v>93</v>
      </c>
      <c r="C1" s="6"/>
      <c r="D1" s="6"/>
    </row>
    <row r="2" spans="1:5" x14ac:dyDescent="0.25">
      <c r="A2" s="9">
        <v>1</v>
      </c>
      <c r="B2" s="7" t="s">
        <v>105</v>
      </c>
      <c r="C2" s="10">
        <v>40725</v>
      </c>
      <c r="D2" s="8">
        <v>1500000</v>
      </c>
      <c r="E2" s="4" t="s">
        <v>8</v>
      </c>
    </row>
    <row r="3" spans="1:5" s="3" customFormat="1" ht="18.75" x14ac:dyDescent="0.3">
      <c r="A3" s="5"/>
      <c r="B3" s="14" t="s">
        <v>4</v>
      </c>
      <c r="C3" s="15"/>
      <c r="D3" s="16">
        <v>1500000</v>
      </c>
      <c r="E3" s="5"/>
    </row>
  </sheetData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1" sqref="B1"/>
    </sheetView>
  </sheetViews>
  <sheetFormatPr defaultRowHeight="15" x14ac:dyDescent="0.25"/>
  <cols>
    <col min="2" max="2" width="57.140625" bestFit="1" customWidth="1"/>
    <col min="4" max="4" width="14" customWidth="1"/>
    <col min="5" max="5" width="15.7109375" customWidth="1"/>
  </cols>
  <sheetData>
    <row r="1" spans="1:5" ht="21" x14ac:dyDescent="0.35">
      <c r="B1" s="6" t="s">
        <v>94</v>
      </c>
    </row>
    <row r="2" spans="1:5" x14ac:dyDescent="0.25">
      <c r="A2" s="9">
        <v>1</v>
      </c>
      <c r="B2" s="7" t="s">
        <v>9</v>
      </c>
      <c r="C2" s="10">
        <v>41200</v>
      </c>
      <c r="D2" s="8">
        <v>23681107</v>
      </c>
      <c r="E2" s="4" t="s">
        <v>8</v>
      </c>
    </row>
    <row r="3" spans="1:5" ht="18.75" x14ac:dyDescent="0.3">
      <c r="A3" s="5"/>
      <c r="B3" s="14" t="s">
        <v>4</v>
      </c>
      <c r="C3" s="15"/>
      <c r="D3" s="16">
        <v>23681107</v>
      </c>
      <c r="E3" s="5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B12" sqref="B12"/>
    </sheetView>
  </sheetViews>
  <sheetFormatPr defaultRowHeight="15" x14ac:dyDescent="0.25"/>
  <cols>
    <col min="2" max="2" width="57.140625" bestFit="1" customWidth="1"/>
    <col min="4" max="4" width="14.28515625" bestFit="1" customWidth="1"/>
    <col min="5" max="5" width="15.42578125" customWidth="1"/>
  </cols>
  <sheetData>
    <row r="1" spans="1:5" ht="21" x14ac:dyDescent="0.35">
      <c r="B1" s="6" t="s">
        <v>95</v>
      </c>
    </row>
    <row r="2" spans="1:5" x14ac:dyDescent="0.25">
      <c r="A2" s="9">
        <v>3</v>
      </c>
      <c r="B2" s="17" t="s">
        <v>103</v>
      </c>
      <c r="C2" s="10">
        <v>41456</v>
      </c>
      <c r="D2" s="18">
        <v>100000</v>
      </c>
      <c r="E2" s="4" t="s">
        <v>8</v>
      </c>
    </row>
    <row r="3" spans="1:5" x14ac:dyDescent="0.25">
      <c r="A3" s="9">
        <v>4</v>
      </c>
      <c r="B3" s="7" t="s">
        <v>9</v>
      </c>
      <c r="C3" s="10">
        <v>41475</v>
      </c>
      <c r="D3" s="8">
        <v>23681107</v>
      </c>
      <c r="E3" s="4" t="s">
        <v>8</v>
      </c>
    </row>
    <row r="4" spans="1:5" ht="18.75" x14ac:dyDescent="0.3">
      <c r="A4" s="5"/>
      <c r="B4" s="14" t="s">
        <v>4</v>
      </c>
      <c r="C4" s="15"/>
      <c r="D4" s="16">
        <v>23781107</v>
      </c>
      <c r="E4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selection activeCell="D14" sqref="D14"/>
    </sheetView>
  </sheetViews>
  <sheetFormatPr defaultRowHeight="15" x14ac:dyDescent="0.25"/>
  <cols>
    <col min="2" max="2" width="39.7109375" customWidth="1"/>
    <col min="3" max="3" width="15.85546875" customWidth="1"/>
    <col min="4" max="4" width="23.42578125" customWidth="1"/>
    <col min="5" max="5" width="23" customWidth="1"/>
  </cols>
  <sheetData>
    <row r="1" spans="1:5" ht="21" x14ac:dyDescent="0.35">
      <c r="B1" s="6" t="s">
        <v>96</v>
      </c>
    </row>
    <row r="2" spans="1:5" x14ac:dyDescent="0.25">
      <c r="A2" s="9">
        <v>5</v>
      </c>
      <c r="B2" s="7" t="s">
        <v>112</v>
      </c>
      <c r="C2" s="10">
        <v>41821</v>
      </c>
      <c r="D2" s="8">
        <v>1500000</v>
      </c>
      <c r="E2" s="4" t="s">
        <v>8</v>
      </c>
    </row>
    <row r="3" spans="1:5" x14ac:dyDescent="0.25">
      <c r="A3" s="9">
        <v>6</v>
      </c>
      <c r="B3" s="7" t="s">
        <v>10</v>
      </c>
      <c r="C3" s="9">
        <v>2014</v>
      </c>
      <c r="D3" s="8">
        <v>3000000</v>
      </c>
      <c r="E3" s="4" t="s">
        <v>8</v>
      </c>
    </row>
    <row r="4" spans="1:5" ht="18.75" x14ac:dyDescent="0.3">
      <c r="A4" s="5"/>
      <c r="B4" s="14" t="s">
        <v>4</v>
      </c>
      <c r="C4" s="15"/>
      <c r="D4" s="16">
        <v>4500000</v>
      </c>
      <c r="E4" s="5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>
      <selection activeCell="D16" sqref="D16"/>
    </sheetView>
  </sheetViews>
  <sheetFormatPr defaultRowHeight="15" x14ac:dyDescent="0.25"/>
  <cols>
    <col min="2" max="2" width="99" bestFit="1" customWidth="1"/>
    <col min="3" max="3" width="14" customWidth="1"/>
    <col min="4" max="4" width="15.85546875" customWidth="1"/>
    <col min="5" max="5" width="11.5703125" bestFit="1" customWidth="1"/>
  </cols>
  <sheetData>
    <row r="1" spans="1:5" ht="21" x14ac:dyDescent="0.35">
      <c r="A1" s="13"/>
      <c r="B1" s="6" t="s">
        <v>97</v>
      </c>
      <c r="C1" s="6"/>
      <c r="D1" s="6"/>
      <c r="E1" s="13"/>
    </row>
    <row r="2" spans="1:5" x14ac:dyDescent="0.25">
      <c r="A2" s="1" t="s">
        <v>0</v>
      </c>
      <c r="B2" s="2" t="s">
        <v>1</v>
      </c>
      <c r="C2" s="1" t="s">
        <v>2</v>
      </c>
      <c r="D2" s="1" t="s">
        <v>3</v>
      </c>
      <c r="E2" s="12" t="s">
        <v>7</v>
      </c>
    </row>
    <row r="3" spans="1:5" x14ac:dyDescent="0.25">
      <c r="A3" s="4">
        <v>1</v>
      </c>
      <c r="B3" s="7" t="s">
        <v>104</v>
      </c>
      <c r="C3" s="10">
        <v>42066</v>
      </c>
      <c r="D3" s="11">
        <v>5281152.26</v>
      </c>
      <c r="E3" s="4" t="s">
        <v>8</v>
      </c>
    </row>
    <row r="4" spans="1:5" x14ac:dyDescent="0.25">
      <c r="A4" s="4">
        <v>2</v>
      </c>
      <c r="B4" s="7" t="s">
        <v>106</v>
      </c>
      <c r="C4" s="10">
        <v>42095</v>
      </c>
      <c r="D4" s="9" t="s">
        <v>5</v>
      </c>
      <c r="E4" s="4" t="s">
        <v>8</v>
      </c>
    </row>
    <row r="5" spans="1:5" x14ac:dyDescent="0.25">
      <c r="A5" s="4">
        <v>3</v>
      </c>
      <c r="B5" s="7" t="s">
        <v>6</v>
      </c>
      <c r="C5" s="10">
        <v>42125</v>
      </c>
      <c r="D5" s="9"/>
      <c r="E5" s="4" t="s">
        <v>8</v>
      </c>
    </row>
    <row r="6" spans="1:5" x14ac:dyDescent="0.25">
      <c r="A6" s="4">
        <v>4</v>
      </c>
      <c r="B6" s="7" t="s">
        <v>113</v>
      </c>
      <c r="C6" s="10">
        <v>42136</v>
      </c>
      <c r="D6" s="9"/>
      <c r="E6" s="4" t="s">
        <v>8</v>
      </c>
    </row>
    <row r="7" spans="1:5" x14ac:dyDescent="0.25">
      <c r="A7" s="4">
        <v>5</v>
      </c>
      <c r="B7" s="7" t="s">
        <v>114</v>
      </c>
      <c r="C7" s="10">
        <v>42139</v>
      </c>
      <c r="D7" s="8">
        <v>4000000</v>
      </c>
      <c r="E7" s="4" t="s">
        <v>8</v>
      </c>
    </row>
    <row r="8" spans="1:5" x14ac:dyDescent="0.25">
      <c r="A8" s="4">
        <v>6</v>
      </c>
      <c r="B8" s="7" t="s">
        <v>137</v>
      </c>
      <c r="C8" s="9" t="s">
        <v>140</v>
      </c>
      <c r="D8" s="8">
        <v>1680000</v>
      </c>
      <c r="E8" s="4" t="s">
        <v>8</v>
      </c>
    </row>
    <row r="9" spans="1:5" x14ac:dyDescent="0.25">
      <c r="A9" s="4">
        <v>7</v>
      </c>
      <c r="B9" s="7" t="s">
        <v>107</v>
      </c>
      <c r="C9" s="10">
        <v>42236</v>
      </c>
      <c r="D9" s="9"/>
      <c r="E9" s="4" t="s">
        <v>8</v>
      </c>
    </row>
    <row r="10" spans="1:5" ht="18.75" x14ac:dyDescent="0.3">
      <c r="A10" s="5"/>
      <c r="B10" s="14" t="s">
        <v>4</v>
      </c>
      <c r="C10" s="15"/>
      <c r="D10" s="16">
        <v>10961152.26</v>
      </c>
      <c r="E10" s="5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workbookViewId="0">
      <selection activeCell="B16" sqref="B16"/>
    </sheetView>
  </sheetViews>
  <sheetFormatPr defaultRowHeight="15" x14ac:dyDescent="0.25"/>
  <cols>
    <col min="2" max="2" width="97.5703125" bestFit="1" customWidth="1"/>
    <col min="3" max="3" width="12.7109375" customWidth="1"/>
    <col min="4" max="4" width="14.28515625" bestFit="1" customWidth="1"/>
    <col min="5" max="5" width="11.5703125" bestFit="1" customWidth="1"/>
  </cols>
  <sheetData>
    <row r="1" spans="1:5" ht="21" x14ac:dyDescent="0.35">
      <c r="A1" s="6"/>
      <c r="B1" s="6" t="s">
        <v>98</v>
      </c>
      <c r="C1" s="6"/>
      <c r="D1" s="6"/>
      <c r="E1" s="6"/>
    </row>
    <row r="2" spans="1:5" x14ac:dyDescent="0.25">
      <c r="A2" s="1" t="s">
        <v>0</v>
      </c>
      <c r="B2" s="2" t="s">
        <v>1</v>
      </c>
      <c r="C2" s="1" t="s">
        <v>2</v>
      </c>
      <c r="D2" s="1" t="s">
        <v>3</v>
      </c>
      <c r="E2" s="12" t="s">
        <v>7</v>
      </c>
    </row>
    <row r="3" spans="1:5" x14ac:dyDescent="0.25">
      <c r="A3" s="4">
        <v>1</v>
      </c>
      <c r="B3" s="7" t="s">
        <v>116</v>
      </c>
      <c r="C3" s="10">
        <v>42389</v>
      </c>
      <c r="D3" s="8">
        <v>1177000</v>
      </c>
      <c r="E3" s="4" t="s">
        <v>8</v>
      </c>
    </row>
    <row r="4" spans="1:5" x14ac:dyDescent="0.25">
      <c r="A4" s="4">
        <v>2</v>
      </c>
      <c r="B4" s="7" t="s">
        <v>11</v>
      </c>
      <c r="C4" s="10">
        <v>42391</v>
      </c>
      <c r="D4" s="8">
        <v>550000</v>
      </c>
      <c r="E4" s="4" t="s">
        <v>8</v>
      </c>
    </row>
    <row r="5" spans="1:5" x14ac:dyDescent="0.25">
      <c r="A5" s="4">
        <v>3</v>
      </c>
      <c r="B5" s="7" t="s">
        <v>117</v>
      </c>
      <c r="C5" s="10">
        <v>42552</v>
      </c>
      <c r="D5" s="8">
        <v>3000000</v>
      </c>
      <c r="E5" s="4" t="s">
        <v>8</v>
      </c>
    </row>
    <row r="6" spans="1:5" x14ac:dyDescent="0.25">
      <c r="A6" s="4">
        <v>4</v>
      </c>
      <c r="B6" s="7" t="s">
        <v>108</v>
      </c>
      <c r="C6" s="10">
        <v>42644</v>
      </c>
      <c r="D6" s="8">
        <v>3800000</v>
      </c>
      <c r="E6" s="4" t="s">
        <v>8</v>
      </c>
    </row>
    <row r="7" spans="1:5" x14ac:dyDescent="0.25">
      <c r="A7" s="4">
        <v>5</v>
      </c>
      <c r="B7" s="7" t="s">
        <v>115</v>
      </c>
      <c r="C7" s="10">
        <v>42648</v>
      </c>
      <c r="D7" s="8">
        <v>3000000</v>
      </c>
      <c r="E7" s="4" t="s">
        <v>8</v>
      </c>
    </row>
    <row r="8" spans="1:5" x14ac:dyDescent="0.25">
      <c r="A8" s="4">
        <v>6</v>
      </c>
      <c r="B8" s="7" t="s">
        <v>118</v>
      </c>
      <c r="C8" s="10">
        <v>42674</v>
      </c>
      <c r="D8" s="8">
        <v>3800000</v>
      </c>
      <c r="E8" s="4" t="s">
        <v>8</v>
      </c>
    </row>
    <row r="9" spans="1:5" x14ac:dyDescent="0.25">
      <c r="A9" s="4">
        <v>7</v>
      </c>
      <c r="B9" s="7" t="s">
        <v>12</v>
      </c>
      <c r="C9" s="10">
        <v>42699</v>
      </c>
      <c r="D9" s="8">
        <v>2700000</v>
      </c>
      <c r="E9" s="4" t="s">
        <v>8</v>
      </c>
    </row>
    <row r="10" spans="1:5" x14ac:dyDescent="0.25">
      <c r="A10" s="4">
        <v>8</v>
      </c>
      <c r="B10" s="7" t="s">
        <v>109</v>
      </c>
      <c r="C10" s="10">
        <v>42709</v>
      </c>
      <c r="D10" s="8">
        <v>1900000</v>
      </c>
      <c r="E10" s="4" t="s">
        <v>8</v>
      </c>
    </row>
    <row r="11" spans="1:5" s="13" customFormat="1" x14ac:dyDescent="0.25">
      <c r="A11" s="4">
        <v>9</v>
      </c>
      <c r="B11" s="7" t="s">
        <v>13</v>
      </c>
      <c r="C11" s="10">
        <v>42735</v>
      </c>
      <c r="D11" s="8">
        <v>1710000</v>
      </c>
      <c r="E11" s="4" t="s">
        <v>8</v>
      </c>
    </row>
    <row r="12" spans="1:5" s="13" customFormat="1" x14ac:dyDescent="0.25">
      <c r="A12" s="4">
        <v>10</v>
      </c>
      <c r="B12" s="7" t="s">
        <v>136</v>
      </c>
      <c r="C12" s="10" t="s">
        <v>119</v>
      </c>
      <c r="D12" s="8">
        <v>4440000</v>
      </c>
      <c r="E12" s="4" t="s">
        <v>8</v>
      </c>
    </row>
    <row r="13" spans="1:5" ht="18.75" x14ac:dyDescent="0.3">
      <c r="A13" s="5"/>
      <c r="B13" s="14" t="s">
        <v>4</v>
      </c>
      <c r="C13" s="15"/>
      <c r="D13" s="16">
        <v>26077000</v>
      </c>
      <c r="E13" s="5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topLeftCell="A10" workbookViewId="0">
      <selection activeCell="B24" sqref="B24"/>
    </sheetView>
  </sheetViews>
  <sheetFormatPr defaultRowHeight="15" x14ac:dyDescent="0.25"/>
  <cols>
    <col min="2" max="2" width="111.28515625" bestFit="1" customWidth="1"/>
    <col min="3" max="3" width="12.85546875" customWidth="1"/>
    <col min="4" max="4" width="14.28515625" bestFit="1" customWidth="1"/>
    <col min="5" max="5" width="11.5703125" bestFit="1" customWidth="1"/>
  </cols>
  <sheetData>
    <row r="1" spans="1:5" ht="23.25" x14ac:dyDescent="0.35">
      <c r="A1" s="19"/>
      <c r="B1" s="19" t="s">
        <v>99</v>
      </c>
      <c r="C1" s="19"/>
      <c r="D1" s="20"/>
      <c r="E1" s="19"/>
    </row>
    <row r="2" spans="1:5" x14ac:dyDescent="0.25">
      <c r="A2" s="1" t="s">
        <v>0</v>
      </c>
      <c r="B2" s="2" t="s">
        <v>1</v>
      </c>
      <c r="C2" s="1" t="s">
        <v>2</v>
      </c>
      <c r="D2" s="1" t="s">
        <v>3</v>
      </c>
      <c r="E2" s="12" t="s">
        <v>7</v>
      </c>
    </row>
    <row r="3" spans="1:5" x14ac:dyDescent="0.25">
      <c r="A3" s="4">
        <v>1</v>
      </c>
      <c r="B3" s="7" t="s">
        <v>110</v>
      </c>
      <c r="C3" s="10">
        <v>42783</v>
      </c>
      <c r="D3" s="8">
        <v>112000</v>
      </c>
      <c r="E3" s="4" t="s">
        <v>8</v>
      </c>
    </row>
    <row r="4" spans="1:5" x14ac:dyDescent="0.25">
      <c r="A4" s="4">
        <v>2</v>
      </c>
      <c r="B4" s="7" t="s">
        <v>14</v>
      </c>
      <c r="C4" s="10">
        <v>42787</v>
      </c>
      <c r="D4" s="8">
        <v>212000</v>
      </c>
      <c r="E4" s="4" t="s">
        <v>8</v>
      </c>
    </row>
    <row r="5" spans="1:5" x14ac:dyDescent="0.25">
      <c r="A5" s="4">
        <v>3</v>
      </c>
      <c r="B5" s="7" t="s">
        <v>15</v>
      </c>
      <c r="C5" s="10">
        <v>42790</v>
      </c>
      <c r="D5" s="8">
        <v>65000000</v>
      </c>
      <c r="E5" s="4" t="s">
        <v>8</v>
      </c>
    </row>
    <row r="6" spans="1:5" x14ac:dyDescent="0.25">
      <c r="A6" s="4">
        <v>4</v>
      </c>
      <c r="B6" s="7" t="s">
        <v>16</v>
      </c>
      <c r="C6" s="10">
        <v>42802</v>
      </c>
      <c r="D6" s="8">
        <v>212000</v>
      </c>
      <c r="E6" s="4" t="s">
        <v>8</v>
      </c>
    </row>
    <row r="7" spans="1:5" x14ac:dyDescent="0.25">
      <c r="A7" s="4">
        <v>5</v>
      </c>
      <c r="B7" s="7" t="s">
        <v>111</v>
      </c>
      <c r="C7" s="10">
        <v>42828</v>
      </c>
      <c r="D7" s="8">
        <v>400000</v>
      </c>
      <c r="E7" s="4" t="s">
        <v>8</v>
      </c>
    </row>
    <row r="8" spans="1:5" x14ac:dyDescent="0.25">
      <c r="A8" s="4">
        <v>6</v>
      </c>
      <c r="B8" s="7" t="s">
        <v>120</v>
      </c>
      <c r="C8" s="10">
        <v>42849</v>
      </c>
      <c r="D8" s="9"/>
      <c r="E8" s="4" t="s">
        <v>8</v>
      </c>
    </row>
    <row r="9" spans="1:5" x14ac:dyDescent="0.25">
      <c r="A9" s="4">
        <v>7</v>
      </c>
      <c r="B9" s="7" t="s">
        <v>6</v>
      </c>
      <c r="C9" s="10">
        <v>42856</v>
      </c>
      <c r="D9" s="9"/>
      <c r="E9" s="4" t="s">
        <v>8</v>
      </c>
    </row>
    <row r="10" spans="1:5" x14ac:dyDescent="0.25">
      <c r="A10" s="4">
        <v>8</v>
      </c>
      <c r="B10" s="7" t="s">
        <v>17</v>
      </c>
      <c r="C10" s="10">
        <v>42883</v>
      </c>
      <c r="D10" s="9"/>
      <c r="E10" s="4" t="s">
        <v>8</v>
      </c>
    </row>
    <row r="11" spans="1:5" x14ac:dyDescent="0.25">
      <c r="A11" s="4">
        <v>9</v>
      </c>
      <c r="B11" s="7" t="s">
        <v>18</v>
      </c>
      <c r="C11" s="10">
        <v>42917</v>
      </c>
      <c r="D11" s="8">
        <v>3000000</v>
      </c>
      <c r="E11" s="4" t="s">
        <v>8</v>
      </c>
    </row>
    <row r="12" spans="1:5" x14ac:dyDescent="0.25">
      <c r="A12" s="4">
        <v>10</v>
      </c>
      <c r="B12" s="7" t="s">
        <v>141</v>
      </c>
      <c r="C12" s="10">
        <v>42989</v>
      </c>
      <c r="D12" s="8">
        <v>90000</v>
      </c>
      <c r="E12" s="4" t="s">
        <v>8</v>
      </c>
    </row>
    <row r="13" spans="1:5" x14ac:dyDescent="0.25">
      <c r="A13" s="4">
        <v>11</v>
      </c>
      <c r="B13" s="7" t="s">
        <v>19</v>
      </c>
      <c r="C13" s="10">
        <v>43000</v>
      </c>
      <c r="D13" s="8">
        <v>1050700</v>
      </c>
      <c r="E13" s="4" t="s">
        <v>8</v>
      </c>
    </row>
    <row r="14" spans="1:5" x14ac:dyDescent="0.25">
      <c r="A14" s="4">
        <v>12</v>
      </c>
      <c r="B14" s="7" t="s">
        <v>20</v>
      </c>
      <c r="C14" s="10">
        <v>43007</v>
      </c>
      <c r="D14" s="8">
        <v>13762995</v>
      </c>
      <c r="E14" s="4" t="s">
        <v>8</v>
      </c>
    </row>
    <row r="15" spans="1:5" x14ac:dyDescent="0.25">
      <c r="A15" s="4">
        <v>13</v>
      </c>
      <c r="B15" s="7" t="s">
        <v>142</v>
      </c>
      <c r="C15" s="10">
        <v>43040</v>
      </c>
      <c r="D15" s="11">
        <v>274166.65999999997</v>
      </c>
      <c r="E15" s="4" t="s">
        <v>8</v>
      </c>
    </row>
    <row r="16" spans="1:5" x14ac:dyDescent="0.25">
      <c r="A16" s="4">
        <v>14</v>
      </c>
      <c r="B16" s="7" t="s">
        <v>143</v>
      </c>
      <c r="C16" s="10">
        <v>43040</v>
      </c>
      <c r="D16" s="11">
        <v>274166.65999999997</v>
      </c>
      <c r="E16" s="4" t="s">
        <v>8</v>
      </c>
    </row>
    <row r="17" spans="1:5" x14ac:dyDescent="0.25">
      <c r="A17" s="4">
        <v>15</v>
      </c>
      <c r="B17" s="7" t="s">
        <v>144</v>
      </c>
      <c r="C17" s="10">
        <v>43040</v>
      </c>
      <c r="D17" s="11">
        <v>274166.65999999997</v>
      </c>
      <c r="E17" s="4" t="s">
        <v>8</v>
      </c>
    </row>
    <row r="18" spans="1:5" x14ac:dyDescent="0.25">
      <c r="A18" s="4">
        <v>16</v>
      </c>
      <c r="B18" s="7" t="s">
        <v>145</v>
      </c>
      <c r="C18" s="10">
        <v>43040</v>
      </c>
      <c r="D18" s="11">
        <v>274166.65999999997</v>
      </c>
      <c r="E18" s="4" t="s">
        <v>8</v>
      </c>
    </row>
    <row r="19" spans="1:5" x14ac:dyDescent="0.25">
      <c r="A19" s="4">
        <v>17</v>
      </c>
      <c r="B19" s="7" t="s">
        <v>146</v>
      </c>
      <c r="C19" s="10">
        <v>43040</v>
      </c>
      <c r="D19" s="11">
        <v>274166.65999999997</v>
      </c>
      <c r="E19" s="4" t="s">
        <v>8</v>
      </c>
    </row>
    <row r="20" spans="1:5" s="13" customFormat="1" x14ac:dyDescent="0.25">
      <c r="A20" s="4">
        <v>18</v>
      </c>
      <c r="B20" s="7" t="s">
        <v>21</v>
      </c>
      <c r="C20" s="10">
        <v>43059</v>
      </c>
      <c r="D20" s="8">
        <v>203000</v>
      </c>
      <c r="E20" s="4" t="s">
        <v>8</v>
      </c>
    </row>
    <row r="21" spans="1:5" x14ac:dyDescent="0.25">
      <c r="A21" s="4">
        <v>19</v>
      </c>
      <c r="B21" s="7" t="s">
        <v>136</v>
      </c>
      <c r="C21" s="10" t="s">
        <v>121</v>
      </c>
      <c r="D21" s="8">
        <v>6120000</v>
      </c>
      <c r="E21" s="4" t="s">
        <v>8</v>
      </c>
    </row>
    <row r="22" spans="1:5" ht="18.75" x14ac:dyDescent="0.3">
      <c r="A22" s="5"/>
      <c r="B22" s="14" t="s">
        <v>4</v>
      </c>
      <c r="C22" s="15"/>
      <c r="D22" s="16">
        <v>91533528</v>
      </c>
      <c r="E22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"/>
  <sheetViews>
    <sheetView workbookViewId="0">
      <selection activeCell="B16" sqref="B16"/>
    </sheetView>
  </sheetViews>
  <sheetFormatPr defaultRowHeight="15" x14ac:dyDescent="0.25"/>
  <cols>
    <col min="2" max="2" width="104.140625" bestFit="1" customWidth="1"/>
    <col min="3" max="3" width="14.140625" customWidth="1"/>
    <col min="4" max="4" width="14.28515625" bestFit="1" customWidth="1"/>
    <col min="5" max="5" width="11.5703125" bestFit="1" customWidth="1"/>
  </cols>
  <sheetData>
    <row r="1" spans="1:5" ht="21" x14ac:dyDescent="0.35">
      <c r="A1" s="6"/>
      <c r="B1" s="6" t="s">
        <v>100</v>
      </c>
      <c r="C1" s="6"/>
      <c r="D1" s="6"/>
      <c r="E1" s="6"/>
    </row>
    <row r="2" spans="1:5" x14ac:dyDescent="0.25">
      <c r="A2" s="1" t="s">
        <v>0</v>
      </c>
      <c r="B2" s="2" t="s">
        <v>1</v>
      </c>
      <c r="C2" s="1" t="s">
        <v>2</v>
      </c>
      <c r="D2" s="1" t="s">
        <v>3</v>
      </c>
      <c r="E2" s="12" t="s">
        <v>7</v>
      </c>
    </row>
    <row r="3" spans="1:5" x14ac:dyDescent="0.25">
      <c r="A3" s="4">
        <v>1</v>
      </c>
      <c r="B3" s="7" t="s">
        <v>22</v>
      </c>
      <c r="C3" s="10">
        <v>43102</v>
      </c>
      <c r="D3" s="8">
        <v>1502600</v>
      </c>
      <c r="E3" s="4" t="s">
        <v>8</v>
      </c>
    </row>
    <row r="4" spans="1:5" x14ac:dyDescent="0.25">
      <c r="A4" s="4">
        <v>2</v>
      </c>
      <c r="B4" s="7" t="s">
        <v>23</v>
      </c>
      <c r="C4" s="10">
        <v>43118</v>
      </c>
      <c r="D4" s="8">
        <v>40000</v>
      </c>
      <c r="E4" s="4" t="s">
        <v>8</v>
      </c>
    </row>
    <row r="5" spans="1:5" x14ac:dyDescent="0.25">
      <c r="A5" s="4">
        <v>3</v>
      </c>
      <c r="B5" s="7" t="s">
        <v>24</v>
      </c>
      <c r="C5" s="10">
        <v>43185</v>
      </c>
      <c r="D5" s="8">
        <v>552000</v>
      </c>
      <c r="E5" s="4" t="s">
        <v>8</v>
      </c>
    </row>
    <row r="6" spans="1:5" x14ac:dyDescent="0.25">
      <c r="A6" s="4">
        <v>4</v>
      </c>
      <c r="B6" s="7" t="s">
        <v>122</v>
      </c>
      <c r="C6" s="10">
        <v>43185</v>
      </c>
      <c r="D6" s="8">
        <v>278000</v>
      </c>
      <c r="E6" s="4" t="s">
        <v>8</v>
      </c>
    </row>
    <row r="7" spans="1:5" x14ac:dyDescent="0.25">
      <c r="A7" s="4">
        <v>5</v>
      </c>
      <c r="B7" s="7" t="s">
        <v>25</v>
      </c>
      <c r="C7" s="21">
        <v>43252</v>
      </c>
      <c r="D7" s="8">
        <v>2115500</v>
      </c>
      <c r="E7" s="4" t="s">
        <v>8</v>
      </c>
    </row>
    <row r="8" spans="1:5" x14ac:dyDescent="0.25">
      <c r="A8" s="4">
        <v>6</v>
      </c>
      <c r="B8" s="7" t="s">
        <v>26</v>
      </c>
      <c r="C8" s="22">
        <v>43306</v>
      </c>
      <c r="D8" s="8">
        <v>1913000</v>
      </c>
      <c r="E8" s="4" t="s">
        <v>8</v>
      </c>
    </row>
    <row r="9" spans="1:5" x14ac:dyDescent="0.25">
      <c r="A9" s="4">
        <v>7</v>
      </c>
      <c r="B9" s="7" t="s">
        <v>27</v>
      </c>
      <c r="C9" s="9"/>
      <c r="D9" s="8">
        <v>700000</v>
      </c>
      <c r="E9" s="4" t="s">
        <v>8</v>
      </c>
    </row>
    <row r="10" spans="1:5" x14ac:dyDescent="0.25">
      <c r="A10" s="4">
        <v>8</v>
      </c>
      <c r="B10" s="7" t="s">
        <v>123</v>
      </c>
      <c r="C10" s="9"/>
      <c r="D10" s="8"/>
      <c r="E10" s="4" t="s">
        <v>8</v>
      </c>
    </row>
    <row r="11" spans="1:5" s="13" customFormat="1" x14ac:dyDescent="0.25">
      <c r="A11" s="4">
        <v>9</v>
      </c>
      <c r="B11" s="7" t="s">
        <v>136</v>
      </c>
      <c r="C11" s="10" t="s">
        <v>124</v>
      </c>
      <c r="D11" s="8">
        <v>4680000</v>
      </c>
      <c r="E11" s="4" t="s">
        <v>8</v>
      </c>
    </row>
    <row r="12" spans="1:5" ht="18.75" x14ac:dyDescent="0.3">
      <c r="A12" s="5"/>
      <c r="B12" s="14" t="s">
        <v>4</v>
      </c>
      <c r="C12" s="15"/>
      <c r="D12" s="16">
        <v>11781100</v>
      </c>
      <c r="E12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9"/>
  <sheetViews>
    <sheetView workbookViewId="0">
      <selection activeCell="B11" sqref="B11"/>
    </sheetView>
  </sheetViews>
  <sheetFormatPr defaultRowHeight="15" x14ac:dyDescent="0.25"/>
  <cols>
    <col min="2" max="2" width="110.5703125" bestFit="1" customWidth="1"/>
    <col min="3" max="3" width="18.42578125" bestFit="1" customWidth="1"/>
    <col min="4" max="4" width="14.28515625" bestFit="1" customWidth="1"/>
    <col min="5" max="5" width="10.85546875" bestFit="1" customWidth="1"/>
  </cols>
  <sheetData>
    <row r="1" spans="1:5" ht="26.25" x14ac:dyDescent="0.4">
      <c r="A1" s="23"/>
      <c r="B1" s="23" t="s">
        <v>28</v>
      </c>
      <c r="C1" s="23"/>
      <c r="D1" s="23"/>
      <c r="E1" s="23"/>
    </row>
    <row r="2" spans="1:5" ht="15.75" x14ac:dyDescent="0.25">
      <c r="A2" s="24" t="s">
        <v>29</v>
      </c>
      <c r="B2" s="24" t="s">
        <v>30</v>
      </c>
      <c r="C2" s="25" t="s">
        <v>2</v>
      </c>
      <c r="D2" s="26" t="s">
        <v>3</v>
      </c>
      <c r="E2" s="27" t="s">
        <v>7</v>
      </c>
    </row>
    <row r="3" spans="1:5" ht="15.75" x14ac:dyDescent="0.25">
      <c r="A3" s="28">
        <v>1</v>
      </c>
      <c r="B3" s="28" t="s">
        <v>31</v>
      </c>
      <c r="C3" s="29">
        <v>43497</v>
      </c>
      <c r="D3" s="30">
        <v>3000000</v>
      </c>
      <c r="E3" s="31" t="s">
        <v>32</v>
      </c>
    </row>
    <row r="4" spans="1:5" ht="15.75" x14ac:dyDescent="0.25">
      <c r="A4" s="28">
        <v>2</v>
      </c>
      <c r="B4" s="28" t="s">
        <v>33</v>
      </c>
      <c r="C4" s="29">
        <v>43525</v>
      </c>
      <c r="D4" s="30">
        <v>4800000</v>
      </c>
      <c r="E4" s="31" t="s">
        <v>32</v>
      </c>
    </row>
    <row r="5" spans="1:5" ht="15.75" x14ac:dyDescent="0.25">
      <c r="A5" s="28">
        <v>3</v>
      </c>
      <c r="B5" s="28" t="s">
        <v>34</v>
      </c>
      <c r="C5" s="32">
        <v>43617</v>
      </c>
      <c r="D5" s="33"/>
      <c r="E5" s="31" t="s">
        <v>32</v>
      </c>
    </row>
    <row r="6" spans="1:5" ht="15.75" x14ac:dyDescent="0.25">
      <c r="A6" s="28">
        <v>4</v>
      </c>
      <c r="B6" s="28" t="s">
        <v>125</v>
      </c>
      <c r="C6" s="29">
        <v>43617</v>
      </c>
      <c r="D6" s="30">
        <v>2000000</v>
      </c>
      <c r="E6" s="31" t="s">
        <v>32</v>
      </c>
    </row>
    <row r="7" spans="1:5" ht="15.75" x14ac:dyDescent="0.25">
      <c r="A7" s="28">
        <v>5</v>
      </c>
      <c r="B7" s="28" t="s">
        <v>126</v>
      </c>
      <c r="C7" s="29">
        <v>43647</v>
      </c>
      <c r="D7" s="34">
        <v>3200000</v>
      </c>
      <c r="E7" s="31" t="s">
        <v>32</v>
      </c>
    </row>
    <row r="8" spans="1:5" ht="15.75" x14ac:dyDescent="0.25">
      <c r="A8" s="28">
        <v>6</v>
      </c>
      <c r="B8" s="28" t="s">
        <v>35</v>
      </c>
      <c r="C8" s="29">
        <v>43647</v>
      </c>
      <c r="D8" s="34">
        <v>2000000</v>
      </c>
      <c r="E8" s="31" t="s">
        <v>32</v>
      </c>
    </row>
    <row r="9" spans="1:5" ht="15.75" x14ac:dyDescent="0.25">
      <c r="A9" s="28">
        <v>7</v>
      </c>
      <c r="B9" s="28" t="s">
        <v>36</v>
      </c>
      <c r="C9" s="32">
        <v>43663</v>
      </c>
      <c r="D9" s="35">
        <v>950000</v>
      </c>
      <c r="E9" s="31" t="s">
        <v>32</v>
      </c>
    </row>
    <row r="10" spans="1:5" ht="15.75" x14ac:dyDescent="0.25">
      <c r="A10" s="28">
        <v>8</v>
      </c>
      <c r="B10" s="28" t="s">
        <v>37</v>
      </c>
      <c r="C10" s="36">
        <v>43686</v>
      </c>
      <c r="D10" s="37">
        <v>950000</v>
      </c>
      <c r="E10" s="31" t="s">
        <v>32</v>
      </c>
    </row>
    <row r="11" spans="1:5" ht="15.75" x14ac:dyDescent="0.25">
      <c r="A11" s="28">
        <v>9</v>
      </c>
      <c r="B11" s="28" t="s">
        <v>38</v>
      </c>
      <c r="C11" s="32">
        <v>43696</v>
      </c>
      <c r="D11" s="38"/>
      <c r="E11" s="31" t="s">
        <v>32</v>
      </c>
    </row>
    <row r="12" spans="1:5" ht="15.75" x14ac:dyDescent="0.25">
      <c r="A12" s="28">
        <v>10</v>
      </c>
      <c r="B12" s="28" t="s">
        <v>39</v>
      </c>
      <c r="C12" s="32">
        <v>43698</v>
      </c>
      <c r="D12" s="39">
        <v>950000</v>
      </c>
      <c r="E12" s="31" t="s">
        <v>32</v>
      </c>
    </row>
    <row r="13" spans="1:5" ht="15.75" x14ac:dyDescent="0.25">
      <c r="A13" s="28">
        <v>11</v>
      </c>
      <c r="B13" s="28" t="s">
        <v>40</v>
      </c>
      <c r="C13" s="32">
        <v>43706</v>
      </c>
      <c r="D13" s="39">
        <v>950000</v>
      </c>
      <c r="E13" s="31" t="s">
        <v>32</v>
      </c>
    </row>
    <row r="14" spans="1:5" ht="15.75" x14ac:dyDescent="0.25">
      <c r="A14" s="28">
        <v>12</v>
      </c>
      <c r="B14" s="28" t="s">
        <v>127</v>
      </c>
      <c r="C14" s="29">
        <v>43678</v>
      </c>
      <c r="D14" s="39">
        <v>1500000</v>
      </c>
      <c r="E14" s="31" t="s">
        <v>32</v>
      </c>
    </row>
    <row r="15" spans="1:5" ht="15.75" x14ac:dyDescent="0.25">
      <c r="A15" s="28">
        <v>13</v>
      </c>
      <c r="B15" s="28" t="s">
        <v>41</v>
      </c>
      <c r="C15" s="32">
        <v>43715</v>
      </c>
      <c r="D15" s="39">
        <v>520000</v>
      </c>
      <c r="E15" s="31" t="s">
        <v>32</v>
      </c>
    </row>
    <row r="16" spans="1:5" ht="15.75" x14ac:dyDescent="0.25">
      <c r="A16" s="28">
        <v>14</v>
      </c>
      <c r="B16" s="28" t="s">
        <v>42</v>
      </c>
      <c r="C16" s="32" t="s">
        <v>43</v>
      </c>
      <c r="D16" s="40">
        <v>950000</v>
      </c>
      <c r="E16" s="31" t="s">
        <v>32</v>
      </c>
    </row>
    <row r="17" spans="1:5" ht="15.75" x14ac:dyDescent="0.25">
      <c r="A17" s="28">
        <v>15</v>
      </c>
      <c r="B17" s="28" t="s">
        <v>44</v>
      </c>
      <c r="C17" s="32">
        <v>43811</v>
      </c>
      <c r="D17" s="39">
        <v>1500000</v>
      </c>
      <c r="E17" s="31" t="s">
        <v>32</v>
      </c>
    </row>
    <row r="18" spans="1:5" ht="16.5" thickBot="1" x14ac:dyDescent="0.3">
      <c r="A18" s="28">
        <v>16</v>
      </c>
      <c r="B18" s="41" t="s">
        <v>138</v>
      </c>
      <c r="C18" s="62" t="s">
        <v>128</v>
      </c>
      <c r="D18" s="42">
        <v>4440000</v>
      </c>
      <c r="E18" s="31" t="s">
        <v>32</v>
      </c>
    </row>
    <row r="19" spans="1:5" ht="18.75" x14ac:dyDescent="0.3">
      <c r="A19" s="43"/>
      <c r="B19" s="5" t="s">
        <v>4</v>
      </c>
      <c r="C19" s="5"/>
      <c r="D19" s="44">
        <v>27710000</v>
      </c>
      <c r="E19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8"/>
  <sheetViews>
    <sheetView workbookViewId="0">
      <selection activeCell="B12" sqref="B12"/>
    </sheetView>
  </sheetViews>
  <sheetFormatPr defaultRowHeight="15" x14ac:dyDescent="0.25"/>
  <cols>
    <col min="2" max="2" width="106" bestFit="1" customWidth="1"/>
    <col min="3" max="3" width="14.140625" customWidth="1"/>
    <col min="4" max="4" width="16.28515625" customWidth="1"/>
    <col min="5" max="5" width="10.85546875" customWidth="1"/>
  </cols>
  <sheetData>
    <row r="1" spans="1:5" ht="26.25" x14ac:dyDescent="0.4">
      <c r="A1" s="23"/>
      <c r="B1" s="45" t="s">
        <v>101</v>
      </c>
      <c r="C1" s="23"/>
      <c r="D1" s="23"/>
      <c r="E1" s="23"/>
    </row>
    <row r="2" spans="1:5" ht="15.75" x14ac:dyDescent="0.25">
      <c r="A2" s="24" t="s">
        <v>45</v>
      </c>
      <c r="B2" s="46" t="s">
        <v>46</v>
      </c>
      <c r="C2" s="24" t="s">
        <v>2</v>
      </c>
      <c r="D2" s="47" t="s">
        <v>3</v>
      </c>
      <c r="E2" s="27" t="s">
        <v>7</v>
      </c>
    </row>
    <row r="3" spans="1:5" x14ac:dyDescent="0.25">
      <c r="A3" s="48">
        <v>1</v>
      </c>
      <c r="B3" s="49" t="s">
        <v>129</v>
      </c>
      <c r="C3" s="50">
        <v>43869</v>
      </c>
      <c r="D3" s="51">
        <v>7524000</v>
      </c>
      <c r="E3" s="52" t="s">
        <v>32</v>
      </c>
    </row>
    <row r="4" spans="1:5" x14ac:dyDescent="0.25">
      <c r="A4" s="53">
        <v>2</v>
      </c>
      <c r="B4" s="31" t="s">
        <v>47</v>
      </c>
      <c r="C4" s="54">
        <v>43871</v>
      </c>
      <c r="D4" s="51">
        <v>5000000</v>
      </c>
      <c r="E4" s="52" t="s">
        <v>32</v>
      </c>
    </row>
    <row r="5" spans="1:5" x14ac:dyDescent="0.25">
      <c r="A5" s="48">
        <v>3</v>
      </c>
      <c r="B5" s="31" t="s">
        <v>48</v>
      </c>
      <c r="C5" s="54">
        <v>43874</v>
      </c>
      <c r="D5" s="51">
        <v>2000000</v>
      </c>
      <c r="E5" s="52" t="s">
        <v>32</v>
      </c>
    </row>
    <row r="6" spans="1:5" x14ac:dyDescent="0.25">
      <c r="A6" s="53">
        <v>4</v>
      </c>
      <c r="B6" s="31" t="s">
        <v>49</v>
      </c>
      <c r="C6" s="54">
        <v>43952</v>
      </c>
      <c r="D6" s="51">
        <v>17993400</v>
      </c>
      <c r="E6" s="52" t="s">
        <v>32</v>
      </c>
    </row>
    <row r="7" spans="1:5" x14ac:dyDescent="0.25">
      <c r="A7" s="48">
        <v>5</v>
      </c>
      <c r="B7" s="49" t="s">
        <v>130</v>
      </c>
      <c r="C7" s="50">
        <v>44048</v>
      </c>
      <c r="D7" s="51">
        <v>3999000</v>
      </c>
      <c r="E7" s="52" t="s">
        <v>32</v>
      </c>
    </row>
    <row r="8" spans="1:5" x14ac:dyDescent="0.25">
      <c r="A8" s="53">
        <v>6</v>
      </c>
      <c r="B8" s="31" t="s">
        <v>131</v>
      </c>
      <c r="C8" s="54">
        <v>44075</v>
      </c>
      <c r="D8" s="51">
        <v>2000000</v>
      </c>
      <c r="E8" s="52" t="s">
        <v>32</v>
      </c>
    </row>
    <row r="9" spans="1:5" x14ac:dyDescent="0.25">
      <c r="A9" s="55">
        <v>7</v>
      </c>
      <c r="B9" s="31" t="s">
        <v>50</v>
      </c>
      <c r="C9" s="54">
        <v>44081</v>
      </c>
      <c r="D9" s="51">
        <v>30000000</v>
      </c>
      <c r="E9" s="52" t="s">
        <v>32</v>
      </c>
    </row>
    <row r="10" spans="1:5" x14ac:dyDescent="0.25">
      <c r="A10" s="56">
        <v>8</v>
      </c>
      <c r="B10" s="31" t="s">
        <v>51</v>
      </c>
      <c r="C10" s="54">
        <v>43891</v>
      </c>
      <c r="D10" s="51">
        <v>20000000</v>
      </c>
      <c r="E10" s="52" t="s">
        <v>32</v>
      </c>
    </row>
    <row r="11" spans="1:5" x14ac:dyDescent="0.25">
      <c r="A11" s="55">
        <v>9</v>
      </c>
      <c r="B11" s="31" t="s">
        <v>52</v>
      </c>
      <c r="C11" s="54">
        <v>43922</v>
      </c>
      <c r="D11" s="51">
        <v>24000000</v>
      </c>
      <c r="E11" s="52" t="s">
        <v>32</v>
      </c>
    </row>
    <row r="12" spans="1:5" x14ac:dyDescent="0.25">
      <c r="A12" s="56">
        <v>10</v>
      </c>
      <c r="B12" s="31" t="s">
        <v>53</v>
      </c>
      <c r="C12" s="54">
        <v>44095</v>
      </c>
      <c r="D12" s="51">
        <v>40000000</v>
      </c>
      <c r="E12" s="52" t="s">
        <v>32</v>
      </c>
    </row>
    <row r="13" spans="1:5" x14ac:dyDescent="0.25">
      <c r="A13" s="55">
        <v>11</v>
      </c>
      <c r="B13" s="31" t="s">
        <v>132</v>
      </c>
      <c r="C13" s="57">
        <v>44105</v>
      </c>
      <c r="D13" s="51">
        <v>7526020</v>
      </c>
      <c r="E13" s="52" t="s">
        <v>32</v>
      </c>
    </row>
    <row r="14" spans="1:5" x14ac:dyDescent="0.25">
      <c r="A14" s="56">
        <v>12</v>
      </c>
      <c r="B14" s="49" t="s">
        <v>54</v>
      </c>
      <c r="C14" s="50">
        <v>44166</v>
      </c>
      <c r="D14" s="51">
        <v>1000000</v>
      </c>
      <c r="E14" s="52" t="s">
        <v>32</v>
      </c>
    </row>
    <row r="15" spans="1:5" ht="15.75" thickBot="1" x14ac:dyDescent="0.3">
      <c r="A15" s="55">
        <v>13</v>
      </c>
      <c r="B15" s="41" t="s">
        <v>139</v>
      </c>
      <c r="C15" s="41" t="s">
        <v>133</v>
      </c>
      <c r="D15" s="42">
        <v>8280000</v>
      </c>
      <c r="E15" s="52" t="s">
        <v>32</v>
      </c>
    </row>
    <row r="16" spans="1:5" ht="15.75" x14ac:dyDescent="0.25">
      <c r="A16" s="47"/>
      <c r="B16" s="24" t="s">
        <v>4</v>
      </c>
      <c r="C16" s="24"/>
      <c r="D16" s="58">
        <v>169322420</v>
      </c>
      <c r="E16" s="28"/>
    </row>
    <row r="17" spans="1:5" ht="15.75" x14ac:dyDescent="0.25">
      <c r="A17" s="59"/>
      <c r="B17" s="59"/>
      <c r="C17" s="59"/>
      <c r="D17" s="59"/>
      <c r="E17" s="13"/>
    </row>
    <row r="18" spans="1:5" x14ac:dyDescent="0.25">
      <c r="A18" s="13"/>
      <c r="B18" s="13"/>
      <c r="C18" s="13"/>
      <c r="D18" s="13"/>
      <c r="E18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4"/>
  <sheetViews>
    <sheetView workbookViewId="0">
      <selection activeCell="J9" sqref="J9"/>
    </sheetView>
  </sheetViews>
  <sheetFormatPr defaultRowHeight="15" x14ac:dyDescent="0.25"/>
  <cols>
    <col min="1" max="1" width="9.140625" style="86"/>
    <col min="2" max="2" width="82.7109375" style="86" customWidth="1"/>
    <col min="3" max="3" width="12.5703125" style="86" bestFit="1" customWidth="1"/>
    <col min="4" max="4" width="16.85546875" style="86" bestFit="1" customWidth="1"/>
    <col min="5" max="5" width="9.7109375" style="86" bestFit="1" customWidth="1"/>
    <col min="6" max="16384" width="9.140625" style="86"/>
  </cols>
  <sheetData>
    <row r="1" spans="1:5" x14ac:dyDescent="0.25">
      <c r="A1" s="133" t="s">
        <v>92</v>
      </c>
      <c r="B1" s="133"/>
      <c r="C1" s="133"/>
      <c r="D1" s="133"/>
      <c r="E1" s="133"/>
    </row>
    <row r="2" spans="1:5" ht="23.25" customHeight="1" x14ac:dyDescent="0.25">
      <c r="A2" s="60" t="s">
        <v>86</v>
      </c>
      <c r="B2" s="61" t="s">
        <v>91</v>
      </c>
      <c r="C2" s="27" t="s">
        <v>2</v>
      </c>
      <c r="D2" s="27" t="s">
        <v>3</v>
      </c>
      <c r="E2" s="27" t="s">
        <v>7</v>
      </c>
    </row>
    <row r="3" spans="1:5" ht="30" customHeight="1" x14ac:dyDescent="0.25">
      <c r="A3" s="100">
        <v>1</v>
      </c>
      <c r="B3" s="95" t="s">
        <v>55</v>
      </c>
      <c r="C3" s="114" t="s">
        <v>56</v>
      </c>
      <c r="D3" s="115">
        <v>1000000</v>
      </c>
      <c r="E3" s="87" t="s">
        <v>32</v>
      </c>
    </row>
    <row r="4" spans="1:5" ht="30" x14ac:dyDescent="0.25">
      <c r="A4" s="100">
        <v>2</v>
      </c>
      <c r="B4" s="116" t="s">
        <v>57</v>
      </c>
      <c r="C4" s="114" t="s">
        <v>56</v>
      </c>
      <c r="D4" s="115">
        <v>11270897</v>
      </c>
      <c r="E4" s="87" t="s">
        <v>32</v>
      </c>
    </row>
    <row r="5" spans="1:5" ht="45" x14ac:dyDescent="0.25">
      <c r="A5" s="100">
        <v>3</v>
      </c>
      <c r="B5" s="116" t="s">
        <v>58</v>
      </c>
      <c r="C5" s="114" t="s">
        <v>56</v>
      </c>
      <c r="D5" s="115">
        <v>6033946</v>
      </c>
      <c r="E5" s="87" t="s">
        <v>32</v>
      </c>
    </row>
    <row r="6" spans="1:5" x14ac:dyDescent="0.25">
      <c r="A6" s="100">
        <v>4</v>
      </c>
      <c r="B6" s="95" t="s">
        <v>34</v>
      </c>
      <c r="C6" s="93">
        <v>44228</v>
      </c>
      <c r="D6" s="115">
        <v>1000000</v>
      </c>
      <c r="E6" s="87" t="s">
        <v>32</v>
      </c>
    </row>
    <row r="7" spans="1:5" x14ac:dyDescent="0.25">
      <c r="A7" s="100">
        <v>5</v>
      </c>
      <c r="B7" s="95" t="s">
        <v>59</v>
      </c>
      <c r="C7" s="93">
        <v>44228</v>
      </c>
      <c r="D7" s="117">
        <v>2000000</v>
      </c>
      <c r="E7" s="87" t="s">
        <v>32</v>
      </c>
    </row>
    <row r="8" spans="1:5" x14ac:dyDescent="0.25">
      <c r="A8" s="100">
        <v>6</v>
      </c>
      <c r="B8" s="95" t="s">
        <v>60</v>
      </c>
      <c r="C8" s="93">
        <v>44256</v>
      </c>
      <c r="D8" s="115">
        <v>400000</v>
      </c>
      <c r="E8" s="87" t="s">
        <v>32</v>
      </c>
    </row>
    <row r="9" spans="1:5" ht="34.5" customHeight="1" x14ac:dyDescent="0.25">
      <c r="A9" s="100">
        <v>7</v>
      </c>
      <c r="B9" s="95" t="s">
        <v>61</v>
      </c>
      <c r="C9" s="93">
        <v>44256</v>
      </c>
      <c r="D9" s="117">
        <v>500000</v>
      </c>
      <c r="E9" s="87" t="s">
        <v>32</v>
      </c>
    </row>
    <row r="10" spans="1:5" ht="30" x14ac:dyDescent="0.25">
      <c r="A10" s="100">
        <v>8</v>
      </c>
      <c r="B10" s="116" t="s">
        <v>62</v>
      </c>
      <c r="C10" s="93">
        <v>44305</v>
      </c>
      <c r="D10" s="117">
        <v>6351157</v>
      </c>
      <c r="E10" s="87" t="s">
        <v>32</v>
      </c>
    </row>
    <row r="11" spans="1:5" x14ac:dyDescent="0.25">
      <c r="A11" s="100">
        <v>9</v>
      </c>
      <c r="B11" s="95" t="s">
        <v>63</v>
      </c>
      <c r="C11" s="93">
        <v>44317</v>
      </c>
      <c r="D11" s="115">
        <v>1000000</v>
      </c>
      <c r="E11" s="87" t="s">
        <v>32</v>
      </c>
    </row>
    <row r="12" spans="1:5" x14ac:dyDescent="0.25">
      <c r="A12" s="100">
        <v>10</v>
      </c>
      <c r="B12" s="95" t="s">
        <v>64</v>
      </c>
      <c r="C12" s="93">
        <v>44317</v>
      </c>
      <c r="D12" s="115">
        <v>2000000</v>
      </c>
      <c r="E12" s="87" t="s">
        <v>32</v>
      </c>
    </row>
    <row r="13" spans="1:5" x14ac:dyDescent="0.25">
      <c r="A13" s="100">
        <v>11</v>
      </c>
      <c r="B13" s="95" t="s">
        <v>65</v>
      </c>
      <c r="C13" s="93">
        <v>44317</v>
      </c>
      <c r="D13" s="115">
        <v>2000000</v>
      </c>
      <c r="E13" s="87" t="s">
        <v>32</v>
      </c>
    </row>
    <row r="14" spans="1:5" ht="30" x14ac:dyDescent="0.25">
      <c r="A14" s="100">
        <v>12</v>
      </c>
      <c r="B14" s="116" t="s">
        <v>147</v>
      </c>
      <c r="C14" s="114" t="s">
        <v>66</v>
      </c>
      <c r="D14" s="115">
        <v>300000</v>
      </c>
      <c r="E14" s="87" t="s">
        <v>32</v>
      </c>
    </row>
    <row r="15" spans="1:5" x14ac:dyDescent="0.25">
      <c r="A15" s="100">
        <v>13</v>
      </c>
      <c r="B15" s="95" t="s">
        <v>67</v>
      </c>
      <c r="C15" s="114" t="s">
        <v>68</v>
      </c>
      <c r="D15" s="115">
        <v>1000000</v>
      </c>
      <c r="E15" s="87" t="s">
        <v>32</v>
      </c>
    </row>
    <row r="16" spans="1:5" ht="30" x14ac:dyDescent="0.25">
      <c r="A16" s="100">
        <v>14</v>
      </c>
      <c r="B16" s="116" t="s">
        <v>69</v>
      </c>
      <c r="C16" s="114" t="s">
        <v>70</v>
      </c>
      <c r="D16" s="115">
        <v>1000000</v>
      </c>
      <c r="E16" s="87" t="s">
        <v>32</v>
      </c>
    </row>
    <row r="17" spans="1:5" x14ac:dyDescent="0.25">
      <c r="A17" s="100">
        <v>15</v>
      </c>
      <c r="B17" s="95" t="s">
        <v>71</v>
      </c>
      <c r="C17" s="114" t="s">
        <v>72</v>
      </c>
      <c r="D17" s="115">
        <v>1000000</v>
      </c>
      <c r="E17" s="87" t="s">
        <v>32</v>
      </c>
    </row>
    <row r="18" spans="1:5" x14ac:dyDescent="0.25">
      <c r="A18" s="100">
        <v>16</v>
      </c>
      <c r="B18" s="95" t="s">
        <v>73</v>
      </c>
      <c r="C18" s="114" t="s">
        <v>74</v>
      </c>
      <c r="D18" s="115">
        <v>10075000</v>
      </c>
      <c r="E18" s="87" t="s">
        <v>32</v>
      </c>
    </row>
    <row r="19" spans="1:5" x14ac:dyDescent="0.25">
      <c r="A19" s="100">
        <v>17</v>
      </c>
      <c r="B19" s="95" t="s">
        <v>75</v>
      </c>
      <c r="C19" s="114" t="s">
        <v>74</v>
      </c>
      <c r="D19" s="115">
        <v>500000</v>
      </c>
      <c r="E19" s="87" t="s">
        <v>32</v>
      </c>
    </row>
    <row r="20" spans="1:5" x14ac:dyDescent="0.25">
      <c r="A20" s="100">
        <v>18</v>
      </c>
      <c r="B20" s="95" t="s">
        <v>76</v>
      </c>
      <c r="C20" s="114" t="s">
        <v>74</v>
      </c>
      <c r="D20" s="115">
        <v>9870000</v>
      </c>
      <c r="E20" s="87" t="s">
        <v>32</v>
      </c>
    </row>
    <row r="21" spans="1:5" x14ac:dyDescent="0.25">
      <c r="A21" s="100">
        <v>19</v>
      </c>
      <c r="B21" s="95" t="s">
        <v>77</v>
      </c>
      <c r="C21" s="114" t="s">
        <v>74</v>
      </c>
      <c r="D21" s="115">
        <v>700000</v>
      </c>
      <c r="E21" s="87" t="s">
        <v>32</v>
      </c>
    </row>
    <row r="22" spans="1:5" x14ac:dyDescent="0.25">
      <c r="A22" s="100">
        <v>20</v>
      </c>
      <c r="B22" s="95" t="s">
        <v>78</v>
      </c>
      <c r="C22" s="114" t="s">
        <v>79</v>
      </c>
      <c r="D22" s="115">
        <v>1040000</v>
      </c>
      <c r="E22" s="87" t="s">
        <v>32</v>
      </c>
    </row>
    <row r="23" spans="1:5" x14ac:dyDescent="0.25">
      <c r="A23" s="100">
        <v>21</v>
      </c>
      <c r="B23" s="95" t="s">
        <v>80</v>
      </c>
      <c r="C23" s="114" t="s">
        <v>79</v>
      </c>
      <c r="D23" s="115">
        <v>260000</v>
      </c>
      <c r="E23" s="87" t="s">
        <v>32</v>
      </c>
    </row>
    <row r="24" spans="1:5" x14ac:dyDescent="0.25">
      <c r="A24" s="100">
        <v>22</v>
      </c>
      <c r="B24" s="95" t="s">
        <v>81</v>
      </c>
      <c r="C24" s="114" t="s">
        <v>79</v>
      </c>
      <c r="D24" s="115">
        <v>218120</v>
      </c>
      <c r="E24" s="87" t="s">
        <v>32</v>
      </c>
    </row>
    <row r="25" spans="1:5" x14ac:dyDescent="0.25">
      <c r="A25" s="100">
        <v>23</v>
      </c>
      <c r="B25" s="95" t="s">
        <v>82</v>
      </c>
      <c r="C25" s="114" t="s">
        <v>79</v>
      </c>
      <c r="D25" s="115">
        <v>7997999</v>
      </c>
      <c r="E25" s="87" t="s">
        <v>32</v>
      </c>
    </row>
    <row r="26" spans="1:5" x14ac:dyDescent="0.25">
      <c r="A26" s="100">
        <v>24</v>
      </c>
      <c r="B26" s="95" t="s">
        <v>83</v>
      </c>
      <c r="C26" s="114" t="s">
        <v>84</v>
      </c>
      <c r="D26" s="115">
        <v>80000</v>
      </c>
      <c r="E26" s="87" t="s">
        <v>32</v>
      </c>
    </row>
    <row r="27" spans="1:5" x14ac:dyDescent="0.25">
      <c r="A27" s="100">
        <v>25</v>
      </c>
      <c r="B27" s="95" t="s">
        <v>85</v>
      </c>
      <c r="C27" s="118" t="s">
        <v>148</v>
      </c>
      <c r="D27" s="119">
        <v>10170000</v>
      </c>
      <c r="E27" s="87" t="s">
        <v>32</v>
      </c>
    </row>
    <row r="28" spans="1:5" x14ac:dyDescent="0.25">
      <c r="A28" s="120"/>
      <c r="B28" s="121"/>
      <c r="C28" s="122" t="s">
        <v>4</v>
      </c>
      <c r="D28" s="115">
        <f>SUM(D3:D27)</f>
        <v>77767119</v>
      </c>
      <c r="E28" s="123"/>
    </row>
    <row r="29" spans="1:5" x14ac:dyDescent="0.25">
      <c r="A29" s="100"/>
      <c r="B29" s="95"/>
      <c r="C29" s="114"/>
      <c r="D29" s="115"/>
      <c r="E29" s="87"/>
    </row>
    <row r="30" spans="1:5" x14ac:dyDescent="0.25">
      <c r="A30" s="60" t="s">
        <v>86</v>
      </c>
      <c r="B30" s="61" t="s">
        <v>87</v>
      </c>
      <c r="C30" s="27" t="s">
        <v>2</v>
      </c>
      <c r="D30" s="27" t="s">
        <v>3</v>
      </c>
      <c r="E30" s="27" t="s">
        <v>7</v>
      </c>
    </row>
    <row r="31" spans="1:5" x14ac:dyDescent="0.25">
      <c r="A31" s="100">
        <v>1</v>
      </c>
      <c r="B31" s="95" t="s">
        <v>88</v>
      </c>
      <c r="C31" s="114" t="s">
        <v>89</v>
      </c>
      <c r="D31" s="115">
        <v>1000000</v>
      </c>
      <c r="E31" s="87" t="s">
        <v>32</v>
      </c>
    </row>
    <row r="32" spans="1:5" x14ac:dyDescent="0.25">
      <c r="A32" s="100">
        <v>2</v>
      </c>
      <c r="B32" s="95" t="s">
        <v>90</v>
      </c>
      <c r="C32" s="114" t="s">
        <v>89</v>
      </c>
      <c r="D32" s="115">
        <v>500000</v>
      </c>
      <c r="E32" s="87" t="s">
        <v>32</v>
      </c>
    </row>
    <row r="33" spans="1:5" x14ac:dyDescent="0.25">
      <c r="A33" s="100"/>
      <c r="B33" s="95"/>
      <c r="C33" s="122" t="s">
        <v>4</v>
      </c>
      <c r="D33" s="117">
        <f>SUM(D31:D32)</f>
        <v>1500000</v>
      </c>
      <c r="E33" s="95"/>
    </row>
    <row r="34" spans="1:5" x14ac:dyDescent="0.25">
      <c r="A34" s="120"/>
      <c r="B34" s="121" t="s">
        <v>4</v>
      </c>
      <c r="C34" s="121"/>
      <c r="D34" s="124">
        <v>79267119</v>
      </c>
      <c r="E34" s="121"/>
    </row>
  </sheetData>
  <mergeCells count="1">
    <mergeCell ref="A1: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2"/>
  <sheetViews>
    <sheetView topLeftCell="A7" workbookViewId="0">
      <selection activeCell="H10" sqref="H10"/>
    </sheetView>
  </sheetViews>
  <sheetFormatPr defaultRowHeight="15" x14ac:dyDescent="0.25"/>
  <cols>
    <col min="1" max="1" width="9.140625" style="86"/>
    <col min="2" max="2" width="88.42578125" style="86" customWidth="1"/>
    <col min="3" max="3" width="13.85546875" style="86" customWidth="1"/>
    <col min="4" max="4" width="16.28515625" style="86" customWidth="1"/>
    <col min="5" max="5" width="12" style="86" customWidth="1"/>
    <col min="6" max="16384" width="9.140625" style="86"/>
  </cols>
  <sheetData>
    <row r="1" spans="1:5" x14ac:dyDescent="0.25">
      <c r="A1" s="133" t="s">
        <v>165</v>
      </c>
      <c r="B1" s="133"/>
      <c r="C1" s="133"/>
      <c r="D1" s="133"/>
      <c r="E1" s="133"/>
    </row>
    <row r="2" spans="1:5" x14ac:dyDescent="0.25">
      <c r="A2" s="60" t="s">
        <v>86</v>
      </c>
      <c r="B2" s="61" t="s">
        <v>164</v>
      </c>
      <c r="C2" s="27" t="s">
        <v>2</v>
      </c>
      <c r="D2" s="27" t="s">
        <v>3</v>
      </c>
      <c r="E2" s="27" t="s">
        <v>7</v>
      </c>
    </row>
    <row r="3" spans="1:5" x14ac:dyDescent="0.25">
      <c r="A3" s="100">
        <v>1</v>
      </c>
      <c r="B3" s="92" t="s">
        <v>102</v>
      </c>
      <c r="C3" s="101">
        <v>44621</v>
      </c>
      <c r="D3" s="102">
        <v>500000</v>
      </c>
      <c r="E3" s="87" t="s">
        <v>32</v>
      </c>
    </row>
    <row r="4" spans="1:5" x14ac:dyDescent="0.25">
      <c r="A4" s="100">
        <v>2</v>
      </c>
      <c r="B4" s="92" t="s">
        <v>82</v>
      </c>
      <c r="C4" s="101">
        <v>44621</v>
      </c>
      <c r="D4" s="103">
        <v>7997999</v>
      </c>
      <c r="E4" s="87" t="s">
        <v>32</v>
      </c>
    </row>
    <row r="5" spans="1:5" x14ac:dyDescent="0.25">
      <c r="A5" s="100">
        <v>3</v>
      </c>
      <c r="B5" s="65" t="s">
        <v>135</v>
      </c>
      <c r="C5" s="104" t="s">
        <v>134</v>
      </c>
      <c r="D5" s="105">
        <v>3000000</v>
      </c>
      <c r="E5" s="87" t="s">
        <v>32</v>
      </c>
    </row>
    <row r="6" spans="1:5" x14ac:dyDescent="0.25">
      <c r="A6" s="100">
        <v>4</v>
      </c>
      <c r="B6" s="48" t="s">
        <v>153</v>
      </c>
      <c r="C6" s="106">
        <v>44621</v>
      </c>
      <c r="D6" s="107">
        <v>2666000</v>
      </c>
      <c r="E6" s="56" t="s">
        <v>32</v>
      </c>
    </row>
    <row r="7" spans="1:5" x14ac:dyDescent="0.25">
      <c r="A7" s="100">
        <v>5</v>
      </c>
      <c r="B7" s="48" t="s">
        <v>149</v>
      </c>
      <c r="C7" s="108">
        <v>44652</v>
      </c>
      <c r="D7" s="107">
        <v>325000</v>
      </c>
      <c r="E7" s="56" t="s">
        <v>32</v>
      </c>
    </row>
    <row r="8" spans="1:5" x14ac:dyDescent="0.25">
      <c r="A8" s="100">
        <v>6</v>
      </c>
      <c r="B8" s="65" t="s">
        <v>67</v>
      </c>
      <c r="C8" s="108">
        <v>44652</v>
      </c>
      <c r="D8" s="107">
        <v>1000000</v>
      </c>
      <c r="E8" s="56" t="s">
        <v>32</v>
      </c>
    </row>
    <row r="9" spans="1:5" x14ac:dyDescent="0.25">
      <c r="A9" s="100">
        <v>7</v>
      </c>
      <c r="B9" s="48" t="s">
        <v>151</v>
      </c>
      <c r="C9" s="108">
        <v>44652</v>
      </c>
      <c r="D9" s="107">
        <v>900000</v>
      </c>
      <c r="E9" s="56" t="s">
        <v>32</v>
      </c>
    </row>
    <row r="10" spans="1:5" x14ac:dyDescent="0.25">
      <c r="A10" s="100">
        <v>8</v>
      </c>
      <c r="B10" s="48" t="s">
        <v>150</v>
      </c>
      <c r="C10" s="108">
        <v>44652</v>
      </c>
      <c r="D10" s="107">
        <v>1000000</v>
      </c>
      <c r="E10" s="56" t="s">
        <v>32</v>
      </c>
    </row>
    <row r="11" spans="1:5" x14ac:dyDescent="0.25">
      <c r="A11" s="100">
        <v>9</v>
      </c>
      <c r="B11" s="48" t="s">
        <v>152</v>
      </c>
      <c r="C11" s="108">
        <v>44682</v>
      </c>
      <c r="D11" s="107">
        <v>650000</v>
      </c>
      <c r="E11" s="56" t="s">
        <v>32</v>
      </c>
    </row>
    <row r="12" spans="1:5" x14ac:dyDescent="0.25">
      <c r="A12" s="100">
        <v>10</v>
      </c>
      <c r="B12" s="65" t="s">
        <v>135</v>
      </c>
      <c r="C12" s="104" t="s">
        <v>154</v>
      </c>
      <c r="D12" s="105">
        <v>3000000</v>
      </c>
      <c r="E12" s="87" t="s">
        <v>32</v>
      </c>
    </row>
    <row r="13" spans="1:5" x14ac:dyDescent="0.25">
      <c r="A13" s="100">
        <v>11</v>
      </c>
      <c r="B13" s="48" t="s">
        <v>155</v>
      </c>
      <c r="C13" s="108">
        <v>44743</v>
      </c>
      <c r="D13" s="107">
        <v>480000</v>
      </c>
      <c r="E13" s="56" t="s">
        <v>32</v>
      </c>
    </row>
    <row r="14" spans="1:5" x14ac:dyDescent="0.25">
      <c r="A14" s="109">
        <v>12</v>
      </c>
      <c r="B14" s="48" t="s">
        <v>163</v>
      </c>
      <c r="C14" s="108">
        <v>44835</v>
      </c>
      <c r="D14" s="110">
        <v>424800</v>
      </c>
      <c r="E14" s="53" t="s">
        <v>32</v>
      </c>
    </row>
    <row r="15" spans="1:5" x14ac:dyDescent="0.25">
      <c r="A15" s="100">
        <v>13</v>
      </c>
      <c r="B15" s="111" t="s">
        <v>157</v>
      </c>
      <c r="C15" s="108">
        <v>44835</v>
      </c>
      <c r="D15" s="107">
        <v>344000</v>
      </c>
      <c r="E15" s="56" t="s">
        <v>32</v>
      </c>
    </row>
    <row r="16" spans="1:5" x14ac:dyDescent="0.25">
      <c r="A16" s="100">
        <v>14</v>
      </c>
      <c r="B16" s="111" t="s">
        <v>158</v>
      </c>
      <c r="C16" s="108">
        <v>44835</v>
      </c>
      <c r="D16" s="35">
        <v>430000</v>
      </c>
      <c r="E16" s="56" t="s">
        <v>32</v>
      </c>
    </row>
    <row r="17" spans="1:5" x14ac:dyDescent="0.25">
      <c r="A17" s="100">
        <v>15</v>
      </c>
      <c r="B17" s="111" t="s">
        <v>159</v>
      </c>
      <c r="C17" s="108">
        <v>44835</v>
      </c>
      <c r="D17" s="107">
        <v>688000</v>
      </c>
      <c r="E17" s="56" t="s">
        <v>32</v>
      </c>
    </row>
    <row r="18" spans="1:5" x14ac:dyDescent="0.25">
      <c r="A18" s="100">
        <v>16</v>
      </c>
      <c r="B18" s="111" t="s">
        <v>156</v>
      </c>
      <c r="C18" s="108">
        <v>44866</v>
      </c>
      <c r="D18" s="107">
        <v>46000000</v>
      </c>
      <c r="E18" s="56" t="s">
        <v>32</v>
      </c>
    </row>
    <row r="19" spans="1:5" x14ac:dyDescent="0.25">
      <c r="A19" s="100">
        <v>17</v>
      </c>
      <c r="B19" s="111" t="s">
        <v>160</v>
      </c>
      <c r="C19" s="108">
        <v>44896</v>
      </c>
      <c r="D19" s="107">
        <v>715000</v>
      </c>
      <c r="E19" s="56" t="s">
        <v>32</v>
      </c>
    </row>
    <row r="20" spans="1:5" x14ac:dyDescent="0.25">
      <c r="A20" s="100">
        <v>18</v>
      </c>
      <c r="B20" s="111" t="s">
        <v>161</v>
      </c>
      <c r="C20" s="108">
        <v>44896</v>
      </c>
      <c r="D20" s="107">
        <v>1144000</v>
      </c>
      <c r="E20" s="56" t="s">
        <v>32</v>
      </c>
    </row>
    <row r="21" spans="1:5" x14ac:dyDescent="0.25">
      <c r="A21" s="100">
        <v>19</v>
      </c>
      <c r="B21" s="111" t="s">
        <v>162</v>
      </c>
      <c r="C21" s="108">
        <v>44896</v>
      </c>
      <c r="D21" s="107">
        <v>2565060</v>
      </c>
      <c r="E21" s="56" t="s">
        <v>32</v>
      </c>
    </row>
    <row r="22" spans="1:5" ht="24" customHeight="1" x14ac:dyDescent="0.25">
      <c r="A22" s="55"/>
      <c r="B22" s="2" t="s">
        <v>4</v>
      </c>
      <c r="C22" s="112"/>
      <c r="D22" s="113">
        <v>73829859</v>
      </c>
      <c r="E22" s="2"/>
    </row>
  </sheetData>
  <mergeCells count="1">
    <mergeCell ref="A1:E1"/>
  </mergeCells>
  <pageMargins left="0.7" right="0.7" top="0.75" bottom="0.75" header="0.3" footer="0.3"/>
  <pageSetup paperSize="9" orientation="portrait" verticalDpi="0" r:id="rId1"/>
  <ignoredErrors>
    <ignoredError sqref="C5" twoDigitTextYear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E19"/>
  <sheetViews>
    <sheetView topLeftCell="A16" workbookViewId="0">
      <selection activeCell="C10" sqref="C10"/>
    </sheetView>
  </sheetViews>
  <sheetFormatPr defaultRowHeight="15" x14ac:dyDescent="0.25"/>
  <cols>
    <col min="1" max="1" width="7.140625" style="86" bestFit="1" customWidth="1"/>
    <col min="2" max="2" width="99" style="86" bestFit="1" customWidth="1"/>
    <col min="3" max="3" width="14.140625" style="86" customWidth="1"/>
    <col min="4" max="4" width="15.5703125" style="86" customWidth="1"/>
    <col min="5" max="5" width="17.42578125" style="129" customWidth="1"/>
    <col min="6" max="8" width="9.140625" style="86"/>
    <col min="9" max="9" width="11.7109375" style="86" bestFit="1" customWidth="1"/>
    <col min="10" max="16384" width="9.140625" style="86"/>
  </cols>
  <sheetData>
    <row r="1" spans="1:5" ht="15.75" x14ac:dyDescent="0.25">
      <c r="A1" s="137" t="s">
        <v>198</v>
      </c>
      <c r="B1" s="137"/>
      <c r="C1" s="137"/>
      <c r="D1" s="137"/>
      <c r="E1" s="137"/>
    </row>
    <row r="2" spans="1:5" ht="15.75" x14ac:dyDescent="0.25">
      <c r="A2" s="134" t="s">
        <v>166</v>
      </c>
      <c r="B2" s="134"/>
      <c r="C2" s="134"/>
      <c r="D2" s="134"/>
      <c r="E2" s="134"/>
    </row>
    <row r="3" spans="1:5" ht="25.5" customHeight="1" x14ac:dyDescent="0.25">
      <c r="A3" s="126" t="s">
        <v>86</v>
      </c>
      <c r="B3" s="127" t="s">
        <v>167</v>
      </c>
      <c r="C3" s="128" t="s">
        <v>2</v>
      </c>
      <c r="D3" s="128" t="s">
        <v>3</v>
      </c>
      <c r="E3" s="128" t="s">
        <v>7</v>
      </c>
    </row>
    <row r="4" spans="1:5" s="88" customFormat="1" x14ac:dyDescent="0.25">
      <c r="A4" s="64">
        <v>1</v>
      </c>
      <c r="B4" s="65" t="s">
        <v>178</v>
      </c>
      <c r="C4" s="63" t="s">
        <v>174</v>
      </c>
      <c r="D4" s="66">
        <v>3300000</v>
      </c>
      <c r="E4" s="100" t="s">
        <v>32</v>
      </c>
    </row>
    <row r="5" spans="1:5" s="88" customFormat="1" x14ac:dyDescent="0.25">
      <c r="A5" s="64">
        <v>2</v>
      </c>
      <c r="B5" s="89" t="s">
        <v>169</v>
      </c>
      <c r="C5" s="90">
        <v>44958</v>
      </c>
      <c r="D5" s="91">
        <v>1488400</v>
      </c>
      <c r="E5" s="100" t="s">
        <v>32</v>
      </c>
    </row>
    <row r="6" spans="1:5" x14ac:dyDescent="0.25">
      <c r="A6" s="64">
        <v>3</v>
      </c>
      <c r="B6" s="92" t="s">
        <v>183</v>
      </c>
      <c r="C6" s="93">
        <v>44986</v>
      </c>
      <c r="D6" s="94">
        <v>700000</v>
      </c>
      <c r="E6" s="100" t="s">
        <v>32</v>
      </c>
    </row>
    <row r="7" spans="1:5" x14ac:dyDescent="0.25">
      <c r="A7" s="64">
        <v>4</v>
      </c>
      <c r="B7" s="95" t="s">
        <v>61</v>
      </c>
      <c r="C7" s="93">
        <v>44986</v>
      </c>
      <c r="D7" s="91">
        <v>500000</v>
      </c>
      <c r="E7" s="100" t="s">
        <v>32</v>
      </c>
    </row>
    <row r="8" spans="1:5" x14ac:dyDescent="0.25">
      <c r="A8" s="64">
        <v>5</v>
      </c>
      <c r="B8" s="65" t="s">
        <v>67</v>
      </c>
      <c r="C8" s="90">
        <v>45041</v>
      </c>
      <c r="D8" s="91">
        <v>1000000</v>
      </c>
      <c r="E8" s="100" t="s">
        <v>32</v>
      </c>
    </row>
    <row r="9" spans="1:5" x14ac:dyDescent="0.25">
      <c r="A9" s="64">
        <v>6</v>
      </c>
      <c r="B9" s="55" t="s">
        <v>168</v>
      </c>
      <c r="C9" s="90">
        <v>45047</v>
      </c>
      <c r="D9" s="91">
        <v>850000</v>
      </c>
      <c r="E9" s="100" t="s">
        <v>32</v>
      </c>
    </row>
    <row r="10" spans="1:5" x14ac:dyDescent="0.25">
      <c r="A10" s="64">
        <v>7</v>
      </c>
      <c r="B10" s="65" t="s">
        <v>178</v>
      </c>
      <c r="C10" s="63" t="s">
        <v>175</v>
      </c>
      <c r="D10" s="66">
        <v>3780000</v>
      </c>
      <c r="E10" s="100" t="s">
        <v>32</v>
      </c>
    </row>
    <row r="11" spans="1:5" x14ac:dyDescent="0.25">
      <c r="A11" s="64">
        <v>8</v>
      </c>
      <c r="B11" s="55" t="s">
        <v>170</v>
      </c>
      <c r="C11" s="90">
        <v>45078</v>
      </c>
      <c r="D11" s="96">
        <v>42000000</v>
      </c>
      <c r="E11" s="100" t="s">
        <v>32</v>
      </c>
    </row>
    <row r="12" spans="1:5" x14ac:dyDescent="0.25">
      <c r="A12" s="64">
        <v>9</v>
      </c>
      <c r="B12" s="55" t="s">
        <v>171</v>
      </c>
      <c r="C12" s="97" t="s">
        <v>179</v>
      </c>
      <c r="D12" s="91">
        <v>1215000</v>
      </c>
      <c r="E12" s="100" t="s">
        <v>32</v>
      </c>
    </row>
    <row r="13" spans="1:5" x14ac:dyDescent="0.25">
      <c r="A13" s="64">
        <v>10</v>
      </c>
      <c r="B13" s="55" t="s">
        <v>172</v>
      </c>
      <c r="C13" s="98">
        <v>45149</v>
      </c>
      <c r="D13" s="67">
        <v>1188000</v>
      </c>
      <c r="E13" s="100" t="s">
        <v>32</v>
      </c>
    </row>
    <row r="14" spans="1:5" x14ac:dyDescent="0.25">
      <c r="A14" s="64">
        <v>11</v>
      </c>
      <c r="B14" s="55" t="s">
        <v>173</v>
      </c>
      <c r="C14" s="99">
        <v>45151</v>
      </c>
      <c r="D14" s="67">
        <v>4897000</v>
      </c>
      <c r="E14" s="100" t="s">
        <v>32</v>
      </c>
    </row>
    <row r="15" spans="1:5" x14ac:dyDescent="0.25">
      <c r="A15" s="64">
        <v>12</v>
      </c>
      <c r="B15" s="55" t="s">
        <v>184</v>
      </c>
      <c r="C15" s="99">
        <v>45151</v>
      </c>
      <c r="D15" s="67">
        <v>2000000</v>
      </c>
      <c r="E15" s="100" t="s">
        <v>32</v>
      </c>
    </row>
    <row r="16" spans="1:5" x14ac:dyDescent="0.25">
      <c r="A16" s="64">
        <v>13</v>
      </c>
      <c r="B16" s="55" t="s">
        <v>182</v>
      </c>
      <c r="C16" s="99">
        <v>45164</v>
      </c>
      <c r="D16" s="67">
        <v>320000</v>
      </c>
      <c r="E16" s="100" t="s">
        <v>181</v>
      </c>
    </row>
    <row r="17" spans="1:5" x14ac:dyDescent="0.25">
      <c r="A17" s="64">
        <v>14</v>
      </c>
      <c r="B17" s="65" t="s">
        <v>178</v>
      </c>
      <c r="C17" s="55" t="s">
        <v>176</v>
      </c>
      <c r="D17" s="96">
        <v>2520000</v>
      </c>
      <c r="E17" s="100" t="s">
        <v>32</v>
      </c>
    </row>
    <row r="18" spans="1:5" x14ac:dyDescent="0.25">
      <c r="A18" s="64">
        <v>15</v>
      </c>
      <c r="B18" s="95" t="s">
        <v>178</v>
      </c>
      <c r="C18" s="90" t="s">
        <v>180</v>
      </c>
      <c r="D18" s="96">
        <v>5040000</v>
      </c>
      <c r="E18" s="100" t="s">
        <v>32</v>
      </c>
    </row>
    <row r="19" spans="1:5" ht="15.75" x14ac:dyDescent="0.25">
      <c r="A19" s="136" t="s">
        <v>177</v>
      </c>
      <c r="B19" s="136"/>
      <c r="C19" s="135">
        <f>SUM(D4:D18)</f>
        <v>70798400</v>
      </c>
      <c r="D19" s="135"/>
      <c r="E19" s="135"/>
    </row>
  </sheetData>
  <mergeCells count="4">
    <mergeCell ref="A2:E2"/>
    <mergeCell ref="C19:E19"/>
    <mergeCell ref="A19:B19"/>
    <mergeCell ref="A1:E1"/>
  </mergeCells>
  <conditionalFormatting sqref="B6:B7">
    <cfRule type="duplicateValues" dxfId="38" priority="13"/>
  </conditionalFormatting>
  <conditionalFormatting sqref="B4">
    <cfRule type="duplicateValues" dxfId="37" priority="7"/>
  </conditionalFormatting>
  <conditionalFormatting sqref="B5">
    <cfRule type="duplicateValues" dxfId="36" priority="6"/>
  </conditionalFormatting>
  <conditionalFormatting sqref="B10">
    <cfRule type="duplicateValues" dxfId="35" priority="4"/>
  </conditionalFormatting>
  <conditionalFormatting sqref="B17">
    <cfRule type="duplicateValues" dxfId="34" priority="2"/>
  </conditionalFormatting>
  <conditionalFormatting sqref="B18">
    <cfRule type="duplicateValues" dxfId="33" priority="1"/>
  </conditionalFormatting>
  <pageMargins left="0.7" right="0.7" top="0.75" bottom="0.75" header="0.3" footer="0.3"/>
  <pageSetup scale="79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E19"/>
  <sheetViews>
    <sheetView zoomScaleNormal="100" workbookViewId="0">
      <selection activeCell="B3" sqref="B3"/>
    </sheetView>
  </sheetViews>
  <sheetFormatPr defaultRowHeight="24.95" customHeight="1" x14ac:dyDescent="0.25"/>
  <cols>
    <col min="1" max="1" width="9.140625" style="68"/>
    <col min="2" max="2" width="128.7109375" style="68" customWidth="1"/>
    <col min="3" max="3" width="13.85546875" style="80" bestFit="1" customWidth="1"/>
    <col min="4" max="4" width="13.140625" style="81" customWidth="1"/>
    <col min="5" max="5" width="15.42578125" style="80" customWidth="1"/>
    <col min="6" max="16384" width="9.140625" style="68"/>
  </cols>
  <sheetData>
    <row r="1" spans="1:5" ht="24.95" customHeight="1" x14ac:dyDescent="0.25">
      <c r="A1" s="141" t="s">
        <v>198</v>
      </c>
      <c r="B1" s="141"/>
      <c r="C1" s="141"/>
      <c r="D1" s="141"/>
      <c r="E1" s="141"/>
    </row>
    <row r="2" spans="1:5" ht="24.95" customHeight="1" x14ac:dyDescent="0.25">
      <c r="A2" s="138" t="s">
        <v>192</v>
      </c>
      <c r="B2" s="138"/>
      <c r="C2" s="138"/>
      <c r="D2" s="138"/>
      <c r="E2" s="138"/>
    </row>
    <row r="3" spans="1:5" ht="24.95" customHeight="1" x14ac:dyDescent="0.25">
      <c r="A3" s="69" t="s">
        <v>86</v>
      </c>
      <c r="B3" s="125" t="s">
        <v>221</v>
      </c>
      <c r="C3" s="125" t="s">
        <v>2</v>
      </c>
      <c r="D3" s="125" t="s">
        <v>3</v>
      </c>
      <c r="E3" s="125" t="s">
        <v>7</v>
      </c>
    </row>
    <row r="4" spans="1:5" ht="24.95" customHeight="1" x14ac:dyDescent="0.25">
      <c r="A4" s="70">
        <v>1</v>
      </c>
      <c r="B4" s="77" t="s">
        <v>191</v>
      </c>
      <c r="C4" s="71" t="s">
        <v>189</v>
      </c>
      <c r="D4" s="72">
        <v>3120000</v>
      </c>
      <c r="E4" s="78" t="s">
        <v>32</v>
      </c>
    </row>
    <row r="5" spans="1:5" ht="24.95" customHeight="1" x14ac:dyDescent="0.25">
      <c r="A5" s="70">
        <v>2</v>
      </c>
      <c r="B5" s="82" t="s">
        <v>185</v>
      </c>
      <c r="C5" s="79">
        <v>45323</v>
      </c>
      <c r="D5" s="75">
        <v>4419800</v>
      </c>
      <c r="E5" s="78" t="s">
        <v>32</v>
      </c>
    </row>
    <row r="6" spans="1:5" ht="24.95" customHeight="1" x14ac:dyDescent="0.25">
      <c r="A6" s="70">
        <v>3</v>
      </c>
      <c r="B6" s="83" t="s">
        <v>188</v>
      </c>
      <c r="C6" s="84">
        <v>45346</v>
      </c>
      <c r="D6" s="73">
        <v>498000</v>
      </c>
      <c r="E6" s="78" t="s">
        <v>32</v>
      </c>
    </row>
    <row r="7" spans="1:5" ht="24.95" customHeight="1" x14ac:dyDescent="0.25">
      <c r="A7" s="70">
        <v>4</v>
      </c>
      <c r="B7" s="83" t="s">
        <v>187</v>
      </c>
      <c r="C7" s="84">
        <v>45346</v>
      </c>
      <c r="D7" s="75">
        <v>1000000</v>
      </c>
      <c r="E7" s="78" t="s">
        <v>32</v>
      </c>
    </row>
    <row r="8" spans="1:5" ht="24.95" customHeight="1" x14ac:dyDescent="0.25">
      <c r="A8" s="70">
        <v>5</v>
      </c>
      <c r="B8" s="77" t="s">
        <v>186</v>
      </c>
      <c r="C8" s="71" t="s">
        <v>190</v>
      </c>
      <c r="D8" s="72">
        <v>9360000</v>
      </c>
      <c r="E8" s="85" t="s">
        <v>195</v>
      </c>
    </row>
    <row r="9" spans="1:5" ht="24.95" customHeight="1" x14ac:dyDescent="0.25">
      <c r="A9" s="70">
        <v>6</v>
      </c>
      <c r="B9" s="77" t="s">
        <v>67</v>
      </c>
      <c r="C9" s="79">
        <v>45375</v>
      </c>
      <c r="D9" s="75">
        <v>1000000</v>
      </c>
      <c r="E9" s="78" t="s">
        <v>32</v>
      </c>
    </row>
    <row r="10" spans="1:5" ht="24.95" customHeight="1" x14ac:dyDescent="0.25">
      <c r="A10" s="70">
        <v>7</v>
      </c>
      <c r="B10" s="74" t="s">
        <v>61</v>
      </c>
      <c r="C10" s="84">
        <v>45383</v>
      </c>
      <c r="D10" s="75">
        <v>500000</v>
      </c>
      <c r="E10" s="78" t="s">
        <v>32</v>
      </c>
    </row>
    <row r="11" spans="1:5" ht="24.95" customHeight="1" x14ac:dyDescent="0.25">
      <c r="A11" s="70">
        <v>8</v>
      </c>
      <c r="B11" s="74" t="s">
        <v>193</v>
      </c>
      <c r="C11" s="84">
        <v>45420</v>
      </c>
      <c r="D11" s="75">
        <v>100000</v>
      </c>
      <c r="E11" s="78" t="s">
        <v>32</v>
      </c>
    </row>
    <row r="12" spans="1:5" ht="24.95" customHeight="1" x14ac:dyDescent="0.25">
      <c r="A12" s="70">
        <v>9</v>
      </c>
      <c r="B12" s="74" t="s">
        <v>196</v>
      </c>
      <c r="C12" s="84">
        <v>45420</v>
      </c>
      <c r="D12" s="75">
        <v>100000</v>
      </c>
      <c r="E12" s="78" t="s">
        <v>32</v>
      </c>
    </row>
    <row r="13" spans="1:5" ht="24.95" customHeight="1" x14ac:dyDescent="0.25">
      <c r="A13" s="70">
        <v>10</v>
      </c>
      <c r="B13" s="74" t="s">
        <v>194</v>
      </c>
      <c r="C13" s="84">
        <v>45420</v>
      </c>
      <c r="D13" s="75">
        <v>15000000</v>
      </c>
      <c r="E13" s="78" t="s">
        <v>32</v>
      </c>
    </row>
    <row r="14" spans="1:5" ht="24.95" customHeight="1" x14ac:dyDescent="0.25">
      <c r="A14" s="70">
        <v>11</v>
      </c>
      <c r="B14" s="74" t="s">
        <v>197</v>
      </c>
      <c r="C14" s="84">
        <v>45444</v>
      </c>
      <c r="D14" s="75">
        <v>100000</v>
      </c>
      <c r="E14" s="78" t="s">
        <v>32</v>
      </c>
    </row>
    <row r="15" spans="1:5" ht="24.95" customHeight="1" x14ac:dyDescent="0.25">
      <c r="A15" s="70">
        <v>12</v>
      </c>
      <c r="B15" s="74" t="s">
        <v>199</v>
      </c>
      <c r="C15" s="84">
        <v>45456</v>
      </c>
      <c r="D15" s="75">
        <v>500000</v>
      </c>
      <c r="E15" s="78" t="s">
        <v>32</v>
      </c>
    </row>
    <row r="16" spans="1:5" ht="24.95" customHeight="1" x14ac:dyDescent="0.25">
      <c r="A16" s="70">
        <v>13</v>
      </c>
      <c r="B16" s="74" t="s">
        <v>200</v>
      </c>
      <c r="C16" s="84">
        <v>45457</v>
      </c>
      <c r="D16" s="75">
        <v>500000</v>
      </c>
      <c r="E16" s="78" t="s">
        <v>32</v>
      </c>
    </row>
    <row r="17" spans="1:5" ht="20.100000000000001" customHeight="1" x14ac:dyDescent="0.25">
      <c r="A17" s="70">
        <v>14</v>
      </c>
      <c r="B17" s="74" t="s">
        <v>201</v>
      </c>
      <c r="C17" s="84">
        <v>45610</v>
      </c>
      <c r="D17" s="76">
        <v>600000</v>
      </c>
      <c r="E17" s="78" t="s">
        <v>32</v>
      </c>
    </row>
    <row r="18" spans="1:5" ht="20.100000000000001" customHeight="1" x14ac:dyDescent="0.25">
      <c r="A18" s="70">
        <v>14</v>
      </c>
      <c r="B18" s="74" t="s">
        <v>202</v>
      </c>
      <c r="C18" s="84">
        <v>45640</v>
      </c>
      <c r="D18" s="76">
        <v>9360000</v>
      </c>
      <c r="E18" s="78" t="s">
        <v>32</v>
      </c>
    </row>
    <row r="19" spans="1:5" ht="24.95" customHeight="1" x14ac:dyDescent="0.25">
      <c r="A19" s="139" t="s">
        <v>177</v>
      </c>
      <c r="B19" s="139"/>
      <c r="C19" s="140">
        <f>SUM(D4:D18)</f>
        <v>46157800</v>
      </c>
      <c r="D19" s="140"/>
      <c r="E19" s="140"/>
    </row>
  </sheetData>
  <mergeCells count="4">
    <mergeCell ref="A2:E2"/>
    <mergeCell ref="A19:B19"/>
    <mergeCell ref="C19:E19"/>
    <mergeCell ref="A1:E1"/>
  </mergeCells>
  <conditionalFormatting sqref="B6:B7">
    <cfRule type="duplicateValues" dxfId="32" priority="9"/>
  </conditionalFormatting>
  <conditionalFormatting sqref="B4">
    <cfRule type="duplicateValues" dxfId="31" priority="8"/>
  </conditionalFormatting>
  <conditionalFormatting sqref="B5">
    <cfRule type="duplicateValues" dxfId="30" priority="7"/>
  </conditionalFormatting>
  <conditionalFormatting sqref="B8">
    <cfRule type="duplicateValues" dxfId="29" priority="3"/>
  </conditionalFormatting>
  <conditionalFormatting sqref="B12">
    <cfRule type="duplicateValues" dxfId="28" priority="2"/>
  </conditionalFormatting>
  <conditionalFormatting sqref="B10:B11">
    <cfRule type="duplicateValues" dxfId="27" priority="1"/>
  </conditionalFormatting>
  <pageMargins left="0.7" right="0.7" top="0.75" bottom="0.75" header="0.3" footer="0.3"/>
  <pageSetup paperSize="9" scale="72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41089-3D25-4EA8-BDD4-882F94ED0744}">
  <dimension ref="A1:E20"/>
  <sheetViews>
    <sheetView zoomScaleNormal="100" workbookViewId="0">
      <selection activeCell="B3" sqref="B3"/>
    </sheetView>
  </sheetViews>
  <sheetFormatPr defaultRowHeight="15" x14ac:dyDescent="0.25"/>
  <cols>
    <col min="1" max="1" width="9.140625" style="68"/>
    <col min="2" max="2" width="128.7109375" style="68" customWidth="1"/>
    <col min="3" max="3" width="13.85546875" style="132" bestFit="1" customWidth="1"/>
    <col min="4" max="4" width="13.140625" style="81" customWidth="1"/>
    <col min="5" max="5" width="15.42578125" style="80" customWidth="1"/>
    <col min="6" max="16384" width="9.140625" style="68"/>
  </cols>
  <sheetData>
    <row r="1" spans="1:5" ht="24.95" customHeight="1" x14ac:dyDescent="0.25">
      <c r="A1" s="141" t="s">
        <v>198</v>
      </c>
      <c r="B1" s="141"/>
      <c r="C1" s="141"/>
      <c r="D1" s="141"/>
      <c r="E1" s="141"/>
    </row>
    <row r="2" spans="1:5" ht="24.95" customHeight="1" x14ac:dyDescent="0.25">
      <c r="A2" s="138" t="s">
        <v>203</v>
      </c>
      <c r="B2" s="138"/>
      <c r="C2" s="138"/>
      <c r="D2" s="138"/>
      <c r="E2" s="138"/>
    </row>
    <row r="3" spans="1:5" ht="24.95" customHeight="1" x14ac:dyDescent="0.25">
      <c r="A3" s="69" t="s">
        <v>86</v>
      </c>
      <c r="B3" s="125" t="s">
        <v>220</v>
      </c>
      <c r="C3" s="125" t="s">
        <v>2</v>
      </c>
      <c r="D3" s="125" t="s">
        <v>3</v>
      </c>
      <c r="E3" s="125" t="s">
        <v>7</v>
      </c>
    </row>
    <row r="4" spans="1:5" ht="24.95" customHeight="1" x14ac:dyDescent="0.25">
      <c r="A4" s="70">
        <v>1</v>
      </c>
      <c r="B4" s="77" t="s">
        <v>204</v>
      </c>
      <c r="C4" s="130">
        <v>45684</v>
      </c>
      <c r="D4" s="72">
        <v>500000</v>
      </c>
      <c r="E4" s="78" t="s">
        <v>205</v>
      </c>
    </row>
    <row r="5" spans="1:5" ht="24.95" customHeight="1" x14ac:dyDescent="0.25">
      <c r="A5" s="70">
        <v>2</v>
      </c>
      <c r="B5" s="77" t="s">
        <v>206</v>
      </c>
      <c r="C5" s="130">
        <v>45715</v>
      </c>
      <c r="D5" s="75">
        <v>500000</v>
      </c>
      <c r="E5" s="78" t="s">
        <v>205</v>
      </c>
    </row>
    <row r="6" spans="1:5" ht="24.95" customHeight="1" x14ac:dyDescent="0.25">
      <c r="A6" s="70">
        <v>3</v>
      </c>
      <c r="B6" s="77" t="s">
        <v>204</v>
      </c>
      <c r="C6" s="130">
        <v>45743</v>
      </c>
      <c r="D6" s="73">
        <v>500000</v>
      </c>
      <c r="E6" s="78" t="s">
        <v>205</v>
      </c>
    </row>
    <row r="7" spans="1:5" ht="24.95" customHeight="1" x14ac:dyDescent="0.25">
      <c r="A7" s="70">
        <v>4</v>
      </c>
      <c r="B7" s="77" t="s">
        <v>207</v>
      </c>
      <c r="C7" s="131">
        <v>45756</v>
      </c>
      <c r="D7" s="75">
        <v>6240000</v>
      </c>
      <c r="E7" s="78" t="s">
        <v>205</v>
      </c>
    </row>
    <row r="8" spans="1:5" ht="24.95" customHeight="1" x14ac:dyDescent="0.25">
      <c r="A8" s="70">
        <v>5</v>
      </c>
      <c r="B8" s="74" t="s">
        <v>61</v>
      </c>
      <c r="C8" s="130">
        <v>45757</v>
      </c>
      <c r="D8" s="72">
        <v>500000</v>
      </c>
      <c r="E8" s="78" t="s">
        <v>205</v>
      </c>
    </row>
    <row r="9" spans="1:5" ht="24.95" customHeight="1" x14ac:dyDescent="0.25">
      <c r="A9" s="70">
        <v>6</v>
      </c>
      <c r="B9" s="77" t="s">
        <v>208</v>
      </c>
      <c r="C9" s="130">
        <v>45787</v>
      </c>
      <c r="D9" s="75">
        <v>27800000</v>
      </c>
      <c r="E9" s="78" t="s">
        <v>205</v>
      </c>
    </row>
    <row r="10" spans="1:5" ht="24.95" customHeight="1" x14ac:dyDescent="0.25">
      <c r="A10" s="70">
        <v>7</v>
      </c>
      <c r="B10" s="74" t="s">
        <v>209</v>
      </c>
      <c r="C10" s="130">
        <v>45818</v>
      </c>
      <c r="D10" s="75">
        <v>1000000</v>
      </c>
      <c r="E10" s="78" t="s">
        <v>205</v>
      </c>
    </row>
    <row r="11" spans="1:5" ht="24.95" customHeight="1" x14ac:dyDescent="0.25">
      <c r="A11" s="70">
        <v>8</v>
      </c>
      <c r="B11" s="74" t="s">
        <v>210</v>
      </c>
      <c r="C11" s="130">
        <v>45818</v>
      </c>
      <c r="D11" s="75">
        <v>14000000</v>
      </c>
      <c r="E11" s="78" t="s">
        <v>205</v>
      </c>
    </row>
    <row r="12" spans="1:5" ht="24.95" customHeight="1" x14ac:dyDescent="0.25">
      <c r="A12" s="70">
        <v>9</v>
      </c>
      <c r="B12" s="77" t="s">
        <v>67</v>
      </c>
      <c r="C12" s="130">
        <v>45818</v>
      </c>
      <c r="D12" s="75">
        <v>1000000</v>
      </c>
      <c r="E12" s="78" t="s">
        <v>205</v>
      </c>
    </row>
    <row r="13" spans="1:5" ht="24.95" customHeight="1" x14ac:dyDescent="0.25">
      <c r="A13" s="70">
        <v>10</v>
      </c>
      <c r="B13" s="74" t="s">
        <v>214</v>
      </c>
      <c r="C13" s="130">
        <v>45818</v>
      </c>
      <c r="D13" s="75">
        <v>10000000</v>
      </c>
      <c r="E13" s="78" t="s">
        <v>205</v>
      </c>
    </row>
    <row r="14" spans="1:5" ht="24.95" customHeight="1" x14ac:dyDescent="0.25">
      <c r="A14" s="70">
        <v>11</v>
      </c>
      <c r="B14" s="74" t="s">
        <v>213</v>
      </c>
      <c r="C14" s="130">
        <v>45897</v>
      </c>
      <c r="D14" s="75">
        <v>500000</v>
      </c>
      <c r="E14" s="78" t="s">
        <v>205</v>
      </c>
    </row>
    <row r="15" spans="1:5" ht="24.95" customHeight="1" x14ac:dyDescent="0.25">
      <c r="A15" s="70">
        <v>12</v>
      </c>
      <c r="B15" s="74" t="s">
        <v>212</v>
      </c>
      <c r="C15" s="130">
        <v>45904</v>
      </c>
      <c r="D15" s="75">
        <v>5000000</v>
      </c>
      <c r="E15" s="78" t="s">
        <v>205</v>
      </c>
    </row>
    <row r="16" spans="1:5" ht="20.100000000000001" customHeight="1" x14ac:dyDescent="0.25">
      <c r="A16" s="70">
        <v>13</v>
      </c>
      <c r="B16" s="74" t="s">
        <v>211</v>
      </c>
      <c r="C16" s="130">
        <v>45928</v>
      </c>
      <c r="D16" s="75">
        <v>8806000</v>
      </c>
      <c r="E16" s="78" t="s">
        <v>205</v>
      </c>
    </row>
    <row r="17" spans="1:5" ht="20.100000000000001" customHeight="1" x14ac:dyDescent="0.25">
      <c r="A17" s="70">
        <v>14</v>
      </c>
      <c r="B17" s="74" t="s">
        <v>215</v>
      </c>
      <c r="C17" s="131">
        <v>45942</v>
      </c>
      <c r="D17" s="76">
        <v>1500000</v>
      </c>
      <c r="E17" s="78" t="s">
        <v>205</v>
      </c>
    </row>
    <row r="18" spans="1:5" ht="20.100000000000001" customHeight="1" x14ac:dyDescent="0.25">
      <c r="A18" s="70">
        <v>15</v>
      </c>
      <c r="B18" s="74" t="s">
        <v>217</v>
      </c>
      <c r="C18" s="130">
        <v>45972</v>
      </c>
      <c r="D18" s="75">
        <v>21150000</v>
      </c>
      <c r="E18" s="78" t="s">
        <v>205</v>
      </c>
    </row>
    <row r="19" spans="1:5" ht="20.100000000000001" customHeight="1" x14ac:dyDescent="0.25">
      <c r="A19" s="70">
        <v>14</v>
      </c>
      <c r="B19" s="77" t="s">
        <v>216</v>
      </c>
      <c r="C19" s="131">
        <v>45979</v>
      </c>
      <c r="D19" s="76">
        <v>3500000</v>
      </c>
      <c r="E19" s="78" t="s">
        <v>205</v>
      </c>
    </row>
    <row r="20" spans="1:5" ht="24.95" customHeight="1" x14ac:dyDescent="0.25">
      <c r="A20" s="139" t="s">
        <v>177</v>
      </c>
      <c r="B20" s="139"/>
      <c r="C20" s="140">
        <f>SUM(D4:D19)</f>
        <v>102496000</v>
      </c>
      <c r="D20" s="140"/>
      <c r="E20" s="140"/>
    </row>
  </sheetData>
  <mergeCells count="4">
    <mergeCell ref="A1:E1"/>
    <mergeCell ref="A2:E2"/>
    <mergeCell ref="A20:B20"/>
    <mergeCell ref="C20:E20"/>
  </mergeCells>
  <conditionalFormatting sqref="B4">
    <cfRule type="duplicateValues" dxfId="26" priority="12"/>
  </conditionalFormatting>
  <conditionalFormatting sqref="B11">
    <cfRule type="duplicateValues" dxfId="25" priority="9"/>
  </conditionalFormatting>
  <conditionalFormatting sqref="B10">
    <cfRule type="duplicateValues" dxfId="24" priority="8"/>
  </conditionalFormatting>
  <conditionalFormatting sqref="B5">
    <cfRule type="duplicateValues" dxfId="23" priority="7"/>
  </conditionalFormatting>
  <conditionalFormatting sqref="B6">
    <cfRule type="duplicateValues" dxfId="22" priority="6"/>
  </conditionalFormatting>
  <conditionalFormatting sqref="B7">
    <cfRule type="duplicateValues" dxfId="21" priority="5"/>
  </conditionalFormatting>
  <conditionalFormatting sqref="B8">
    <cfRule type="duplicateValues" dxfId="20" priority="4"/>
  </conditionalFormatting>
  <conditionalFormatting sqref="B9">
    <cfRule type="duplicateValues" dxfId="19" priority="2"/>
  </conditionalFormatting>
  <conditionalFormatting sqref="B19">
    <cfRule type="duplicateValues" dxfId="18" priority="1"/>
  </conditionalFormatting>
  <pageMargins left="0.7" right="0.7" top="0.75" bottom="0.75" header="0.3" footer="0.3"/>
  <pageSetup paperSize="9" scale="72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6F68-D0B9-4DF5-BA2E-A24323DDFE0B}">
  <dimension ref="A1:E20"/>
  <sheetViews>
    <sheetView tabSelected="1" workbookViewId="0">
      <selection sqref="A1:E1"/>
    </sheetView>
  </sheetViews>
  <sheetFormatPr defaultRowHeight="15" x14ac:dyDescent="0.25"/>
  <cols>
    <col min="1" max="1" width="9.140625" style="68"/>
    <col min="2" max="2" width="128.7109375" style="68" customWidth="1"/>
    <col min="3" max="3" width="13.85546875" style="132" bestFit="1" customWidth="1"/>
    <col min="4" max="4" width="13.140625" style="81" customWidth="1"/>
    <col min="5" max="5" width="15.42578125" style="80" customWidth="1"/>
    <col min="6" max="16384" width="9.140625" style="68"/>
  </cols>
  <sheetData>
    <row r="1" spans="1:5" ht="24.95" customHeight="1" x14ac:dyDescent="0.25">
      <c r="A1" s="141" t="s">
        <v>198</v>
      </c>
      <c r="B1" s="141"/>
      <c r="C1" s="141"/>
      <c r="D1" s="141"/>
      <c r="E1" s="141"/>
    </row>
    <row r="2" spans="1:5" ht="24.95" customHeight="1" x14ac:dyDescent="0.25">
      <c r="A2" s="138" t="s">
        <v>218</v>
      </c>
      <c r="B2" s="138"/>
      <c r="C2" s="138"/>
      <c r="D2" s="138"/>
      <c r="E2" s="138"/>
    </row>
    <row r="3" spans="1:5" ht="24.95" customHeight="1" x14ac:dyDescent="0.25">
      <c r="A3" s="69" t="s">
        <v>86</v>
      </c>
      <c r="B3" s="125" t="s">
        <v>219</v>
      </c>
      <c r="C3" s="125" t="s">
        <v>2</v>
      </c>
      <c r="D3" s="125" t="s">
        <v>3</v>
      </c>
      <c r="E3" s="125" t="s">
        <v>7</v>
      </c>
    </row>
    <row r="4" spans="1:5" ht="24.95" customHeight="1" x14ac:dyDescent="0.25">
      <c r="A4" s="70">
        <v>1</v>
      </c>
      <c r="B4" s="77"/>
      <c r="C4" s="130"/>
      <c r="D4" s="72"/>
      <c r="E4" s="78"/>
    </row>
    <row r="5" spans="1:5" ht="24.95" customHeight="1" x14ac:dyDescent="0.25">
      <c r="A5" s="70">
        <v>2</v>
      </c>
      <c r="B5" s="77"/>
      <c r="C5" s="130"/>
      <c r="D5" s="75"/>
      <c r="E5" s="78"/>
    </row>
    <row r="6" spans="1:5" ht="24.95" customHeight="1" x14ac:dyDescent="0.25">
      <c r="A6" s="70">
        <v>3</v>
      </c>
      <c r="B6" s="77"/>
      <c r="C6" s="130"/>
      <c r="D6" s="73"/>
      <c r="E6" s="78"/>
    </row>
    <row r="7" spans="1:5" ht="24.95" customHeight="1" x14ac:dyDescent="0.25">
      <c r="A7" s="70">
        <v>4</v>
      </c>
      <c r="B7" s="77"/>
      <c r="C7" s="131"/>
      <c r="D7" s="75"/>
      <c r="E7" s="78"/>
    </row>
    <row r="8" spans="1:5" ht="24.95" customHeight="1" x14ac:dyDescent="0.25">
      <c r="A8" s="70">
        <v>5</v>
      </c>
      <c r="B8" s="74"/>
      <c r="C8" s="130"/>
      <c r="D8" s="72"/>
      <c r="E8" s="78"/>
    </row>
    <row r="9" spans="1:5" ht="24.95" customHeight="1" x14ac:dyDescent="0.25">
      <c r="A9" s="70">
        <v>6</v>
      </c>
      <c r="B9" s="77"/>
      <c r="C9" s="130"/>
      <c r="D9" s="75"/>
      <c r="E9" s="78"/>
    </row>
    <row r="10" spans="1:5" ht="24.95" customHeight="1" x14ac:dyDescent="0.25">
      <c r="A10" s="70">
        <v>7</v>
      </c>
      <c r="B10" s="74"/>
      <c r="C10" s="130"/>
      <c r="D10" s="75"/>
      <c r="E10" s="78"/>
    </row>
    <row r="11" spans="1:5" ht="24.95" customHeight="1" x14ac:dyDescent="0.25">
      <c r="A11" s="70">
        <v>8</v>
      </c>
      <c r="B11" s="74"/>
      <c r="C11" s="130"/>
      <c r="D11" s="75"/>
      <c r="E11" s="78"/>
    </row>
    <row r="12" spans="1:5" ht="24.95" customHeight="1" x14ac:dyDescent="0.25">
      <c r="A12" s="70">
        <v>9</v>
      </c>
      <c r="B12" s="77"/>
      <c r="C12" s="130"/>
      <c r="D12" s="75"/>
      <c r="E12" s="78"/>
    </row>
    <row r="13" spans="1:5" ht="24.95" customHeight="1" x14ac:dyDescent="0.25">
      <c r="A13" s="70">
        <v>10</v>
      </c>
      <c r="B13" s="74"/>
      <c r="C13" s="130"/>
      <c r="D13" s="75"/>
      <c r="E13" s="78"/>
    </row>
    <row r="14" spans="1:5" ht="24.95" customHeight="1" x14ac:dyDescent="0.25">
      <c r="A14" s="70">
        <v>11</v>
      </c>
      <c r="B14" s="74"/>
      <c r="C14" s="130"/>
      <c r="D14" s="75"/>
      <c r="E14" s="78"/>
    </row>
    <row r="15" spans="1:5" ht="24.95" customHeight="1" x14ac:dyDescent="0.25">
      <c r="A15" s="70">
        <v>12</v>
      </c>
      <c r="B15" s="74"/>
      <c r="C15" s="130"/>
      <c r="D15" s="75"/>
      <c r="E15" s="78"/>
    </row>
    <row r="16" spans="1:5" ht="20.100000000000001" customHeight="1" x14ac:dyDescent="0.25">
      <c r="A16" s="70">
        <v>13</v>
      </c>
      <c r="B16" s="74"/>
      <c r="C16" s="130"/>
      <c r="D16" s="75"/>
      <c r="E16" s="78"/>
    </row>
    <row r="17" spans="1:5" ht="20.100000000000001" customHeight="1" x14ac:dyDescent="0.25">
      <c r="A17" s="70">
        <v>14</v>
      </c>
      <c r="B17" s="74"/>
      <c r="C17" s="131"/>
      <c r="D17" s="76"/>
      <c r="E17" s="78"/>
    </row>
    <row r="18" spans="1:5" ht="20.100000000000001" customHeight="1" x14ac:dyDescent="0.25">
      <c r="A18" s="70">
        <v>15</v>
      </c>
      <c r="B18" s="74"/>
      <c r="C18" s="130"/>
      <c r="D18" s="75"/>
      <c r="E18" s="78"/>
    </row>
    <row r="19" spans="1:5" ht="20.100000000000001" customHeight="1" x14ac:dyDescent="0.25">
      <c r="A19" s="70">
        <v>14</v>
      </c>
      <c r="B19" s="77"/>
      <c r="C19" s="131"/>
      <c r="D19" s="76"/>
      <c r="E19" s="78"/>
    </row>
    <row r="20" spans="1:5" ht="24.95" customHeight="1" x14ac:dyDescent="0.25">
      <c r="A20" s="139" t="s">
        <v>177</v>
      </c>
      <c r="B20" s="139"/>
      <c r="C20" s="140">
        <f>SUM(D4:D19)</f>
        <v>0</v>
      </c>
      <c r="D20" s="140"/>
      <c r="E20" s="140"/>
    </row>
  </sheetData>
  <mergeCells count="4">
    <mergeCell ref="A1:E1"/>
    <mergeCell ref="A2:E2"/>
    <mergeCell ref="A20:B20"/>
    <mergeCell ref="C20:E20"/>
  </mergeCells>
  <conditionalFormatting sqref="B4">
    <cfRule type="duplicateValues" dxfId="8" priority="9"/>
  </conditionalFormatting>
  <conditionalFormatting sqref="B11">
    <cfRule type="duplicateValues" dxfId="7" priority="8"/>
  </conditionalFormatting>
  <conditionalFormatting sqref="B10">
    <cfRule type="duplicateValues" dxfId="6" priority="7"/>
  </conditionalFormatting>
  <conditionalFormatting sqref="B5">
    <cfRule type="duplicateValues" dxfId="5" priority="6"/>
  </conditionalFormatting>
  <conditionalFormatting sqref="B6">
    <cfRule type="duplicateValues" dxfId="4" priority="5"/>
  </conditionalFormatting>
  <conditionalFormatting sqref="B7">
    <cfRule type="duplicateValues" dxfId="3" priority="4"/>
  </conditionalFormatting>
  <conditionalFormatting sqref="B8">
    <cfRule type="duplicateValues" dxfId="2" priority="3"/>
  </conditionalFormatting>
  <conditionalFormatting sqref="B9">
    <cfRule type="duplicateValues" dxfId="1" priority="2"/>
  </conditionalFormatting>
  <conditionalFormatting sqref="B1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</dc:creator>
  <cp:lastModifiedBy>USER</cp:lastModifiedBy>
  <cp:lastPrinted>2025-09-16T07:25:17Z</cp:lastPrinted>
  <dcterms:created xsi:type="dcterms:W3CDTF">2019-03-19T09:37:57Z</dcterms:created>
  <dcterms:modified xsi:type="dcterms:W3CDTF">2026-01-28T11:09:09Z</dcterms:modified>
</cp:coreProperties>
</file>