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\COMPANIES\LAKE CEMENT\INSURANCE POLICIES\INSURANCE COVERNOTES AND MOTOR VEHICLE REG CARDS\Insurance claims\"/>
    </mc:Choice>
  </mc:AlternateContent>
  <xr:revisionPtr revIDLastSave="0" documentId="8_{9A6F58B7-3A2D-4724-9CA0-EE6F086026F6}" xr6:coauthVersionLast="47" xr6:coauthVersionMax="47" xr10:uidLastSave="{00000000-0000-0000-0000-000000000000}"/>
  <bookViews>
    <workbookView xWindow="-108" yWindow="-108" windowWidth="23256" windowHeight="12456" xr2:uid="{126B1FC9-D1AC-4061-98D9-E72DE29B6DD0}"/>
  </bookViews>
  <sheets>
    <sheet name="Sheet1" sheetId="1" r:id="rId1"/>
    <sheet name="Sheet2" sheetId="2" state="hidden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A15" i="1"/>
  <c r="A16" i="1" s="1"/>
  <c r="A17" i="1" s="1"/>
  <c r="A18" i="1" s="1"/>
  <c r="A19" i="1" s="1"/>
  <c r="A20" i="1" s="1"/>
  <c r="A21" i="1" s="1"/>
  <c r="F19" i="1" l="1"/>
  <c r="F18" i="1"/>
  <c r="F20" i="1"/>
  <c r="F17" i="1"/>
  <c r="F14" i="1"/>
  <c r="F13" i="1" l="1"/>
  <c r="F8" i="1" l="1"/>
  <c r="F12" i="1"/>
  <c r="F11" i="1"/>
  <c r="D5" i="1"/>
  <c r="F10" i="1"/>
  <c r="F9" i="1"/>
  <c r="F7" i="1"/>
  <c r="F6" i="1"/>
  <c r="F4" i="1"/>
  <c r="E5" i="1" l="1"/>
  <c r="F5" i="1" s="1"/>
</calcChain>
</file>

<file path=xl/sharedStrings.xml><?xml version="1.0" encoding="utf-8"?>
<sst xmlns="http://schemas.openxmlformats.org/spreadsheetml/2006/main" count="208" uniqueCount="130">
  <si>
    <t>Sr. No.</t>
  </si>
  <si>
    <t>Insurance Claimed</t>
  </si>
  <si>
    <t>Status</t>
  </si>
  <si>
    <t>Sub Ledger (LC)</t>
  </si>
  <si>
    <t>Lake Cement. LTD.</t>
  </si>
  <si>
    <t>User ID</t>
  </si>
  <si>
    <t>ACC9</t>
  </si>
  <si>
    <t>Report ID</t>
  </si>
  <si>
    <t>FGL011B</t>
  </si>
  <si>
    <t>Run Date</t>
  </si>
  <si>
    <t>18/04/2024 14:49:47</t>
  </si>
  <si>
    <t>Company / Division / Department</t>
  </si>
  <si>
    <t>COMPANY</t>
  </si>
  <si>
    <t>From Document Date</t>
  </si>
  <si>
    <t>To Document Date</t>
  </si>
  <si>
    <t>31/03/2024</t>
  </si>
  <si>
    <t>From Division Code</t>
  </si>
  <si>
    <t>To Division Code</t>
  </si>
  <si>
    <t>zzzzzzzzzz</t>
  </si>
  <si>
    <t>From Department Code</t>
  </si>
  <si>
    <t>To Department Code</t>
  </si>
  <si>
    <t>From Main A/c Code</t>
  </si>
  <si>
    <t>To Main A/c Code</t>
  </si>
  <si>
    <t>From Sub A/c Code</t>
  </si>
  <si>
    <t>DSMAICLTZ</t>
  </si>
  <si>
    <t>To Sub A/c Code</t>
  </si>
  <si>
    <t>Control A/c :</t>
  </si>
  <si>
    <t>Sub A/c</t>
  </si>
  <si>
    <t>Sub A/c Name</t>
  </si>
  <si>
    <t>Document Date</t>
  </si>
  <si>
    <t>Transaction Code</t>
  </si>
  <si>
    <t>Document Number</t>
  </si>
  <si>
    <t>Reference</t>
  </si>
  <si>
    <t>Division Code</t>
  </si>
  <si>
    <t>Department Code</t>
  </si>
  <si>
    <t>Narration</t>
  </si>
  <si>
    <t>Debits</t>
  </si>
  <si>
    <t>Credits</t>
  </si>
  <si>
    <t>Balance Amount</t>
  </si>
  <si>
    <t>Dr/Cr</t>
  </si>
  <si>
    <t>DDOR003</t>
  </si>
  <si>
    <t>Accounts Receivable - Others</t>
  </si>
  <si>
    <t>ALLIANCE INSURANCE CORPORATION LTD</t>
  </si>
  <si>
    <t/>
  </si>
  <si>
    <t>Opening Balance :</t>
  </si>
  <si>
    <t>Dr</t>
  </si>
  <si>
    <t>DINS</t>
  </si>
  <si>
    <t>DDN231110807</t>
  </si>
  <si>
    <t>T922DSZ TRAILOR- ACCIDENT CLAIM PASSED F</t>
  </si>
  <si>
    <t>DDN231110808</t>
  </si>
  <si>
    <t>T297 DBZ -TRUCK¿ - ACCIDENT CLAIM PASSED</t>
  </si>
  <si>
    <t>JV</t>
  </si>
  <si>
    <t>BEING AMOUNT RECEIVED FROM ALLIANCE INSURANCE DUE TO  INSURANCE CLAIM TRUCK NO. T297 DBZ -TRUCK - ACCIDENT CLAIM PASSED</t>
  </si>
  <si>
    <t>Cr</t>
  </si>
  <si>
    <t>RJV</t>
  </si>
  <si>
    <t>2023100126</t>
  </si>
  <si>
    <t>DDN231114398</t>
  </si>
  <si>
    <t xml:space="preserve"> DAMAGE TO CRANE WITH REGISTRATION NO. T</t>
  </si>
  <si>
    <t>DDN231114975</t>
  </si>
  <si>
    <t>Being Insurance claim passed against the</t>
  </si>
  <si>
    <t>CJV</t>
  </si>
  <si>
    <t>2023120093</t>
  </si>
  <si>
    <t>BEING AMOUNT RECEIVED DUE TO DAMAGE OF CRAINE WITH REGSTRAION NO. T727EDH CLAIMPASSED FROM ALLIANCE INSURANCE  CLAIM NO. C11/100/4006/2023/006941</t>
  </si>
  <si>
    <t>2023120196</t>
  </si>
  <si>
    <t>BEING AMOUNT RECEIVED FROM ALLIANCE INDURANCE  AGAINST THEFT OF CEMENT BAGS  ON 12 OCT 2023</t>
  </si>
  <si>
    <t>Total Transactions :</t>
  </si>
  <si>
    <t>Closing Balance :</t>
  </si>
  <si>
    <t>** GROUP TOTAL ** :</t>
  </si>
  <si>
    <t>** GRAND TOTAL ** :</t>
  </si>
  <si>
    <t>***End Of Report***</t>
  </si>
  <si>
    <t>T922 DSZ ACCIDENT CLAIM</t>
  </si>
  <si>
    <t>Payment received</t>
  </si>
  <si>
    <t>T297 DBZ -TRUCK ACCIDENT CLAIM</t>
  </si>
  <si>
    <t xml:space="preserve"> DAMAGE TO CRANE</t>
  </si>
  <si>
    <t>THEFT OF CEMENT 600 BAGS</t>
  </si>
  <si>
    <t>ACCIDENT - T680DRG / T804DCT</t>
  </si>
  <si>
    <t>Sub Ledger (FC)</t>
  </si>
  <si>
    <t>FGL011A</t>
  </si>
  <si>
    <t>18/04/2024 , 15:02:47</t>
  </si>
  <si>
    <t>Company</t>
  </si>
  <si>
    <t>From Main Account Code</t>
  </si>
  <si>
    <t>To Main Account Code</t>
  </si>
  <si>
    <t>From Sub Account Code</t>
  </si>
  <si>
    <t>DSMAICLUSD</t>
  </si>
  <si>
    <t>To Sub Account Code</t>
  </si>
  <si>
    <t>Sub A/c Code</t>
  </si>
  <si>
    <t>Currency Code</t>
  </si>
  <si>
    <t>Division</t>
  </si>
  <si>
    <t>Dept</t>
  </si>
  <si>
    <t>USD</t>
  </si>
  <si>
    <t>DDN241101731</t>
  </si>
  <si>
    <t>Claim details for the material damaged i</t>
  </si>
  <si>
    <t>Being insurance claimed received for material damage in voyage Against Invoice  No.241101728-ALLIANCE INSURANCE CORPORATION</t>
  </si>
  <si>
    <t>Total transactions :</t>
  </si>
  <si>
    <t>Closing balance :</t>
  </si>
  <si>
    <t>Amount Received</t>
  </si>
  <si>
    <t>Date</t>
  </si>
  <si>
    <t>JUPITER BUSINESS SYSTEM LTD</t>
  </si>
  <si>
    <t>THEFT/FIDELITY (Salma)</t>
  </si>
  <si>
    <t>MATERIAL DAMAGE IN TRANSIT (SEA)</t>
  </si>
  <si>
    <t>Payment received , Assessor observations excess claim</t>
  </si>
  <si>
    <t>Online Fraud , we did not had Cyber insurance, however due to relationship with Insurance, we were able to recover $ 10000 only</t>
  </si>
  <si>
    <t>THEFT CASE T741/T810 DCT-EMMANUEL KATIGULA (VEHICLE PARTS MISSING)</t>
  </si>
  <si>
    <t>600 cement bags theft of GSM INV/2024/04/00535 (T736 DCF &amp; T786 DCT)</t>
  </si>
  <si>
    <t xml:space="preserve">Vehicle repaired and certified/Inspected by Harinarayan Prasad and confirmed insurer. 
- Claim Paid Directly  by Insurer  
</t>
  </si>
  <si>
    <t>Payment received Tshs- 26.54 Mn(Excluding VAT its 22.48 Mn )</t>
  </si>
  <si>
    <t>Third Party Cliam : Our Truck met accident by climbing hill and hit a small car</t>
  </si>
  <si>
    <t>Due to negligence on our Drivers and also Vehicle condition the Final Assessor has reduced the claim by 25% and the same is concluded and received at end.</t>
  </si>
  <si>
    <t>We have received the Cost of Cement as per set standard praced i.e. 70% of the sales value the same is approved and concluded in the same.</t>
  </si>
  <si>
    <t xml:space="preserve">Being Handled Alliance - Case of Jan 22 - Manhish Home industries . Currently in Court next date of hearing is 16th Aug </t>
  </si>
  <si>
    <t>Sweeping Truck - Internal Accident Loss</t>
  </si>
  <si>
    <t>Payment received in Mid of Aug 24</t>
  </si>
  <si>
    <t>HARINARAYAN PEDDA- Life insurance</t>
  </si>
  <si>
    <t>HARINARAYAN PEDDA- Medical Insurance</t>
  </si>
  <si>
    <t>Medical Insurance from Strategis received infavor of Harinarayan Pedda</t>
  </si>
  <si>
    <t>Diamond Cutting tool Claim</t>
  </si>
  <si>
    <t xml:space="preserve">Group Life Insurance Claim of Harinarayan Pedda received </t>
  </si>
  <si>
    <t>550 MT Crane Claim- T727 EDH</t>
  </si>
  <si>
    <t xml:space="preserve">T741 DCF, Mvuti, repair </t>
  </si>
  <si>
    <t>Final Claim Amount</t>
  </si>
  <si>
    <t>Clinker - Water Affected Cargo at Port - 196 MT</t>
  </si>
  <si>
    <t>70 MT Zoomlian Crane Claim</t>
  </si>
  <si>
    <t>Payment received - Material loss setteled in Dec 24</t>
  </si>
  <si>
    <t>T741 DCF, Hydraulic boom broke</t>
  </si>
  <si>
    <t>T273 DZX Horse repair</t>
  </si>
  <si>
    <t>T796 DCT Trailer</t>
  </si>
  <si>
    <t>T275 EJP</t>
  </si>
  <si>
    <t>Variance/ in process</t>
  </si>
  <si>
    <t>45,937,700  sinotan issued invoice to Alliance. Tzs 4219385 already paid by LCL to Sinotan on 13.11.2025- Vehicle Released</t>
  </si>
  <si>
    <t xml:space="preserve">TSHS 50,718,582 PAID BY ALLIANCE DIRECT TO GARAGE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</si>
</sst>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indexed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14" fontId="0" fillId="0" borderId="0" xfId="0" applyNumberFormat="1"/>
    <xf numFmtId="0" fontId="0" fillId="0" borderId="0" xfId="0" quotePrefix="1"/>
    <xf numFmtId="15" fontId="0" fillId="0" borderId="0" xfId="0" applyNumberFormat="1"/>
    <xf numFmtId="43" fontId="3" fillId="0" borderId="0" xfId="1" applyFont="1"/>
    <xf numFmtId="43" fontId="2" fillId="0" borderId="0" xfId="1" applyFont="1"/>
    <xf numFmtId="43" fontId="5" fillId="0" borderId="0" xfId="1" applyFont="1"/>
    <xf numFmtId="0" fontId="6" fillId="0" borderId="0" xfId="0" applyFont="1"/>
    <xf numFmtId="6" fontId="0" fillId="0" borderId="1" xfId="1" applyNumberFormat="1" applyFont="1" applyBorder="1"/>
    <xf numFmtId="43" fontId="0" fillId="0" borderId="1" xfId="1" applyFont="1" applyBorder="1"/>
    <xf numFmtId="0" fontId="0" fillId="0" borderId="1" xfId="0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/>
    <xf numFmtId="164" fontId="0" fillId="0" borderId="1" xfId="1" applyNumberFormat="1" applyFont="1" applyFill="1" applyBorder="1"/>
    <xf numFmtId="0" fontId="0" fillId="0" borderId="3" xfId="0" applyBorder="1" applyAlignment="1">
      <alignment wrapText="1"/>
    </xf>
    <xf numFmtId="15" fontId="0" fillId="0" borderId="1" xfId="0" applyNumberForma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3" fontId="0" fillId="2" borderId="5" xfId="1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17" fontId="0" fillId="0" borderId="8" xfId="0" applyNumberFormat="1" applyBorder="1" applyAlignment="1">
      <alignment horizontal="center"/>
    </xf>
    <xf numFmtId="6" fontId="0" fillId="0" borderId="8" xfId="0" applyNumberFormat="1" applyBorder="1"/>
    <xf numFmtId="6" fontId="0" fillId="0" borderId="8" xfId="1" applyNumberFormat="1" applyFont="1" applyBorder="1"/>
    <xf numFmtId="43" fontId="0" fillId="0" borderId="8" xfId="1" applyFont="1" applyBorder="1"/>
    <xf numFmtId="0" fontId="0" fillId="0" borderId="9" xfId="0" applyBorder="1" applyAlignment="1">
      <alignment wrapText="1"/>
    </xf>
    <xf numFmtId="0" fontId="0" fillId="0" borderId="1" xfId="0" applyBorder="1" applyAlignment="1">
      <alignment wrapText="1"/>
    </xf>
    <xf numFmtId="0" fontId="7" fillId="0" borderId="3" xfId="0" applyFont="1" applyBorder="1" applyAlignment="1">
      <alignment wrapText="1"/>
    </xf>
    <xf numFmtId="164" fontId="2" fillId="0" borderId="1" xfId="1" applyNumberFormat="1" applyFont="1" applyFill="1" applyBorder="1"/>
    <xf numFmtId="0" fontId="0" fillId="3" borderId="2" xfId="0" applyFill="1" applyBorder="1" applyAlignment="1">
      <alignment horizontal="center"/>
    </xf>
    <xf numFmtId="1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164" fontId="0" fillId="3" borderId="1" xfId="1" applyNumberFormat="1" applyFont="1" applyFill="1" applyBorder="1"/>
    <xf numFmtId="0" fontId="0" fillId="3" borderId="3" xfId="0" applyFill="1" applyBorder="1" applyAlignment="1">
      <alignment wrapText="1"/>
    </xf>
    <xf numFmtId="0" fontId="0" fillId="0" borderId="1" xfId="0" applyBorder="1" applyAlignment="1">
      <alignment horizontal="center"/>
    </xf>
    <xf numFmtId="43" fontId="0" fillId="0" borderId="1" xfId="1" applyFont="1" applyFill="1" applyBorder="1"/>
    <xf numFmtId="0" fontId="0" fillId="2" borderId="5" xfId="0" applyFill="1" applyBorder="1" applyAlignment="1">
      <alignment horizontal="center" wrapText="1"/>
    </xf>
  </cellXfs>
  <cellStyles count="3">
    <cellStyle name="Comma" xfId="1" builtinId="3"/>
    <cellStyle name="Comma 2" xfId="2" xr:uid="{00000000-0005-0000-0000-00002F000000}"/>
    <cellStyle name="Normal" xfId="0" builtinId="0"/>
  </cellStyles>
  <dxfs count="0"/>
  <tableStyles count="0" defaultTableStyle="TableStyleMedium2" defaultPivotStyle="PivotStyleLight16"/>
  <colors>
    <mruColors>
      <color rgb="FF66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CA23-C7BE-462E-98AF-6183E6A1ECC3}">
  <dimension ref="A1:H25"/>
  <sheetViews>
    <sheetView tabSelected="1" topLeftCell="A18" zoomScale="90" zoomScaleNormal="90" workbookViewId="0">
      <selection activeCell="C30" sqref="C30"/>
    </sheetView>
  </sheetViews>
  <sheetFormatPr defaultRowHeight="14.4" x14ac:dyDescent="0.3"/>
  <cols>
    <col min="1" max="1" width="6.44140625" bestFit="1" customWidth="1"/>
    <col min="2" max="2" width="11.33203125" style="1" customWidth="1"/>
    <col min="3" max="3" width="37.44140625" customWidth="1"/>
    <col min="4" max="4" width="14.88671875" style="2" customWidth="1"/>
    <col min="5" max="5" width="15" style="2" customWidth="1"/>
    <col min="6" max="6" width="14.88671875" style="2" customWidth="1"/>
    <col min="7" max="7" width="66.33203125" bestFit="1" customWidth="1"/>
    <col min="8" max="8" width="15" bestFit="1" customWidth="1"/>
  </cols>
  <sheetData>
    <row r="1" spans="1:7" ht="15" thickBot="1" x14ac:dyDescent="0.35"/>
    <row r="2" spans="1:7" s="1" customFormat="1" ht="29.4" thickBot="1" x14ac:dyDescent="0.35">
      <c r="A2" s="23" t="s">
        <v>0</v>
      </c>
      <c r="B2" s="24" t="s">
        <v>96</v>
      </c>
      <c r="C2" s="24" t="s">
        <v>1</v>
      </c>
      <c r="D2" s="25" t="s">
        <v>119</v>
      </c>
      <c r="E2" s="25" t="s">
        <v>95</v>
      </c>
      <c r="F2" s="43" t="s">
        <v>127</v>
      </c>
      <c r="G2" s="26" t="s">
        <v>2</v>
      </c>
    </row>
    <row r="3" spans="1:7" ht="28.8" x14ac:dyDescent="0.3">
      <c r="A3" s="27">
        <v>1</v>
      </c>
      <c r="B3" s="28">
        <v>45047</v>
      </c>
      <c r="C3" s="29" t="s">
        <v>97</v>
      </c>
      <c r="D3" s="30">
        <v>27466</v>
      </c>
      <c r="E3" s="30">
        <v>10000</v>
      </c>
      <c r="F3" s="31">
        <v>0</v>
      </c>
      <c r="G3" s="32" t="s">
        <v>101</v>
      </c>
    </row>
    <row r="4" spans="1:7" x14ac:dyDescent="0.3">
      <c r="A4" s="18">
        <v>2</v>
      </c>
      <c r="B4" s="22">
        <v>45189</v>
      </c>
      <c r="C4" s="15" t="s">
        <v>70</v>
      </c>
      <c r="D4" s="16">
        <v>8202622.5</v>
      </c>
      <c r="E4" s="16">
        <v>8202622.5</v>
      </c>
      <c r="F4" s="14">
        <f>D4-E4</f>
        <v>0</v>
      </c>
      <c r="G4" s="19" t="s">
        <v>71</v>
      </c>
    </row>
    <row r="5" spans="1:7" x14ac:dyDescent="0.3">
      <c r="A5" s="18">
        <v>3</v>
      </c>
      <c r="B5" s="22">
        <v>45189</v>
      </c>
      <c r="C5" s="15" t="s">
        <v>72</v>
      </c>
      <c r="D5" s="16">
        <f>12137480</f>
        <v>12137480</v>
      </c>
      <c r="E5" s="16">
        <f>12137480-154031</f>
        <v>11983449</v>
      </c>
      <c r="F5" s="17">
        <f t="shared" ref="F5:F10" si="0">D5-E5</f>
        <v>154031</v>
      </c>
      <c r="G5" s="19" t="s">
        <v>100</v>
      </c>
    </row>
    <row r="6" spans="1:7" x14ac:dyDescent="0.3">
      <c r="A6" s="18">
        <v>4</v>
      </c>
      <c r="B6" s="22">
        <v>45247</v>
      </c>
      <c r="C6" s="15" t="s">
        <v>73</v>
      </c>
      <c r="D6" s="16">
        <v>48521600</v>
      </c>
      <c r="E6" s="16">
        <v>48521600</v>
      </c>
      <c r="F6" s="14">
        <f t="shared" si="0"/>
        <v>0</v>
      </c>
      <c r="G6" s="19" t="s">
        <v>71</v>
      </c>
    </row>
    <row r="7" spans="1:7" x14ac:dyDescent="0.3">
      <c r="A7" s="18">
        <v>5</v>
      </c>
      <c r="B7" s="22">
        <v>45257</v>
      </c>
      <c r="C7" s="15" t="s">
        <v>74</v>
      </c>
      <c r="D7" s="16">
        <v>7971803.3799999999</v>
      </c>
      <c r="E7" s="16">
        <v>7971803.3799999999</v>
      </c>
      <c r="F7" s="14">
        <f t="shared" si="0"/>
        <v>0</v>
      </c>
      <c r="G7" s="19" t="s">
        <v>71</v>
      </c>
    </row>
    <row r="8" spans="1:7" ht="57.6" x14ac:dyDescent="0.3">
      <c r="A8" s="18">
        <v>6</v>
      </c>
      <c r="B8" s="22">
        <v>45309</v>
      </c>
      <c r="C8" s="15" t="s">
        <v>75</v>
      </c>
      <c r="D8" s="20">
        <v>36146859</v>
      </c>
      <c r="E8" s="20">
        <v>36146859</v>
      </c>
      <c r="F8" s="20">
        <f>+D8-E8</f>
        <v>0</v>
      </c>
      <c r="G8" s="21" t="s">
        <v>104</v>
      </c>
    </row>
    <row r="9" spans="1:7" x14ac:dyDescent="0.3">
      <c r="A9" s="18">
        <v>7</v>
      </c>
      <c r="B9" s="22">
        <v>45323</v>
      </c>
      <c r="C9" s="15" t="s">
        <v>99</v>
      </c>
      <c r="D9" s="13">
        <v>4408.9799999999996</v>
      </c>
      <c r="E9" s="13">
        <v>4408.9799999999996</v>
      </c>
      <c r="F9" s="14">
        <f t="shared" si="0"/>
        <v>0</v>
      </c>
      <c r="G9" s="19" t="s">
        <v>71</v>
      </c>
    </row>
    <row r="10" spans="1:7" x14ac:dyDescent="0.3">
      <c r="A10" s="18">
        <v>8</v>
      </c>
      <c r="B10" s="22">
        <v>45359</v>
      </c>
      <c r="C10" s="15" t="s">
        <v>98</v>
      </c>
      <c r="D10" s="13">
        <v>10000</v>
      </c>
      <c r="E10" s="13">
        <v>10000</v>
      </c>
      <c r="F10" s="14">
        <f t="shared" si="0"/>
        <v>0</v>
      </c>
      <c r="G10" s="19" t="s">
        <v>105</v>
      </c>
    </row>
    <row r="11" spans="1:7" ht="28.8" x14ac:dyDescent="0.3">
      <c r="A11" s="18">
        <v>9</v>
      </c>
      <c r="B11" s="22">
        <v>45423</v>
      </c>
      <c r="C11" s="33" t="s">
        <v>102</v>
      </c>
      <c r="D11" s="20">
        <v>12051798</v>
      </c>
      <c r="E11" s="20">
        <v>12051798</v>
      </c>
      <c r="F11" s="35">
        <f t="shared" ref="F11" si="1">D11-E11</f>
        <v>0</v>
      </c>
      <c r="G11" s="34" t="s">
        <v>107</v>
      </c>
    </row>
    <row r="12" spans="1:7" ht="28.8" x14ac:dyDescent="0.3">
      <c r="A12" s="18">
        <v>10</v>
      </c>
      <c r="B12" s="22">
        <v>45429</v>
      </c>
      <c r="C12" s="33" t="s">
        <v>103</v>
      </c>
      <c r="D12" s="20">
        <v>9104999.9900000002</v>
      </c>
      <c r="E12" s="20">
        <v>7769699.9900000002</v>
      </c>
      <c r="F12" s="20">
        <f>+D12-E12</f>
        <v>1335300</v>
      </c>
      <c r="G12" s="34" t="s">
        <v>108</v>
      </c>
    </row>
    <row r="13" spans="1:7" ht="28.8" x14ac:dyDescent="0.3">
      <c r="A13" s="36">
        <v>11</v>
      </c>
      <c r="B13" s="37">
        <v>45446</v>
      </c>
      <c r="C13" s="38" t="s">
        <v>106</v>
      </c>
      <c r="D13" s="39"/>
      <c r="E13" s="39">
        <v>0</v>
      </c>
      <c r="F13" s="39">
        <f>+D13-E13</f>
        <v>0</v>
      </c>
      <c r="G13" s="40" t="s">
        <v>109</v>
      </c>
    </row>
    <row r="14" spans="1:7" x14ac:dyDescent="0.3">
      <c r="A14" s="18">
        <v>12</v>
      </c>
      <c r="B14" s="22">
        <v>45505</v>
      </c>
      <c r="C14" s="33" t="s">
        <v>110</v>
      </c>
      <c r="D14" s="20">
        <v>1457300</v>
      </c>
      <c r="E14" s="20">
        <v>1457300</v>
      </c>
      <c r="F14" s="20">
        <f>+D14-E14</f>
        <v>0</v>
      </c>
      <c r="G14" s="19" t="s">
        <v>111</v>
      </c>
    </row>
    <row r="15" spans="1:7" x14ac:dyDescent="0.3">
      <c r="A15" s="41">
        <f>A14+1</f>
        <v>13</v>
      </c>
      <c r="B15" s="22">
        <v>45615</v>
      </c>
      <c r="C15" s="33" t="s">
        <v>112</v>
      </c>
      <c r="D15" s="20">
        <v>42000000</v>
      </c>
      <c r="E15" s="20">
        <v>42000000</v>
      </c>
      <c r="F15" s="42"/>
      <c r="G15" s="15" t="s">
        <v>116</v>
      </c>
    </row>
    <row r="16" spans="1:7" x14ac:dyDescent="0.3">
      <c r="A16" s="41">
        <f t="shared" ref="A16:A21" si="2">A15+1</f>
        <v>14</v>
      </c>
      <c r="B16" s="22">
        <v>45615</v>
      </c>
      <c r="C16" s="33" t="s">
        <v>113</v>
      </c>
      <c r="D16" s="20">
        <v>1000000</v>
      </c>
      <c r="E16" s="20">
        <v>1000000</v>
      </c>
      <c r="F16" s="42"/>
      <c r="G16" s="15" t="s">
        <v>114</v>
      </c>
    </row>
    <row r="17" spans="1:8" x14ac:dyDescent="0.3">
      <c r="A17" s="41">
        <f t="shared" si="2"/>
        <v>15</v>
      </c>
      <c r="B17" s="22">
        <v>45624</v>
      </c>
      <c r="C17" s="33" t="s">
        <v>115</v>
      </c>
      <c r="D17" s="20">
        <v>21220408.460000001</v>
      </c>
      <c r="E17" s="42">
        <v>21220408.460000001</v>
      </c>
      <c r="F17" s="42">
        <f>+D17-E17</f>
        <v>0</v>
      </c>
      <c r="G17" s="33" t="s">
        <v>71</v>
      </c>
    </row>
    <row r="18" spans="1:8" x14ac:dyDescent="0.3">
      <c r="A18" s="41">
        <f t="shared" si="2"/>
        <v>16</v>
      </c>
      <c r="B18" s="22">
        <v>45624</v>
      </c>
      <c r="C18" s="33" t="s">
        <v>117</v>
      </c>
      <c r="D18" s="20">
        <v>17819132.800000001</v>
      </c>
      <c r="E18" s="42">
        <v>17819132.800000001</v>
      </c>
      <c r="F18" s="42">
        <f>+D18-E18</f>
        <v>0</v>
      </c>
      <c r="G18" s="33" t="s">
        <v>71</v>
      </c>
    </row>
    <row r="19" spans="1:8" x14ac:dyDescent="0.3">
      <c r="A19" s="41">
        <f t="shared" si="2"/>
        <v>17</v>
      </c>
      <c r="B19" s="22">
        <v>45624</v>
      </c>
      <c r="C19" s="33" t="s">
        <v>121</v>
      </c>
      <c r="D19" s="20">
        <v>21224129</v>
      </c>
      <c r="E19" s="42">
        <v>21224129</v>
      </c>
      <c r="F19" s="42">
        <f>+D19-E19</f>
        <v>0</v>
      </c>
      <c r="G19" s="33" t="s">
        <v>122</v>
      </c>
    </row>
    <row r="20" spans="1:8" x14ac:dyDescent="0.3">
      <c r="A20" s="41">
        <f t="shared" si="2"/>
        <v>18</v>
      </c>
      <c r="B20" s="22">
        <v>45654</v>
      </c>
      <c r="C20" s="33" t="s">
        <v>118</v>
      </c>
      <c r="D20" s="20">
        <v>6218010</v>
      </c>
      <c r="E20" s="20">
        <v>6218010</v>
      </c>
      <c r="F20" s="42">
        <f>+D20-E20</f>
        <v>0</v>
      </c>
      <c r="G20" s="33" t="s">
        <v>71</v>
      </c>
    </row>
    <row r="21" spans="1:8" ht="28.8" x14ac:dyDescent="0.3">
      <c r="A21" s="41">
        <f t="shared" si="2"/>
        <v>19</v>
      </c>
      <c r="B21" s="22">
        <v>45699</v>
      </c>
      <c r="C21" s="33" t="s">
        <v>120</v>
      </c>
      <c r="D21" s="20">
        <v>28672004.16</v>
      </c>
      <c r="E21" s="20">
        <v>28672004</v>
      </c>
      <c r="F21" s="42">
        <v>0</v>
      </c>
      <c r="G21" s="33" t="s">
        <v>71</v>
      </c>
    </row>
    <row r="22" spans="1:8" x14ac:dyDescent="0.3">
      <c r="A22" s="41">
        <v>20</v>
      </c>
      <c r="B22" s="22">
        <v>45717</v>
      </c>
      <c r="C22" s="33" t="s">
        <v>123</v>
      </c>
      <c r="D22" s="14">
        <v>5900000</v>
      </c>
      <c r="E22" s="14">
        <v>5900000</v>
      </c>
      <c r="F22" s="42">
        <v>0</v>
      </c>
      <c r="G22" s="33" t="s">
        <v>71</v>
      </c>
    </row>
    <row r="23" spans="1:8" ht="28.8" x14ac:dyDescent="0.3">
      <c r="A23" s="41">
        <v>21</v>
      </c>
      <c r="B23" s="22">
        <v>45842</v>
      </c>
      <c r="C23" s="33" t="s">
        <v>124</v>
      </c>
      <c r="D23" s="20">
        <v>50157088</v>
      </c>
      <c r="E23" s="20">
        <v>50157088</v>
      </c>
      <c r="F23" s="42">
        <v>0</v>
      </c>
      <c r="G23" s="33" t="s">
        <v>128</v>
      </c>
      <c r="H23" s="2"/>
    </row>
    <row r="24" spans="1:8" x14ac:dyDescent="0.3">
      <c r="A24" s="41">
        <v>22</v>
      </c>
      <c r="B24" s="22">
        <v>45882</v>
      </c>
      <c r="C24" s="33" t="s">
        <v>125</v>
      </c>
      <c r="D24" s="20">
        <v>2844200</v>
      </c>
      <c r="E24" s="20">
        <v>2844200</v>
      </c>
      <c r="F24" s="42">
        <v>0</v>
      </c>
      <c r="G24" s="33" t="s">
        <v>71</v>
      </c>
    </row>
    <row r="25" spans="1:8" x14ac:dyDescent="0.3">
      <c r="A25" s="41">
        <v>23</v>
      </c>
      <c r="B25" s="22">
        <v>45916</v>
      </c>
      <c r="C25" s="33" t="s">
        <v>126</v>
      </c>
      <c r="D25" s="20">
        <v>50718582</v>
      </c>
      <c r="E25" s="20">
        <f>+D25</f>
        <v>50718582</v>
      </c>
      <c r="F25" s="42">
        <v>0</v>
      </c>
      <c r="G25" s="33" t="s">
        <v>129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3FC6-611A-4487-887E-C72375A9A87C}">
  <dimension ref="A1:O31"/>
  <sheetViews>
    <sheetView workbookViewId="0">
      <selection activeCell="B8" sqref="B8"/>
    </sheetView>
  </sheetViews>
  <sheetFormatPr defaultRowHeight="14.4" x14ac:dyDescent="0.3"/>
  <cols>
    <col min="5" max="5" width="12.88671875" customWidth="1"/>
    <col min="7" max="7" width="10.109375" customWidth="1"/>
    <col min="8" max="8" width="9.88671875" customWidth="1"/>
    <col min="9" max="9" width="7.6640625" customWidth="1"/>
    <col min="10" max="10" width="6.44140625" customWidth="1"/>
    <col min="11" max="11" width="29.44140625" customWidth="1"/>
    <col min="12" max="13" width="15.33203125" style="2" bestFit="1" customWidth="1"/>
    <col min="14" max="14" width="14.33203125" style="2" bestFit="1" customWidth="1"/>
  </cols>
  <sheetData>
    <row r="1" spans="1:15" ht="17.399999999999999" x14ac:dyDescent="0.35">
      <c r="E1" s="3" t="s">
        <v>3</v>
      </c>
    </row>
    <row r="3" spans="1:15" x14ac:dyDescent="0.3">
      <c r="A3" s="4" t="s">
        <v>4</v>
      </c>
    </row>
    <row r="4" spans="1:15" x14ac:dyDescent="0.3">
      <c r="A4" s="4" t="s">
        <v>5</v>
      </c>
      <c r="B4" s="5" t="s">
        <v>6</v>
      </c>
      <c r="I4" s="4" t="s">
        <v>7</v>
      </c>
      <c r="J4" s="5" t="s">
        <v>8</v>
      </c>
    </row>
    <row r="5" spans="1:15" x14ac:dyDescent="0.3">
      <c r="A5" s="4" t="s">
        <v>9</v>
      </c>
      <c r="B5" s="5" t="s">
        <v>10</v>
      </c>
    </row>
    <row r="7" spans="1:15" x14ac:dyDescent="0.3">
      <c r="A7" s="4" t="s">
        <v>11</v>
      </c>
      <c r="B7" t="s">
        <v>12</v>
      </c>
    </row>
    <row r="8" spans="1:15" x14ac:dyDescent="0.3">
      <c r="A8" s="4" t="s">
        <v>13</v>
      </c>
      <c r="B8" s="6">
        <v>44930</v>
      </c>
      <c r="C8" s="4" t="s">
        <v>14</v>
      </c>
      <c r="D8" t="s">
        <v>15</v>
      </c>
    </row>
    <row r="9" spans="1:15" x14ac:dyDescent="0.3">
      <c r="A9" s="4" t="s">
        <v>16</v>
      </c>
      <c r="B9">
        <v>0</v>
      </c>
      <c r="C9" s="4" t="s">
        <v>17</v>
      </c>
      <c r="D9" t="s">
        <v>18</v>
      </c>
    </row>
    <row r="10" spans="1:15" x14ac:dyDescent="0.3">
      <c r="A10" s="4" t="s">
        <v>19</v>
      </c>
      <c r="B10">
        <v>0</v>
      </c>
      <c r="C10" s="4" t="s">
        <v>20</v>
      </c>
      <c r="D10" t="s">
        <v>18</v>
      </c>
    </row>
    <row r="11" spans="1:15" x14ac:dyDescent="0.3">
      <c r="A11" s="4" t="s">
        <v>21</v>
      </c>
      <c r="B11">
        <v>0</v>
      </c>
      <c r="C11" s="4" t="s">
        <v>22</v>
      </c>
      <c r="D11" t="s">
        <v>18</v>
      </c>
    </row>
    <row r="12" spans="1:15" x14ac:dyDescent="0.3">
      <c r="A12" s="4" t="s">
        <v>23</v>
      </c>
      <c r="B12" t="s">
        <v>24</v>
      </c>
      <c r="C12" s="4" t="s">
        <v>25</v>
      </c>
      <c r="D12" t="s">
        <v>24</v>
      </c>
    </row>
    <row r="15" spans="1:15" x14ac:dyDescent="0.3">
      <c r="A15" s="4" t="s">
        <v>26</v>
      </c>
      <c r="B15" s="4" t="s">
        <v>26</v>
      </c>
      <c r="C15" s="4" t="s">
        <v>27</v>
      </c>
      <c r="D15" s="4" t="s">
        <v>28</v>
      </c>
      <c r="E15" s="4" t="s">
        <v>29</v>
      </c>
      <c r="F15" s="4" t="s">
        <v>30</v>
      </c>
      <c r="G15" s="4" t="s">
        <v>31</v>
      </c>
      <c r="H15" s="4" t="s">
        <v>32</v>
      </c>
      <c r="I15" s="4" t="s">
        <v>33</v>
      </c>
      <c r="J15" s="4" t="s">
        <v>34</v>
      </c>
      <c r="K15" s="4" t="s">
        <v>35</v>
      </c>
      <c r="L15" s="9" t="s">
        <v>36</v>
      </c>
      <c r="M15" s="9" t="s">
        <v>37</v>
      </c>
      <c r="N15" s="9" t="s">
        <v>38</v>
      </c>
      <c r="O15" s="4" t="s">
        <v>39</v>
      </c>
    </row>
    <row r="16" spans="1:15" x14ac:dyDescent="0.3">
      <c r="A16" s="4" t="s">
        <v>40</v>
      </c>
      <c r="B16" s="4" t="s">
        <v>41</v>
      </c>
      <c r="C16" t="s">
        <v>24</v>
      </c>
      <c r="D16" t="s">
        <v>42</v>
      </c>
      <c r="H16" s="7" t="s">
        <v>43</v>
      </c>
      <c r="K16" t="s">
        <v>44</v>
      </c>
      <c r="L16" s="2">
        <v>462532087.56</v>
      </c>
      <c r="M16" s="2">
        <v>462530056.19</v>
      </c>
      <c r="N16" s="2">
        <v>2031.37</v>
      </c>
      <c r="O16" s="4" t="s">
        <v>45</v>
      </c>
    </row>
    <row r="17" spans="5:15" x14ac:dyDescent="0.3">
      <c r="E17" s="8">
        <v>45189</v>
      </c>
      <c r="F17" t="s">
        <v>46</v>
      </c>
      <c r="G17">
        <v>231110802</v>
      </c>
      <c r="H17" s="7" t="s">
        <v>47</v>
      </c>
      <c r="K17" t="s">
        <v>48</v>
      </c>
      <c r="L17" s="2">
        <v>8202622.5</v>
      </c>
      <c r="M17" s="2">
        <v>0</v>
      </c>
      <c r="N17" s="2">
        <v>8204653.8700000001</v>
      </c>
      <c r="O17" s="4" t="s">
        <v>45</v>
      </c>
    </row>
    <row r="18" spans="5:15" x14ac:dyDescent="0.3">
      <c r="E18" s="8">
        <v>45189</v>
      </c>
      <c r="F18" t="s">
        <v>46</v>
      </c>
      <c r="G18">
        <v>231110803</v>
      </c>
      <c r="H18" s="7" t="s">
        <v>49</v>
      </c>
      <c r="K18" t="s">
        <v>50</v>
      </c>
      <c r="L18" s="2">
        <v>12137480</v>
      </c>
      <c r="M18" s="2">
        <v>0</v>
      </c>
      <c r="N18" s="2">
        <v>20342133.870000001</v>
      </c>
      <c r="O18" s="4" t="s">
        <v>45</v>
      </c>
    </row>
    <row r="19" spans="5:15" x14ac:dyDescent="0.3">
      <c r="E19" s="8">
        <v>45205</v>
      </c>
      <c r="F19" t="s">
        <v>51</v>
      </c>
      <c r="G19">
        <v>2023100142</v>
      </c>
      <c r="H19" s="7" t="s">
        <v>43</v>
      </c>
      <c r="K19" t="s">
        <v>52</v>
      </c>
      <c r="L19" s="2">
        <v>0</v>
      </c>
      <c r="M19" s="2">
        <v>20188102</v>
      </c>
      <c r="N19" s="2">
        <v>154031.87</v>
      </c>
      <c r="O19" s="4" t="s">
        <v>45</v>
      </c>
    </row>
    <row r="20" spans="5:15" x14ac:dyDescent="0.3">
      <c r="E20" s="8">
        <v>45217</v>
      </c>
      <c r="F20" t="s">
        <v>51</v>
      </c>
      <c r="G20">
        <v>2023100126</v>
      </c>
      <c r="H20" s="7" t="s">
        <v>43</v>
      </c>
      <c r="I20">
        <v>130</v>
      </c>
      <c r="J20">
        <v>1</v>
      </c>
      <c r="K20" t="s">
        <v>52</v>
      </c>
      <c r="L20" s="2">
        <v>0</v>
      </c>
      <c r="M20" s="10">
        <v>20188102</v>
      </c>
      <c r="N20" s="2">
        <v>20034070.129999999</v>
      </c>
      <c r="O20" s="4" t="s">
        <v>53</v>
      </c>
    </row>
    <row r="21" spans="5:15" x14ac:dyDescent="0.3">
      <c r="E21" s="8">
        <v>45217</v>
      </c>
      <c r="F21" t="s">
        <v>54</v>
      </c>
      <c r="G21">
        <v>22972</v>
      </c>
      <c r="H21" s="7" t="s">
        <v>55</v>
      </c>
      <c r="I21">
        <v>130</v>
      </c>
      <c r="J21">
        <v>1</v>
      </c>
      <c r="K21" t="s">
        <v>52</v>
      </c>
      <c r="L21" s="10">
        <v>20188102</v>
      </c>
      <c r="M21" s="2">
        <v>0</v>
      </c>
      <c r="N21" s="2">
        <v>154031.87</v>
      </c>
      <c r="O21" s="4" t="s">
        <v>45</v>
      </c>
    </row>
    <row r="22" spans="5:15" x14ac:dyDescent="0.3">
      <c r="E22" s="8">
        <v>45247</v>
      </c>
      <c r="F22" t="s">
        <v>46</v>
      </c>
      <c r="G22">
        <v>231114392</v>
      </c>
      <c r="H22" s="7" t="s">
        <v>56</v>
      </c>
      <c r="K22" t="s">
        <v>57</v>
      </c>
      <c r="L22" s="2">
        <v>48521600</v>
      </c>
      <c r="M22" s="2">
        <v>0</v>
      </c>
      <c r="N22" s="2">
        <v>48675631.869999997</v>
      </c>
      <c r="O22" s="4" t="s">
        <v>45</v>
      </c>
    </row>
    <row r="23" spans="5:15" x14ac:dyDescent="0.3">
      <c r="E23" s="8">
        <v>45257</v>
      </c>
      <c r="F23" t="s">
        <v>46</v>
      </c>
      <c r="G23">
        <v>231114968</v>
      </c>
      <c r="H23" s="7" t="s">
        <v>58</v>
      </c>
      <c r="K23" t="s">
        <v>59</v>
      </c>
      <c r="L23" s="2">
        <v>7971803.3799999999</v>
      </c>
      <c r="M23" s="2">
        <v>0</v>
      </c>
      <c r="N23" s="2">
        <v>56647435.25</v>
      </c>
      <c r="O23" s="4" t="s">
        <v>45</v>
      </c>
    </row>
    <row r="24" spans="5:15" x14ac:dyDescent="0.3">
      <c r="E24" s="8">
        <v>45291</v>
      </c>
      <c r="F24" t="s">
        <v>60</v>
      </c>
      <c r="G24">
        <v>1086</v>
      </c>
      <c r="H24" s="7" t="s">
        <v>61</v>
      </c>
      <c r="I24">
        <v>140</v>
      </c>
      <c r="J24">
        <v>1</v>
      </c>
      <c r="K24" t="s">
        <v>62</v>
      </c>
      <c r="L24" s="2">
        <v>0</v>
      </c>
      <c r="M24" s="2">
        <v>48521600</v>
      </c>
      <c r="N24" s="2">
        <v>8125835.25</v>
      </c>
      <c r="O24" s="4" t="s">
        <v>45</v>
      </c>
    </row>
    <row r="25" spans="5:15" x14ac:dyDescent="0.3">
      <c r="E25" s="8">
        <v>45291</v>
      </c>
      <c r="F25" t="s">
        <v>60</v>
      </c>
      <c r="G25">
        <v>1087</v>
      </c>
      <c r="H25" s="7" t="s">
        <v>63</v>
      </c>
      <c r="I25">
        <v>130</v>
      </c>
      <c r="J25">
        <v>2</v>
      </c>
      <c r="K25" t="s">
        <v>64</v>
      </c>
      <c r="L25" s="2">
        <v>0</v>
      </c>
      <c r="M25" s="2">
        <v>7971803.3799999999</v>
      </c>
      <c r="N25" s="2">
        <v>154031.87</v>
      </c>
      <c r="O25" s="4" t="s">
        <v>45</v>
      </c>
    </row>
    <row r="26" spans="5:15" x14ac:dyDescent="0.3">
      <c r="H26" s="7" t="s">
        <v>43</v>
      </c>
      <c r="K26" t="s">
        <v>65</v>
      </c>
      <c r="L26" s="2">
        <v>97021607.879999995</v>
      </c>
      <c r="M26" s="2">
        <v>96869607.379999995</v>
      </c>
    </row>
    <row r="27" spans="5:15" x14ac:dyDescent="0.3">
      <c r="H27" s="7" t="s">
        <v>43</v>
      </c>
      <c r="K27" t="s">
        <v>66</v>
      </c>
      <c r="L27" s="2">
        <v>559553695.44000006</v>
      </c>
      <c r="M27" s="2">
        <v>559399663.57000005</v>
      </c>
      <c r="N27" s="2">
        <v>154031.87</v>
      </c>
      <c r="O27" s="4" t="s">
        <v>45</v>
      </c>
    </row>
    <row r="28" spans="5:15" x14ac:dyDescent="0.3">
      <c r="H28" s="7" t="s">
        <v>43</v>
      </c>
    </row>
    <row r="29" spans="5:15" x14ac:dyDescent="0.3">
      <c r="H29" s="7" t="s">
        <v>43</v>
      </c>
      <c r="K29" t="s">
        <v>67</v>
      </c>
      <c r="L29" s="2">
        <v>559553695.44000006</v>
      </c>
      <c r="M29" s="2">
        <v>559399663.57000005</v>
      </c>
      <c r="N29" s="2">
        <v>154031.87</v>
      </c>
      <c r="O29" s="4" t="s">
        <v>45</v>
      </c>
    </row>
    <row r="30" spans="5:15" x14ac:dyDescent="0.3">
      <c r="H30" s="7" t="s">
        <v>43</v>
      </c>
      <c r="K30" t="s">
        <v>68</v>
      </c>
      <c r="L30" s="2">
        <v>559553695.44000006</v>
      </c>
      <c r="M30" s="2">
        <v>559399663.57000005</v>
      </c>
      <c r="N30" s="2">
        <v>154031.87</v>
      </c>
      <c r="O30" s="4" t="s">
        <v>45</v>
      </c>
    </row>
    <row r="31" spans="5:15" ht="17.399999999999999" x14ac:dyDescent="0.35">
      <c r="E31" s="3" t="s">
        <v>69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80C6-2C97-4FBF-97EB-E480604F1691}">
  <dimension ref="A1:K24"/>
  <sheetViews>
    <sheetView topLeftCell="A4" workbookViewId="0">
      <selection activeCell="A21" sqref="A21"/>
    </sheetView>
  </sheetViews>
  <sheetFormatPr defaultRowHeight="14.4" x14ac:dyDescent="0.3"/>
  <cols>
    <col min="1" max="1" width="12.5546875" customWidth="1"/>
    <col min="3" max="3" width="11.88671875" customWidth="1"/>
    <col min="8" max="9" width="13.33203125" style="2" bestFit="1" customWidth="1"/>
    <col min="10" max="10" width="9.5546875" style="2" bestFit="1" customWidth="1"/>
  </cols>
  <sheetData>
    <row r="1" spans="1:11" ht="17.399999999999999" x14ac:dyDescent="0.35">
      <c r="E1" s="3" t="s">
        <v>76</v>
      </c>
    </row>
    <row r="3" spans="1:11" x14ac:dyDescent="0.3">
      <c r="A3" s="4" t="s">
        <v>4</v>
      </c>
    </row>
    <row r="4" spans="1:11" x14ac:dyDescent="0.3">
      <c r="A4" s="4" t="s">
        <v>5</v>
      </c>
      <c r="B4" s="5" t="s">
        <v>6</v>
      </c>
      <c r="I4" s="9" t="s">
        <v>7</v>
      </c>
      <c r="J4" s="11" t="s">
        <v>77</v>
      </c>
    </row>
    <row r="5" spans="1:11" x14ac:dyDescent="0.3">
      <c r="A5" s="4" t="s">
        <v>9</v>
      </c>
      <c r="B5" s="5" t="s">
        <v>78</v>
      </c>
    </row>
    <row r="7" spans="1:11" x14ac:dyDescent="0.3">
      <c r="A7" s="4" t="s">
        <v>11</v>
      </c>
      <c r="B7" t="s">
        <v>79</v>
      </c>
    </row>
    <row r="8" spans="1:11" x14ac:dyDescent="0.3">
      <c r="A8" s="4" t="s">
        <v>13</v>
      </c>
      <c r="B8" s="8">
        <v>45017</v>
      </c>
      <c r="C8" s="4" t="s">
        <v>14</v>
      </c>
      <c r="D8" s="8">
        <v>45382</v>
      </c>
    </row>
    <row r="9" spans="1:11" x14ac:dyDescent="0.3">
      <c r="A9" s="4" t="s">
        <v>16</v>
      </c>
      <c r="B9">
        <v>0</v>
      </c>
      <c r="C9" s="4" t="s">
        <v>17</v>
      </c>
      <c r="D9" t="s">
        <v>18</v>
      </c>
    </row>
    <row r="10" spans="1:11" x14ac:dyDescent="0.3">
      <c r="A10" s="4" t="s">
        <v>19</v>
      </c>
      <c r="B10">
        <v>0</v>
      </c>
      <c r="C10" s="4" t="s">
        <v>20</v>
      </c>
      <c r="D10" t="s">
        <v>18</v>
      </c>
    </row>
    <row r="11" spans="1:11" x14ac:dyDescent="0.3">
      <c r="A11" s="4" t="s">
        <v>80</v>
      </c>
      <c r="B11">
        <v>0</v>
      </c>
      <c r="C11" s="4" t="s">
        <v>81</v>
      </c>
      <c r="D11" t="s">
        <v>18</v>
      </c>
    </row>
    <row r="12" spans="1:11" x14ac:dyDescent="0.3">
      <c r="A12" s="4" t="s">
        <v>82</v>
      </c>
      <c r="B12" t="s">
        <v>83</v>
      </c>
      <c r="C12" s="4" t="s">
        <v>84</v>
      </c>
      <c r="D12" t="s">
        <v>83</v>
      </c>
    </row>
    <row r="15" spans="1:11" x14ac:dyDescent="0.3">
      <c r="A15" s="4" t="s">
        <v>85</v>
      </c>
      <c r="B15" s="4" t="s">
        <v>28</v>
      </c>
      <c r="C15" s="4" t="s">
        <v>86</v>
      </c>
    </row>
    <row r="16" spans="1:11" x14ac:dyDescent="0.3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87</v>
      </c>
      <c r="F16" s="4" t="s">
        <v>88</v>
      </c>
      <c r="G16" s="4" t="s">
        <v>35</v>
      </c>
      <c r="H16" s="9" t="s">
        <v>36</v>
      </c>
      <c r="I16" s="9" t="s">
        <v>37</v>
      </c>
      <c r="J16" s="9" t="s">
        <v>38</v>
      </c>
      <c r="K16" s="4" t="s">
        <v>39</v>
      </c>
    </row>
    <row r="18" spans="1:11" x14ac:dyDescent="0.3">
      <c r="A18" s="4" t="s">
        <v>26</v>
      </c>
      <c r="B18" t="s">
        <v>40</v>
      </c>
      <c r="C18" t="s">
        <v>41</v>
      </c>
    </row>
    <row r="19" spans="1:11" x14ac:dyDescent="0.3">
      <c r="A19" t="s">
        <v>83</v>
      </c>
      <c r="B19" t="s">
        <v>42</v>
      </c>
      <c r="C19" t="s">
        <v>89</v>
      </c>
      <c r="G19" t="s">
        <v>44</v>
      </c>
      <c r="H19" s="2">
        <v>1008799.23</v>
      </c>
      <c r="I19" s="2">
        <v>1008801.83</v>
      </c>
      <c r="J19" s="2">
        <v>2.6</v>
      </c>
      <c r="K19" t="s">
        <v>53</v>
      </c>
    </row>
    <row r="20" spans="1:11" x14ac:dyDescent="0.3">
      <c r="A20" s="8">
        <v>45323</v>
      </c>
      <c r="B20" t="s">
        <v>46</v>
      </c>
      <c r="C20">
        <v>241101728</v>
      </c>
      <c r="D20" t="s">
        <v>90</v>
      </c>
      <c r="G20" t="s">
        <v>91</v>
      </c>
      <c r="H20" s="2">
        <v>4408.9799999999996</v>
      </c>
      <c r="I20" s="2">
        <v>0</v>
      </c>
      <c r="J20" s="2">
        <v>4406.38</v>
      </c>
      <c r="K20" t="s">
        <v>45</v>
      </c>
    </row>
    <row r="21" spans="1:11" x14ac:dyDescent="0.3">
      <c r="A21" s="8">
        <v>45334</v>
      </c>
      <c r="B21" t="s">
        <v>51</v>
      </c>
      <c r="C21">
        <v>2024020076</v>
      </c>
      <c r="D21">
        <v>241101728</v>
      </c>
      <c r="G21" t="s">
        <v>92</v>
      </c>
      <c r="H21" s="2">
        <v>0</v>
      </c>
      <c r="I21" s="2">
        <v>4408.9799999999996</v>
      </c>
      <c r="J21" s="2">
        <v>2.6</v>
      </c>
      <c r="K21" t="s">
        <v>53</v>
      </c>
    </row>
    <row r="22" spans="1:11" x14ac:dyDescent="0.3">
      <c r="G22" t="s">
        <v>93</v>
      </c>
      <c r="H22" s="2">
        <v>4408.9799999999996</v>
      </c>
      <c r="I22" s="2">
        <v>4408.9799999999996</v>
      </c>
    </row>
    <row r="23" spans="1:11" x14ac:dyDescent="0.3">
      <c r="G23" t="s">
        <v>94</v>
      </c>
      <c r="H23" s="2">
        <v>1013208.21</v>
      </c>
      <c r="I23" s="2">
        <v>1013210.81</v>
      </c>
      <c r="J23" s="2">
        <v>2.6</v>
      </c>
      <c r="K23" t="s">
        <v>53</v>
      </c>
    </row>
    <row r="24" spans="1:11" x14ac:dyDescent="0.3">
      <c r="E24" s="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Vyas</dc:creator>
  <cp:lastModifiedBy>Punit Asawla</cp:lastModifiedBy>
  <dcterms:created xsi:type="dcterms:W3CDTF">2024-04-18T10:10:08Z</dcterms:created>
  <dcterms:modified xsi:type="dcterms:W3CDTF">2026-03-02T07:48:14Z</dcterms:modified>
</cp:coreProperties>
</file>