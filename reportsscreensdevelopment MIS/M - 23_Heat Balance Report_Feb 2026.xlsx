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van Gandhi\AppData\Local\Microsoft\Windows\INetCache\Content.Outlook\2L8OBQ87\"/>
    </mc:Choice>
  </mc:AlternateContent>
  <xr:revisionPtr revIDLastSave="0" documentId="13_ncr:1_{DE375CC1-98A8-4525-BE6B-6573EFF0F11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isualization" sheetId="7" r:id="rId1"/>
    <sheet name="Summary Monthly" sheetId="11" r:id="rId2"/>
    <sheet name="HBL" sheetId="1" r:id="rId3"/>
    <sheet name="Sheet1" sheetId="8" state="hidden" r:id="rId4"/>
    <sheet name="Sheet2" sheetId="9" state="hidden" r:id="rId5"/>
  </sheets>
  <definedNames>
    <definedName name="_Scenario_new_change" localSheetId="2" hidden="1">HBL!#REF!</definedName>
    <definedName name="_scenchg_count" localSheetId="2" hidden="1">1</definedName>
    <definedName name="_scenchg1" localSheetId="2" hidden="1">HBL!#REF!</definedName>
    <definedName name="ABSHUM">HBL!$E$72</definedName>
    <definedName name="AIRBAL_ERROR">HBL!$C$998</definedName>
    <definedName name="Al2O3">HBL!$I$116</definedName>
    <definedName name="Alk">HBL!$H$243</definedName>
    <definedName name="ALTITUDE" localSheetId="2">HBL!$D$31</definedName>
    <definedName name="Amin_FUEL1">HBL!$E$349</definedName>
    <definedName name="Amin_FUEL2">HBL!$F$349</definedName>
    <definedName name="Amin_FUEL3">HBL!$G$349</definedName>
    <definedName name="Amin_FUEL4">HBL!$H$349</definedName>
    <definedName name="Amin_FUEL5">HBL!$I$349</definedName>
    <definedName name="Amin_FUEL6">HBL!$J$349</definedName>
    <definedName name="BYPASS_PERCENT">HBL!$I$171</definedName>
    <definedName name="BYPRAD">HBL!$G$162</definedName>
    <definedName name="CALCINATION">HBL!$I$434</definedName>
    <definedName name="CaO">HBL!$E$116</definedName>
    <definedName name="CaO_BYPASS">HBL!$D$148</definedName>
    <definedName name="CaO_DUSTFILTER">HBL!$D$96</definedName>
    <definedName name="CaOnc_BYPASS">HBL!$G$952</definedName>
    <definedName name="CaOnc_DUSTSMOKE">HBL!$D$952</definedName>
    <definedName name="CL">HBL!$C$921</definedName>
    <definedName name="Cl_BYPASS">HBL!$I$148</definedName>
    <definedName name="Cl_HOTMEAL">HBL!$J$155</definedName>
    <definedName name="CLI_DUST">HBL!$I$457</definedName>
    <definedName name="CLI_FACTOR">HBL!$C$481</definedName>
    <definedName name="CO_BYPASSEXTRAC">HBL!$I$152</definedName>
    <definedName name="CO_EXHAUST">HBL!$I$189</definedName>
    <definedName name="CO_EXHAUSTCALCINER">HBL!$I$201</definedName>
    <definedName name="CO_KILNINLET">HBL!$D$182</definedName>
    <definedName name="CODE">HBL!$AC$1305</definedName>
    <definedName name="Cooler">HBL!$F$55</definedName>
    <definedName name="COOLHBL_ERROR">HBL!$C$555</definedName>
    <definedName name="CP_BYDUSTEXTRAC">HBL!$D$152</definedName>
    <definedName name="CP_BYDUSTQUENCH">HBL!$G$161</definedName>
    <definedName name="CP_BYPASSEXTRAC">HBL!$D$151</definedName>
    <definedName name="CP_BYPASSQUENCH">HBL!$G$160</definedName>
    <definedName name="CP_CLI">HBL!$D$111</definedName>
    <definedName name="CP_CLIDUST">HBL!$G$1073</definedName>
    <definedName name="CP_CLIHOT">HBL!$G$1015</definedName>
    <definedName name="CP_DUSTEXHAUST">HBL!$D$191</definedName>
    <definedName name="CP_EXHAUST">HBL!$D$189</definedName>
    <definedName name="CP_EXHAUSTCALCINER">HBL!$D$201</definedName>
    <definedName name="CP_EXHAUSTCALCINERman">HBL!$D$202</definedName>
    <definedName name="CP_EXHAUSTman">HBL!$D$190</definedName>
    <definedName name="CP_FALSEAIR">HBL!$G$1040</definedName>
    <definedName name="CP_H2OCOOLER">HBL!$I$321</definedName>
    <definedName name="CP_H2Ovap">HBL!$G$1069</definedName>
    <definedName name="CP_H2OvapTA">HBL!$G$1089</definedName>
    <definedName name="CP_MEALDRY">HBL!$D$80</definedName>
    <definedName name="CP_MIDDLE">HBL!$I$272</definedName>
    <definedName name="CP_PRIMAIR">HBL!$I$238</definedName>
    <definedName name="CP_PRIMAIRCAL">HBL!$I$260</definedName>
    <definedName name="CP_SECONDAIR">HBL!$G$1068</definedName>
    <definedName name="CP_TERTAIR">HBL!$G$1088</definedName>
    <definedName name="CP_WASTE">HBL!$I$284</definedName>
    <definedName name="CP_WATER">HBL!$D$81</definedName>
    <definedName name="CPH2O_PRIMAIR">HBL!$G$724</definedName>
    <definedName name="CPH2O_PRIMAIRCAL">HBL!$G$734</definedName>
    <definedName name="DATE1">HBL!$D$33</definedName>
    <definedName name="DATE2">HBL!$D$34</definedName>
    <definedName name="DIAMETER" localSheetId="2">HBL!$I$46</definedName>
    <definedName name="DUSTBYPASS_CORR">HBL!$I$144</definedName>
    <definedName name="DUSTBYPASS_R2">HBL!$H$144</definedName>
    <definedName name="DUSTBYPASS_T2">HBL!$G$144</definedName>
    <definedName name="DUSTFILTER_CORR">HBL!$I$93</definedName>
    <definedName name="DUSTFILTER_R1">HBL!$F$93</definedName>
    <definedName name="DUSTFILTER_R2">HBL!$H$93</definedName>
    <definedName name="DUSTFILTER_T2">HBL!$G$93</definedName>
    <definedName name="ETA1_PH">#REF!</definedName>
    <definedName name="Fe2O3">HBL!$H$116</definedName>
    <definedName name="FEED_CALCINER">HBL!$E$88</definedName>
    <definedName name="FEED_R2">HBL!$H$77</definedName>
    <definedName name="FEED_T2">HBL!$G$77</definedName>
    <definedName name="FUEL1">HBL!$E$342</definedName>
    <definedName name="FUEL2">HBL!$F$342</definedName>
    <definedName name="FUEL3">HBL!$G$342</definedName>
    <definedName name="FUEL4">HBL!$H$342</definedName>
    <definedName name="FUEL5">HBL!$I$342</definedName>
    <definedName name="FUEL6">HBL!$J$342</definedName>
    <definedName name="FUELBZ1_R2">HBL!$E$361</definedName>
    <definedName name="FUELBZ2_R2">HBL!$F$361</definedName>
    <definedName name="FUELBZ3_R2">HBL!$G$361</definedName>
    <definedName name="FUELBZ4_R2">HBL!$H$361</definedName>
    <definedName name="FUELBZ5_R2">HBL!$I$361</definedName>
    <definedName name="FUELBZ6_R2">HBL!$J$361</definedName>
    <definedName name="FUELCZ1_R2">HBL!$E$371</definedName>
    <definedName name="FUELCZ2_R2">HBL!$F$371</definedName>
    <definedName name="FUELCZ3_R2">HBL!$G$371</definedName>
    <definedName name="FUELCZ4_R2">HBL!$H$371</definedName>
    <definedName name="FUELCZ5_R2">HBL!$I$371</definedName>
    <definedName name="FUELCZ6_R2">HBL!$J$371</definedName>
    <definedName name="FUELSF1_R2">HBL!$E$366</definedName>
    <definedName name="FUELSF2_R2">HBL!$F$366</definedName>
    <definedName name="FUELSF3_R2">HBL!$G$366</definedName>
    <definedName name="FUELSF4_R2">HBL!$H$366</definedName>
    <definedName name="FUELSF5_R2">HBL!$I$366</definedName>
    <definedName name="FUELSF6_R2">HBL!$J$366</definedName>
    <definedName name="H2O_BYPASS">HBL!$D$146</definedName>
    <definedName name="H2O_DRYCOAL">HBL!$I$233</definedName>
    <definedName name="H2O_DRYCOALCAL">HBL!$I$255</definedName>
    <definedName name="H2O_DUSTFILTER">HBL!$D$94</definedName>
    <definedName name="H2O_FEED">HBL!$I$79</definedName>
    <definedName name="H2O_FUEL1">HBL!$E$346</definedName>
    <definedName name="H2O_FUEL2">HBL!$F$346</definedName>
    <definedName name="H2O_FUEL3">HBL!$G$346</definedName>
    <definedName name="H2O_FUEL4">HBL!$H$346</definedName>
    <definedName name="H2O_FUEL5">HBL!$I$346</definedName>
    <definedName name="H2O_FUEL6">HBL!$J$346</definedName>
    <definedName name="H2O_PREHEATER">HBL!$D$207</definedName>
    <definedName name="H2O_RAWCOAL">HBL!$I$232</definedName>
    <definedName name="H2O_RAWCOALCAL">HBL!$I$254</definedName>
    <definedName name="H2O_Vmin1">HBL!$E$351</definedName>
    <definedName name="H2O_Vmin2">HBL!$F$351</definedName>
    <definedName name="H2O_Vmin3">HBL!$G$351</definedName>
    <definedName name="H2O_Vmin4">HBL!$H$351</definedName>
    <definedName name="H2O_Vmin5">HBL!$I$351</definedName>
    <definedName name="H2O_Vmin6">HBL!$J$351</definedName>
    <definedName name="H2OCOOLER_R1">HBL!$F$318</definedName>
    <definedName name="H2OCOOLER_R2">HBL!$H$318</definedName>
    <definedName name="H2OCOOLER_T2">HBL!$G$318</definedName>
    <definedName name="H2OVAPOR_COALMILL">HBL!$I$235</definedName>
    <definedName name="H2OVAPOR_COALMILLCAL">HBL!$I$257</definedName>
    <definedName name="K">HBL!$C$923</definedName>
    <definedName name="K2O_BYPASS">HBL!$I$146</definedName>
    <definedName name="K2O_CLINKER">HBL!$I$111</definedName>
    <definedName name="K2O_FEED">HBL!$I$83</definedName>
    <definedName name="K2O_HOTMEAL">HBL!$H$155</definedName>
    <definedName name="K2O_KILNDUST">HBL!$I$96</definedName>
    <definedName name="KILN_NO">HBL!$D$30</definedName>
    <definedName name="KILNHBL_ERROR">HBL!$C$622</definedName>
    <definedName name="LAMBDA1">#REF!</definedName>
    <definedName name="Language" localSheetId="2">HBL!$X$13</definedName>
    <definedName name="LENGTH" localSheetId="2">HBL!$D$45</definedName>
    <definedName name="LHV_CO">HBL!$G$831</definedName>
    <definedName name="LHV_FUEL1">HBL!$E$345</definedName>
    <definedName name="LHV_FUEL2">HBL!$F$345</definedName>
    <definedName name="LHV_FUEL3">HBL!$G$345</definedName>
    <definedName name="LHV_FUEL4">HBL!$H$345</definedName>
    <definedName name="LHV_FUEL5">HBL!$I$345</definedName>
    <definedName name="LHV_FUEL6">HBL!$J$345</definedName>
    <definedName name="LHV_ORGMATTER">HBL!$E$83</definedName>
    <definedName name="LHV_PYRITE">HBL!$D$85</definedName>
    <definedName name="LOI_BYPASS">HBL!$D$147</definedName>
    <definedName name="LOI_CLI">HBL!$D$113</definedName>
    <definedName name="LOI_DUSTFILTER">HBL!$D$95</definedName>
    <definedName name="LOI_FEED">HBL!$I$80</definedName>
    <definedName name="M_BYPASS">HBL!$D$144</definedName>
    <definedName name="M_CLI" localSheetId="2">HBL!$D$109</definedName>
    <definedName name="M_CLI" localSheetId="4">Sheet2!$D$94</definedName>
    <definedName name="M_CLI" localSheetId="1">'Summary Monthly'!$F$113</definedName>
    <definedName name="M_CLIDUST">HBL!$G$1072</definedName>
    <definedName name="M_COALMILL">HBL!$I$234</definedName>
    <definedName name="M_COALMILLCAL">HBL!$I$256</definedName>
    <definedName name="M_DUSTFILTER">HBL!$D$93</definedName>
    <definedName name="M_FEED">HBL!$D$77</definedName>
    <definedName name="M_FUEL1">HBL!$E$375</definedName>
    <definedName name="M_FUEL2">HBL!$F$375</definedName>
    <definedName name="M_FUEL3">HBL!$G$375</definedName>
    <definedName name="M_FUEL4">HBL!$H$375</definedName>
    <definedName name="M_FUEL5">HBL!$I$375</definedName>
    <definedName name="M_FUEL6">HBL!$J$375</definedName>
    <definedName name="M_H2OCOOLER">HBL!$I$319</definedName>
    <definedName name="M_H2OFEED">HBL!$I$795</definedName>
    <definedName name="M_H2OFUEL">HBL!$E$812</definedName>
    <definedName name="M_H2OFUELCAL">HBL!$E$858</definedName>
    <definedName name="MASBAL_ERROR">HBL!$C$491</definedName>
    <definedName name="MBZ_FUEL1">HBL!$E$363</definedName>
    <definedName name="MBZ_FUEL2">HBL!$F$363</definedName>
    <definedName name="MBZ_FUEL3">HBL!$G$363</definedName>
    <definedName name="MBZ_FUEL4">HBL!$H$363</definedName>
    <definedName name="MBZ_FUEL5">HBL!$I$363</definedName>
    <definedName name="MBZ_FUEL6">HBL!$J$363</definedName>
    <definedName name="MCZ_FUEL1">HBL!$E$373</definedName>
    <definedName name="MCZ_FUEL2">HBL!$F$373</definedName>
    <definedName name="MCZ_FUEL3">HBL!$G$373</definedName>
    <definedName name="MCZ_FUEL4">HBL!$H$373</definedName>
    <definedName name="MCZ_FUEL5">HBL!$I$373</definedName>
    <definedName name="MCZ_FUEL6">HBL!$J$373</definedName>
    <definedName name="MgO">HBL!$F$116</definedName>
    <definedName name="MSF_FUEL1">HBL!$E$368</definedName>
    <definedName name="MSF_FUEL2">HBL!$F$368</definedName>
    <definedName name="MSF_FUEL3">HBL!$G$368</definedName>
    <definedName name="MSF_FUEL4">HBL!$H$368</definedName>
    <definedName name="MSF_FUEL5">HBL!$I$368</definedName>
    <definedName name="MSF_FUEL6">HBL!$J$368</definedName>
    <definedName name="Na">HBL!$C$924</definedName>
    <definedName name="Na2O_BYPASS">HBL!$I$147</definedName>
    <definedName name="Na2O_CLINKER">HBL!$I$110</definedName>
    <definedName name="Na2O_FEED">HBL!$I$82</definedName>
    <definedName name="Na2O_HOTMEAL">HBL!$I$155</definedName>
    <definedName name="Na2O_KILNDUST">HBL!$I$95</definedName>
    <definedName name="NOx_EXHAUST">HBL!$I$190</definedName>
    <definedName name="NOx_KILNINLET">HBL!$D$183</definedName>
    <definedName name="O2_BYPASSEXTRAC">HBL!$I$151</definedName>
    <definedName name="O2_BYPASSQUENCH">HBL!$G$159</definedName>
    <definedName name="O2_EXHAUST">HBL!$I$188</definedName>
    <definedName name="O2_EXHAUSTCALCINER">HBL!$I$200</definedName>
    <definedName name="O2_KILNINLET">HBL!$D$181</definedName>
    <definedName name="O2_PRECALEXIT">HBL!$I$435</definedName>
    <definedName name="O2_STACK">HBL!$D$193</definedName>
    <definedName name="ORG_MATTER">HBL!$D$82</definedName>
    <definedName name="P_mechconsidered">HBL!$F$58</definedName>
    <definedName name="PAMB" localSheetId="2">HBL!$E$71</definedName>
    <definedName name="PAMB" localSheetId="4">Sheet2!$E$56</definedName>
    <definedName name="PAMB" localSheetId="1">'Summary Monthly'!$G$75</definedName>
    <definedName name="PLANT_NAME" localSheetId="2">HBL!$D$29</definedName>
    <definedName name="PRECAL">HBL!$F$48</definedName>
    <definedName name="_xlnm.Print_Area" localSheetId="2">HBL!$B$470:$K$624</definedName>
    <definedName name="_xlnm.Print_Area" localSheetId="0">Visualization!$A$1:$M$128</definedName>
    <definedName name="PYRITE">HBL!$D$84</definedName>
    <definedName name="Q_BZ">HBL!$F$418</definedName>
    <definedName name="Q_CONDALK">HBL!$I$927</definedName>
    <definedName name="Q_CZ">HBL!$F$420</definedName>
    <definedName name="Q_FUEL">HBL!$I$685</definedName>
    <definedName name="Q_FUELALT">HBL!$G$673</definedName>
    <definedName name="Q_FUELCON">HBL!$E$673</definedName>
    <definedName name="Q_ORGMATTER">HBL!$I$711</definedName>
    <definedName name="Q_SF">HBL!$F$419</definedName>
    <definedName name="QIN_OTHER">HBL!$I$779</definedName>
    <definedName name="QIN_OTHERCOOLER">HBL!$I$1048</definedName>
    <definedName name="QOUT_CaOBYPASS">HBL!$I$954</definedName>
    <definedName name="QOUT_CLIFORM">HBL!$F$121</definedName>
    <definedName name="QOUT_CO">HBL!$I$833</definedName>
    <definedName name="QOUT_COBYPASS">HBL!$I$940</definedName>
    <definedName name="QOUT_COCALCINER">HBL!$I$876</definedName>
    <definedName name="QOUT_COOLRAD">HBL!$I$328</definedName>
    <definedName name="QOUT_H2OCOOLER">HBL!$I$803</definedName>
    <definedName name="QOUT_H2OFEED">HBL!$I$797</definedName>
    <definedName name="QOUT_H2OPREHEAT">HBL!$I$800</definedName>
    <definedName name="QOUT_KILNRAD">HBL!$I$327</definedName>
    <definedName name="QOUT_OTHER">HBL!$I$970</definedName>
    <definedName name="QOUT_OTHERCOOLER">HBL!$I$1128</definedName>
    <definedName name="QOUT_PREHEATER">HBL!$I$326</definedName>
    <definedName name="QOUT_SULFUR_ALCALI">HBL!$E$129</definedName>
    <definedName name="QOUT_TERTIARYDUCT">HBL!$I$329</definedName>
    <definedName name="QP_BZ">HBL!$I$418</definedName>
    <definedName name="QP_CZ">HBL!$I$420</definedName>
    <definedName name="QRADKLN">#REF!</definedName>
    <definedName name="RELHUM">HBL!$I$71</definedName>
    <definedName name="S">HBL!$C$922</definedName>
    <definedName name="scen_change" localSheetId="2" hidden="1">HBL!#REF!</definedName>
    <definedName name="SECFIRING">HBL!$D$46</definedName>
    <definedName name="SHIN_CLIHOT">HBL!$I$1017</definedName>
    <definedName name="SHIN_COOLAIR">HBL!$I$763</definedName>
    <definedName name="SHIN_FALSEAIR">HBL!$I$1042</definedName>
    <definedName name="SHIN_FEED">HBL!$I$702</definedName>
    <definedName name="SHIN_FEEDWATER">HBL!$I$700</definedName>
    <definedName name="SHIN_FUEL">HBL!$I$687</definedName>
    <definedName name="SHIN_FUELALT">HBL!$G$680</definedName>
    <definedName name="SHIN_FUELCON">HBL!$E$680</definedName>
    <definedName name="SHIN_H2OCOOLER">HBL!$I$771</definedName>
    <definedName name="SHIN_H2OPREHEAT">HBL!$I$747</definedName>
    <definedName name="SHIN_MEALDRY">HBL!$I$697</definedName>
    <definedName name="SHIN_PRIMAIR">HBL!$I$737</definedName>
    <definedName name="SHOUT_BYPASSDUST">HBL!$I$947</definedName>
    <definedName name="SHOUT_BYPASSGAS">HBL!$I$932</definedName>
    <definedName name="SHOUT_CLINKER">HBL!$I$914</definedName>
    <definedName name="SHOUT_DUST">HBL!$I$840</definedName>
    <definedName name="SHOUT_DUSTCALCINER">HBL!$I$883</definedName>
    <definedName name="SHOUT_EXHAUST">HBL!$I$825</definedName>
    <definedName name="SHOUT_EXHAUSTCALCINER">HBL!$I$868</definedName>
    <definedName name="SHOUT_H2OCOOLER">HBL!$I$900</definedName>
    <definedName name="SHOUT_MIDDLE">HBL!$I$1104</definedName>
    <definedName name="SHOUT_SECONDAIR">HBL!$I$1076</definedName>
    <definedName name="SHOUT_TERTAIR">HBL!$I$1095</definedName>
    <definedName name="SHOUT_WASTE">HBL!$I$893</definedName>
    <definedName name="SHOUT_WASTEandH2O">HBL!$I$1115</definedName>
    <definedName name="SiO2_CLI">HBL!$G$116</definedName>
    <definedName name="SO2_STACK">HBL!$D$194</definedName>
    <definedName name="SO3_BYPASS">HBL!$I$145</definedName>
    <definedName name="SO3_CLINKER">HBL!$I$109</definedName>
    <definedName name="SO3_FEED">HBL!$I$81</definedName>
    <definedName name="SO3_HOTMEAL">HBL!$G$155</definedName>
    <definedName name="SO3_KILNDUST">HBL!$I$94</definedName>
    <definedName name="solver_opt" localSheetId="2" hidden="1">HBL!$D$82</definedName>
    <definedName name="T_BYPASSEXTRAC">HBL!$G$150</definedName>
    <definedName name="T_BYPASSQUENCH">HBL!$G$158</definedName>
    <definedName name="T_CENTRALAIR">HBL!$I$224</definedName>
    <definedName name="T_CLI">HBL!$D$110</definedName>
    <definedName name="T_CLIHOT">HBL!$I$451</definedName>
    <definedName name="T_EXHAUST">HBL!$D$188</definedName>
    <definedName name="T_EXHAUSTCALCINER">HBL!$D$200</definedName>
    <definedName name="T_FAN1">HBL!$G$293</definedName>
    <definedName name="T_FAN10">HBL!$G$303</definedName>
    <definedName name="T_FAN11">HBL!$G$304</definedName>
    <definedName name="T_FAN12">HBL!$G$305</definedName>
    <definedName name="T_FAN13">HBL!$G$309</definedName>
    <definedName name="T_FAN2">HBL!$G$294</definedName>
    <definedName name="T_FAN3">HBL!$G$295</definedName>
    <definedName name="T_FAN4">HBL!$G$296</definedName>
    <definedName name="T_FAN5">HBL!$G$297</definedName>
    <definedName name="T_FAN6">HBL!$G$298</definedName>
    <definedName name="T_FAN7">HBL!$G$299</definedName>
    <definedName name="T_FAN8">HBL!$G$301</definedName>
    <definedName name="T_FAN9">HBL!$G$302</definedName>
    <definedName name="T_FEED">HBL!$D$79</definedName>
    <definedName name="T_H2OCOOLER">HBL!$I$320</definedName>
    <definedName name="T_MIDDLE">HBL!$I$271</definedName>
    <definedName name="T_PRIMAIR">HBL!$I$237</definedName>
    <definedName name="T_PRIMAIRJET">HBL!$I$218</definedName>
    <definedName name="T_PRIMAIRPRECAL">HBL!$I$259</definedName>
    <definedName name="T_PRIMAIRSWIRL">HBL!$I$221</definedName>
    <definedName name="T_PRIMAIRTRANS">HBL!$I$227</definedName>
    <definedName name="T_QUENCHAIR">HBL!$G$164</definedName>
    <definedName name="T_SECONDAIR">HBL!$I$462</definedName>
    <definedName name="T_TERTAIR">HBL!$I$461</definedName>
    <definedName name="T_WASTE">HBL!$I$283</definedName>
    <definedName name="TAMB" localSheetId="2">HBL!$I$70</definedName>
    <definedName name="TAMB" localSheetId="4">Sheet2!#REF!</definedName>
    <definedName name="TAMB" localSheetId="1">'Summary Monthly'!$K$74</definedName>
    <definedName name="Text_hbl">HBL!$AA$1229</definedName>
    <definedName name="Text_selection_for_spreadsheet">[0]!Text</definedName>
    <definedName name="TIME">HBL!$I$34</definedName>
    <definedName name="TIME1">HBL!$E$33</definedName>
    <definedName name="TIME2">HBL!$E$34</definedName>
    <definedName name="V_PRECALAIR">HBL!$G$248</definedName>
    <definedName name="Vmin_FUEL1">HBL!$E$350</definedName>
    <definedName name="Vmin_FUEL2">HBL!$F$350</definedName>
    <definedName name="Vmin_FUEL3">HBL!$G$350</definedName>
    <definedName name="Vmin_FUEL4">HBL!$H$350</definedName>
    <definedName name="Vmin_FUEL5">HBL!$I$350</definedName>
    <definedName name="Vmin_FUEL6">HBL!$J$350</definedName>
    <definedName name="VN_AminBZ">HBL!$I$427</definedName>
    <definedName name="VN_AminCZ">HBL!$I$436</definedName>
    <definedName name="VN_BYPASS">HBL!$G$175</definedName>
    <definedName name="VN_BYPASSBALANCE">HBL!$G$168</definedName>
    <definedName name="VN_BYPASSO2">HBL!$G$171</definedName>
    <definedName name="VN_BZTRANSAIR">HBL!$I$226</definedName>
    <definedName name="VN_CENTRALAIR">HBL!$I$223</definedName>
    <definedName name="VN_COEXHAUST">HBL!$G$830</definedName>
    <definedName name="VN_COEXHAUSTCALCINER">HBL!$G$873</definedName>
    <definedName name="VN_COMBUSTION">HBL!$G$809</definedName>
    <definedName name="VN_COOLAIR">HBL!$E$312</definedName>
    <definedName name="VN_EXCESS">HBL!$G$814</definedName>
    <definedName name="VN_EXCESSINLET">HBL!$I$429</definedName>
    <definedName name="VN_EXHAUSTCOMBCO2">HBL!$G$821</definedName>
    <definedName name="VN_EXHAUSTCOMBCO2CALCINER">HBL!$G$864</definedName>
    <definedName name="VN_EXHAUSTDRY">HBL!$G$820</definedName>
    <definedName name="VN_EXHAUSTDRYCALCINER">HBL!$G$863</definedName>
    <definedName name="VN_EXHAUSTWET">HBL!$G$819</definedName>
    <definedName name="VN_EXHAUSTWETCALCINER">HBL!$G$862</definedName>
    <definedName name="VN_FALSECOOLER">HBL!$I$441</definedName>
    <definedName name="VN_FALSEKILNHOOD">HBL!$I$431</definedName>
    <definedName name="VN_FAN1">HBL!$H$293</definedName>
    <definedName name="VN_FAN10">HBL!$H$303</definedName>
    <definedName name="VN_FAN11">HBL!$H$304</definedName>
    <definedName name="VN_FAN12">HBL!$H$305</definedName>
    <definedName name="VN_FAN13">HBL!$H$309</definedName>
    <definedName name="VN_FAN2">HBL!$H$294</definedName>
    <definedName name="VN_FAN3">HBL!$H$295</definedName>
    <definedName name="VN_FAN4">HBL!$H$296</definedName>
    <definedName name="VN_FAN5">HBL!$H$297</definedName>
    <definedName name="VN_FAN6">HBL!$H$298</definedName>
    <definedName name="VN_FAN7">HBL!$H$299</definedName>
    <definedName name="VN_FAN8">HBL!$H$301</definedName>
    <definedName name="VN_FAN9">HBL!$H$302</definedName>
    <definedName name="VN_H2OAIR">HBL!$G$813</definedName>
    <definedName name="VN_H2OCOOLER">HBL!$G$815</definedName>
    <definedName name="VN_H2OFEED">HBL!$G$811</definedName>
    <definedName name="VN_H2OFUEL">HBL!$G$812</definedName>
    <definedName name="VN_JETAIR">HBL!$I$217</definedName>
    <definedName name="VN_MIDDLE">HBL!$I$269</definedName>
    <definedName name="VN_PRIMAIR">HBL!$I$241</definedName>
    <definedName name="VN_PRIMAIRCAL">HBL!$I$263</definedName>
    <definedName name="VN_PRIMCOMB">HBL!$I$242</definedName>
    <definedName name="VN_PRIMCOMBCAL">HBL!$I$264</definedName>
    <definedName name="VN_PRIMDIRECT">HBL!$I$230</definedName>
    <definedName name="VN_PRIMDIRECTCAL">HBL!$I$252</definedName>
    <definedName name="VN_PRIMINDIRECTCAL">HBL!$I$248</definedName>
    <definedName name="VN_QUENCHAIR">HBL!$G$163</definedName>
    <definedName name="VN_RAWMEAL">HBL!$G$810</definedName>
    <definedName name="VN_SECONDAIR">HBL!$I$444</definedName>
    <definedName name="VN_SWIRLAIR">HBL!$I$220</definedName>
    <definedName name="VN_TERTAIR">HBL!$I$446</definedName>
    <definedName name="VN_WASTE">HBL!$I$281</definedName>
    <definedName name="VN_WASTECALC">HBL!$I$277</definedName>
    <definedName name="VNCO_BYPASS">HBL!$G$937</definedName>
    <definedName name="VNSP_COOLAIR">HBL!$E$313</definedName>
    <definedName name="VNSP_EXCESSINLET">HBL!$I$980</definedName>
    <definedName name="VNSP_EXHAUSTDRY">HBL!$I$829</definedName>
    <definedName name="VNSP_EXHAUSTWET">HBL!$I$819</definedName>
    <definedName name="VNSP_EXHAUSTWETCALCINER">HBL!$I$862</definedName>
    <definedName name="VNSP_FALSECOOLER">HBL!$F$441</definedName>
    <definedName name="VNSP_INLET">HBL!$G$166</definedName>
    <definedName name="VNSP_MIDDLE">HBL!$I$270</definedName>
    <definedName name="VNSP_OUTLETSEAL">HBL!$F$431</definedName>
    <definedName name="VNSP_PRIMCOMB">HBL!$I$977</definedName>
    <definedName name="VNSP_SECONDAIR">HBL!$F$444</definedName>
    <definedName name="VNSP_TERTAIR">HBL!$F$446</definedName>
    <definedName name="VNSP_WASTE">HBL!$I$282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6" i="1" l="1"/>
  <c r="AB77" i="1"/>
  <c r="AB63" i="1"/>
  <c r="D109" i="1"/>
  <c r="H297" i="1"/>
  <c r="C26" i="7"/>
  <c r="E293" i="1" l="1"/>
  <c r="AB327" i="1"/>
  <c r="AC345" i="1" l="1"/>
  <c r="G488" i="1"/>
  <c r="E135" i="1"/>
  <c r="D577" i="1" l="1"/>
  <c r="D530" i="1"/>
  <c r="D4" i="7" l="1"/>
  <c r="G828" i="1" l="1"/>
  <c r="F603" i="1"/>
  <c r="E813" i="1"/>
  <c r="N124" i="1"/>
  <c r="I270" i="1" l="1"/>
  <c r="M287" i="1" l="1"/>
  <c r="R287" i="1" s="1"/>
  <c r="M288" i="1"/>
  <c r="M286" i="1"/>
  <c r="R286" i="1" s="1"/>
  <c r="P287" i="1"/>
  <c r="P288" i="1"/>
  <c r="P286" i="1"/>
  <c r="G27" i="9"/>
  <c r="G30" i="9"/>
  <c r="G29" i="9"/>
  <c r="G28" i="9"/>
  <c r="G26" i="9"/>
  <c r="G18" i="9"/>
  <c r="G17" i="9"/>
  <c r="G15" i="9"/>
  <c r="P290" i="1" l="1"/>
  <c r="M291" i="1"/>
  <c r="M292" i="1" s="1"/>
  <c r="R288" i="1"/>
  <c r="M326" i="1"/>
  <c r="M329" i="1"/>
  <c r="M328" i="1" l="1"/>
  <c r="I241" i="1"/>
  <c r="M327" i="1" l="1"/>
  <c r="M330" i="1" s="1"/>
  <c r="R5" i="8"/>
  <c r="P610" i="1" l="1"/>
  <c r="P611" i="1" s="1"/>
  <c r="P608" i="1"/>
  <c r="U600" i="1"/>
  <c r="U603" i="1"/>
  <c r="Z603" i="1"/>
  <c r="F368" i="1"/>
  <c r="G373" i="1"/>
  <c r="G677" i="1"/>
  <c r="O463" i="1"/>
  <c r="F373" i="1"/>
  <c r="G368" i="1" l="1"/>
  <c r="G375" i="1" s="1"/>
  <c r="G669" i="1" s="1"/>
  <c r="F375" i="1"/>
  <c r="F414" i="1" s="1"/>
  <c r="F378" i="1"/>
  <c r="E368" i="1"/>
  <c r="N348" i="1"/>
  <c r="L347" i="1" s="1"/>
  <c r="E373" i="1"/>
  <c r="E412" i="1" s="1"/>
  <c r="N410" i="1" s="1"/>
  <c r="G856" i="1" l="1"/>
  <c r="G810" i="1"/>
  <c r="M109" i="1" l="1"/>
  <c r="O864" i="1" l="1"/>
  <c r="O865" i="1" s="1"/>
  <c r="O869" i="1" s="1"/>
  <c r="L437" i="1" l="1"/>
  <c r="O347" i="1" l="1"/>
  <c r="N349" i="1" l="1"/>
  <c r="I284" i="1" l="1"/>
  <c r="H293" i="1" l="1"/>
  <c r="E294" i="1"/>
  <c r="H294" i="1" s="1"/>
  <c r="E300" i="1"/>
  <c r="E301" i="1"/>
  <c r="E302" i="1"/>
  <c r="E303" i="1"/>
  <c r="E304" i="1"/>
  <c r="E305" i="1"/>
  <c r="E306" i="1"/>
  <c r="E307" i="1"/>
  <c r="E308" i="1"/>
  <c r="Q352" i="1" l="1"/>
  <c r="S346" i="1"/>
  <c r="S347" i="1"/>
  <c r="S348" i="1"/>
  <c r="S349" i="1"/>
  <c r="S350" i="1"/>
  <c r="S351" i="1"/>
  <c r="S345" i="1"/>
  <c r="N350" i="1" l="1"/>
  <c r="N347" i="1"/>
  <c r="M347" i="1"/>
  <c r="S352" i="1"/>
  <c r="S353" i="1" s="1"/>
  <c r="H300" i="1" l="1"/>
  <c r="H308" i="1" l="1"/>
  <c r="H307" i="1"/>
  <c r="H306" i="1"/>
  <c r="D532" i="1"/>
  <c r="J378" i="1" l="1"/>
  <c r="I378" i="1"/>
  <c r="H378" i="1"/>
  <c r="G378" i="1"/>
  <c r="E378" i="1"/>
  <c r="D98" i="1"/>
  <c r="D100" i="1" s="1"/>
  <c r="D80" i="1" l="1"/>
  <c r="H550" i="1" l="1"/>
  <c r="E435" i="1"/>
  <c r="L25" i="7" l="1"/>
  <c r="L24" i="7"/>
  <c r="L21" i="7"/>
  <c r="L11" i="7"/>
  <c r="L10" i="7"/>
  <c r="L9" i="7"/>
  <c r="G9" i="7"/>
  <c r="G97" i="7"/>
  <c r="J91" i="7"/>
  <c r="M92" i="7"/>
  <c r="J90" i="7"/>
  <c r="L3" i="7"/>
  <c r="L90" i="7" s="1"/>
  <c r="K90" i="7"/>
  <c r="L110" i="7" l="1"/>
  <c r="H110" i="7"/>
  <c r="M91" i="7"/>
  <c r="M5" i="7"/>
  <c r="G817" i="1" l="1"/>
  <c r="F677" i="1" l="1"/>
  <c r="E401" i="1"/>
  <c r="F413" i="1"/>
  <c r="G407" i="1"/>
  <c r="H413" i="1"/>
  <c r="E670" i="1"/>
  <c r="F670" i="1"/>
  <c r="G670" i="1"/>
  <c r="G671" i="1" s="1"/>
  <c r="H670" i="1"/>
  <c r="I670" i="1"/>
  <c r="J670" i="1"/>
  <c r="E363" i="1"/>
  <c r="F399" i="1"/>
  <c r="H399" i="1"/>
  <c r="I405" i="1"/>
  <c r="J399" i="1"/>
  <c r="I263" i="1"/>
  <c r="I438" i="1" s="1"/>
  <c r="AA1353" i="1"/>
  <c r="B445" i="1" s="1"/>
  <c r="I321" i="1"/>
  <c r="I1048" i="1"/>
  <c r="I541" i="1" s="1"/>
  <c r="J541" i="1" s="1"/>
  <c r="B542" i="1"/>
  <c r="H64" i="1"/>
  <c r="H63" i="1"/>
  <c r="AA1513" i="1"/>
  <c r="E1134" i="1" s="1"/>
  <c r="G1015" i="1"/>
  <c r="G1017" i="1" s="1"/>
  <c r="I1017" i="1" s="1"/>
  <c r="I537" i="1" s="1"/>
  <c r="G1078" i="1"/>
  <c r="AA1306" i="1"/>
  <c r="B1089" i="1" s="1"/>
  <c r="I319" i="1"/>
  <c r="E815" i="1" s="1"/>
  <c r="AA1298" i="1"/>
  <c r="B1091" i="1" s="1"/>
  <c r="AA1439" i="1"/>
  <c r="B1078" i="1" s="1"/>
  <c r="E410" i="1"/>
  <c r="G400" i="1"/>
  <c r="J411" i="1"/>
  <c r="D209" i="1"/>
  <c r="G747" i="1" s="1"/>
  <c r="I747" i="1" s="1"/>
  <c r="I593" i="1" s="1"/>
  <c r="J593" i="1" s="1"/>
  <c r="I594" i="1"/>
  <c r="J594" i="1" s="1"/>
  <c r="B595" i="1"/>
  <c r="B594" i="1"/>
  <c r="G1068" i="1"/>
  <c r="G546" i="1" s="1"/>
  <c r="D191" i="1"/>
  <c r="G846" i="1" s="1"/>
  <c r="G1014" i="1"/>
  <c r="D189" i="1"/>
  <c r="G881" i="1"/>
  <c r="I259" i="1"/>
  <c r="I237" i="1"/>
  <c r="G102" i="7" s="1"/>
  <c r="G161" i="1"/>
  <c r="D152" i="1"/>
  <c r="G947" i="1" s="1"/>
  <c r="I947" i="1" s="1"/>
  <c r="I615" i="1" s="1"/>
  <c r="J615" i="1" s="1"/>
  <c r="G1088" i="1"/>
  <c r="G1040" i="1"/>
  <c r="G1042" i="1" s="1"/>
  <c r="I1042" i="1" s="1"/>
  <c r="I539" i="1" s="1"/>
  <c r="AA1660" i="1"/>
  <c r="B800" i="1" s="1"/>
  <c r="AA1659" i="1"/>
  <c r="B799" i="1" s="1"/>
  <c r="I272" i="1"/>
  <c r="G905" i="1" s="1"/>
  <c r="D111" i="1"/>
  <c r="G912" i="1" s="1"/>
  <c r="G588" i="1"/>
  <c r="F608" i="1"/>
  <c r="G845" i="1"/>
  <c r="H608" i="1"/>
  <c r="H605" i="1"/>
  <c r="E89" i="1"/>
  <c r="G844" i="1"/>
  <c r="AA1291" i="1"/>
  <c r="D604" i="1" s="1"/>
  <c r="I817" i="1"/>
  <c r="E484" i="1"/>
  <c r="F484" i="1"/>
  <c r="I257" i="1"/>
  <c r="G735" i="1" s="1"/>
  <c r="I735" i="1" s="1"/>
  <c r="F135" i="1"/>
  <c r="E137" i="1"/>
  <c r="E136" i="1"/>
  <c r="F137" i="1"/>
  <c r="F136" i="1"/>
  <c r="AA1392" i="1"/>
  <c r="B670" i="1" s="1"/>
  <c r="AA1249" i="1"/>
  <c r="B277" i="1" s="1"/>
  <c r="I620" i="1"/>
  <c r="AA1308" i="1"/>
  <c r="B278" i="1" s="1"/>
  <c r="I235" i="1"/>
  <c r="H562" i="1"/>
  <c r="I34" i="1"/>
  <c r="L29" i="7" s="1"/>
  <c r="AA1505" i="1"/>
  <c r="B88" i="1" s="1"/>
  <c r="H135" i="1"/>
  <c r="G137" i="1"/>
  <c r="G136" i="1"/>
  <c r="G135" i="1"/>
  <c r="AA1404" i="1"/>
  <c r="B328" i="1" s="1"/>
  <c r="AA1491" i="1"/>
  <c r="B327" i="1" s="1"/>
  <c r="AA1577" i="1"/>
  <c r="D620" i="1" s="1"/>
  <c r="AA1633" i="1"/>
  <c r="AA1410" i="1"/>
  <c r="B282" i="1" s="1"/>
  <c r="AA1415" i="1"/>
  <c r="B996" i="1" s="1"/>
  <c r="AA1301" i="1"/>
  <c r="AA1436" i="1"/>
  <c r="B598" i="1" s="1"/>
  <c r="B17" i="11" s="1"/>
  <c r="AA1262" i="1"/>
  <c r="B398" i="1" s="1"/>
  <c r="G10" i="7"/>
  <c r="E816" i="1"/>
  <c r="G816" i="1" s="1"/>
  <c r="I816" i="1" s="1"/>
  <c r="G800" i="1"/>
  <c r="I800" i="1" s="1"/>
  <c r="I601" i="1" s="1"/>
  <c r="J601" i="1" s="1"/>
  <c r="G799" i="1"/>
  <c r="G743" i="1"/>
  <c r="F601" i="1"/>
  <c r="F593" i="1"/>
  <c r="AA1394" i="1"/>
  <c r="AA1458" i="1"/>
  <c r="AA1459" i="1"/>
  <c r="B477" i="1" s="1"/>
  <c r="F439" i="1"/>
  <c r="AA1271" i="1"/>
  <c r="B363" i="1" s="1"/>
  <c r="AA1273" i="1"/>
  <c r="B371" i="1" s="1"/>
  <c r="AA1649" i="1"/>
  <c r="B540" i="1" s="1"/>
  <c r="AA1463" i="1"/>
  <c r="AA1569" i="1"/>
  <c r="AA1454" i="1"/>
  <c r="G289" i="1" s="1"/>
  <c r="AA1568" i="1"/>
  <c r="B1039" i="1" s="1"/>
  <c r="AA1283" i="1"/>
  <c r="B490" i="1" s="1"/>
  <c r="AA1428" i="1"/>
  <c r="AA1553" i="1"/>
  <c r="B943" i="1" s="1"/>
  <c r="AA1486" i="1"/>
  <c r="B588" i="1" s="1"/>
  <c r="AA1534" i="1"/>
  <c r="AA1533" i="1"/>
  <c r="E678" i="1"/>
  <c r="E677" i="1"/>
  <c r="F678" i="1"/>
  <c r="G678" i="1"/>
  <c r="G679" i="1" s="1"/>
  <c r="H678" i="1"/>
  <c r="H677" i="1"/>
  <c r="I678" i="1"/>
  <c r="I677" i="1"/>
  <c r="D81" i="1"/>
  <c r="G699" i="1" s="1"/>
  <c r="I810" i="1"/>
  <c r="I795" i="1"/>
  <c r="G797" i="1" s="1"/>
  <c r="I797" i="1" s="1"/>
  <c r="G836" i="1"/>
  <c r="I856" i="1"/>
  <c r="D151" i="1"/>
  <c r="G613" i="1" s="1"/>
  <c r="G932" i="1"/>
  <c r="I932" i="1" s="1"/>
  <c r="I613" i="1" s="1"/>
  <c r="J613" i="1" s="1"/>
  <c r="G937" i="1"/>
  <c r="G940" i="1"/>
  <c r="I940" i="1" s="1"/>
  <c r="I614" i="1" s="1"/>
  <c r="J614" i="1" s="1"/>
  <c r="G951" i="1"/>
  <c r="G952" i="1" s="1"/>
  <c r="I617" i="1"/>
  <c r="C12" i="7" s="1"/>
  <c r="I618" i="1"/>
  <c r="I619" i="1"/>
  <c r="C9" i="7" s="1"/>
  <c r="I970" i="1"/>
  <c r="I621" i="1" s="1"/>
  <c r="J621" i="1" s="1"/>
  <c r="I598" i="1"/>
  <c r="J598" i="1" s="1"/>
  <c r="E17" i="11" s="1"/>
  <c r="AA1418" i="1"/>
  <c r="AA1515" i="1"/>
  <c r="AA1514" i="1"/>
  <c r="F537" i="1"/>
  <c r="AA1316" i="1"/>
  <c r="D665" i="1" s="1"/>
  <c r="AA1638" i="1"/>
  <c r="B205" i="1" s="1"/>
  <c r="G744" i="1"/>
  <c r="AA1623" i="1"/>
  <c r="B747" i="1" s="1"/>
  <c r="AA1546" i="1"/>
  <c r="B745" i="1" s="1"/>
  <c r="AA1605" i="1"/>
  <c r="B767" i="1" s="1"/>
  <c r="AA1345" i="1"/>
  <c r="B741" i="1" s="1"/>
  <c r="H593" i="1"/>
  <c r="AA1331" i="1"/>
  <c r="D593" i="1" s="1"/>
  <c r="G601" i="1"/>
  <c r="AA1349" i="1"/>
  <c r="AA1665" i="1"/>
  <c r="AA1666" i="1"/>
  <c r="AA1446" i="1"/>
  <c r="AA1499" i="1"/>
  <c r="B212" i="1" s="1"/>
  <c r="AA1560" i="1"/>
  <c r="H290" i="1" s="1"/>
  <c r="AA1581" i="1"/>
  <c r="C415" i="1" s="1"/>
  <c r="AA1447" i="1"/>
  <c r="B362" i="1" s="1"/>
  <c r="AA1266" i="1"/>
  <c r="C34" i="1" s="1"/>
  <c r="AA1611" i="1"/>
  <c r="C33" i="1" s="1"/>
  <c r="AA1526" i="1"/>
  <c r="B365" i="1" s="1"/>
  <c r="I175" i="1"/>
  <c r="G171" i="1"/>
  <c r="I171" i="1" s="1"/>
  <c r="G160" i="1"/>
  <c r="C923" i="1"/>
  <c r="C921" i="1"/>
  <c r="C924" i="1"/>
  <c r="C922" i="1"/>
  <c r="G168" i="1"/>
  <c r="I168" i="1" s="1"/>
  <c r="AA1494" i="1"/>
  <c r="B502" i="1" s="1"/>
  <c r="AA1650" i="1"/>
  <c r="B403" i="1" s="1"/>
  <c r="AA1651" i="1"/>
  <c r="B404" i="1" s="1"/>
  <c r="AA1372" i="1"/>
  <c r="B262" i="1" s="1"/>
  <c r="D580" i="1"/>
  <c r="AA1408" i="1"/>
  <c r="B1107" i="1" s="1"/>
  <c r="AA1342" i="1"/>
  <c r="B895" i="1" s="1"/>
  <c r="L897" i="1"/>
  <c r="AA1694" i="1"/>
  <c r="AA1695" i="1"/>
  <c r="AA1691" i="1"/>
  <c r="AA1445" i="1"/>
  <c r="B155" i="1" s="1"/>
  <c r="AA1232" i="1"/>
  <c r="AA1467" i="1"/>
  <c r="G936" i="1"/>
  <c r="AA1401" i="1"/>
  <c r="B165" i="1" s="1"/>
  <c r="AA1402" i="1"/>
  <c r="B886" i="1" s="1"/>
  <c r="AA1375" i="1"/>
  <c r="F927" i="1" s="1"/>
  <c r="AA1263" i="1"/>
  <c r="B920" i="1" s="1"/>
  <c r="AA1285" i="1"/>
  <c r="B936" i="1" s="1"/>
  <c r="AA1582" i="1"/>
  <c r="B821" i="1" s="1"/>
  <c r="AA1258" i="1"/>
  <c r="B863" i="1" s="1"/>
  <c r="AA1239" i="1"/>
  <c r="AA1386" i="1"/>
  <c r="B351" i="1" s="1"/>
  <c r="AA1238" i="1"/>
  <c r="AA1240" i="1"/>
  <c r="AA1387" i="1"/>
  <c r="AA1479" i="1"/>
  <c r="AA1302" i="1"/>
  <c r="E860" i="1"/>
  <c r="AA1385" i="1"/>
  <c r="B813" i="1" s="1"/>
  <c r="AA1233" i="1"/>
  <c r="B72" i="1" s="1"/>
  <c r="AA1522" i="1"/>
  <c r="G71" i="1" s="1"/>
  <c r="AA1588" i="1"/>
  <c r="B71" i="1" s="1"/>
  <c r="E70" i="1"/>
  <c r="AA1250" i="1"/>
  <c r="AA1388" i="1"/>
  <c r="AA1321" i="1"/>
  <c r="B434" i="1" s="1"/>
  <c r="G589" i="1"/>
  <c r="G708" i="1"/>
  <c r="G707" i="1"/>
  <c r="AA1511" i="1"/>
  <c r="B707" i="1" s="1"/>
  <c r="AA1510" i="1"/>
  <c r="B84" i="1" s="1"/>
  <c r="AA1255" i="1"/>
  <c r="C201" i="1" s="1"/>
  <c r="I959" i="1"/>
  <c r="G505" i="1"/>
  <c r="G510" i="1"/>
  <c r="E201" i="1"/>
  <c r="AA1451" i="1"/>
  <c r="AA1261" i="1"/>
  <c r="B168" i="1" s="1"/>
  <c r="AA1648" i="1"/>
  <c r="B815" i="1" s="1"/>
  <c r="AA1422" i="1"/>
  <c r="B606" i="1" s="1"/>
  <c r="AA1348" i="1"/>
  <c r="AA1652" i="1"/>
  <c r="B802" i="1" s="1"/>
  <c r="AA1645" i="1"/>
  <c r="B1127" i="1" s="1"/>
  <c r="AA1610" i="1"/>
  <c r="B1110" i="1" s="1"/>
  <c r="AA1609" i="1"/>
  <c r="B872" i="1" s="1"/>
  <c r="AA1528" i="1"/>
  <c r="B1063" i="1" s="1"/>
  <c r="AA1425" i="1"/>
  <c r="B852" i="1" s="1"/>
  <c r="AA1347" i="1"/>
  <c r="B868" i="1" s="1"/>
  <c r="AA1538" i="1"/>
  <c r="B547" i="1" s="1"/>
  <c r="AA1473" i="1"/>
  <c r="AA1637" i="1"/>
  <c r="B316" i="1" s="1"/>
  <c r="AA1601" i="1"/>
  <c r="B405" i="1" s="1"/>
  <c r="AA1602" i="1"/>
  <c r="B407" i="1" s="1"/>
  <c r="AA1603" i="1"/>
  <c r="B408" i="1" s="1"/>
  <c r="AA1604" i="1"/>
  <c r="B412" i="1" s="1"/>
  <c r="AA1585" i="1"/>
  <c r="B429" i="1" s="1"/>
  <c r="AA1586" i="1"/>
  <c r="B437" i="1" s="1"/>
  <c r="AA1555" i="1"/>
  <c r="AA1478" i="1"/>
  <c r="B435" i="1" s="1"/>
  <c r="AA1503" i="1"/>
  <c r="AA1464" i="1"/>
  <c r="B427" i="1" s="1"/>
  <c r="AA1465" i="1"/>
  <c r="B436" i="1" s="1"/>
  <c r="AA1423" i="1"/>
  <c r="B48" i="1" s="1"/>
  <c r="AA1424" i="1"/>
  <c r="B49" i="1" s="1"/>
  <c r="AA1300" i="1"/>
  <c r="AA1564" i="1"/>
  <c r="B506" i="1" s="1"/>
  <c r="AA1692" i="1"/>
  <c r="H55" i="1" s="1"/>
  <c r="AA1693" i="1"/>
  <c r="H56" i="1" s="1"/>
  <c r="AA1690" i="1"/>
  <c r="H53" i="1" s="1"/>
  <c r="F605" i="1"/>
  <c r="D201" i="1"/>
  <c r="G866" i="1" s="1"/>
  <c r="G606" i="1"/>
  <c r="G879" i="1"/>
  <c r="G880" i="1"/>
  <c r="F607" i="1"/>
  <c r="H606" i="1"/>
  <c r="G871" i="1"/>
  <c r="G865" i="1"/>
  <c r="AA1448" i="1"/>
  <c r="B55" i="1" s="1"/>
  <c r="AA1634" i="1"/>
  <c r="C610" i="1" s="1"/>
  <c r="H540" i="1"/>
  <c r="AA1552" i="1"/>
  <c r="C605" i="1" s="1"/>
  <c r="H592" i="1"/>
  <c r="AA1332" i="1"/>
  <c r="D591" i="1" s="1"/>
  <c r="AA1344" i="1"/>
  <c r="B751" i="1" s="1"/>
  <c r="G768" i="1"/>
  <c r="I553" i="1"/>
  <c r="I554" i="1"/>
  <c r="AA1689" i="1"/>
  <c r="H52" i="1" s="1"/>
  <c r="AA1688" i="1"/>
  <c r="H51" i="1" s="1"/>
  <c r="AA1687" i="1"/>
  <c r="H50" i="1" s="1"/>
  <c r="AA1686" i="1"/>
  <c r="H49" i="1" s="1"/>
  <c r="AA1685" i="1"/>
  <c r="H48" i="1" s="1"/>
  <c r="AA1684" i="1"/>
  <c r="B860" i="1" s="1"/>
  <c r="AA1683" i="1"/>
  <c r="B980" i="1" s="1"/>
  <c r="AA1682" i="1"/>
  <c r="AA1681" i="1"/>
  <c r="F980" i="1" s="1"/>
  <c r="AA1680" i="1"/>
  <c r="E241" i="1" s="1"/>
  <c r="AA1679" i="1"/>
  <c r="J171" i="1" s="1"/>
  <c r="AA1678" i="1"/>
  <c r="G313" i="1" s="1"/>
  <c r="AA1677" i="1"/>
  <c r="AA1676" i="1"/>
  <c r="AA1675" i="1"/>
  <c r="AA1674" i="1"/>
  <c r="H481" i="1" s="1"/>
  <c r="AA1671" i="1"/>
  <c r="AA1670" i="1"/>
  <c r="AA1669" i="1"/>
  <c r="AA1668" i="1"/>
  <c r="B474" i="1" s="1"/>
  <c r="AA1667" i="1"/>
  <c r="B470" i="1" s="1"/>
  <c r="AA1664" i="1"/>
  <c r="B359" i="1" s="1"/>
  <c r="AA1658" i="1"/>
  <c r="I574" i="1" s="1"/>
  <c r="AA1657" i="1"/>
  <c r="B541" i="1" s="1"/>
  <c r="AA1656" i="1"/>
  <c r="B774" i="1" s="1"/>
  <c r="AA1655" i="1"/>
  <c r="B554" i="1" s="1"/>
  <c r="AA1654" i="1"/>
  <c r="B965" i="1" s="1"/>
  <c r="AA1653" i="1"/>
  <c r="B792" i="1" s="1"/>
  <c r="AA1647" i="1"/>
  <c r="B732" i="1" s="1"/>
  <c r="AA1646" i="1"/>
  <c r="B235" i="1" s="1"/>
  <c r="AA1644" i="1"/>
  <c r="B1120" i="1" s="1"/>
  <c r="AA1643" i="1"/>
  <c r="B876" i="1" s="1"/>
  <c r="AA1642" i="1"/>
  <c r="AA1641" i="1"/>
  <c r="B949" i="1" s="1"/>
  <c r="AA1640" i="1"/>
  <c r="B954" i="1" s="1"/>
  <c r="AA1639" i="1"/>
  <c r="B934" i="1" s="1"/>
  <c r="AA1636" i="1"/>
  <c r="B600" i="1" s="1"/>
  <c r="AA1635" i="1"/>
  <c r="B797" i="1" s="1"/>
  <c r="AA1632" i="1"/>
  <c r="B489" i="1" s="1"/>
  <c r="AA1631" i="1"/>
  <c r="D617" i="1" s="1"/>
  <c r="AA1630" i="1"/>
  <c r="B697" i="1" s="1"/>
  <c r="AA1629" i="1"/>
  <c r="B702" i="1" s="1"/>
  <c r="AA1628" i="1"/>
  <c r="AA1627" i="1"/>
  <c r="B671" i="1" s="1"/>
  <c r="AA1626" i="1"/>
  <c r="B711" i="1" s="1"/>
  <c r="AA1625" i="1"/>
  <c r="B700" i="1" s="1"/>
  <c r="AA1624" i="1"/>
  <c r="B737" i="1" s="1"/>
  <c r="AA1622" i="1"/>
  <c r="B1033" i="1" s="1"/>
  <c r="AA1621" i="1"/>
  <c r="B1017" i="1" s="1"/>
  <c r="AA1620" i="1"/>
  <c r="B657" i="1" s="1"/>
  <c r="AA1619" i="1"/>
  <c r="B683" i="1" s="1"/>
  <c r="AA1618" i="1"/>
  <c r="AA1617" i="1"/>
  <c r="AA1616" i="1"/>
  <c r="AA1615" i="1"/>
  <c r="B654" i="1" s="1"/>
  <c r="AA1614" i="1"/>
  <c r="B784" i="1" s="1"/>
  <c r="AA1613" i="1"/>
  <c r="B26" i="1" s="1"/>
  <c r="AA1608" i="1"/>
  <c r="AA1607" i="1"/>
  <c r="B928" i="1" s="1"/>
  <c r="AA1606" i="1"/>
  <c r="B1086" i="1" s="1"/>
  <c r="AA1600" i="1"/>
  <c r="B979" i="1" s="1"/>
  <c r="AA1599" i="1"/>
  <c r="B809" i="1" s="1"/>
  <c r="AA1598" i="1"/>
  <c r="B672" i="1" s="1"/>
  <c r="AA1597" i="1"/>
  <c r="AA1596" i="1"/>
  <c r="G29" i="1" s="1"/>
  <c r="AA1595" i="1"/>
  <c r="B1023" i="1" s="1"/>
  <c r="AA1593" i="1"/>
  <c r="B874" i="1" s="1"/>
  <c r="AA1592" i="1"/>
  <c r="B706" i="1" s="1"/>
  <c r="AA1591" i="1"/>
  <c r="AA1590" i="1"/>
  <c r="AA1589" i="1"/>
  <c r="G70" i="1" s="1"/>
  <c r="AA1587" i="1"/>
  <c r="B70" i="1" s="1"/>
  <c r="AA1584" i="1"/>
  <c r="J44" i="1" s="1"/>
  <c r="AA1580" i="1"/>
  <c r="B226" i="1" s="1"/>
  <c r="AA1579" i="1"/>
  <c r="AA1578" i="1"/>
  <c r="B461" i="1" s="1"/>
  <c r="AA1576" i="1"/>
  <c r="B509" i="1" s="1"/>
  <c r="AA1575" i="1"/>
  <c r="B1084" i="1" s="1"/>
  <c r="AA1574" i="1"/>
  <c r="AA1573" i="1"/>
  <c r="AA1572" i="1"/>
  <c r="AA1571" i="1"/>
  <c r="B150" i="1" s="1"/>
  <c r="AA1570" i="1"/>
  <c r="B283" i="1" s="1"/>
  <c r="AA1567" i="1"/>
  <c r="B677" i="1" s="1"/>
  <c r="AA1566" i="1"/>
  <c r="J30" i="1" s="1"/>
  <c r="AA1563" i="1"/>
  <c r="B624" i="1" s="1"/>
  <c r="AA1562" i="1"/>
  <c r="B553" i="1" s="1"/>
  <c r="AA1561" i="1"/>
  <c r="B617" i="1" s="1"/>
  <c r="AA1559" i="1"/>
  <c r="AA1558" i="1"/>
  <c r="B1118" i="1" s="1"/>
  <c r="AA1557" i="1"/>
  <c r="AA1556" i="1"/>
  <c r="B91" i="1" s="1"/>
  <c r="AA1554" i="1"/>
  <c r="B98" i="1" s="1"/>
  <c r="AA1551" i="1"/>
  <c r="AA1550" i="1"/>
  <c r="AA1549" i="1"/>
  <c r="AA1547" i="1"/>
  <c r="AA1545" i="1"/>
  <c r="B534" i="1" s="1"/>
  <c r="AA1544" i="1"/>
  <c r="B673" i="1" s="1"/>
  <c r="AA1543" i="1"/>
  <c r="AA1542" i="1"/>
  <c r="AA1540" i="1"/>
  <c r="B462" i="1" s="1"/>
  <c r="AA1539" i="1"/>
  <c r="B994" i="1" s="1"/>
  <c r="AA1537" i="1"/>
  <c r="B546" i="1" s="1"/>
  <c r="AA1536" i="1"/>
  <c r="AA1535" i="1"/>
  <c r="B352" i="1" s="1"/>
  <c r="AA1531" i="1"/>
  <c r="G94" i="1" s="1"/>
  <c r="AA1530" i="1"/>
  <c r="G109" i="1" s="1"/>
  <c r="AA1529" i="1"/>
  <c r="G81" i="1" s="1"/>
  <c r="AA1527" i="1"/>
  <c r="AA1524" i="1"/>
  <c r="B425" i="1" s="1"/>
  <c r="AA1523" i="1"/>
  <c r="B709" i="1" s="1"/>
  <c r="AA1521" i="1"/>
  <c r="B491" i="1" s="1"/>
  <c r="AA1520" i="1"/>
  <c r="AA1519" i="1"/>
  <c r="B220" i="1" s="1"/>
  <c r="AA1517" i="1"/>
  <c r="AA1516" i="1"/>
  <c r="AA1509" i="1"/>
  <c r="B530" i="1" s="1"/>
  <c r="AA1508" i="1"/>
  <c r="AA1507" i="1"/>
  <c r="AA1506" i="1"/>
  <c r="B245" i="1" s="1"/>
  <c r="AA1504" i="1"/>
  <c r="B438" i="1" s="1"/>
  <c r="AA1502" i="1"/>
  <c r="B977" i="1" s="1"/>
  <c r="AA1501" i="1"/>
  <c r="B214" i="1" s="1"/>
  <c r="AA1500" i="1"/>
  <c r="B590" i="1" s="1"/>
  <c r="AA1498" i="1"/>
  <c r="AA1496" i="1"/>
  <c r="B705" i="1" s="1"/>
  <c r="AA1495" i="1"/>
  <c r="B82" i="1" s="1"/>
  <c r="AA1493" i="1"/>
  <c r="B44" i="1" s="1"/>
  <c r="AA1492" i="1"/>
  <c r="AA1490" i="1"/>
  <c r="AA1489" i="1"/>
  <c r="F44" i="1" s="1"/>
  <c r="AA1488" i="1"/>
  <c r="B42" i="1" s="1"/>
  <c r="AA1487" i="1"/>
  <c r="B690" i="1" s="1"/>
  <c r="AA1485" i="1"/>
  <c r="B603" i="1" s="1"/>
  <c r="AA1484" i="1"/>
  <c r="B806" i="1" s="1"/>
  <c r="AA1483" i="1"/>
  <c r="B829" i="1" s="1"/>
  <c r="AA1482" i="1"/>
  <c r="I575" i="1" s="1"/>
  <c r="AA1481" i="1"/>
  <c r="D618" i="1" s="1"/>
  <c r="AA1480" i="1"/>
  <c r="AA1477" i="1"/>
  <c r="B532" i="1" s="1"/>
  <c r="AA1476" i="1"/>
  <c r="B181" i="1" s="1"/>
  <c r="AA1474" i="1"/>
  <c r="AA1472" i="1"/>
  <c r="G95" i="1" s="1"/>
  <c r="AA1471" i="1"/>
  <c r="G110" i="1" s="1"/>
  <c r="AA1470" i="1"/>
  <c r="G82" i="1" s="1"/>
  <c r="AA1468" i="1"/>
  <c r="AA1466" i="1"/>
  <c r="C611" i="1" s="1"/>
  <c r="AA1462" i="1"/>
  <c r="F45" i="1" s="1"/>
  <c r="AA1461" i="1"/>
  <c r="B910" i="1" s="1"/>
  <c r="AA1460" i="1"/>
  <c r="J480" i="1" s="1"/>
  <c r="AA1456" i="1"/>
  <c r="AA1455" i="1"/>
  <c r="B975" i="1" s="1"/>
  <c r="AA1453" i="1"/>
  <c r="B981" i="1" s="1"/>
  <c r="AA1452" i="1"/>
  <c r="D42" i="1" s="1"/>
  <c r="AA1450" i="1"/>
  <c r="B45" i="1" s="1"/>
  <c r="AA1444" i="1"/>
  <c r="E683" i="1" s="1"/>
  <c r="AA1443" i="1"/>
  <c r="AA1442" i="1"/>
  <c r="D585" i="1" s="1"/>
  <c r="AA1441" i="1"/>
  <c r="B618" i="1" s="1"/>
  <c r="AA1440" i="1"/>
  <c r="AA1438" i="1"/>
  <c r="B1056" i="1" s="1"/>
  <c r="AA1437" i="1"/>
  <c r="B787" i="1" s="1"/>
  <c r="AA1435" i="1"/>
  <c r="B1057" i="1" s="1"/>
  <c r="AA1434" i="1"/>
  <c r="AA1433" i="1"/>
  <c r="B1014" i="1" s="1"/>
  <c r="AA1432" i="1"/>
  <c r="B107" i="1" s="1"/>
  <c r="AA1431" i="1"/>
  <c r="C612" i="1" s="1"/>
  <c r="AA1430" i="1"/>
  <c r="B537" i="1" s="1"/>
  <c r="AA1429" i="1"/>
  <c r="AA1427" i="1"/>
  <c r="AA1426" i="1"/>
  <c r="AA1421" i="1"/>
  <c r="B401" i="1" s="1"/>
  <c r="AA1420" i="1"/>
  <c r="B370" i="1" s="1"/>
  <c r="AA1419" i="1"/>
  <c r="AA1417" i="1"/>
  <c r="B1130" i="1" s="1"/>
  <c r="AA1416" i="1"/>
  <c r="B287" i="1" s="1"/>
  <c r="AA1414" i="1"/>
  <c r="B267" i="1" s="1"/>
  <c r="AA1413" i="1"/>
  <c r="B501" i="1" s="1"/>
  <c r="AA1412" i="1"/>
  <c r="B538" i="1" s="1"/>
  <c r="AA1411" i="1"/>
  <c r="B1020" i="1" s="1"/>
  <c r="AA1409" i="1"/>
  <c r="B550" i="1" s="1"/>
  <c r="AA1407" i="1"/>
  <c r="B275" i="1" s="1"/>
  <c r="AA1406" i="1"/>
  <c r="B524" i="1" s="1"/>
  <c r="AA1405" i="1"/>
  <c r="D619" i="1" s="1"/>
  <c r="AA1403" i="1"/>
  <c r="B609" i="1" s="1"/>
  <c r="AA1400" i="1"/>
  <c r="G96" i="1" s="1"/>
  <c r="AA1399" i="1"/>
  <c r="G111" i="1" s="1"/>
  <c r="AA1398" i="1"/>
  <c r="G83" i="1" s="1"/>
  <c r="AA1395" i="1"/>
  <c r="B216" i="1" s="1"/>
  <c r="AA1391" i="1"/>
  <c r="G581" i="1" s="1"/>
  <c r="AA1390" i="1"/>
  <c r="B399" i="1" s="1"/>
  <c r="AA1389" i="1"/>
  <c r="B360" i="1" s="1"/>
  <c r="AA1384" i="1"/>
  <c r="B811" i="1" s="1"/>
  <c r="AA1383" i="1"/>
  <c r="AA1382" i="1"/>
  <c r="B31" i="1" s="1"/>
  <c r="AA1380" i="1"/>
  <c r="B951" i="1" s="1"/>
  <c r="AA1379" i="1"/>
  <c r="H480" i="1" s="1"/>
  <c r="AA1378" i="1"/>
  <c r="B95" i="1" s="1"/>
  <c r="AA1377" i="1"/>
  <c r="AA1376" i="1"/>
  <c r="AA1374" i="1"/>
  <c r="B685" i="1" s="1"/>
  <c r="AA1373" i="1"/>
  <c r="B418" i="1" s="1"/>
  <c r="AA1371" i="1"/>
  <c r="B240" i="1" s="1"/>
  <c r="AA1370" i="1"/>
  <c r="B988" i="1" s="1"/>
  <c r="AA1369" i="1"/>
  <c r="I481" i="1" s="1"/>
  <c r="AA1368" i="1"/>
  <c r="B856" i="1" s="1"/>
  <c r="AA1367" i="1"/>
  <c r="B186" i="1" s="1"/>
  <c r="AA1366" i="1"/>
  <c r="B179" i="1" s="1"/>
  <c r="AA1364" i="1"/>
  <c r="J481" i="1" s="1"/>
  <c r="AA1363" i="1"/>
  <c r="AA1362" i="1"/>
  <c r="B233" i="1" s="1"/>
  <c r="AA1361" i="1"/>
  <c r="B146" i="1" s="1"/>
  <c r="AA1360" i="1"/>
  <c r="E481" i="1" s="1"/>
  <c r="AA1359" i="1"/>
  <c r="F422" i="1" s="1"/>
  <c r="AA1358" i="1"/>
  <c r="G85" i="1" s="1"/>
  <c r="AA1357" i="1"/>
  <c r="F449" i="1" s="1"/>
  <c r="AA1356" i="1"/>
  <c r="F425" i="1" s="1"/>
  <c r="AA1355" i="1"/>
  <c r="AA1354" i="1"/>
  <c r="AA1352" i="1"/>
  <c r="B539" i="1" s="1"/>
  <c r="AA1351" i="1"/>
  <c r="B989" i="1" s="1"/>
  <c r="AA1350" i="1"/>
  <c r="B1036" i="1" s="1"/>
  <c r="AA1346" i="1"/>
  <c r="B825" i="1" s="1"/>
  <c r="AA1343" i="1"/>
  <c r="B808" i="1" s="1"/>
  <c r="AA1341" i="1"/>
  <c r="B907" i="1" s="1"/>
  <c r="AA1340" i="1"/>
  <c r="B902" i="1" s="1"/>
  <c r="AA1339" i="1"/>
  <c r="B900" i="1" s="1"/>
  <c r="AA1338" i="1"/>
  <c r="B888" i="1" s="1"/>
  <c r="AA1337" i="1"/>
  <c r="AA1336" i="1"/>
  <c r="B1095" i="1" s="1"/>
  <c r="AA1335" i="1"/>
  <c r="B1042" i="1" s="1"/>
  <c r="AA1334" i="1"/>
  <c r="B840" i="1" s="1"/>
  <c r="AA1333" i="1"/>
  <c r="B942" i="1" s="1"/>
  <c r="AA1330" i="1"/>
  <c r="B1076" i="1" s="1"/>
  <c r="AA1329" i="1"/>
  <c r="AA1328" i="1"/>
  <c r="B909" i="1" s="1"/>
  <c r="AA1327" i="1"/>
  <c r="B919" i="1" s="1"/>
  <c r="AA1326" i="1"/>
  <c r="B932" i="1" s="1"/>
  <c r="AA1325" i="1"/>
  <c r="B687" i="1" s="1"/>
  <c r="AA1324" i="1"/>
  <c r="D587" i="1" s="1"/>
  <c r="AA1323" i="1"/>
  <c r="B676" i="1" s="1"/>
  <c r="AA1320" i="1"/>
  <c r="AA1319" i="1"/>
  <c r="AA1318" i="1"/>
  <c r="B503" i="1" s="1"/>
  <c r="AA1317" i="1"/>
  <c r="AA1315" i="1"/>
  <c r="B75" i="1" s="1"/>
  <c r="AA1313" i="1"/>
  <c r="F46" i="1" s="1"/>
  <c r="AA1312" i="1"/>
  <c r="AA1311" i="1"/>
  <c r="AA1310" i="1"/>
  <c r="AA1309" i="1"/>
  <c r="I527" i="1" s="1"/>
  <c r="AA1305" i="1"/>
  <c r="B699" i="1" s="1"/>
  <c r="AA1304" i="1"/>
  <c r="B191" i="1" s="1"/>
  <c r="AA1303" i="1"/>
  <c r="AA1299" i="1"/>
  <c r="B823" i="1" s="1"/>
  <c r="AA1297" i="1"/>
  <c r="B912" i="1" s="1"/>
  <c r="AA1296" i="1"/>
  <c r="B678" i="1" s="1"/>
  <c r="AA1295" i="1"/>
  <c r="AA1294" i="1"/>
  <c r="B828" i="1" s="1"/>
  <c r="AA1293" i="1"/>
  <c r="B935" i="1" s="1"/>
  <c r="AA1292" i="1"/>
  <c r="AA1290" i="1"/>
  <c r="B355" i="1" s="1"/>
  <c r="AA1289" i="1"/>
  <c r="B950" i="1" s="1"/>
  <c r="AA1288" i="1"/>
  <c r="AA1287" i="1"/>
  <c r="B952" i="1" s="1"/>
  <c r="AA1284" i="1"/>
  <c r="AA1282" i="1"/>
  <c r="AA1281" i="1"/>
  <c r="AA1280" i="1"/>
  <c r="B917" i="1" s="1"/>
  <c r="AA1279" i="1"/>
  <c r="B668" i="1" s="1"/>
  <c r="AA1278" i="1"/>
  <c r="B669" i="1" s="1"/>
  <c r="AA1277" i="1"/>
  <c r="B375" i="1" s="1"/>
  <c r="AA1276" i="1"/>
  <c r="B660" i="1" s="1"/>
  <c r="AA1275" i="1"/>
  <c r="B335" i="1" s="1"/>
  <c r="AA1274" i="1"/>
  <c r="AA1272" i="1"/>
  <c r="B531" i="1" s="1"/>
  <c r="AA1270" i="1"/>
  <c r="B585" i="1" s="1"/>
  <c r="AA1269" i="1"/>
  <c r="AA1268" i="1"/>
  <c r="D589" i="1" s="1"/>
  <c r="AA1267" i="1"/>
  <c r="B704" i="1" s="1"/>
  <c r="AA1265" i="1"/>
  <c r="B998" i="1" s="1"/>
  <c r="AA1264" i="1"/>
  <c r="AA1260" i="1"/>
  <c r="B171" i="1" s="1"/>
  <c r="AA1259" i="1"/>
  <c r="AA1257" i="1"/>
  <c r="B819" i="1" s="1"/>
  <c r="AA1256" i="1"/>
  <c r="AA1254" i="1"/>
  <c r="B36" i="1" s="1"/>
  <c r="AA1253" i="1"/>
  <c r="AA1247" i="1"/>
  <c r="B234" i="1" s="1"/>
  <c r="AA1248" i="1"/>
  <c r="B993" i="1" s="1"/>
  <c r="AA1251" i="1"/>
  <c r="B217" i="1" s="1"/>
  <c r="AA1234" i="1"/>
  <c r="G31" i="1" s="1"/>
  <c r="AA1235" i="1"/>
  <c r="G663" i="1" s="1"/>
  <c r="AA1236" i="1"/>
  <c r="D586" i="1" s="1"/>
  <c r="AA1237" i="1"/>
  <c r="E684" i="1" s="1"/>
  <c r="AA1241" i="1"/>
  <c r="B485" i="1" s="1"/>
  <c r="AA1242" i="1"/>
  <c r="I480" i="1" s="1"/>
  <c r="AA1243" i="1"/>
  <c r="B356" i="1" s="1"/>
  <c r="AA1244" i="1"/>
  <c r="AA1245" i="1"/>
  <c r="G480" i="1" s="1"/>
  <c r="AA1246" i="1"/>
  <c r="AA1231" i="1"/>
  <c r="C609" i="1" s="1"/>
  <c r="J527" i="1"/>
  <c r="J576" i="1"/>
  <c r="G1028" i="1"/>
  <c r="F1028" i="1"/>
  <c r="E1028" i="1"/>
  <c r="D1028" i="1"/>
  <c r="C1028" i="1"/>
  <c r="J1024" i="1"/>
  <c r="I1024" i="1"/>
  <c r="H1024" i="1"/>
  <c r="G1024" i="1"/>
  <c r="F1024" i="1"/>
  <c r="E1024" i="1"/>
  <c r="D1024" i="1"/>
  <c r="C1024" i="1"/>
  <c r="G978" i="1"/>
  <c r="I978" i="1" s="1"/>
  <c r="F441" i="1"/>
  <c r="H989" i="1" s="1"/>
  <c r="G996" i="1"/>
  <c r="F437" i="1"/>
  <c r="F429" i="1"/>
  <c r="F431" i="1"/>
  <c r="L106" i="7" s="1"/>
  <c r="J116" i="1"/>
  <c r="H484" i="1"/>
  <c r="H488" i="1"/>
  <c r="J488" i="1" s="1"/>
  <c r="AC488" i="1" s="1"/>
  <c r="G489" i="1"/>
  <c r="H489" i="1"/>
  <c r="G490" i="1"/>
  <c r="H490" i="1"/>
  <c r="J678" i="1"/>
  <c r="J677" i="1"/>
  <c r="J574" i="1"/>
  <c r="J575" i="1"/>
  <c r="D578" i="1"/>
  <c r="F588" i="1"/>
  <c r="H588" i="1"/>
  <c r="F600" i="1"/>
  <c r="G600" i="1"/>
  <c r="H603" i="1"/>
  <c r="F604" i="1"/>
  <c r="H609" i="1"/>
  <c r="C17" i="7" s="1"/>
  <c r="F611" i="1"/>
  <c r="G611" i="1"/>
  <c r="H611" i="1"/>
  <c r="F612" i="1"/>
  <c r="H612" i="1"/>
  <c r="H613" i="1"/>
  <c r="F614" i="1"/>
  <c r="G614" i="1" s="1"/>
  <c r="F615" i="1"/>
  <c r="J525" i="1"/>
  <c r="J526" i="1"/>
  <c r="D527" i="1"/>
  <c r="D528" i="1"/>
  <c r="H537" i="1"/>
  <c r="H109" i="7" s="1"/>
  <c r="F545" i="1"/>
  <c r="C114" i="7" s="1"/>
  <c r="H545" i="1"/>
  <c r="C25" i="7" s="1"/>
  <c r="H546" i="1"/>
  <c r="G24" i="7" s="1"/>
  <c r="F549" i="1"/>
  <c r="G549" i="1"/>
  <c r="H549" i="1"/>
  <c r="G98" i="7" s="1"/>
  <c r="C101" i="7"/>
  <c r="H510" i="1"/>
  <c r="E489" i="1"/>
  <c r="F489" i="1"/>
  <c r="E490" i="1"/>
  <c r="F490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G693" i="1"/>
  <c r="G694" i="1"/>
  <c r="G695" i="1"/>
  <c r="G705" i="1"/>
  <c r="G706" i="1"/>
  <c r="C754" i="1"/>
  <c r="D754" i="1"/>
  <c r="E754" i="1"/>
  <c r="F754" i="1"/>
  <c r="G754" i="1"/>
  <c r="H754" i="1"/>
  <c r="I754" i="1"/>
  <c r="J754" i="1"/>
  <c r="C758" i="1"/>
  <c r="D758" i="1"/>
  <c r="E758" i="1"/>
  <c r="F758" i="1"/>
  <c r="G758" i="1"/>
  <c r="G789" i="1"/>
  <c r="I789" i="1"/>
  <c r="G794" i="1"/>
  <c r="G795" i="1"/>
  <c r="E814" i="1"/>
  <c r="G822" i="1"/>
  <c r="G837" i="1"/>
  <c r="G890" i="1"/>
  <c r="G903" i="1"/>
  <c r="G904" i="1"/>
  <c r="G910" i="1"/>
  <c r="G911" i="1"/>
  <c r="G943" i="1"/>
  <c r="G944" i="1"/>
  <c r="G950" i="1"/>
  <c r="G961" i="1"/>
  <c r="I961" i="1"/>
  <c r="E980" i="1"/>
  <c r="H996" i="1"/>
  <c r="G1012" i="1"/>
  <c r="G1013" i="1"/>
  <c r="G1038" i="1"/>
  <c r="G1039" i="1"/>
  <c r="G1056" i="1"/>
  <c r="G1057" i="1"/>
  <c r="G1067" i="1"/>
  <c r="G1087" i="1"/>
  <c r="G1100" i="1"/>
  <c r="G1101" i="1"/>
  <c r="G1111" i="1"/>
  <c r="G1120" i="1"/>
  <c r="I1120" i="1"/>
  <c r="G959" i="1"/>
  <c r="G962" i="1"/>
  <c r="I962" i="1"/>
  <c r="I960" i="1"/>
  <c r="G960" i="1"/>
  <c r="B613" i="1"/>
  <c r="D613" i="1"/>
  <c r="F613" i="1"/>
  <c r="D614" i="1"/>
  <c r="C615" i="1"/>
  <c r="D615" i="1"/>
  <c r="D616" i="1"/>
  <c r="G928" i="1"/>
  <c r="G930" i="1" s="1"/>
  <c r="G935" i="1"/>
  <c r="G938" i="1"/>
  <c r="C10" i="7" l="1"/>
  <c r="J618" i="1"/>
  <c r="E25" i="11" s="1"/>
  <c r="F119" i="1"/>
  <c r="AB119" i="1" s="1"/>
  <c r="I600" i="1"/>
  <c r="J600" i="1" s="1"/>
  <c r="E18" i="11" s="1"/>
  <c r="J539" i="1"/>
  <c r="G1104" i="1"/>
  <c r="I1104" i="1" s="1"/>
  <c r="J611" i="1" s="1"/>
  <c r="G907" i="1"/>
  <c r="I907" i="1" s="1"/>
  <c r="E405" i="1"/>
  <c r="E375" i="1"/>
  <c r="E414" i="1" s="1"/>
  <c r="M856" i="1"/>
  <c r="I542" i="1"/>
  <c r="J542" i="1" s="1"/>
  <c r="C755" i="1"/>
  <c r="C756" i="1" s="1"/>
  <c r="D606" i="1"/>
  <c r="D1025" i="1"/>
  <c r="H304" i="1"/>
  <c r="E759" i="1" s="1"/>
  <c r="E760" i="1" s="1"/>
  <c r="H299" i="1"/>
  <c r="I755" i="1" s="1"/>
  <c r="I756" i="1" s="1"/>
  <c r="H295" i="1"/>
  <c r="H305" i="1"/>
  <c r="F759" i="1" s="1"/>
  <c r="F760" i="1" s="1"/>
  <c r="G759" i="1"/>
  <c r="G760" i="1" s="1"/>
  <c r="G857" i="1"/>
  <c r="I857" i="1" s="1"/>
  <c r="I278" i="1"/>
  <c r="G883" i="1"/>
  <c r="I883" i="1" s="1"/>
  <c r="E857" i="1"/>
  <c r="B439" i="1"/>
  <c r="G697" i="1"/>
  <c r="I697" i="1" s="1"/>
  <c r="J490" i="1"/>
  <c r="G615" i="1"/>
  <c r="G700" i="1"/>
  <c r="I700" i="1" s="1"/>
  <c r="B200" i="1"/>
  <c r="D608" i="1"/>
  <c r="H405" i="1"/>
  <c r="G724" i="1"/>
  <c r="G725" i="1" s="1"/>
  <c r="I725" i="1" s="1"/>
  <c r="C608" i="1"/>
  <c r="D607" i="1"/>
  <c r="B201" i="1"/>
  <c r="G1060" i="1"/>
  <c r="I1060" i="1" s="1"/>
  <c r="I595" i="1"/>
  <c r="J595" i="1" s="1"/>
  <c r="E13" i="11" s="1"/>
  <c r="E72" i="1"/>
  <c r="D190" i="1"/>
  <c r="G823" i="1" s="1"/>
  <c r="G914" i="1"/>
  <c r="I914" i="1" s="1"/>
  <c r="I612" i="1" s="1"/>
  <c r="F415" i="1"/>
  <c r="C27" i="7"/>
  <c r="H301" i="1"/>
  <c r="J1025" i="1" s="1"/>
  <c r="H296" i="1"/>
  <c r="F755" i="1" s="1"/>
  <c r="F756" i="1" s="1"/>
  <c r="H298" i="1"/>
  <c r="H755" i="1" s="1"/>
  <c r="H756" i="1" s="1"/>
  <c r="H302" i="1"/>
  <c r="C759" i="1" s="1"/>
  <c r="C760" i="1" s="1"/>
  <c r="G755" i="1"/>
  <c r="G756" i="1" s="1"/>
  <c r="H303" i="1"/>
  <c r="D759" i="1" s="1"/>
  <c r="D760" i="1" s="1"/>
  <c r="L101" i="7"/>
  <c r="F539" i="1"/>
  <c r="G539" i="1" s="1"/>
  <c r="J620" i="1"/>
  <c r="C11" i="7"/>
  <c r="J553" i="1"/>
  <c r="C96" i="7"/>
  <c r="J619" i="1"/>
  <c r="E26" i="11" s="1"/>
  <c r="J617" i="1"/>
  <c r="E24" i="11" s="1"/>
  <c r="G848" i="1"/>
  <c r="I848" i="1" s="1"/>
  <c r="I608" i="1" s="1"/>
  <c r="J608" i="1" s="1"/>
  <c r="G840" i="1"/>
  <c r="I840" i="1" s="1"/>
  <c r="I605" i="1" s="1"/>
  <c r="C115" i="7"/>
  <c r="J489" i="1"/>
  <c r="G484" i="1"/>
  <c r="I100" i="1"/>
  <c r="D592" i="1"/>
  <c r="L896" i="1"/>
  <c r="F410" i="1"/>
  <c r="H412" i="1"/>
  <c r="H404" i="1"/>
  <c r="B734" i="1"/>
  <c r="G403" i="1"/>
  <c r="G409" i="1"/>
  <c r="B79" i="1"/>
  <c r="B733" i="1"/>
  <c r="I411" i="1"/>
  <c r="I410" i="1"/>
  <c r="I412" i="1"/>
  <c r="I401" i="1"/>
  <c r="B573" i="1"/>
  <c r="B446" i="1"/>
  <c r="B402" i="1"/>
  <c r="B1073" i="1"/>
  <c r="B161" i="1"/>
  <c r="B1123" i="1"/>
  <c r="I526" i="1"/>
  <c r="B441" i="1"/>
  <c r="F860" i="1"/>
  <c r="B722" i="1"/>
  <c r="D609" i="1"/>
  <c r="B995" i="1"/>
  <c r="B281" i="1"/>
  <c r="B85" i="1"/>
  <c r="B833" i="1"/>
  <c r="B708" i="1"/>
  <c r="B289" i="1"/>
  <c r="B1051" i="1"/>
  <c r="B961" i="1"/>
  <c r="B347" i="1"/>
  <c r="B551" i="1"/>
  <c r="B533" i="1"/>
  <c r="B726" i="1"/>
  <c r="B890" i="1"/>
  <c r="D538" i="1"/>
  <c r="D600" i="1"/>
  <c r="D537" i="1"/>
  <c r="G945" i="1"/>
  <c r="G612" i="1"/>
  <c r="G602" i="1"/>
  <c r="D540" i="1"/>
  <c r="J45" i="1"/>
  <c r="D549" i="1"/>
  <c r="B911" i="1"/>
  <c r="G767" i="1"/>
  <c r="F592" i="1"/>
  <c r="G802" i="1"/>
  <c r="G745" i="1"/>
  <c r="F403" i="1"/>
  <c r="C409" i="1"/>
  <c r="B1066" i="1"/>
  <c r="B717" i="1"/>
  <c r="B940" i="1"/>
  <c r="B727" i="1"/>
  <c r="G1058" i="1"/>
  <c r="G545" i="1"/>
  <c r="G1110" i="1"/>
  <c r="G1113" i="1" s="1"/>
  <c r="J406" i="1"/>
  <c r="B263" i="1"/>
  <c r="B854" i="1"/>
  <c r="B881" i="1"/>
  <c r="H289" i="1"/>
  <c r="B255" i="1"/>
  <c r="B866" i="1"/>
  <c r="B151" i="1"/>
  <c r="B763" i="1"/>
  <c r="G1127" i="1"/>
  <c r="I1127" i="1" s="1"/>
  <c r="J403" i="1"/>
  <c r="B859" i="1"/>
  <c r="B271" i="1"/>
  <c r="B505" i="1"/>
  <c r="B947" i="1"/>
  <c r="H615" i="1"/>
  <c r="G406" i="1"/>
  <c r="G410" i="1"/>
  <c r="J168" i="1"/>
  <c r="B680" i="1"/>
  <c r="B578" i="1"/>
  <c r="G201" i="1"/>
  <c r="B508" i="1"/>
  <c r="G1102" i="1"/>
  <c r="G408" i="1"/>
  <c r="B716" i="1"/>
  <c r="B256" i="1"/>
  <c r="D418" i="1"/>
  <c r="B871" i="1"/>
  <c r="B1065" i="1"/>
  <c r="B1007" i="1"/>
  <c r="G552" i="1"/>
  <c r="G1125" i="1"/>
  <c r="G733" i="1"/>
  <c r="J400" i="1"/>
  <c r="F411" i="1"/>
  <c r="F404" i="1"/>
  <c r="F405" i="1"/>
  <c r="E263" i="1"/>
  <c r="B896" i="1"/>
  <c r="B1125" i="1"/>
  <c r="C217" i="1"/>
  <c r="B504" i="1"/>
  <c r="B1109" i="1"/>
  <c r="F540" i="1"/>
  <c r="G593" i="1"/>
  <c r="H403" i="1"/>
  <c r="J405" i="1"/>
  <c r="B257" i="1"/>
  <c r="D602" i="1"/>
  <c r="B1069" i="1"/>
  <c r="B749" i="1"/>
  <c r="B30" i="1"/>
  <c r="B991" i="1"/>
  <c r="B1098" i="1"/>
  <c r="B581" i="1"/>
  <c r="B348" i="1"/>
  <c r="B692" i="1"/>
  <c r="I409" i="1"/>
  <c r="B1104" i="1"/>
  <c r="B486" i="1"/>
  <c r="G340" i="1"/>
  <c r="I408" i="1"/>
  <c r="E409" i="1"/>
  <c r="B1113" i="1"/>
  <c r="B862" i="1"/>
  <c r="B724" i="1"/>
  <c r="B596" i="1"/>
  <c r="B814" i="1"/>
  <c r="B1012" i="1"/>
  <c r="B373" i="1"/>
  <c r="G188" i="1"/>
  <c r="B247" i="1"/>
  <c r="D611" i="1"/>
  <c r="B857" i="1"/>
  <c r="B591" i="1"/>
  <c r="E795" i="1"/>
  <c r="D550" i="1"/>
  <c r="B81" i="1"/>
  <c r="B536" i="1"/>
  <c r="B580" i="1"/>
  <c r="B451" i="1"/>
  <c r="B483" i="1"/>
  <c r="G151" i="1"/>
  <c r="B543" i="1"/>
  <c r="B987" i="1"/>
  <c r="G696" i="1"/>
  <c r="E408" i="1"/>
  <c r="I400" i="1"/>
  <c r="I406" i="1"/>
  <c r="D610" i="1"/>
  <c r="B820" i="1"/>
  <c r="J175" i="1"/>
  <c r="B771" i="1"/>
  <c r="B444" i="1"/>
  <c r="B552" i="1"/>
  <c r="B1101" i="1"/>
  <c r="D590" i="1"/>
  <c r="B810" i="1"/>
  <c r="J31" i="1"/>
  <c r="B510" i="1"/>
  <c r="E480" i="1"/>
  <c r="D588" i="1"/>
  <c r="B29" i="1"/>
  <c r="B679" i="1"/>
  <c r="B1072" i="1"/>
  <c r="B528" i="1"/>
  <c r="G727" i="1"/>
  <c r="B621" i="1"/>
  <c r="F406" i="1"/>
  <c r="F408" i="1"/>
  <c r="J408" i="1"/>
  <c r="J410" i="1"/>
  <c r="E403" i="1"/>
  <c r="I403" i="1"/>
  <c r="J409" i="1"/>
  <c r="F409" i="1"/>
  <c r="G405" i="1"/>
  <c r="I399" i="1"/>
  <c r="G399" i="1"/>
  <c r="E399" i="1"/>
  <c r="B803" i="1"/>
  <c r="B548" i="1"/>
  <c r="B430" i="1"/>
  <c r="B883" i="1"/>
  <c r="D420" i="1"/>
  <c r="D603" i="1"/>
  <c r="E580" i="1"/>
  <c r="I525" i="1"/>
  <c r="B1045" i="1"/>
  <c r="B584" i="1"/>
  <c r="F923" i="1"/>
  <c r="I923" i="1" s="1"/>
  <c r="F400" i="1"/>
  <c r="G401" i="1"/>
  <c r="H408" i="1"/>
  <c r="H409" i="1"/>
  <c r="G1029" i="1"/>
  <c r="G1030" i="1" s="1"/>
  <c r="B545" i="1"/>
  <c r="B488" i="1"/>
  <c r="B1102" i="1"/>
  <c r="B905" i="1"/>
  <c r="B1112" i="1"/>
  <c r="B1068" i="1"/>
  <c r="H375" i="1"/>
  <c r="H410" i="1"/>
  <c r="H406" i="1"/>
  <c r="H400" i="1"/>
  <c r="B897" i="1"/>
  <c r="B202" i="1"/>
  <c r="B880" i="1"/>
  <c r="B714" i="1"/>
  <c r="B930" i="1"/>
  <c r="B160" i="1"/>
  <c r="I576" i="1"/>
  <c r="B33" i="1"/>
  <c r="B914" i="1"/>
  <c r="B1060" i="1"/>
  <c r="F579" i="1"/>
  <c r="F531" i="1"/>
  <c r="B582" i="1"/>
  <c r="B535" i="1"/>
  <c r="B1100" i="1"/>
  <c r="C220" i="1"/>
  <c r="B889" i="1"/>
  <c r="B903" i="1"/>
  <c r="B1038" i="1"/>
  <c r="C226" i="1"/>
  <c r="B449" i="1"/>
  <c r="B1004" i="1"/>
  <c r="B827" i="1"/>
  <c r="B870" i="1"/>
  <c r="G734" i="1"/>
  <c r="I264" i="1"/>
  <c r="G732" i="1"/>
  <c r="H411" i="1"/>
  <c r="I238" i="1"/>
  <c r="G719" i="1" s="1"/>
  <c r="H590" i="1"/>
  <c r="G718" i="1"/>
  <c r="G411" i="1"/>
  <c r="B484" i="1"/>
  <c r="B794" i="1"/>
  <c r="B904" i="1"/>
  <c r="B718" i="1"/>
  <c r="B110" i="1"/>
  <c r="B188" i="1"/>
  <c r="B865" i="1"/>
  <c r="B1067" i="1"/>
  <c r="B1087" i="1"/>
  <c r="B768" i="1"/>
  <c r="G891" i="1"/>
  <c r="G1112" i="1"/>
  <c r="I260" i="1"/>
  <c r="G728" i="1"/>
  <c r="B765" i="1"/>
  <c r="B723" i="1"/>
  <c r="B929" i="1"/>
  <c r="B944" i="1"/>
  <c r="B182" i="1"/>
  <c r="G189" i="1"/>
  <c r="G152" i="1"/>
  <c r="B838" i="1"/>
  <c r="B945" i="1"/>
  <c r="B152" i="1"/>
  <c r="B835" i="1"/>
  <c r="B878" i="1"/>
  <c r="B997" i="1"/>
  <c r="B511" i="1"/>
  <c r="B1054" i="1"/>
  <c r="B1010" i="1"/>
  <c r="E340" i="1"/>
  <c r="E663" i="1"/>
  <c r="B693" i="1"/>
  <c r="E794" i="1"/>
  <c r="B527" i="1"/>
  <c r="B577" i="1"/>
  <c r="B557" i="1"/>
  <c r="B1000" i="1"/>
  <c r="B514" i="1"/>
  <c r="B493" i="1"/>
  <c r="B753" i="1"/>
  <c r="B1027" i="1"/>
  <c r="B757" i="1"/>
  <c r="B855" i="1"/>
  <c r="B414" i="1"/>
  <c r="G954" i="1"/>
  <c r="I954" i="1" s="1"/>
  <c r="I616" i="1" s="1"/>
  <c r="J616" i="1" s="1"/>
  <c r="F616" i="1"/>
  <c r="G616" i="1" s="1"/>
  <c r="G1134" i="1"/>
  <c r="G1079" i="1"/>
  <c r="G537" i="1"/>
  <c r="H407" i="1"/>
  <c r="H401" i="1"/>
  <c r="G412" i="1"/>
  <c r="G413" i="1"/>
  <c r="G404" i="1"/>
  <c r="G608" i="1"/>
  <c r="B326" i="1"/>
  <c r="B959" i="1"/>
  <c r="I242" i="1"/>
  <c r="G977" i="1"/>
  <c r="I977" i="1" s="1"/>
  <c r="J407" i="1"/>
  <c r="J401" i="1"/>
  <c r="J412" i="1"/>
  <c r="B898" i="1"/>
  <c r="B864" i="1"/>
  <c r="G200" i="1"/>
  <c r="B769" i="1"/>
  <c r="B879" i="1"/>
  <c r="B836" i="1"/>
  <c r="B148" i="1"/>
  <c r="B96" i="1"/>
  <c r="B111" i="1"/>
  <c r="B1058" i="1"/>
  <c r="B1015" i="1"/>
  <c r="D605" i="1"/>
  <c r="D545" i="1"/>
  <c r="D539" i="1"/>
  <c r="D546" i="1"/>
  <c r="D548" i="1"/>
  <c r="D612" i="1"/>
  <c r="B694" i="1"/>
  <c r="G79" i="1"/>
  <c r="B94" i="1"/>
  <c r="B512" i="1"/>
  <c r="J115" i="1"/>
  <c r="B555" i="1"/>
  <c r="B622" i="1"/>
  <c r="B324" i="1"/>
  <c r="B957" i="1"/>
  <c r="F814" i="1"/>
  <c r="G429" i="1"/>
  <c r="G437" i="1"/>
  <c r="B367" i="1"/>
  <c r="B372" i="1"/>
  <c r="B743" i="1"/>
  <c r="B241" i="1"/>
  <c r="B962" i="1"/>
  <c r="B329" i="1"/>
  <c r="G723" i="1"/>
  <c r="J413" i="1"/>
  <c r="I430" i="1"/>
  <c r="B1079" i="1"/>
  <c r="G592" i="1"/>
  <c r="G769" i="1"/>
  <c r="G540" i="1"/>
  <c r="I407" i="1"/>
  <c r="I404" i="1"/>
  <c r="I413" i="1"/>
  <c r="F407" i="1"/>
  <c r="F401" i="1"/>
  <c r="F412" i="1"/>
  <c r="G989" i="1"/>
  <c r="H505" i="1"/>
  <c r="L107" i="7" s="1"/>
  <c r="G481" i="1"/>
  <c r="C411" i="1"/>
  <c r="B361" i="1"/>
  <c r="B269" i="1"/>
  <c r="B270" i="1"/>
  <c r="B549" i="1"/>
  <c r="E411" i="1"/>
  <c r="E406" i="1"/>
  <c r="E400" i="1"/>
  <c r="E404" i="1"/>
  <c r="E407" i="1"/>
  <c r="C413" i="1"/>
  <c r="G929" i="1"/>
  <c r="B960" i="1"/>
  <c r="B938" i="1"/>
  <c r="B831" i="1"/>
  <c r="E413" i="1"/>
  <c r="J404" i="1"/>
  <c r="G605" i="1"/>
  <c r="G838" i="1"/>
  <c r="B1013" i="1"/>
  <c r="B1090" i="1"/>
  <c r="B457" i="1"/>
  <c r="J375" i="1"/>
  <c r="I375" i="1"/>
  <c r="G533" i="1"/>
  <c r="B238" i="1"/>
  <c r="B260" i="1"/>
  <c r="B729" i="1"/>
  <c r="B1088" i="1"/>
  <c r="B719" i="1"/>
  <c r="B1040" i="1"/>
  <c r="B891" i="1"/>
  <c r="B544" i="1"/>
  <c r="B597" i="1"/>
  <c r="B487" i="1"/>
  <c r="B507" i="1"/>
  <c r="E664" i="1"/>
  <c r="E341" i="1"/>
  <c r="B817" i="1"/>
  <c r="B175" i="1"/>
  <c r="B937" i="1"/>
  <c r="B830" i="1"/>
  <c r="B873" i="1"/>
  <c r="B696" i="1"/>
  <c r="B80" i="1"/>
  <c r="I531" i="1"/>
  <c r="I579" i="1"/>
  <c r="B978" i="1"/>
  <c r="B431" i="1"/>
  <c r="B254" i="1"/>
  <c r="B232" i="1"/>
  <c r="B147" i="1"/>
  <c r="G80" i="1"/>
  <c r="B113" i="1"/>
  <c r="B812" i="1"/>
  <c r="B858" i="1"/>
  <c r="B183" i="1"/>
  <c r="G190" i="1"/>
  <c r="B893" i="1"/>
  <c r="B1115" i="1"/>
  <c r="F922" i="1"/>
  <c r="J537" i="1"/>
  <c r="F921" i="1"/>
  <c r="I921" i="1" s="1"/>
  <c r="G811" i="1"/>
  <c r="I811" i="1" s="1"/>
  <c r="E811" i="1"/>
  <c r="C218" i="1"/>
  <c r="B728" i="1"/>
  <c r="B837" i="1"/>
  <c r="B822" i="1"/>
  <c r="C227" i="1"/>
  <c r="B744" i="1"/>
  <c r="B208" i="1"/>
  <c r="C221" i="1"/>
  <c r="B1111" i="1"/>
  <c r="B695" i="1"/>
  <c r="B121" i="1"/>
  <c r="B789" i="1"/>
  <c r="G550" i="1"/>
  <c r="G609" i="1"/>
  <c r="B119" i="1"/>
  <c r="D858" i="1"/>
  <c r="G722" i="1"/>
  <c r="G771" i="1"/>
  <c r="I771" i="1" s="1"/>
  <c r="G896" i="1"/>
  <c r="F552" i="1"/>
  <c r="G815" i="1"/>
  <c r="G897" i="1"/>
  <c r="F602" i="1"/>
  <c r="G803" i="1"/>
  <c r="I803" i="1" s="1"/>
  <c r="E312" i="1" l="1"/>
  <c r="N121" i="1"/>
  <c r="L112" i="7"/>
  <c r="E3" i="11"/>
  <c r="J605" i="1"/>
  <c r="E21" i="11" s="1"/>
  <c r="J612" i="1"/>
  <c r="E23" i="11" s="1"/>
  <c r="J549" i="1"/>
  <c r="N409" i="1"/>
  <c r="F418" i="1"/>
  <c r="I429" i="1" s="1"/>
  <c r="U4" i="8"/>
  <c r="O615" i="1"/>
  <c r="F420" i="1"/>
  <c r="N587" i="1"/>
  <c r="M858" i="1"/>
  <c r="D241" i="1"/>
  <c r="E755" i="1"/>
  <c r="E756" i="1" s="1"/>
  <c r="E1029" i="1"/>
  <c r="E1030" i="1" s="1"/>
  <c r="D755" i="1"/>
  <c r="D756" i="1" s="1"/>
  <c r="D1026" i="1" s="1"/>
  <c r="F1029" i="1"/>
  <c r="F1030" i="1" s="1"/>
  <c r="E1025" i="1"/>
  <c r="I1025" i="1"/>
  <c r="I1026" i="1" s="1"/>
  <c r="G702" i="1"/>
  <c r="I702" i="1" s="1"/>
  <c r="I588" i="1" s="1"/>
  <c r="E858" i="1"/>
  <c r="G858" i="1" s="1"/>
  <c r="I858" i="1" s="1"/>
  <c r="D529" i="1"/>
  <c r="D579" i="1"/>
  <c r="I428" i="1"/>
  <c r="G1025" i="1"/>
  <c r="G1026" i="1" s="1"/>
  <c r="J755" i="1"/>
  <c r="J756" i="1" s="1"/>
  <c r="J1026" i="1" s="1"/>
  <c r="G603" i="1"/>
  <c r="I603" i="1" s="1"/>
  <c r="I545" i="1"/>
  <c r="J545" i="1" s="1"/>
  <c r="H539" i="1"/>
  <c r="F669" i="1"/>
  <c r="F419" i="1"/>
  <c r="F402" i="1"/>
  <c r="D1029" i="1"/>
  <c r="D1030" i="1" s="1"/>
  <c r="H1025" i="1"/>
  <c r="H1026" i="1" s="1"/>
  <c r="J484" i="1"/>
  <c r="C481" i="1"/>
  <c r="C1029" i="1"/>
  <c r="C1030" i="1" s="1"/>
  <c r="C1025" i="1"/>
  <c r="C1026" i="1" s="1"/>
  <c r="F1025" i="1"/>
  <c r="F1026" i="1" s="1"/>
  <c r="D135" i="1"/>
  <c r="D136" i="1"/>
  <c r="D137" i="1"/>
  <c r="E812" i="1"/>
  <c r="G812" i="1" s="1"/>
  <c r="I812" i="1" s="1"/>
  <c r="I436" i="1"/>
  <c r="F438" i="1" s="1"/>
  <c r="I427" i="1"/>
  <c r="G979" i="1" s="1"/>
  <c r="I979" i="1" s="1"/>
  <c r="D812" i="1"/>
  <c r="G590" i="1"/>
  <c r="G414" i="1"/>
  <c r="G415" i="1"/>
  <c r="G402" i="1"/>
  <c r="H402" i="1"/>
  <c r="H415" i="1"/>
  <c r="H669" i="1"/>
  <c r="H414" i="1"/>
  <c r="D263" i="1"/>
  <c r="G729" i="1"/>
  <c r="G730" i="1"/>
  <c r="I730" i="1" s="1"/>
  <c r="J414" i="1"/>
  <c r="J415" i="1"/>
  <c r="J402" i="1"/>
  <c r="J669" i="1"/>
  <c r="F590" i="1"/>
  <c r="G101" i="7" s="1"/>
  <c r="G717" i="1"/>
  <c r="G720" i="1"/>
  <c r="I720" i="1" s="1"/>
  <c r="D533" i="1"/>
  <c r="I402" i="1"/>
  <c r="I415" i="1"/>
  <c r="I414" i="1"/>
  <c r="I669" i="1"/>
  <c r="E669" i="1"/>
  <c r="E402" i="1"/>
  <c r="E415" i="1"/>
  <c r="G898" i="1"/>
  <c r="H610" i="1"/>
  <c r="F610" i="1"/>
  <c r="I592" i="1"/>
  <c r="J592" i="1" s="1"/>
  <c r="I540" i="1"/>
  <c r="J540" i="1" s="1"/>
  <c r="I552" i="1"/>
  <c r="J552" i="1" s="1"/>
  <c r="I602" i="1"/>
  <c r="J602" i="1" s="1"/>
  <c r="E19" i="11" s="1"/>
  <c r="G1089" i="1"/>
  <c r="G1069" i="1"/>
  <c r="I815" i="1"/>
  <c r="G1066" i="1"/>
  <c r="I922" i="1"/>
  <c r="F924" i="1"/>
  <c r="J588" i="1" l="1"/>
  <c r="E10" i="11" s="1"/>
  <c r="E313" i="1"/>
  <c r="H313" i="1" s="1"/>
  <c r="G763" i="1"/>
  <c r="I763" i="1" s="1"/>
  <c r="I420" i="1"/>
  <c r="G17" i="7" s="1"/>
  <c r="I444" i="1"/>
  <c r="G1065" i="1" s="1"/>
  <c r="M857" i="1"/>
  <c r="H504" i="1"/>
  <c r="E1026" i="1"/>
  <c r="J679" i="1"/>
  <c r="J671" i="1"/>
  <c r="C135" i="1"/>
  <c r="E127" i="1" s="1"/>
  <c r="C137" i="1"/>
  <c r="C136" i="1"/>
  <c r="I136" i="1" s="1"/>
  <c r="I679" i="1"/>
  <c r="I671" i="1"/>
  <c r="H679" i="1"/>
  <c r="H671" i="1"/>
  <c r="F679" i="1"/>
  <c r="I419" i="1"/>
  <c r="G16" i="7" s="1"/>
  <c r="G504" i="1"/>
  <c r="G506" i="1" s="1"/>
  <c r="G988" i="1"/>
  <c r="G991" i="1" s="1"/>
  <c r="G1000" i="1" s="1"/>
  <c r="F589" i="1"/>
  <c r="G711" i="1"/>
  <c r="I711" i="1" s="1"/>
  <c r="G855" i="1" s="1"/>
  <c r="I855" i="1" s="1"/>
  <c r="G709" i="1"/>
  <c r="E679" i="1"/>
  <c r="E671" i="1"/>
  <c r="E672" i="1" s="1"/>
  <c r="G166" i="1"/>
  <c r="L26" i="7" s="1"/>
  <c r="G900" i="1"/>
  <c r="I900" i="1" s="1"/>
  <c r="I610" i="1" s="1"/>
  <c r="J610" i="1" s="1"/>
  <c r="G610" i="1"/>
  <c r="G737" i="1"/>
  <c r="I737" i="1" s="1"/>
  <c r="I590" i="1" s="1"/>
  <c r="J590" i="1" s="1"/>
  <c r="E11" i="11" s="1"/>
  <c r="I418" i="1"/>
  <c r="G15" i="7" s="1"/>
  <c r="F430" i="1"/>
  <c r="J485" i="1"/>
  <c r="J486" i="1" s="1"/>
  <c r="J493" i="1" s="1"/>
  <c r="AC493" i="1" s="1"/>
  <c r="D980" i="1"/>
  <c r="G980" i="1"/>
  <c r="I980" i="1" s="1"/>
  <c r="I924" i="1"/>
  <c r="F926" i="1"/>
  <c r="I926" i="1" s="1"/>
  <c r="F925" i="1"/>
  <c r="I925" i="1" s="1"/>
  <c r="I591" i="1" l="1"/>
  <c r="J591" i="1" s="1"/>
  <c r="E12" i="11" s="1"/>
  <c r="H591" i="1"/>
  <c r="H506" i="1"/>
  <c r="H514" i="1" s="1"/>
  <c r="G514" i="1"/>
  <c r="G680" i="1"/>
  <c r="G672" i="1"/>
  <c r="G673" i="1" s="1"/>
  <c r="I586" i="1" s="1"/>
  <c r="J586" i="1" s="1"/>
  <c r="E673" i="1"/>
  <c r="G821" i="1"/>
  <c r="F538" i="1"/>
  <c r="H114" i="7" s="1"/>
  <c r="F591" i="1"/>
  <c r="H988" i="1"/>
  <c r="G809" i="1"/>
  <c r="I809" i="1" s="1"/>
  <c r="M855" i="1" s="1"/>
  <c r="E128" i="1"/>
  <c r="E129" i="1" s="1"/>
  <c r="C139" i="1"/>
  <c r="I137" i="1"/>
  <c r="E680" i="1"/>
  <c r="H538" i="1"/>
  <c r="H115" i="7" s="1"/>
  <c r="I589" i="1"/>
  <c r="J589" i="1" s="1"/>
  <c r="G877" i="1"/>
  <c r="G864" i="1"/>
  <c r="G860" i="1" s="1"/>
  <c r="G1033" i="1"/>
  <c r="I1033" i="1" s="1"/>
  <c r="G591" i="1"/>
  <c r="G538" i="1"/>
  <c r="I538" i="1"/>
  <c r="H991" i="1"/>
  <c r="G994" i="1"/>
  <c r="F444" i="1"/>
  <c r="H994" i="1"/>
  <c r="G508" i="1"/>
  <c r="D531" i="1"/>
  <c r="J491" i="1"/>
  <c r="C491" i="1" s="1"/>
  <c r="I85" i="1" s="1"/>
  <c r="I927" i="1"/>
  <c r="G165" i="1" s="1"/>
  <c r="H1000" i="1"/>
  <c r="H508" i="1" l="1"/>
  <c r="G23" i="7" s="1"/>
  <c r="F546" i="1"/>
  <c r="J538" i="1"/>
  <c r="I543" i="1"/>
  <c r="J543" i="1" s="1"/>
  <c r="I437" i="1"/>
  <c r="I446" i="1" s="1"/>
  <c r="G1086" i="1" s="1"/>
  <c r="I683" i="1"/>
  <c r="C22" i="7"/>
  <c r="I684" i="1"/>
  <c r="G674" i="1"/>
  <c r="G684" i="1" s="1"/>
  <c r="I687" i="1"/>
  <c r="I587" i="1" s="1"/>
  <c r="E674" i="1"/>
  <c r="G683" i="1" s="1"/>
  <c r="I860" i="1"/>
  <c r="G863" i="1"/>
  <c r="G859" i="1"/>
  <c r="I821" i="1"/>
  <c r="I557" i="1" l="1"/>
  <c r="J557" i="1" s="1"/>
  <c r="G995" i="1"/>
  <c r="G548" i="1"/>
  <c r="G1072" i="1"/>
  <c r="G1091" i="1" s="1"/>
  <c r="H995" i="1"/>
  <c r="G1090" i="1"/>
  <c r="G1070" i="1"/>
  <c r="I277" i="1"/>
  <c r="I282" i="1" s="1"/>
  <c r="F446" i="1"/>
  <c r="F548" i="1" s="1"/>
  <c r="L95" i="7" s="1"/>
  <c r="H548" i="1"/>
  <c r="G22" i="7" s="1"/>
  <c r="G509" i="1"/>
  <c r="J587" i="1"/>
  <c r="E9" i="11" s="1"/>
  <c r="I685" i="1"/>
  <c r="D534" i="1" s="1"/>
  <c r="AC534" i="1" s="1"/>
  <c r="G872" i="1"/>
  <c r="I872" i="1"/>
  <c r="G873" i="1"/>
  <c r="I859" i="1"/>
  <c r="G862" i="1"/>
  <c r="L100" i="7"/>
  <c r="G13" i="7" l="1"/>
  <c r="L111" i="7" s="1"/>
  <c r="G814" i="1"/>
  <c r="G819" i="1" s="1"/>
  <c r="G825" i="1" s="1"/>
  <c r="I825" i="1" s="1"/>
  <c r="L96" i="7"/>
  <c r="G1073" i="1"/>
  <c r="G1074" i="1" s="1"/>
  <c r="G1076" i="1" s="1"/>
  <c r="I1076" i="1" s="1"/>
  <c r="I546" i="1" s="1"/>
  <c r="J546" i="1" s="1"/>
  <c r="G1080" i="1"/>
  <c r="H509" i="1"/>
  <c r="G21" i="7" s="1"/>
  <c r="G997" i="1"/>
  <c r="G998" i="1" s="1"/>
  <c r="H998" i="1" s="1"/>
  <c r="G893" i="1"/>
  <c r="I893" i="1" s="1"/>
  <c r="I609" i="1" s="1"/>
  <c r="J609" i="1" s="1"/>
  <c r="G1109" i="1"/>
  <c r="G889" i="1"/>
  <c r="G511" i="1"/>
  <c r="G1115" i="1"/>
  <c r="I1115" i="1" s="1"/>
  <c r="I550" i="1" s="1"/>
  <c r="J550" i="1" s="1"/>
  <c r="M551" i="1" s="1"/>
  <c r="G1092" i="1"/>
  <c r="G1095" i="1" s="1"/>
  <c r="I1095" i="1" s="1"/>
  <c r="I548" i="1" s="1"/>
  <c r="J548" i="1" s="1"/>
  <c r="D581" i="1"/>
  <c r="H997" i="1"/>
  <c r="H511" i="1"/>
  <c r="C100" i="7" s="1"/>
  <c r="F609" i="1"/>
  <c r="C16" i="7" s="1"/>
  <c r="F550" i="1"/>
  <c r="R4" i="8" s="1"/>
  <c r="R6" i="8" s="1"/>
  <c r="R9" i="8" s="1"/>
  <c r="R10" i="8" s="1"/>
  <c r="R11" i="8" s="1"/>
  <c r="R13" i="8" s="1"/>
  <c r="G457" i="1"/>
  <c r="G868" i="1"/>
  <c r="I868" i="1" s="1"/>
  <c r="I606" i="1" s="1"/>
  <c r="J606" i="1" s="1"/>
  <c r="I862" i="1"/>
  <c r="F606" i="1" s="1"/>
  <c r="G874" i="1"/>
  <c r="D582" i="1" l="1"/>
  <c r="I585" i="1"/>
  <c r="N586" i="1"/>
  <c r="E22" i="11"/>
  <c r="G512" i="1"/>
  <c r="C512" i="1" s="1"/>
  <c r="G820" i="1"/>
  <c r="I829" i="1" s="1"/>
  <c r="I555" i="1"/>
  <c r="J555" i="1" s="1"/>
  <c r="C998" i="1"/>
  <c r="I425" i="1" s="1"/>
  <c r="E1132" i="1"/>
  <c r="G1082" i="1"/>
  <c r="I1082" i="1" s="1"/>
  <c r="G1132" i="1" s="1"/>
  <c r="I1133" i="1" s="1"/>
  <c r="I465" i="1" s="1"/>
  <c r="J603" i="1"/>
  <c r="E20" i="11" s="1"/>
  <c r="I814" i="1"/>
  <c r="M859" i="1" s="1"/>
  <c r="M860" i="1" s="1"/>
  <c r="G607" i="1"/>
  <c r="J585" i="1" l="1"/>
  <c r="I596" i="1"/>
  <c r="J596" i="1" s="1"/>
  <c r="H512" i="1"/>
  <c r="G829" i="1"/>
  <c r="I820" i="1"/>
  <c r="G830" i="1"/>
  <c r="G876" i="1"/>
  <c r="I876" i="1" s="1"/>
  <c r="I607" i="1" s="1"/>
  <c r="E859" i="1"/>
  <c r="H563" i="1"/>
  <c r="H564" i="1" s="1"/>
  <c r="C19" i="7" s="1"/>
  <c r="C555" i="1"/>
  <c r="I449" i="1" s="1"/>
  <c r="I813" i="1"/>
  <c r="I624" i="1" l="1"/>
  <c r="J624" i="1" s="1"/>
  <c r="G14" i="7"/>
  <c r="AD345" i="1" s="1"/>
  <c r="E8" i="11"/>
  <c r="G831" i="1"/>
  <c r="G833" i="1" s="1"/>
  <c r="I833" i="1" s="1"/>
  <c r="J607" i="1"/>
  <c r="L12" i="7"/>
  <c r="G105" i="7"/>
  <c r="J604" i="1"/>
  <c r="N585" i="1" s="1"/>
  <c r="G106" i="7"/>
  <c r="E5" i="11" l="1"/>
  <c r="E14" i="11"/>
  <c r="I622" i="1"/>
  <c r="C622" i="1" s="1"/>
  <c r="I422" i="1" l="1"/>
  <c r="AE345" i="1"/>
  <c r="J622" i="1"/>
  <c r="M583" i="1" s="1"/>
  <c r="E27" i="11" l="1"/>
  <c r="E28" i="11" l="1"/>
</calcChain>
</file>

<file path=xl/sharedStrings.xml><?xml version="1.0" encoding="utf-8"?>
<sst xmlns="http://schemas.openxmlformats.org/spreadsheetml/2006/main" count="3049" uniqueCount="2143">
  <si>
    <t>Heat input</t>
  </si>
  <si>
    <t>Entrée de chaleur</t>
  </si>
  <si>
    <t>Entrada de calor</t>
  </si>
  <si>
    <t>WÄRMEEINTRAG</t>
  </si>
  <si>
    <t>HEAT INPUT</t>
  </si>
  <si>
    <t>ENTREE DE CHALEUR</t>
  </si>
  <si>
    <t>ENTRADA DE CALOR</t>
  </si>
  <si>
    <t>Wärmeeintrag des heissen Klinkers</t>
  </si>
  <si>
    <t>Heat input from hot clinker</t>
  </si>
  <si>
    <t>Entrée de chaleur par clinker chaud</t>
  </si>
  <si>
    <t>Entrada de calor por clinker caliente</t>
  </si>
  <si>
    <t>Wärmeeintrag durch fühlbare Wärme Kühlluft</t>
  </si>
  <si>
    <t>Heat input from cooling air</t>
  </si>
  <si>
    <t>Chaleur sensible de l'air du refroidisseur</t>
  </si>
  <si>
    <t>Calor sensible del aire del enfriador</t>
  </si>
  <si>
    <t>Wärmeeintrag durch eingespritztes Wasser</t>
  </si>
  <si>
    <t>Heat input from injected water</t>
  </si>
  <si>
    <t>Entrada de calor por el agua inyectada</t>
  </si>
  <si>
    <t>Wärmeeintrag durch fühlbare Wärme Primärluft</t>
  </si>
  <si>
    <t>Heat input from primary air</t>
  </si>
  <si>
    <t>Chaleur sensible de l'air primaire</t>
  </si>
  <si>
    <t>Calor sensible aire primario</t>
  </si>
  <si>
    <t>Wärmeeintrag durch Feuchte in Rohmehl</t>
  </si>
  <si>
    <t>Heat input from moisture content in raw meal</t>
  </si>
  <si>
    <t>Chaleur sensible de l'humidité dans la farine crue</t>
  </si>
  <si>
    <t>Calor sensible del humedad en el crudo</t>
  </si>
  <si>
    <t>Wärmeeintrag durch organische Bestandteile in der Ofenaufgabe</t>
  </si>
  <si>
    <t>LHV as fired (incl. H2O)</t>
  </si>
  <si>
    <t>Heat input from combustible matter in kiln feed</t>
  </si>
  <si>
    <t>Chaleur de la fraction organique dans l'alimentation du four</t>
  </si>
  <si>
    <t>Calor resultando de la fracción orgánica en el crudo</t>
  </si>
  <si>
    <t>Wärmeeintrag durch</t>
  </si>
  <si>
    <t>Heat input from</t>
  </si>
  <si>
    <t>Chaleur résultant de la</t>
  </si>
  <si>
    <t>Calor resultando de la</t>
  </si>
  <si>
    <t>WÄRMEEINTRAG KLINKER</t>
  </si>
  <si>
    <t>HEAT FROM CLINKER</t>
  </si>
  <si>
    <t>ENTREE DE CHALEUR PAR CLINKER</t>
  </si>
  <si>
    <t>ENTRADA DE CALOR DEL CLINKER</t>
  </si>
  <si>
    <t>Wärmeeintrag Ofenaufgabe</t>
  </si>
  <si>
    <t>Heat input via kiln feed</t>
  </si>
  <si>
    <t>Chaleur sensible alimentation du four</t>
  </si>
  <si>
    <t>Calor sensible alimentación al horno</t>
  </si>
  <si>
    <t>0.01-0.03</t>
  </si>
  <si>
    <t>0.02-0.05</t>
  </si>
  <si>
    <t>(Note that only English is fully supported)</t>
  </si>
  <si>
    <t>Wärmeeintrag Rohmehl trocken</t>
  </si>
  <si>
    <t>Heat input raw meal dry</t>
  </si>
  <si>
    <t>Chaleur sensible farine crue sèche</t>
  </si>
  <si>
    <t>Calor sensible harina seca</t>
  </si>
  <si>
    <t>Wärmetauscher</t>
  </si>
  <si>
    <t>Preheater tower</t>
  </si>
  <si>
    <t>Echangeur de chaleur</t>
  </si>
  <si>
    <t>Torre de precalentador</t>
  </si>
  <si>
    <t>Wärmetauscherstaubverluste</t>
  </si>
  <si>
    <t>Preheater exhaust gas dust loss</t>
  </si>
  <si>
    <t>Perte de poussière par gaz d'échape</t>
  </si>
  <si>
    <t>Pérdida de polvo torre de precal.</t>
  </si>
  <si>
    <t>Wärmetauscherturm inkl. Kalzinator</t>
  </si>
  <si>
    <t>Preheater tower incl. Calciner</t>
  </si>
  <si>
    <t>Echangeur de chaleur et précalcinateur</t>
  </si>
  <si>
    <t>Torre de precalentador y calcinador</t>
  </si>
  <si>
    <t>Wasserdampf</t>
  </si>
  <si>
    <t>Water vapor</t>
  </si>
  <si>
    <t>Vapeur de l'eau</t>
  </si>
  <si>
    <t>Vapor de agua</t>
  </si>
  <si>
    <t>Wärmeverbrauch Wasserverdunstung Ofenaufgabe</t>
  </si>
  <si>
    <t>Heat output from kiln feed water evaporation</t>
  </si>
  <si>
    <t>Remark: Error should be smaller than 5%</t>
  </si>
  <si>
    <t>Remark: Error should be smaller than 3%</t>
  </si>
  <si>
    <t>Chaleur d'evaporation de l'eau de l'alimentation au four</t>
  </si>
  <si>
    <t>Pérdida de calor por evaporación de agua del alimentación</t>
  </si>
  <si>
    <t>Wasserverdampfung</t>
  </si>
  <si>
    <t>Water evaporation</t>
  </si>
  <si>
    <t>Evaporation de l'eau</t>
  </si>
  <si>
    <t>Evaporación de agua</t>
  </si>
  <si>
    <t>WASSEREINSPRITZUNG IN KÜHLER</t>
  </si>
  <si>
    <t>WATERINJECTION INTO COOLER</t>
  </si>
  <si>
    <t>INJECTION D'EAU DANS LE REFROIDISSEUR</t>
  </si>
  <si>
    <t>INYECCION DE AGUA AL ENFRIADOR</t>
  </si>
  <si>
    <t>WÄRMEVERLUST ALS FOLGE UNVOLLSTÄNDIGER VERBRENNUNG</t>
  </si>
  <si>
    <t>HEAT LOSS DUE TO INCOMPLETE COMBUSTION</t>
  </si>
  <si>
    <t>PERTE DE CHALEUR A CAUSE D'UNE COMBUSTION INCOMPLETE</t>
  </si>
  <si>
    <t>PERDIDA DE CALOR POR COMBUSTION INCOMPLETA</t>
  </si>
  <si>
    <t>Wärmeverlust CaO im Bypassstaub</t>
  </si>
  <si>
    <t>Heat loss from CaO (non carbonatic) in bypass dust</t>
  </si>
  <si>
    <t>Perte de chaleur par CaO (no carbonatique)</t>
  </si>
  <si>
    <t>Pérdida de calor para CaO (oxido de calcio)</t>
  </si>
  <si>
    <t>WÄRMEVERLUST DURCH CaO IM BYPASSSTAUB</t>
  </si>
  <si>
    <t>HEAT OUTPUT FROM CaO (NON CARBONATIC) IN BYPASS DUST</t>
  </si>
  <si>
    <t>PERTE DE CHALEUR DE LA POUSSIERE BYPASS PAR CaO</t>
  </si>
  <si>
    <t>PERDIDA DE CALOR DE CaO (OXIDO DE CALCIO) EN EL POLVO DE BYPASS</t>
  </si>
  <si>
    <t>WÄRMEVERLUST DURCH STRAHLUNG &amp; CONVEKTION</t>
  </si>
  <si>
    <t>HEAT LOSS FROM RADIATION &amp; CONVECTION</t>
  </si>
  <si>
    <t>PERTE DE CHALEUR PAR RADIATION &amp; CONVECTION</t>
  </si>
  <si>
    <t>PERDIDA DE CALOR POR RADIACIÓN Y CONVECCIÓN</t>
  </si>
  <si>
    <t>Wärmeverlust durch unvollständige Verbrennung</t>
  </si>
  <si>
    <t>HEAT BALANCE PROGRAM</t>
  </si>
  <si>
    <t>Heat loss from incomplete combustion</t>
  </si>
  <si>
    <t>Perte de chaleur à cause d'une combustion incomplete</t>
  </si>
  <si>
    <t>Pérdida de calor por combustion incompleta</t>
  </si>
  <si>
    <t>Wärmeverlust durch Strahlung</t>
  </si>
  <si>
    <t>Heat loss from radiation</t>
  </si>
  <si>
    <t>LHV comb. matter (not kiln feed)</t>
  </si>
  <si>
    <t xml:space="preserve">      Good value: &lt;100°C + ambient temperature / New coolers: 80°C + ambient temperature</t>
  </si>
  <si>
    <t xml:space="preserve">      Typical value for planetary coolers: 200-350 kJ/kg cli</t>
  </si>
  <si>
    <t>Perte de chaleur par radiation</t>
  </si>
  <si>
    <t>Pérdida de calor por radiación</t>
  </si>
  <si>
    <t>Wärmeverlust durch Wasserverdampfung im Kühler</t>
  </si>
  <si>
    <t>Heat loss from water evaporation in cooler</t>
  </si>
  <si>
    <t>Pérdida de calor por evaporación de agua en el enfriador</t>
  </si>
  <si>
    <t>Wasserdampf aus Kohlenmühle (Teil der Primärluftmenge)</t>
  </si>
  <si>
    <t>Water vapor from coal mill (part of primary air)</t>
  </si>
  <si>
    <t>Vapeur d'eau du broyeur de charbon (part de l'air primaire)</t>
  </si>
  <si>
    <t>Vapor de agua del molino de carbón (parte del aire primario)</t>
  </si>
  <si>
    <t>Wasserdampf Volumenstrom</t>
  </si>
  <si>
    <t>Water vapor flowrate</t>
  </si>
  <si>
    <t>Débit de vapour de l'eau</t>
  </si>
  <si>
    <t>Flujo de vapor agua</t>
  </si>
  <si>
    <t>Wasserdampf aus Kühler</t>
  </si>
  <si>
    <t>Water vapor from cooler</t>
  </si>
  <si>
    <t>Vapeur d'eau du refroidisseur</t>
  </si>
  <si>
    <t>Vapor de agua del enfriador</t>
  </si>
  <si>
    <t>Wassereintrag</t>
  </si>
  <si>
    <t>Water input</t>
  </si>
  <si>
    <t>Entrée de l'eau</t>
  </si>
  <si>
    <t>Entrada de agua</t>
  </si>
  <si>
    <t>Wassereintrag Ofen</t>
  </si>
  <si>
    <t>Water input kiln</t>
  </si>
  <si>
    <t>Entrée de l'eau four</t>
  </si>
  <si>
    <t>Entrada de agua horno</t>
  </si>
  <si>
    <t>Wassereintrag Kalzinator</t>
  </si>
  <si>
    <t>Water input calciner</t>
  </si>
  <si>
    <t>Entrée de l'eau calcinateur</t>
  </si>
  <si>
    <t>Entrada de agua calcinador</t>
  </si>
  <si>
    <t>Wassereinspritzung in Kühler</t>
  </si>
  <si>
    <t>Water injection into cooler</t>
  </si>
  <si>
    <t>Injection d'eau dans le refroidisseur</t>
  </si>
  <si>
    <t>Inyección de agua al enfriador</t>
  </si>
  <si>
    <t>WASSERVERDAMPFUNG</t>
  </si>
  <si>
    <t>WATER EVAPORATION</t>
  </si>
  <si>
    <t>EVAPORATION DE L'EAU</t>
  </si>
  <si>
    <t>EVAPORACION DE AGUA</t>
  </si>
  <si>
    <t>WEITERER WÄRMEAUSTRAG</t>
  </si>
  <si>
    <t>OTHER HEAT OUTPUT</t>
  </si>
  <si>
    <t>AUTRE SORTIE DE CHALEUR</t>
  </si>
  <si>
    <t>OTRA SALIDA DE CALOR</t>
  </si>
  <si>
    <t>Weiterer Wärmeaustrag</t>
  </si>
  <si>
    <t>Other heat output</t>
  </si>
  <si>
    <t>Autre sortie de chaleur</t>
  </si>
  <si>
    <t>Otra salida de calor</t>
  </si>
  <si>
    <t>WEITERER WÄRMEEINTRAG</t>
  </si>
  <si>
    <t>OTHER HEAT INPUT</t>
  </si>
  <si>
    <t>AUTRE ENTREE DE CHALEUR</t>
  </si>
  <si>
    <t>OTRA ENTRADA DE CALOR</t>
  </si>
  <si>
    <t>Weiterer Wärmeeintrag</t>
  </si>
  <si>
    <t>Other heat input</t>
  </si>
  <si>
    <t>Autre entrée de chaleur</t>
  </si>
  <si>
    <t>Otra entrada de calor</t>
  </si>
  <si>
    <t>Werk</t>
  </si>
  <si>
    <t>Plant</t>
  </si>
  <si>
    <t>Usine</t>
  </si>
  <si>
    <t>Planta</t>
  </si>
  <si>
    <t>X</t>
  </si>
  <si>
    <t>Y</t>
  </si>
  <si>
    <t>Z</t>
  </si>
  <si>
    <t>ZÄHLERABLESUNG</t>
  </si>
  <si>
    <t>COUNTER READING</t>
  </si>
  <si>
    <t>COMPTEURS</t>
  </si>
  <si>
    <t>CONTADORES</t>
  </si>
  <si>
    <t>Zählerstand</t>
  </si>
  <si>
    <t>Reading</t>
  </si>
  <si>
    <t>Compteur</t>
  </si>
  <si>
    <t>Contador</t>
  </si>
  <si>
    <t>Zeit</t>
  </si>
  <si>
    <t>Time</t>
  </si>
  <si>
    <t>Temps</t>
  </si>
  <si>
    <t>Hora</t>
  </si>
  <si>
    <t>ZUSAMMENFASSUNGEN</t>
  </si>
  <si>
    <t>SUMMARIES</t>
  </si>
  <si>
    <t>RESUMEES</t>
  </si>
  <si>
    <t>RESUMENES</t>
  </si>
  <si>
    <t>ZUSAMMENFASSUNG MASSENBILANZ</t>
  </si>
  <si>
    <t>SUMMARY MASS BALANCE</t>
  </si>
  <si>
    <t>RESUMEE BILAN DES MATIERES SYSTEME DU FOUR</t>
  </si>
  <si>
    <t>RESUMEN BALANCE DE MATERIAL DEL SISTEMA DEL HORNO</t>
  </si>
  <si>
    <t>ZUSAMMENFASSUNG WÄRMEBILANZ KÜHLER</t>
  </si>
  <si>
    <t>SUMMARY COOLER HEAT BALANCE</t>
  </si>
  <si>
    <t>RESUMEE BILAN TERMIQUE DU REFROIDISSEUR</t>
  </si>
  <si>
    <t>RESUMEN BALANCE TERMICO DEL ENFRIADOR</t>
  </si>
  <si>
    <t>SUMMARY KILN HEAT BALANCE</t>
  </si>
  <si>
    <t>RESUMEE BILAN TERMIQUE DU FOUR</t>
  </si>
  <si>
    <t>RESUMEN BALANCE TERMICO DEL HORNO</t>
  </si>
  <si>
    <t>ZYKLONVORWÄRMER</t>
  </si>
  <si>
    <t>PREHEATER KILN</t>
  </si>
  <si>
    <t>CYCLONES</t>
  </si>
  <si>
    <t>DE PRECALENTADOR</t>
  </si>
  <si>
    <t>au feu</t>
  </si>
  <si>
    <t>ignición</t>
  </si>
  <si>
    <t>*) Bemerkungen</t>
  </si>
  <si>
    <t>Primary air flow rate (result from heat balance over coal mill)</t>
  </si>
  <si>
    <t>* Remark: Calculated value is only for information and not further used.</t>
  </si>
  <si>
    <t>Water input (mass flow rate)</t>
  </si>
  <si>
    <t>Water input (volumetric flow rate)</t>
  </si>
  <si>
    <t>*) Remarks</t>
  </si>
  <si>
    <t>*) Remarques</t>
  </si>
  <si>
    <t>*) Notas</t>
  </si>
  <si>
    <t>*) Ofenaufgabe trocken dividiert durch die Klinkerproduktion</t>
  </si>
  <si>
    <t>*) Dry kiln feed divided by the clinker production</t>
  </si>
  <si>
    <t>*) Alimentation au four sèche dividée par la production du clinker</t>
  </si>
  <si>
    <t>*) Alimentación al horno (seco) devidido por producción de clinker</t>
  </si>
  <si>
    <t>bypass</t>
  </si>
  <si>
    <t>de refroidissement</t>
  </si>
  <si>
    <t>específico</t>
  </si>
  <si>
    <t xml:space="preserve"> % der Ofengase</t>
  </si>
  <si>
    <t xml:space="preserve"> % of kiln gases</t>
  </si>
  <si>
    <t xml:space="preserve"> % fumé du four</t>
  </si>
  <si>
    <t xml:space="preserve"> % gas del horno</t>
  </si>
  <si>
    <t xml:space="preserve"> % der Verbrennungsluft Hauptbrenner</t>
  </si>
  <si>
    <t xml:space="preserve"> % of minimum combustion air primary firing</t>
  </si>
  <si>
    <t xml:space="preserve"> % de l'air de combustion du brûleur principal</t>
  </si>
  <si>
    <t xml:space="preserve"> % del aire de combustión quemador principal</t>
  </si>
  <si>
    <t>% O2 trocken</t>
  </si>
  <si>
    <t>% O2 dry</t>
  </si>
  <si>
    <t>% O2 sec</t>
  </si>
  <si>
    <t>% O2 seco</t>
  </si>
  <si>
    <t>Überschuss-</t>
  </si>
  <si>
    <t>Excess air</t>
  </si>
  <si>
    <t>Air excès</t>
  </si>
  <si>
    <t>Aire in exeso</t>
  </si>
  <si>
    <t>Überschuss- und Falschluft (trocken)</t>
  </si>
  <si>
    <t>Excess and false air (dry)</t>
  </si>
  <si>
    <t>Air excedentaire et faux (sec)</t>
  </si>
  <si>
    <t xml:space="preserve">      Remark: Use the following reference values:</t>
  </si>
  <si>
    <t>Aire exceso y falso (seco)</t>
  </si>
  <si>
    <t>0=keine</t>
  </si>
  <si>
    <t>0=none</t>
  </si>
  <si>
    <t>0=n'existe pas</t>
  </si>
  <si>
    <t>0=no hay</t>
  </si>
  <si>
    <t>1=Sekundärfeuerung</t>
  </si>
  <si>
    <t>1=secondary firing</t>
  </si>
  <si>
    <t>1=brûleur secondair</t>
  </si>
  <si>
    <t>1=combustión secundaria</t>
  </si>
  <si>
    <t>2=Kalzinator ohne Terziärluft ("air through")</t>
  </si>
  <si>
    <t>2=in-line calciner (air through)</t>
  </si>
  <si>
    <r>
      <t>2=précalcinateur en ligne (</t>
    </r>
    <r>
      <rPr>
        <u/>
        <sz val="10"/>
        <rFont val="Arial"/>
        <family val="2"/>
      </rPr>
      <t>sans</t>
    </r>
    <r>
      <rPr>
        <sz val="10"/>
        <rFont val="Arial"/>
        <family val="2"/>
      </rPr>
      <t xml:space="preserve"> air terciaire)</t>
    </r>
  </si>
  <si>
    <r>
      <t>2=calcinador en linea (</t>
    </r>
    <r>
      <rPr>
        <u/>
        <sz val="10"/>
        <rFont val="Arial"/>
        <family val="2"/>
      </rPr>
      <t>sin</t>
    </r>
    <r>
      <rPr>
        <sz val="10"/>
        <rFont val="Arial"/>
        <family val="2"/>
      </rPr>
      <t xml:space="preserve"> aire terciario)</t>
    </r>
  </si>
  <si>
    <t>3=Kalzinator mit Terziärluft ("air separate")</t>
  </si>
  <si>
    <t>3=in-line calciner (air separate)</t>
  </si>
  <si>
    <t>3=précalcinateur en ligne (avec aire terciaire)</t>
  </si>
  <si>
    <t>3=calcinador en linea (con aire terciario)</t>
  </si>
  <si>
    <t>4=Kalzinator "off-line"</t>
  </si>
  <si>
    <t>4=off-line calciner</t>
  </si>
  <si>
    <t>4=précalcinateur hors ligne</t>
  </si>
  <si>
    <t>4=calcinador fuera linea</t>
  </si>
  <si>
    <t>5=Kalzinator "separate line"</t>
  </si>
  <si>
    <t>5=separate line calciner</t>
  </si>
  <si>
    <t>5=précalcinateur ligne séparé</t>
  </si>
  <si>
    <t>5=calcinador linea separada</t>
  </si>
  <si>
    <t>Ofen mit Rostvorwärmer (Lepol)</t>
  </si>
  <si>
    <t>Grate preheater kiln (Lepol)</t>
  </si>
  <si>
    <t>Four avec prechauffeur du grille (Lepol)</t>
  </si>
  <si>
    <t>Horno con precalentador de parilla (Lepol)</t>
  </si>
  <si>
    <t>(all dust in cooler)</t>
  </si>
  <si>
    <t>P mech</t>
  </si>
  <si>
    <t>1 = Rostkühler</t>
  </si>
  <si>
    <t>1 = grate cooler</t>
  </si>
  <si>
    <t>1 = enfriador de parilla</t>
  </si>
  <si>
    <t>2 = Planetenkühler</t>
  </si>
  <si>
    <t>2 = planetary cooler</t>
  </si>
  <si>
    <t>2 = enfriador de satélites</t>
  </si>
  <si>
    <t>0 = nein</t>
  </si>
  <si>
    <t>0 = no</t>
  </si>
  <si>
    <t>1 = ja</t>
  </si>
  <si>
    <t>1 = yes</t>
  </si>
  <si>
    <t>1 = oui</t>
  </si>
  <si>
    <t>1 = si</t>
  </si>
  <si>
    <t>Valeur inférieur</t>
  </si>
  <si>
    <t>WASSEREINSPRITZUNG IN VORWÄRMER</t>
  </si>
  <si>
    <t>WATERINJECTION INTO PREHEATER</t>
  </si>
  <si>
    <t>INJECTION D'EAU DANS LE PRECHAUFFEUR</t>
  </si>
  <si>
    <t>INYECCION DE AGUA AL PRECALENTADOR</t>
  </si>
  <si>
    <t>Recirculation de poussière a la sortie du four</t>
  </si>
  <si>
    <t>Temp.</t>
  </si>
  <si>
    <t>Ambient pressure</t>
  </si>
  <si>
    <t>ZUSAMMENFASSUNG WÄRMEBILANZ OFEN</t>
  </si>
  <si>
    <t>Language options</t>
  </si>
  <si>
    <t>Deutsch</t>
  </si>
  <si>
    <t>English</t>
  </si>
  <si>
    <t>Français</t>
  </si>
  <si>
    <t>Español</t>
  </si>
  <si>
    <t>Input data field</t>
  </si>
  <si>
    <t>Selected Language</t>
  </si>
  <si>
    <t>Input field for data which are not directly required for the heat balance</t>
  </si>
  <si>
    <t>Language Option:</t>
  </si>
  <si>
    <t xml:space="preserve">This version is dated:                                     </t>
  </si>
  <si>
    <t>m</t>
  </si>
  <si>
    <t>%</t>
  </si>
  <si>
    <t>mbar</t>
  </si>
  <si>
    <t>°C</t>
  </si>
  <si>
    <r>
      <t>Nm3</t>
    </r>
    <r>
      <rPr>
        <vertAlign val="subscript"/>
        <sz val="10"/>
        <rFont val="Arial Narrow"/>
        <family val="2"/>
      </rPr>
      <t xml:space="preserve">H2O </t>
    </r>
    <r>
      <rPr>
        <sz val="10"/>
        <rFont val="Arial Narrow"/>
        <family val="2"/>
      </rPr>
      <t>/ Nm3</t>
    </r>
    <r>
      <rPr>
        <vertAlign val="subscript"/>
        <sz val="10"/>
        <rFont val="Arial Narrow"/>
        <family val="2"/>
      </rPr>
      <t>air</t>
    </r>
  </si>
  <si>
    <t>h</t>
  </si>
  <si>
    <t>[t/h]</t>
  </si>
  <si>
    <t>kJ/kg°C</t>
  </si>
  <si>
    <t>kJ/kg</t>
  </si>
  <si>
    <t xml:space="preserve"> %</t>
  </si>
  <si>
    <t xml:space="preserve"> kg/kg feed</t>
  </si>
  <si>
    <t>+ CaO</t>
  </si>
  <si>
    <t>+ MgO</t>
  </si>
  <si>
    <t>- SiO2</t>
  </si>
  <si>
    <t>- Fe2O3</t>
  </si>
  <si>
    <t>+ Al2O3</t>
  </si>
  <si>
    <t>[%]</t>
  </si>
  <si>
    <t>[kJ / %]</t>
  </si>
  <si>
    <t>kJ/kg cli</t>
  </si>
  <si>
    <t xml:space="preserve"> kJ/kg cli</t>
  </si>
  <si>
    <t>g/kg cli</t>
  </si>
  <si>
    <t>Kiln feed</t>
  </si>
  <si>
    <t>Fuel</t>
  </si>
  <si>
    <t>Clinker</t>
  </si>
  <si>
    <t>SO3</t>
  </si>
  <si>
    <t>K2O</t>
  </si>
  <si>
    <t>Na2O</t>
  </si>
  <si>
    <t>Cl</t>
  </si>
  <si>
    <t>% SO3</t>
  </si>
  <si>
    <t>% K2O</t>
  </si>
  <si>
    <t>% Na2O</t>
  </si>
  <si>
    <t>% Cl</t>
  </si>
  <si>
    <t>kJ/Nm3°C</t>
  </si>
  <si>
    <t>ppm</t>
  </si>
  <si>
    <t>Nm3/h</t>
  </si>
  <si>
    <t>Specific gas quantity at kiln inlet</t>
  </si>
  <si>
    <t>Nm3/kg cli</t>
  </si>
  <si>
    <t xml:space="preserve"> Nm3/h</t>
  </si>
  <si>
    <r>
      <t xml:space="preserve">% </t>
    </r>
    <r>
      <rPr>
        <b/>
        <sz val="10"/>
        <rFont val="Arial Narrow"/>
        <family val="2"/>
      </rPr>
      <t xml:space="preserve"> </t>
    </r>
    <r>
      <rPr>
        <sz val="10"/>
        <rFont val="Arial Narrow"/>
        <family val="2"/>
      </rPr>
      <t>dry</t>
    </r>
  </si>
  <si>
    <t>%  dry</t>
  </si>
  <si>
    <t>ppm  dry</t>
  </si>
  <si>
    <t>kg/h</t>
  </si>
  <si>
    <t>without vapor from coal mill</t>
  </si>
  <si>
    <t>-----&gt;</t>
  </si>
  <si>
    <t>No</t>
  </si>
  <si>
    <t>[-]</t>
  </si>
  <si>
    <t>[m2]</t>
  </si>
  <si>
    <t>[m/s]</t>
  </si>
  <si>
    <t>[°C]</t>
  </si>
  <si>
    <t>[Nm3/h]</t>
  </si>
  <si>
    <t xml:space="preserve"> Nm3/kg cli</t>
  </si>
  <si>
    <t>Unidad</t>
  </si>
  <si>
    <t>[kJ/kg]</t>
  </si>
  <si>
    <t>[kJ/kg°C]</t>
  </si>
  <si>
    <t>Amin</t>
  </si>
  <si>
    <t>[Nm3/MJ]</t>
  </si>
  <si>
    <t>Vmin</t>
  </si>
  <si>
    <t>Potassium cont. (K2O)</t>
  </si>
  <si>
    <t>Sodium cont. (Na2O)</t>
  </si>
  <si>
    <t>[kg/h]</t>
  </si>
  <si>
    <t>[MJ/h]</t>
  </si>
  <si>
    <t>[Nm3/kgcli]</t>
  </si>
  <si>
    <t>cp</t>
  </si>
  <si>
    <t>T</t>
  </si>
  <si>
    <t>[kJ/kg cli]</t>
  </si>
  <si>
    <t>[kcal/kg cli]</t>
  </si>
  <si>
    <t>[ppm], etc.</t>
  </si>
  <si>
    <t>t/h</t>
  </si>
  <si>
    <t>etc.</t>
  </si>
  <si>
    <t>H2O</t>
  </si>
  <si>
    <t xml:space="preserve">R= </t>
  </si>
  <si>
    <t xml:space="preserve"> kg/kg cli *)</t>
  </si>
  <si>
    <t>-</t>
  </si>
  <si>
    <t>[kJ/kg,cli]</t>
  </si>
  <si>
    <t>[MJ/kg]</t>
  </si>
  <si>
    <t>MJ/h</t>
  </si>
  <si>
    <t>l/h</t>
  </si>
  <si>
    <t xml:space="preserve"> kJ/kg,cli</t>
  </si>
  <si>
    <t>t H2O/h</t>
  </si>
  <si>
    <t>Nm3/kgcli</t>
  </si>
  <si>
    <t>ppm (dry)</t>
  </si>
  <si>
    <t>kJ/Nm3</t>
  </si>
  <si>
    <t>33 b</t>
  </si>
  <si>
    <t xml:space="preserve">  kJ/kg cli</t>
  </si>
  <si>
    <t>mol/kg cli</t>
  </si>
  <si>
    <t>KCl</t>
  </si>
  <si>
    <t>S</t>
  </si>
  <si>
    <t>NaCl</t>
  </si>
  <si>
    <t>K</t>
  </si>
  <si>
    <t>CaCl2</t>
  </si>
  <si>
    <t>Na</t>
  </si>
  <si>
    <t>K2SO4</t>
  </si>
  <si>
    <t>Na2SO4</t>
  </si>
  <si>
    <t>CaSO4</t>
  </si>
  <si>
    <t>kJ/Nm3 °C</t>
  </si>
  <si>
    <t>=</t>
  </si>
  <si>
    <t>Text selection for spreadsheet</t>
  </si>
  <si>
    <t>German</t>
  </si>
  <si>
    <t>French</t>
  </si>
  <si>
    <t>Spanish</t>
  </si>
  <si>
    <t>A</t>
  </si>
  <si>
    <t>Abluft</t>
  </si>
  <si>
    <t>Waste air</t>
  </si>
  <si>
    <t>Air d'exhaure</t>
  </si>
  <si>
    <t>Aire salida</t>
  </si>
  <si>
    <t>Abluft am Kühleraustritt</t>
  </si>
  <si>
    <t>Waste air flow at cooler take out</t>
  </si>
  <si>
    <t>Air d'exhaure au sortie du refroidisseur</t>
  </si>
  <si>
    <t xml:space="preserve">Aire de escape a la salida del enfriador </t>
  </si>
  <si>
    <t>Absolute Luftfeuchtigkeit</t>
  </si>
  <si>
    <t>Absolute humidity</t>
  </si>
  <si>
    <t>Humidité absolute</t>
  </si>
  <si>
    <t>Humedad absoluto</t>
  </si>
  <si>
    <t>akt. Produktionsleistung</t>
  </si>
  <si>
    <t>Actual production rate</t>
  </si>
  <si>
    <t>Production actuelle</t>
  </si>
  <si>
    <t>Capacidad actual</t>
  </si>
  <si>
    <t>ALTERNATIV-BRENNSTOFFE</t>
  </si>
  <si>
    <t>ALTERNATIVE FUELS</t>
  </si>
  <si>
    <t>COMBUSTIBLE ALTERNATIF</t>
  </si>
  <si>
    <t>COMBUSTIBLE ALTERNATIVO</t>
  </si>
  <si>
    <t>Alternativ</t>
  </si>
  <si>
    <t>Alternative</t>
  </si>
  <si>
    <t>Alternatif</t>
  </si>
  <si>
    <t>Alternativo</t>
  </si>
  <si>
    <t>Alternativbrennstoffe</t>
  </si>
  <si>
    <t>Alternative fuels</t>
  </si>
  <si>
    <t>Remark:</t>
  </si>
  <si>
    <t>Standard with precooling zone 0.0 - 0.5 m length</t>
  </si>
  <si>
    <t>Standard with precooling zone 0.5 - 1.5 m length</t>
  </si>
  <si>
    <t>Satellite Cooler</t>
  </si>
  <si>
    <t>Mineralized Clinker</t>
  </si>
  <si>
    <t>1350-1450</t>
  </si>
  <si>
    <t>Qklinker</t>
  </si>
  <si>
    <t>Qclinker</t>
  </si>
  <si>
    <t>Combustible alternatif</t>
  </si>
  <si>
    <t>Combust. alternativo</t>
  </si>
  <si>
    <t>am Ofeneinlauf</t>
  </si>
  <si>
    <t>at kiln inlet</t>
  </si>
  <si>
    <t>dans l'entée du four</t>
  </si>
  <si>
    <t>a la entrada del horno</t>
  </si>
  <si>
    <t>am Kalzinatoraustritt</t>
  </si>
  <si>
    <t>at precalciner outlet</t>
  </si>
  <si>
    <t>dans la sortie du precalcinateur</t>
  </si>
  <si>
    <t>a la salida del precalcinador</t>
  </si>
  <si>
    <t>am Wärmetauscher Austritt</t>
  </si>
  <si>
    <t>at preheater outlet</t>
  </si>
  <si>
    <t>dans la sortie du prechauffeur</t>
  </si>
  <si>
    <t>a la salida del precalentador</t>
  </si>
  <si>
    <t>Ascheeintrag</t>
  </si>
  <si>
    <t>Ash input</t>
  </si>
  <si>
    <t>Entrée de cendre</t>
  </si>
  <si>
    <t>Entrada de ceniza</t>
  </si>
  <si>
    <t>Asche-</t>
  </si>
  <si>
    <t>Ash</t>
  </si>
  <si>
    <t>Teneur en</t>
  </si>
  <si>
    <t>Contenido</t>
  </si>
  <si>
    <t>Aschegehalt</t>
  </si>
  <si>
    <t>Ash content</t>
  </si>
  <si>
    <t>Teneur en cendre</t>
  </si>
  <si>
    <t>Contenido de ceniza</t>
  </si>
  <si>
    <t>auf der O2 Messung</t>
  </si>
  <si>
    <t>on the O2 measurement</t>
  </si>
  <si>
    <t>concentration d'oxigène</t>
  </si>
  <si>
    <t>del contenido de oxígeno</t>
  </si>
  <si>
    <t>Aufgabe</t>
  </si>
  <si>
    <t>Feedrate</t>
  </si>
  <si>
    <t>Débit</t>
  </si>
  <si>
    <t>Materia</t>
  </si>
  <si>
    <t>Cyclone efficiency (with respect to fresh feed)</t>
  </si>
  <si>
    <t>good efficiency</t>
  </si>
  <si>
    <t>poor efficiency (old cyclones)</t>
  </si>
  <si>
    <t>very good efficiency (new cyclones)</t>
  </si>
  <si>
    <t>Aufgabemenge</t>
  </si>
  <si>
    <t>Débit de material</t>
  </si>
  <si>
    <t>Flujo de material</t>
  </si>
  <si>
    <t>Aufgabemenge auf die Kohlenmühle</t>
  </si>
  <si>
    <t>Feedrate to the coal mill</t>
  </si>
  <si>
    <t>Débit de l'alimentation au broyeur de charbon</t>
  </si>
  <si>
    <t>Flujo del alimentación al molino de carbon</t>
  </si>
  <si>
    <t>AUSTRÄGE</t>
  </si>
  <si>
    <t>OUTPUT</t>
  </si>
  <si>
    <t>SORTIE</t>
  </si>
  <si>
    <t>SALIDAS</t>
  </si>
  <si>
    <r>
      <t>Aus Luftbilanz berechnete,</t>
    </r>
    <r>
      <rPr>
        <u/>
        <sz val="10"/>
        <rFont val="Arial"/>
        <family val="2"/>
      </rPr>
      <t xml:space="preserve"> trockene</t>
    </r>
    <r>
      <rPr>
        <sz val="10"/>
        <rFont val="Arial"/>
        <family val="2"/>
      </rPr>
      <t xml:space="preserve"> Kühlerabluftmenge</t>
    </r>
  </si>
  <si>
    <r>
      <t>Dry</t>
    </r>
    <r>
      <rPr>
        <sz val="10"/>
        <rFont val="Arial"/>
        <family val="2"/>
      </rPr>
      <t xml:space="preserve"> cooler waste air flow, calculated by an air balance</t>
    </r>
  </si>
  <si>
    <r>
      <t>Débit de l'air d'exhaure du refroidisseur (</t>
    </r>
    <r>
      <rPr>
        <u/>
        <sz val="10"/>
        <rFont val="Arial"/>
        <family val="2"/>
      </rPr>
      <t>sec</t>
    </r>
    <r>
      <rPr>
        <sz val="10"/>
        <rFont val="Arial"/>
        <family val="2"/>
      </rPr>
      <t>), calculé par un bilan d'air</t>
    </r>
  </si>
  <si>
    <r>
      <t>Flujo del aire de escape del enfriador (</t>
    </r>
    <r>
      <rPr>
        <u/>
        <sz val="10"/>
        <rFont val="Arial"/>
        <family val="2"/>
      </rPr>
      <t>seco</t>
    </r>
    <r>
      <rPr>
        <sz val="10"/>
        <rFont val="Arial"/>
        <family val="2"/>
      </rPr>
      <t>), calculado con un balance de aire</t>
    </r>
  </si>
  <si>
    <r>
      <t>Nur ausfüllen, falls Prandtlmessung durchgeführt</t>
    </r>
    <r>
      <rPr>
        <sz val="10"/>
        <rFont val="Arial"/>
        <family val="2"/>
      </rPr>
      <t>:</t>
    </r>
  </si>
  <si>
    <r>
      <t>Fill in only in case of a prandtl measurement</t>
    </r>
    <r>
      <rPr>
        <sz val="10"/>
        <rFont val="Arial"/>
        <family val="2"/>
      </rPr>
      <t>:</t>
    </r>
  </si>
  <si>
    <r>
      <t>Remplir seulement en cas de mesure de prandtl</t>
    </r>
    <r>
      <rPr>
        <sz val="10"/>
        <rFont val="Arial"/>
        <family val="2"/>
      </rPr>
      <t>:</t>
    </r>
  </si>
  <si>
    <r>
      <t>Llenar solo en caso de medición de prandtl</t>
    </r>
    <r>
      <rPr>
        <sz val="10"/>
        <rFont val="Arial"/>
        <family val="2"/>
      </rPr>
      <t>:</t>
    </r>
  </si>
  <si>
    <t>Axialluft</t>
  </si>
  <si>
    <t>Axial air</t>
  </si>
  <si>
    <t>Air axial</t>
  </si>
  <si>
    <t>Aire axial</t>
  </si>
  <si>
    <t>B</t>
  </si>
  <si>
    <t>Bemerkung</t>
  </si>
  <si>
    <t>Remark</t>
  </si>
  <si>
    <t>Remarque</t>
  </si>
  <si>
    <t>Nota</t>
  </si>
  <si>
    <t>BEMERKUNGEN</t>
  </si>
  <si>
    <t>REMARKS &amp; COMMENTS</t>
  </si>
  <si>
    <t>COMMENTAIRES SUPPLEMENTAIRES</t>
  </si>
  <si>
    <t>NOTAS</t>
  </si>
  <si>
    <t>(berechnet)</t>
  </si>
  <si>
    <t>(calculated)</t>
  </si>
  <si>
    <t>(calculé)</t>
  </si>
  <si>
    <t>(cálculado)</t>
  </si>
  <si>
    <t>Berechnete Kühlermittelluft am Kühleraustritt</t>
  </si>
  <si>
    <t>Calculated cooler middle air flowrate at cooler outlet</t>
  </si>
  <si>
    <t>Débit de l'air d'exhaure médian calculé a la sortie du refroidisseur</t>
  </si>
  <si>
    <t>Flujo del aire mediano calculado en la salida del enfriador</t>
  </si>
  <si>
    <t>Berechnete Ofenabgasmenge (nass)</t>
  </si>
  <si>
    <t>(= 100 %)</t>
  </si>
  <si>
    <t>Total cooling air flowrate</t>
  </si>
  <si>
    <t>Total specific cooling air flowrate</t>
  </si>
  <si>
    <t>BDP</t>
  </si>
  <si>
    <t xml:space="preserve">      Typical values for suspension preheater and precalciner kilns (without bypass)</t>
  </si>
  <si>
    <t xml:space="preserve">      Typical exit gas temperatures for suspension preheater (SP) kilns</t>
  </si>
  <si>
    <t xml:space="preserve">      (for precalcining systems (PC) exit temperatures are approx. 10°C higher)</t>
  </si>
  <si>
    <t>Remark for interpretation of results:</t>
  </si>
  <si>
    <t xml:space="preserve">      Typical value: smaller than 300°C</t>
  </si>
  <si>
    <t xml:space="preserve">      Typical value: 150-350 kJ/kg cli</t>
  </si>
  <si>
    <t>3200-3500 kJ/kg cli</t>
  </si>
  <si>
    <t>3100-3400 kJ/kg cli</t>
  </si>
  <si>
    <t>3000-3300 kJ/kg cli</t>
  </si>
  <si>
    <t xml:space="preserve">      Thermal energy consumption</t>
  </si>
  <si>
    <t>(4 stage SP or PC)</t>
  </si>
  <si>
    <t>(5 stage SP or PC)</t>
  </si>
  <si>
    <t>(6 stage SP or PC)</t>
  </si>
  <si>
    <t>(4 stage SP)</t>
  </si>
  <si>
    <t>(5 stage SP)</t>
  </si>
  <si>
    <t>(6 stage SP)</t>
  </si>
  <si>
    <t xml:space="preserve">      Typical value: 20-50 kJ/kg cli</t>
  </si>
  <si>
    <t>Vmin [%]</t>
  </si>
  <si>
    <t>H2O in</t>
  </si>
  <si>
    <t>Water content</t>
  </si>
  <si>
    <t>Typical values for normalized recuperation efficiency:</t>
  </si>
  <si>
    <t>SUMMARY HEAT BALANCE</t>
  </si>
  <si>
    <t>Calculated total exhaust gas quantity (wet)</t>
  </si>
  <si>
    <t>Flux de gas d'exhaure calculé</t>
  </si>
  <si>
    <t>Flujo de gas de salida calculado (mojado)</t>
  </si>
  <si>
    <t>Berechnete Ofenabgasmenge (trocken)</t>
  </si>
  <si>
    <t>Calculated total exhaust gas quantity (dry)</t>
  </si>
  <si>
    <t>Flux de gas d'exhaure calculé (sec)</t>
  </si>
  <si>
    <t>Flujo de gas de salida calculado (seco)</t>
  </si>
  <si>
    <t>BERECHNETE WERTE</t>
  </si>
  <si>
    <t>CALCULATED VALUES</t>
  </si>
  <si>
    <t>VALEURS CALCULES</t>
  </si>
  <si>
    <t>VALORES CALCULADO</t>
  </si>
  <si>
    <t>Berechneter Bypassvolumenstrom basierend auf O2-Messungen</t>
  </si>
  <si>
    <t>Calculated bypass flowrate based on O2 measurement</t>
  </si>
  <si>
    <t>Débit du bypass calculé sur base des mesures de O2</t>
  </si>
  <si>
    <t>Flujo de bypass calculado a base de mediciones de O2</t>
  </si>
  <si>
    <t>Berechneter Bypassvolumenstrom basierend auf einer Wärmebilanz</t>
  </si>
  <si>
    <t>Calculated bypass flowrate based on a heat balance</t>
  </si>
  <si>
    <t>Débit du bypass calculé sur base d'un bilan de chaleur</t>
  </si>
  <si>
    <t>Flujo de bypass calculado a base de un balance térmico</t>
  </si>
  <si>
    <t>Berechneter Wert</t>
  </si>
  <si>
    <t>Calculated value</t>
  </si>
  <si>
    <t>Valeur calculé</t>
  </si>
  <si>
    <t>Valor calculado</t>
  </si>
  <si>
    <t>Wärmefreisetzung durch Kondensation der Kreislaufelemente am Bypassstaub:</t>
  </si>
  <si>
    <t>Heat input due to condensation of circulating elements on the bypass dust:</t>
  </si>
  <si>
    <t>Entrada de calor por condensación de los elementos volátiles en el polvo del bypass:</t>
  </si>
  <si>
    <t>Betrieb</t>
  </si>
  <si>
    <t>Operation</t>
  </si>
  <si>
    <t>Opération</t>
  </si>
  <si>
    <t>Operación</t>
  </si>
  <si>
    <t>Bilanz</t>
  </si>
  <si>
    <t>Balance</t>
  </si>
  <si>
    <t>Bilan</t>
  </si>
  <si>
    <t>bis</t>
  </si>
  <si>
    <t>to</t>
  </si>
  <si>
    <t>justqu'au</t>
  </si>
  <si>
    <t>hasta</t>
  </si>
  <si>
    <t>BRENNBARES IN DER OFENAUFGABE</t>
  </si>
  <si>
    <t>COMBUSTIBLE MATTER IN KILN FEED</t>
  </si>
  <si>
    <t>COMBUSTIBLE DANS L'ALIMENTATION DU FOUR</t>
  </si>
  <si>
    <t>COMBUSTIBLES EN LA ALIMENTACIÓN DEL HORNO</t>
  </si>
  <si>
    <t>Brennbares</t>
  </si>
  <si>
    <t>Combustible matter</t>
  </si>
  <si>
    <t>Combustible</t>
  </si>
  <si>
    <t>BRENNSTOFF</t>
  </si>
  <si>
    <t>FUEL</t>
  </si>
  <si>
    <t>CONVENTIONEL</t>
  </si>
  <si>
    <t>CONVENCIONAL</t>
  </si>
  <si>
    <t>Brennstoff</t>
  </si>
  <si>
    <t>Brennstoff Hauptbrenner</t>
  </si>
  <si>
    <t>Fuelrate main burner</t>
  </si>
  <si>
    <t>Débit comb. brûleur princ.</t>
  </si>
  <si>
    <t>Flujo comb. quem. princ.</t>
  </si>
  <si>
    <t>Brennstoff Hauptfeuerung</t>
  </si>
  <si>
    <t>Fuel input main burner</t>
  </si>
  <si>
    <t>Chaleur brûleur primair</t>
  </si>
  <si>
    <t>Calor quemador princ.</t>
  </si>
  <si>
    <t>Brennstoff Kalzinator</t>
  </si>
  <si>
    <t>Fuelrate calciner</t>
  </si>
  <si>
    <t>Comb. calcinateur</t>
  </si>
  <si>
    <t>Comb. calcinador</t>
  </si>
  <si>
    <t>Brennstoff Ofeneinlauf</t>
  </si>
  <si>
    <t>Fuelrate kiln inlet</t>
  </si>
  <si>
    <t>Comb. entrée du four</t>
  </si>
  <si>
    <t>Comb. entrada horno</t>
  </si>
  <si>
    <t>BRENNSTOFFDATEN</t>
  </si>
  <si>
    <t>FUEL DATA</t>
  </si>
  <si>
    <t>CHARACTERISTIQUES DES COMBUSTIBLES</t>
  </si>
  <si>
    <t>CARACTERISTICAS DE LOS COMBUSTIBLES</t>
  </si>
  <si>
    <t>BRENNSTOFFEINTRAG</t>
  </si>
  <si>
    <t>FUEL INPUT</t>
  </si>
  <si>
    <t>ENTREE DU COMBUSTIBLE</t>
  </si>
  <si>
    <t>ENTRADA DEL COMBUSTIBLE</t>
  </si>
  <si>
    <t>BRENNSTOFFMENGE</t>
  </si>
  <si>
    <t>TOTAL FEEDRATE</t>
  </si>
  <si>
    <t>DEBIT TOTAL</t>
  </si>
  <si>
    <t>FLUJO TOTAL</t>
  </si>
  <si>
    <t>Brennstoffmenge</t>
  </si>
  <si>
    <t>Total feedrate</t>
  </si>
  <si>
    <t>Débit total</t>
  </si>
  <si>
    <t>Flujo total</t>
  </si>
  <si>
    <t>BRENNSTOFFVERBRENNUNG</t>
  </si>
  <si>
    <t>COMBUSTION OF FUELS</t>
  </si>
  <si>
    <t>COMBUSTION DU COMBUSTIBLE</t>
  </si>
  <si>
    <t>COMBUSTIÓN</t>
  </si>
  <si>
    <t>BYPASS</t>
  </si>
  <si>
    <t>Bypassverluste</t>
  </si>
  <si>
    <t>Bypass losses</t>
  </si>
  <si>
    <t>Perte de chaleur bypass</t>
  </si>
  <si>
    <t>Pérdidas bypass</t>
  </si>
  <si>
    <t>BYPASS FILTERSTAUB</t>
  </si>
  <si>
    <t>BYPASS DUST</t>
  </si>
  <si>
    <t>POUSSIERE DU BYPASS</t>
  </si>
  <si>
    <t>POLVO DEL BYPASS</t>
  </si>
  <si>
    <t>Bypass Filterstaub</t>
  </si>
  <si>
    <t>Bypass dust</t>
  </si>
  <si>
    <t>Poussière du bypass</t>
  </si>
  <si>
    <t>Polvo del bypass</t>
  </si>
  <si>
    <t>Bypassvolumenstrom (feucht)</t>
  </si>
  <si>
    <t>Bypass flowrate (wet)</t>
  </si>
  <si>
    <t>Débit de bypass</t>
  </si>
  <si>
    <t>Flujo de gas del bypass (húmedo)</t>
  </si>
  <si>
    <t>Bypassvolumenstrom (trocken)</t>
  </si>
  <si>
    <t>Bypass flowrate (dry)</t>
  </si>
  <si>
    <t>Débit de bypass (sec)</t>
  </si>
  <si>
    <t>Flujo de gas del bypass (seco)</t>
  </si>
  <si>
    <t>C</t>
  </si>
  <si>
    <t>CaO (nicht carbonatisch)</t>
  </si>
  <si>
    <t>CaO (non carbonatic)</t>
  </si>
  <si>
    <t>Teneur en CaO (no carbonatique)</t>
  </si>
  <si>
    <t>CaO (oxido de calcio)</t>
  </si>
  <si>
    <t>CaO Gehalt</t>
  </si>
  <si>
    <t>CaO content</t>
  </si>
  <si>
    <t>Teneur en CaO</t>
  </si>
  <si>
    <t>Contenido de CaO</t>
  </si>
  <si>
    <t>CaO Gehalt Bypassstaub</t>
  </si>
  <si>
    <t>CaO content in bypass dust</t>
  </si>
  <si>
    <t>Teneur en CaO de la poussière de bypass</t>
  </si>
  <si>
    <t>Contenido de CaO en polvo de bypass</t>
  </si>
  <si>
    <t>Chlorgehalt (Cl)</t>
  </si>
  <si>
    <t>Chlor content (Cl)</t>
  </si>
  <si>
    <t>Teneur en Chlor (Cl)</t>
  </si>
  <si>
    <t>Contenido de Cloro (Cl)</t>
  </si>
  <si>
    <t>CO</t>
  </si>
  <si>
    <t>CO Gehalt</t>
  </si>
  <si>
    <t>CO content</t>
  </si>
  <si>
    <t>Teneur en CO</t>
  </si>
  <si>
    <t>Contenido de CO</t>
  </si>
  <si>
    <t>CO Gehalt im Bypassvolumenstrom</t>
  </si>
  <si>
    <t>CO content in bypass flowrate</t>
  </si>
  <si>
    <t>Teneur en CO dans le débit de gaz du bypass</t>
  </si>
  <si>
    <t>Contenido de CO en flujo de gas del bypass</t>
  </si>
  <si>
    <t>CO Gehalt im Ofenabgas</t>
  </si>
  <si>
    <t>Parameter required in case of a separate line calciner (otherwise leave empty):</t>
  </si>
  <si>
    <t>Average specific heat (input value)</t>
  </si>
  <si>
    <t>ESTIMATION OF BYPASS FLOW RATE</t>
  </si>
  <si>
    <t>O2 content after quenching chamber</t>
  </si>
  <si>
    <t>Temperature after quenching chamber</t>
  </si>
  <si>
    <t>Radiation and convection losses</t>
  </si>
  <si>
    <t>Standard value for grate coolers: 20 kJ/kg cli</t>
  </si>
  <si>
    <t>Separate calculation spreadsheet exists to determine this value.</t>
  </si>
  <si>
    <t>For planetary coolers: calculation via separate spreadsheet.</t>
  </si>
  <si>
    <t>350-360 °C</t>
  </si>
  <si>
    <t>310-320 °C</t>
  </si>
  <si>
    <t>290-300 °C</t>
  </si>
  <si>
    <t xml:space="preserve">      Standard value for grate coolers including kiln hood: 20 kJ/kg cli</t>
  </si>
  <si>
    <t>Primary air temperature</t>
  </si>
  <si>
    <t>CO content in kiln exhaust gas</t>
  </si>
  <si>
    <t>Teneur en CO dans les gaz d'exhaures</t>
  </si>
  <si>
    <t>Contenido de CO en los gases salida torre de precalentador</t>
  </si>
  <si>
    <t>CO Volumenstrom</t>
  </si>
  <si>
    <t>CO flowrate</t>
  </si>
  <si>
    <t>Débit de CO</t>
  </si>
  <si>
    <t>Flujo de CO</t>
  </si>
  <si>
    <t>cp Brennstoff</t>
  </si>
  <si>
    <t>cp fuel</t>
  </si>
  <si>
    <t>cp combustible</t>
  </si>
  <si>
    <t>cp Klinker</t>
  </si>
  <si>
    <t>cp clinker</t>
  </si>
  <si>
    <t>cp Klinkerstaub</t>
  </si>
  <si>
    <t>cp clinker dust</t>
  </si>
  <si>
    <t>cp poussière du clinker</t>
  </si>
  <si>
    <t>cp polvo de clinker</t>
  </si>
  <si>
    <t>cp Gas</t>
  </si>
  <si>
    <t>cp gas</t>
  </si>
  <si>
    <t>cp gaz</t>
  </si>
  <si>
    <t>cp Gas manuell</t>
  </si>
  <si>
    <t>cp gas manual</t>
  </si>
  <si>
    <t>cp gaz manuel</t>
  </si>
  <si>
    <t>cp Luft</t>
  </si>
  <si>
    <t>cp air</t>
  </si>
  <si>
    <t>cp aire</t>
  </si>
  <si>
    <t>cp feuchte Luft</t>
  </si>
  <si>
    <t>cp humid air</t>
  </si>
  <si>
    <t>cp aire humide</t>
  </si>
  <si>
    <t>cp aire humedo</t>
  </si>
  <si>
    <t>cp Rohmehl (trocken)</t>
  </si>
  <si>
    <t>cp feed (dry)</t>
  </si>
  <si>
    <t>cp farine (seche)</t>
  </si>
  <si>
    <t>cp harina (seca)</t>
  </si>
  <si>
    <t>cp Staub</t>
  </si>
  <si>
    <t>cp dust</t>
  </si>
  <si>
    <t>cp poussière</t>
  </si>
  <si>
    <t>cp polvo</t>
  </si>
  <si>
    <t>cp Wasser</t>
  </si>
  <si>
    <t>Falschluft Tertiärluftleitung</t>
  </si>
  <si>
    <t>False air tertiary air duct</t>
  </si>
  <si>
    <t>Air faux gaine air tertiaire</t>
  </si>
  <si>
    <t>Aire falso ducto aire tertiario</t>
  </si>
  <si>
    <t>cp water</t>
  </si>
  <si>
    <t>cp de l'eau</t>
  </si>
  <si>
    <t>cp agua</t>
  </si>
  <si>
    <t>cp Wasserdampf</t>
  </si>
  <si>
    <t>cp water vapor</t>
  </si>
  <si>
    <t>cp vapeur de l'eau</t>
  </si>
  <si>
    <t>cp vapor de agua</t>
  </si>
  <si>
    <t>D</t>
  </si>
  <si>
    <t xml:space="preserve">Remark: </t>
  </si>
  <si>
    <t>Dampf von Wassereinspritzung</t>
  </si>
  <si>
    <t>Vapor from waterinjection</t>
  </si>
  <si>
    <t>Vapeur del injection d'eau</t>
  </si>
  <si>
    <t>Vapor de inyección de agua</t>
  </si>
  <si>
    <t>Datum</t>
  </si>
  <si>
    <t>Date</t>
  </si>
  <si>
    <t>Fecha</t>
  </si>
  <si>
    <t>Dauer</t>
  </si>
  <si>
    <t>Period</t>
  </si>
  <si>
    <t>Durée de la compagne</t>
  </si>
  <si>
    <t>Duración de la prueba</t>
  </si>
  <si>
    <t>Direkt- oder Halbdirektfeuerung</t>
  </si>
  <si>
    <t>Direct- or semi direct firing system</t>
  </si>
  <si>
    <t>Système de charbon direct ou semi-direct</t>
  </si>
  <si>
    <t>Sistema de carbón directo o semi-directo</t>
  </si>
  <si>
    <t>durchmesser</t>
  </si>
  <si>
    <t>diameter</t>
  </si>
  <si>
    <t>inferieur</t>
  </si>
  <si>
    <t>entrada</t>
  </si>
  <si>
    <t>Durchmesser Brennzone</t>
  </si>
  <si>
    <t>Diameter burning zone</t>
  </si>
  <si>
    <t>Diametre zone de cuisson</t>
  </si>
  <si>
    <t>Diámetro zona de clinkerisación</t>
  </si>
  <si>
    <t>E</t>
  </si>
  <si>
    <t>EIGENSCHAFTEN OFENAUFGABE</t>
  </si>
  <si>
    <t>KILN FEED PROPERTIES</t>
  </si>
  <si>
    <t>ALIMENTATION FOUR</t>
  </si>
  <si>
    <t>Heat output via secondary and tertiary air minus dust circulation</t>
  </si>
  <si>
    <t>g/m3</t>
  </si>
  <si>
    <t>ALIMENTACIÓN AL HORNO</t>
  </si>
  <si>
    <t>Einheit</t>
  </si>
  <si>
    <t>Unit</t>
  </si>
  <si>
    <t>Unité</t>
  </si>
  <si>
    <t>Einlauf-</t>
  </si>
  <si>
    <t>Intake</t>
  </si>
  <si>
    <t>Diamètre</t>
  </si>
  <si>
    <t>Diámetro</t>
  </si>
  <si>
    <t>EINTRÄGE</t>
  </si>
  <si>
    <t>INPUT</t>
  </si>
  <si>
    <t>ENTREE</t>
  </si>
  <si>
    <t>ENTRADAS</t>
  </si>
  <si>
    <t>Eintritts-</t>
  </si>
  <si>
    <t>Section</t>
  </si>
  <si>
    <t>Sección</t>
  </si>
  <si>
    <t>ENERGIE</t>
  </si>
  <si>
    <t>ENERGY</t>
  </si>
  <si>
    <t>CHALEUR</t>
  </si>
  <si>
    <t>ENERGÍA</t>
  </si>
  <si>
    <t>Entsäuerungsgrad des Heissmehls</t>
  </si>
  <si>
    <t>Calcination degree of the hot meal</t>
  </si>
  <si>
    <t>Calcination degree of hot meal</t>
  </si>
  <si>
    <t>Decarbonatación de la harina caliente</t>
  </si>
  <si>
    <t>F</t>
  </si>
  <si>
    <t>FÜHLBARE WÄRME</t>
  </si>
  <si>
    <t>SENSIBLE HEAT</t>
  </si>
  <si>
    <t>CHALEUR SENSIBLE</t>
  </si>
  <si>
    <t>CALOR SENSIBLE</t>
  </si>
  <si>
    <t>Fühlbare Wärme</t>
  </si>
  <si>
    <t>Sensible heat</t>
  </si>
  <si>
    <t>Chaleur sensible</t>
  </si>
  <si>
    <t>Calor sensible</t>
  </si>
  <si>
    <t>Fühlbare Wärme Brennstoff(e)</t>
  </si>
  <si>
    <t>Sensible heat from fuel(s)</t>
  </si>
  <si>
    <t>Chaleur sensible du/des combustible(s)</t>
  </si>
  <si>
    <t>Calor sensible del/de los combustible(s)</t>
  </si>
  <si>
    <t>Fühlbare Wärme Bypassvolumenstrom</t>
  </si>
  <si>
    <t>Heat output via bypass gasflow</t>
  </si>
  <si>
    <t>Perte de chaleur par débit du bypass</t>
  </si>
  <si>
    <t>Pérdida de calor en el flujo de bypass</t>
  </si>
  <si>
    <t>FÜHLBARE WÄRME BYPASSVOLUMENSTROM</t>
  </si>
  <si>
    <t>SENSIBLE HEAT BYPASS FLOWRATE</t>
  </si>
  <si>
    <t>CHALEUR SENSIBLE DEBIT DU BYPASS</t>
  </si>
  <si>
    <t>CALOR SENSIBLE FLUJO DE GAS DEL BYPASS</t>
  </si>
  <si>
    <t>FÜHLBARE WÄRME DES KLINKERS</t>
  </si>
  <si>
    <t>SENSIBLE HEAT OF CLINKER</t>
  </si>
  <si>
    <t>CHALEUR SENSIBLE DU CLINKER</t>
  </si>
  <si>
    <t>CALOR SENSIBLE DEL CLINKER</t>
  </si>
  <si>
    <t>Fühlbare Wärme des Klinkers</t>
  </si>
  <si>
    <t>Heat output via the clinker</t>
  </si>
  <si>
    <t>Perte de chaleur par le clinker</t>
  </si>
  <si>
    <t>Pérdida de calor con el clinker</t>
  </si>
  <si>
    <t>Fühlbare Wärme Sekundärluft</t>
  </si>
  <si>
    <t>Heat output via secondary air</t>
  </si>
  <si>
    <t>Perte de chaleur par l'air secondaire</t>
  </si>
  <si>
    <t>Pérdida de calor con aire secundario</t>
  </si>
  <si>
    <t>Fühlbare Wärme Wasser</t>
  </si>
  <si>
    <t>Sensible heat water</t>
  </si>
  <si>
    <t>Chaleur sensible eau</t>
  </si>
  <si>
    <t>Calor sensible agua</t>
  </si>
  <si>
    <t>Fühlbare Wärme Luft</t>
  </si>
  <si>
    <t>Sensible heat air</t>
  </si>
  <si>
    <t>Chaleur sensible air</t>
  </si>
  <si>
    <t>Calor sensible aire</t>
  </si>
  <si>
    <t>FÜHLBARE WÄRME DES STAUBVERLUSTES</t>
  </si>
  <si>
    <t>Duration</t>
  </si>
  <si>
    <t>Dust loss (mass flow)</t>
  </si>
  <si>
    <t>Kiln feed (mass flow)</t>
  </si>
  <si>
    <t>Clinker (mass flow)</t>
  </si>
  <si>
    <t>Remark: Standard value for the heat of formation: 1750 kJ/kg cli.</t>
  </si>
  <si>
    <t>Bypass dust (mass flow)</t>
  </si>
  <si>
    <t>Water input (mass flow)</t>
  </si>
  <si>
    <t>Remark: Leave empty in case of direct and semidirect firing systems.</t>
  </si>
  <si>
    <t>Remark: Leave empty in case of indirect firing systems.</t>
  </si>
  <si>
    <t>Direct or semi direct firing system</t>
  </si>
  <si>
    <t>Specific heat capacity cp</t>
  </si>
  <si>
    <t>Minimum air for secondary firing</t>
  </si>
  <si>
    <t>Remark: Measured value.</t>
  </si>
  <si>
    <t>Remark: Fitting parameter</t>
  </si>
  <si>
    <t>(can be adjusted according to cooler heat balance).</t>
  </si>
  <si>
    <t>Cooler efficiency (recuperation efficiency)</t>
  </si>
  <si>
    <t>*) Dry kiln feed divided by the clinker production.</t>
  </si>
  <si>
    <t>[Nm3/kg cli]</t>
  </si>
  <si>
    <t>3.0 @ 25°C</t>
  </si>
  <si>
    <t>2.2 @ 25°C</t>
  </si>
  <si>
    <t>1.7 @ 25°C</t>
  </si>
  <si>
    <t>SENSIBLE HEAT OUTPUT VIA DUST</t>
  </si>
  <si>
    <t>CHALEUR SENSIBLE DE LA POUSSIERE</t>
  </si>
  <si>
    <t>CALOR SENSIBLE DEL POLVO</t>
  </si>
  <si>
    <t>Fühlbare Wärme des Staubverlustes</t>
  </si>
  <si>
    <t>Heat output via dust loss</t>
  </si>
  <si>
    <t>Perte de chaleur par la poussiere</t>
  </si>
  <si>
    <t>Pérdida de calor en el polvo</t>
  </si>
  <si>
    <t>Fühlbare Wärme Falschluft</t>
  </si>
  <si>
    <t>Heat input via false air</t>
  </si>
  <si>
    <t>Chaleur sensible air faux</t>
  </si>
  <si>
    <t>Calor sensible del aire falso</t>
  </si>
  <si>
    <t>Fühlbare Wärme Tertiärluft</t>
  </si>
  <si>
    <t>Heat output via tertiary air</t>
  </si>
  <si>
    <t>Perte de chaleur par l'air tertiaire</t>
  </si>
  <si>
    <t>Pérdida de calor con aire terciario</t>
  </si>
  <si>
    <t>FÜHLBARE WÄRME HAUPTBRENNER</t>
  </si>
  <si>
    <t>SENSIBLE HEAT MAIN BURNER</t>
  </si>
  <si>
    <t>CHALEUR SENSIBLE BRÛLEUR PRINCIPAL</t>
  </si>
  <si>
    <t>CALOR SENSIBLE QUEMADOR PRINCIPAL</t>
  </si>
  <si>
    <t>FÜHLBARE WÄRME KÜHLERABLUFT</t>
  </si>
  <si>
    <t>SENSIBLE HEAT COOLER WASTE AIR</t>
  </si>
  <si>
    <t>CHALEUR SENSIBLE DE L'AIR D'EXHAURE DU REFROIDISSEUR</t>
  </si>
  <si>
    <t>CALOR SENSIBLE AIRE SALIDA DEL ENFRIADOR</t>
  </si>
  <si>
    <t>Fühlbare Wärme Kühlerabluft</t>
  </si>
  <si>
    <t>Heat output through cooler waste air</t>
  </si>
  <si>
    <t>Perte de chaleur dans l'air d'exhaure</t>
  </si>
  <si>
    <t>Pérdida de calor con aire de salida del enfriador</t>
  </si>
  <si>
    <t>FÜHLBARE WÄRME KÜHLERMITTELLUFT</t>
  </si>
  <si>
    <t>SENSIBLE HEAT COOLER MIDDLE AIR</t>
  </si>
  <si>
    <t>CHALEUR SENSIBLE DE L'AIR D'EXHAURE MEDIAN</t>
  </si>
  <si>
    <t>CALOR SENSIBLE AIRE MEDIANA DEL ENFRIADOR</t>
  </si>
  <si>
    <t>Fühlbare Wärme Kühlermittelluft</t>
  </si>
  <si>
    <t>Heat output through cooler middle air</t>
  </si>
  <si>
    <t>Perte de chaleur dans l'air d'exhaure median</t>
  </si>
  <si>
    <t>Pérdida de calor con aire mediana del enfriador</t>
  </si>
  <si>
    <t>FÜHLBARE WÄRME VON WASSERDAMPF IN ABLUFT</t>
  </si>
  <si>
    <t>SENSIBLE HEAT OF WATER VAPOR IN WASTE AIR</t>
  </si>
  <si>
    <t>CHALEUR SENSIBLE DU VAPEUR D'EAU DANS L'AIR D'EXHAURE</t>
  </si>
  <si>
    <t>CALOR SENSIBLE VAPOR DE AGUA EN EL AIRE SALIDA</t>
  </si>
  <si>
    <t>FÜHLBARE WÄRME OFENABGASE</t>
  </si>
  <si>
    <t>SENSIBLE HEAT KILN EXHAUST GASES</t>
  </si>
  <si>
    <t>CHALEUR SENSIBLE GAZ D'EXHAURE</t>
  </si>
  <si>
    <t>CALOR SENSIBLE GAS SALIDA TORRE DE PRECALENTADOR</t>
  </si>
  <si>
    <t>FÜHLBARE WÄRME KÜHLLUFT</t>
  </si>
  <si>
    <t>SENSIBLE HEAT COOLING AIR</t>
  </si>
  <si>
    <t>CHALEUR SENSIBLE AIR REFROIDISSEUR</t>
  </si>
  <si>
    <t>Remark: The calculated value is only for information and is not further used in the calculation.</t>
  </si>
  <si>
    <t>Remark: The input value is used for further calculations; the calculated value may be used as a reference.</t>
  </si>
  <si>
    <t>Flow rate of quenching air</t>
  </si>
  <si>
    <t>Temperature of quenching air</t>
  </si>
  <si>
    <t>cp gas (calculated value)</t>
  </si>
  <si>
    <t>cp gas (input value)</t>
  </si>
  <si>
    <t>Parameters required in case of a separate line calciner (otherwise leave empty):</t>
  </si>
  <si>
    <t>Central air</t>
  </si>
  <si>
    <t>Average temperature of primary air</t>
  </si>
  <si>
    <t>Temperature in the duct (balance boundary)</t>
  </si>
  <si>
    <t>Water temperature</t>
  </si>
  <si>
    <t xml:space="preserve">** Remark: </t>
  </si>
  <si>
    <t xml:space="preserve">* Remark: </t>
  </si>
  <si>
    <t>Standard value, false air kiln inlet seal</t>
  </si>
  <si>
    <t>Dusty kiln hood</t>
  </si>
  <si>
    <t>30-50 g/m3 or 3-5%</t>
  </si>
  <si>
    <t>50 g/m3 or 5%</t>
  </si>
  <si>
    <t>Standard values</t>
  </si>
  <si>
    <t xml:space="preserve">     Remark:</t>
  </si>
  <si>
    <t>In case of water injection into kiln, water can be included in fuel for calculation.</t>
  </si>
  <si>
    <t>Fitting parameter (can be adjusted in section 17).</t>
  </si>
  <si>
    <t>Coal</t>
  </si>
  <si>
    <t>Oil</t>
  </si>
  <si>
    <t>Gas</t>
  </si>
  <si>
    <t>AFR</t>
  </si>
  <si>
    <t>Standard value, false air cooler</t>
  </si>
  <si>
    <t>0.03-0.05</t>
  </si>
  <si>
    <t xml:space="preserve">     Remark: Fitting parameter (can be adjusted in section 10).</t>
  </si>
  <si>
    <t xml:space="preserve">     Remark: Fitting parameter (can be adjusted in section 11).</t>
  </si>
  <si>
    <t>Heavy oil</t>
  </si>
  <si>
    <t>Light oil</t>
  </si>
  <si>
    <t>Natural gas</t>
  </si>
  <si>
    <t>Tires</t>
  </si>
  <si>
    <t>Reference values</t>
  </si>
  <si>
    <t>CALOR SENSIBLE AIRE DE ENFRIAMIENTO</t>
  </si>
  <si>
    <t>FÜHLBARE WÄRME DES EINGESPRITZTEN WASSERS</t>
  </si>
  <si>
    <t>SENSIBLE HEAT OF INJECTED WATER</t>
  </si>
  <si>
    <t>CHALEUR SENSIBLE D'EAU INJECTÉ AU REFROIDISSEUR</t>
  </si>
  <si>
    <t>CALOR SENSIBLE DE AGUA INYECTADA AL ENFRIADOR</t>
  </si>
  <si>
    <t>Fühlbare Wärme Ofenabgase</t>
  </si>
  <si>
    <t>Sensible heat kiln exhaust gases</t>
  </si>
  <si>
    <t>Chaleur sensible gaz d'exhaure du four</t>
  </si>
  <si>
    <t>Calor sensible gas salida de torre precalentador</t>
  </si>
  <si>
    <t>Fühlbare Wärme Kalzinatorabgase</t>
  </si>
  <si>
    <t>SEKUNDÄRFEUERUNG</t>
  </si>
  <si>
    <t>COMBUSTION SECONDAIRE</t>
  </si>
  <si>
    <t>Wassereinspritzung in Vorwärmer</t>
  </si>
  <si>
    <t>Wärmeverbrauch Wasserverdunstung Vorwärmer</t>
  </si>
  <si>
    <t>Preheater</t>
  </si>
  <si>
    <t>PREHEATER</t>
  </si>
  <si>
    <t>Sensible heat calciner exhaust gases</t>
  </si>
  <si>
    <t>Chaleur sensible gaz d'exhaure du calcinateur</t>
  </si>
  <si>
    <t>Calor sensible gas salida de torre precalcinador</t>
  </si>
  <si>
    <t>FÜHLBARE WÄRME KALZINATORABGASE</t>
  </si>
  <si>
    <t>SENSIBLE HEAT CALCINER EXHAUST GASES</t>
  </si>
  <si>
    <t>Mechanical energy from fans considered in balance</t>
  </si>
  <si>
    <t>1= yes considered</t>
  </si>
  <si>
    <t>0= no not considered</t>
  </si>
  <si>
    <t>Absorbed power:</t>
  </si>
  <si>
    <t>Kiln drive</t>
  </si>
  <si>
    <t>KW</t>
  </si>
  <si>
    <t>(@counter)</t>
  </si>
  <si>
    <t>Sum of all cooling air fans</t>
  </si>
  <si>
    <t>If considered above these cells become mandatory</t>
  </si>
  <si>
    <t>Typ. Values</t>
  </si>
  <si>
    <t>0.95 - 0.98</t>
  </si>
  <si>
    <t>VFD, cable, Drive</t>
  </si>
  <si>
    <t>and gear efficiency</t>
  </si>
  <si>
    <t>CHALEUR SENSIBLE GAZ D'EXHAURE DU CALCINATEUR</t>
  </si>
  <si>
    <t>CALOR SENSIBLE GAS SALIDA DE TORRE PRECALCINADOR</t>
  </si>
  <si>
    <t>faktor</t>
  </si>
  <si>
    <t>factor</t>
  </si>
  <si>
    <t>corretion</t>
  </si>
  <si>
    <t>correción</t>
  </si>
  <si>
    <t>FALSCHLUFT</t>
  </si>
  <si>
    <t>FALSE AIR</t>
  </si>
  <si>
    <t>AIR FAUX</t>
  </si>
  <si>
    <t>Remark: For normal preheater or precalciner kilns:
take the calculated cp value
For special kiln systems (e.g. Lepol kiln, wet kiln) the cp has to be calculated manually</t>
  </si>
  <si>
    <t>AIRE FALSO</t>
  </si>
  <si>
    <t>Falschluft</t>
  </si>
  <si>
    <t>False air</t>
  </si>
  <si>
    <t>Air faux</t>
  </si>
  <si>
    <t>Aire falso</t>
  </si>
  <si>
    <t>Falschluft Kühler</t>
  </si>
  <si>
    <t>A cell containing a red point in the upper right corner contains a short remark or explanation</t>
  </si>
  <si>
    <t>Responsible for program updates:</t>
  </si>
  <si>
    <t>except for wet kilns. For wet kilns, a separate program exists. Throughout the program</t>
  </si>
  <si>
    <t>the following conventions have been used for data input, illustration, and documentation:</t>
  </si>
  <si>
    <t>Cyclone efficiency</t>
  </si>
  <si>
    <t>Clinker analysis</t>
  </si>
  <si>
    <t>Remark: This calculated value is only for information and is not further used in the calculation.</t>
  </si>
  <si>
    <t>Remark: This input value is used for further calculations; the calculated values may be used as a reference.</t>
  </si>
  <si>
    <t>For normal preheater or precalciner kilns: take the calculated cp value.</t>
  </si>
  <si>
    <t>For special kiln systems (e.g. Lepol kiln) the cp value has to be calculated manually.</t>
  </si>
  <si>
    <t>False air cooler</t>
  </si>
  <si>
    <t>Air faux refroidisseur</t>
  </si>
  <si>
    <t xml:space="preserve">      Typical value: 80-150 kJ/kg cli</t>
  </si>
  <si>
    <t>[m3/h]</t>
  </si>
  <si>
    <r>
      <t>D</t>
    </r>
    <r>
      <rPr>
        <b/>
        <sz val="10"/>
        <rFont val="Arial Narrow"/>
        <family val="2"/>
      </rPr>
      <t>p</t>
    </r>
  </si>
  <si>
    <t>[mbar]</t>
  </si>
  <si>
    <t>COP</t>
  </si>
  <si>
    <t>Cross. Area</t>
  </si>
  <si>
    <t>Pressure</t>
  </si>
  <si>
    <t>Aire falso enfriador</t>
  </si>
  <si>
    <t>Falschluft Ofeneinlaufdichtung</t>
  </si>
  <si>
    <t>False air kiln inlet seal</t>
  </si>
  <si>
    <t>Air faux entrée du four</t>
  </si>
  <si>
    <t>Aire falso sello entrada del horno</t>
  </si>
  <si>
    <t>Falschluft Ofenkopf</t>
  </si>
  <si>
    <t>False air kiln hood</t>
  </si>
  <si>
    <t>Aire falso carátula del horno</t>
  </si>
  <si>
    <t>Fehler Kühlerluftbilanz</t>
  </si>
  <si>
    <t>Cooler air balance error</t>
  </si>
  <si>
    <t>Erreur bilan aerolique refroidisseur</t>
  </si>
  <si>
    <t>Error balance de aire enfriador</t>
  </si>
  <si>
    <t>Fehler Kühlerwärmebilanz</t>
  </si>
  <si>
    <t>Cooler heat balance error</t>
  </si>
  <si>
    <t>Erreur bilan energétique refroidisseur</t>
  </si>
  <si>
    <t>Error balance térmico enfriador</t>
  </si>
  <si>
    <t>Fehler Massenbilanz</t>
  </si>
  <si>
    <t>Mass balance error</t>
  </si>
  <si>
    <t>Erreur bilan des materials</t>
  </si>
  <si>
    <t>Error balance material</t>
  </si>
  <si>
    <t>Fehler Wärmebilanz Ofen</t>
  </si>
  <si>
    <t>Kiln heat balance error</t>
  </si>
  <si>
    <t>Erreur bilan energétique du four</t>
  </si>
  <si>
    <t>Error balance térmico horno</t>
  </si>
  <si>
    <t>feucht</t>
  </si>
  <si>
    <t>wet</t>
  </si>
  <si>
    <t>humide</t>
  </si>
  <si>
    <t>humedad</t>
  </si>
  <si>
    <t>Feuchtigkeit</t>
  </si>
  <si>
    <t>Moisture content</t>
  </si>
  <si>
    <t>Water vapour from water inj PH</t>
  </si>
  <si>
    <t>Humidité</t>
  </si>
  <si>
    <t>Humedad</t>
  </si>
  <si>
    <t>Feuchtigkeit der Kohle/Koks am Brenner</t>
  </si>
  <si>
    <t>Moisture content of the coal fed to the burner</t>
  </si>
  <si>
    <t>Humidité du charbon/coks au brûleur</t>
  </si>
  <si>
    <t>Humedad del carbón/coque al quemador</t>
  </si>
  <si>
    <t>Feuchtigkeit der Kohle/Koks Aufgabe Kohlenmühle</t>
  </si>
  <si>
    <t>Moisture content of the raw coal/coke as fed to the coal mill</t>
  </si>
  <si>
    <t>Humidité du charbon/coks à l'alimentation du broyeur charbon</t>
  </si>
  <si>
    <t>Humedad del carbón/coks al alimentación del molino de carbón</t>
  </si>
  <si>
    <t>fluss</t>
  </si>
  <si>
    <t>flow</t>
  </si>
  <si>
    <t>material</t>
  </si>
  <si>
    <t>materia</t>
  </si>
  <si>
    <t>G</t>
  </si>
  <si>
    <t>GASANALYSE AM OFENEINLAUF</t>
  </si>
  <si>
    <t>GAS PROPERTIES AT KILN INLET</t>
  </si>
  <si>
    <t>COMPOSITION DES GAZ A L'ENTREE DU FOUR</t>
  </si>
  <si>
    <t>COMPOSICIÓN DEL GAS EN LA ENTRADA DEL HORNO</t>
  </si>
  <si>
    <t>GASANALYSE AM WÄRMETAUSCHERAUSTRITT</t>
  </si>
  <si>
    <t>GAS PROPERTIES AT PREHEATER OUTLET</t>
  </si>
  <si>
    <t>COMPOSITION DES GAZ A LA SORTIE DE L'ECHANGEUR DE CHALEUR</t>
  </si>
  <si>
    <t>COMPOSICIÓN DEL GAS EN LA SALIDA DEL TORRE DE PRECALENTADOR</t>
  </si>
  <si>
    <t>Gase aus dem Rohmaterial CO2 + H2Ohyd</t>
  </si>
  <si>
    <t>Gas from raw meal CO2 + H2Ohyd</t>
  </si>
  <si>
    <t>2.6 @ 25°C</t>
  </si>
  <si>
    <t>Waste oil 50% H2O</t>
  </si>
  <si>
    <t>Wood/sawdust 15% moisture</t>
  </si>
  <si>
    <t>Gaz de decarbonisation CO2 + H2Ohyd</t>
  </si>
  <si>
    <t>Gas del material CO2 + H2Ohyd</t>
  </si>
  <si>
    <t>gehalt</t>
  </si>
  <si>
    <t>content</t>
  </si>
  <si>
    <t>cendre</t>
  </si>
  <si>
    <t>de ceniza</t>
  </si>
  <si>
    <t>Gesamtkühlluftmenge</t>
  </si>
  <si>
    <t>Total cooling air</t>
  </si>
  <si>
    <t>Débit de l'air de refroidissement total</t>
  </si>
  <si>
    <t>Flujo de aire de enfriamento total</t>
  </si>
  <si>
    <t>Gesamtprimärluftmenge Hauptbrenner</t>
  </si>
  <si>
    <t>Total primary air main burner</t>
  </si>
  <si>
    <t>Air primair totale brûleur principal</t>
  </si>
  <si>
    <t>Aire primario quemador principal</t>
  </si>
  <si>
    <t>Gesamtprimärluftmenge Kalzinator oder Sekundärfeuerung</t>
  </si>
  <si>
    <t>Total primary air precalciner or secondary firing</t>
  </si>
  <si>
    <t>Air primair totale calcinateur ou chauffage secondaire</t>
  </si>
  <si>
    <t>Aire primario calcinador o combustión secundaria</t>
  </si>
  <si>
    <t>Gesamtwärmeeintrag</t>
  </si>
  <si>
    <t>Total heat input</t>
  </si>
  <si>
    <t>Entrée total de chaleur</t>
  </si>
  <si>
    <t>Entrada total de calor</t>
  </si>
  <si>
    <t>Gesamtwärmeeintrag durch Verbrennung</t>
  </si>
  <si>
    <t>Total heat input from fuel combustion</t>
  </si>
  <si>
    <t>Entrée totale de chaleur de combustion</t>
  </si>
  <si>
    <t>Entrada total de calor de combustión</t>
  </si>
  <si>
    <t>Gesamte Kondensationswärme:</t>
  </si>
  <si>
    <t>Total heat of condensation:</t>
  </si>
  <si>
    <t>Chaleur de condensation total:</t>
  </si>
  <si>
    <t>Total calor de condensación:</t>
  </si>
  <si>
    <t>Geschwindig-</t>
  </si>
  <si>
    <t>Velocity</t>
  </si>
  <si>
    <t>Vitesse</t>
  </si>
  <si>
    <t>Velocidad</t>
  </si>
  <si>
    <t>Geschwindigkeit</t>
  </si>
  <si>
    <t>Glühverlust</t>
  </si>
  <si>
    <t>LOI</t>
  </si>
  <si>
    <t>Perte au feu</t>
  </si>
  <si>
    <t>Pérdida de ignición</t>
  </si>
  <si>
    <t>Perte</t>
  </si>
  <si>
    <t>Pérdida de</t>
  </si>
  <si>
    <t>Glühverlust des Bypassstaubes</t>
  </si>
  <si>
    <t>LOI of bypass dust</t>
  </si>
  <si>
    <t>Perte au feu de la poussière du bypass</t>
  </si>
  <si>
    <t>Pérdida de ignición del polvo de bypass</t>
  </si>
  <si>
    <t>(only TA)</t>
  </si>
  <si>
    <t>(only SA)</t>
  </si>
  <si>
    <t>Teriärluft (mit Staub)</t>
  </si>
  <si>
    <t>Tertiary air (incl dust)</t>
  </si>
  <si>
    <t>Air tertiaire (avec poussière)</t>
  </si>
  <si>
    <t>Aire terciario (con polvo)</t>
  </si>
  <si>
    <t>H</t>
  </si>
  <si>
    <t>Höhe ü. M.</t>
  </si>
  <si>
    <t>Altitude</t>
  </si>
  <si>
    <t>Altitud</t>
  </si>
  <si>
    <t>H2O Brennstoff/Kohlenmühle</t>
  </si>
  <si>
    <t>H2O fuel/coal mill</t>
  </si>
  <si>
    <t>H2O comb./broyage charb.</t>
  </si>
  <si>
    <t>H2O comb./molino carbon</t>
  </si>
  <si>
    <t>H2O Ofenaufgabe</t>
  </si>
  <si>
    <t>H2O kiln feed</t>
  </si>
  <si>
    <t>H2O alimentation au four</t>
  </si>
  <si>
    <t>H2O alimentación horno</t>
  </si>
  <si>
    <t>H2O Luftfeuchtigkeit</t>
  </si>
  <si>
    <t>H2O air humidity</t>
  </si>
  <si>
    <t>H2O humidité air</t>
  </si>
  <si>
    <t>H2O humedad aire</t>
  </si>
  <si>
    <t>H2O in Vmin</t>
  </si>
  <si>
    <t>SULFUR-ALCALI REACTIONS (for information only)</t>
  </si>
  <si>
    <t>Mass balance of circulating elements:</t>
  </si>
  <si>
    <t>Recuperation efficiency normalized to 0.8 Nm3/kg cli (for comparison)</t>
  </si>
  <si>
    <t>[kg/kg cli]</t>
  </si>
  <si>
    <t>H2O dans Vmin</t>
  </si>
  <si>
    <t>H2O en Vmin</t>
  </si>
  <si>
    <t>durchsch.H2O in Vmin</t>
  </si>
  <si>
    <t>average H2O in Vmin</t>
  </si>
  <si>
    <t>moyen H2O dans Vmin</t>
  </si>
  <si>
    <t>promedio de H2O en Vmin</t>
  </si>
  <si>
    <t>H2O-Eintrag in Planetenkühler</t>
  </si>
  <si>
    <t>H2O-input into planetary cooler</t>
  </si>
  <si>
    <t>Entrée de H2O dans refroidisseur planetaire</t>
  </si>
  <si>
    <t>Entrada de H2O al enfriador satélites</t>
  </si>
  <si>
    <t>HAUPTBRENNER</t>
  </si>
  <si>
    <t>MAIN BURNER</t>
  </si>
  <si>
    <t>BRÛLEUR PRINCIPAL</t>
  </si>
  <si>
    <t>QUEMADOR PRINCIPAL</t>
  </si>
  <si>
    <t>Hauptbrenner</t>
  </si>
  <si>
    <t>Main burner</t>
  </si>
  <si>
    <t>Brûleur principal</t>
  </si>
  <si>
    <t>Quemador principal</t>
  </si>
  <si>
    <t>Heizwert Hu</t>
  </si>
  <si>
    <t>PCI</t>
  </si>
  <si>
    <t>Heizwert Hu Brenner</t>
  </si>
  <si>
    <t>PCI au brûleur</t>
  </si>
  <si>
    <t>PCI al quemador</t>
  </si>
  <si>
    <t>I</t>
  </si>
  <si>
    <t>Im Falle eines "separate line" Kalzinators</t>
  </si>
  <si>
    <t>In case of a "separate line" calciner</t>
  </si>
  <si>
    <t>En caso de un calcinador "linea separada"</t>
  </si>
  <si>
    <t>Indirektfeuerung</t>
  </si>
  <si>
    <t>Indirect firing system</t>
  </si>
  <si>
    <t>Système de chauffage indirecte</t>
  </si>
  <si>
    <t>Sistema de carbón indirecta</t>
  </si>
  <si>
    <t>J</t>
  </si>
  <si>
    <t>K2O Aufgabe</t>
  </si>
  <si>
    <t>K2O kiln feed</t>
  </si>
  <si>
    <t>K2O alimentation</t>
  </si>
  <si>
    <t>K2O alimentación</t>
  </si>
  <si>
    <t>K2O Klinker</t>
  </si>
  <si>
    <t>K2O clinker</t>
  </si>
  <si>
    <t>K2O Ofenstaub</t>
  </si>
  <si>
    <t>K2O kiln dust</t>
  </si>
  <si>
    <t>K2O poussière du four</t>
  </si>
  <si>
    <t>K2O polvo del horno</t>
  </si>
  <si>
    <t>Kondensationswärme der Alkalien</t>
  </si>
  <si>
    <t>Heat of condensation of the alcalis</t>
  </si>
  <si>
    <t>Chaleur de condensation des alcalis</t>
  </si>
  <si>
    <t>Calor de condensación de los álcalis</t>
  </si>
  <si>
    <t>KÜHLER</t>
  </si>
  <si>
    <t>COOLER</t>
  </si>
  <si>
    <t>REFROIDISSEUR</t>
  </si>
  <si>
    <t>ENFRIADOR</t>
  </si>
  <si>
    <t>Kühler</t>
  </si>
  <si>
    <t>Cooler</t>
  </si>
  <si>
    <t>Refroidisseur</t>
  </si>
  <si>
    <t>Enfriador</t>
  </si>
  <si>
    <t>Kühler und Ofenkopf</t>
  </si>
  <si>
    <t>Cooler and kiln hood</t>
  </si>
  <si>
    <t>Refroidisseur et coiffe du four</t>
  </si>
  <si>
    <t>Enfriador y cabezal</t>
  </si>
  <si>
    <t>Refroid. / coiffre du four</t>
  </si>
  <si>
    <t>KÜHLER WÄRMEBILANZ</t>
  </si>
  <si>
    <t>COOLER HEAT BALANCE</t>
  </si>
  <si>
    <t>BILAN TÉRMIQUE DU REFROIDISSEUR</t>
  </si>
  <si>
    <t>BALANCE TÉRMICO DEL ENFRIADOR</t>
  </si>
  <si>
    <t>KÜHLERABLUFT</t>
  </si>
  <si>
    <t>COOLER WASTE AIR</t>
  </si>
  <si>
    <t>AIR D'EXHAURE DU REFROIDISSEUR</t>
  </si>
  <si>
    <t>AIRE DE SALIDA DEL ENFRIADOR</t>
  </si>
  <si>
    <t>KÜHLERABLUFT UND WASSERDAMPF</t>
  </si>
  <si>
    <t>COOLER WASTE AIR AND WATER VAPOR</t>
  </si>
  <si>
    <t>AIR D'EXHAURE DU REFROIDISSEUR ET VAPEUR D'EAU</t>
  </si>
  <si>
    <t>AIRE DE SALIDA DEL ENFRIADOR Y VAPOR DE AGUA</t>
  </si>
  <si>
    <t>Kühlerabluft</t>
  </si>
  <si>
    <t>Cooler waste air</t>
  </si>
  <si>
    <t>Air d'exhaure du refroidisseur</t>
  </si>
  <si>
    <t>Aire de salida enfriador</t>
  </si>
  <si>
    <t>Kühlerabluft (ohne Wasserdampf)</t>
  </si>
  <si>
    <t>Cooler waste air (without water vapor)</t>
  </si>
  <si>
    <t>Air d'exhaure du refroidisseur (sans vapeur d'eau)</t>
  </si>
  <si>
    <t>Aire de salida enfriador (sin vapor de agua)</t>
  </si>
  <si>
    <t>KÜHLERLUFT</t>
  </si>
  <si>
    <t>COOLING AIR</t>
  </si>
  <si>
    <t>AIR DU REFROIDISSEUR</t>
  </si>
  <si>
    <t>AIRE DEL ENFRIADOR</t>
  </si>
  <si>
    <t>Kühlluft</t>
  </si>
  <si>
    <t>Cooling air</t>
  </si>
  <si>
    <t>Air de refroidissement</t>
  </si>
  <si>
    <t>Aire de enfriamento</t>
  </si>
  <si>
    <t>KÜHLERLUFTBILANZ</t>
  </si>
  <si>
    <t>COOLER AIR BALANCE</t>
  </si>
  <si>
    <t>BILAN AEROLIQUE DU REFROIDISSEUR</t>
  </si>
  <si>
    <t>BALANCE DE AIRE DEL ENFRIADOR</t>
  </si>
  <si>
    <t>KÜHLERMITTELLUFT</t>
  </si>
  <si>
    <t>COOLER MIDDLE AIR</t>
  </si>
  <si>
    <t>AIR D'EXHAURE MEDIAN DU REFROIDISSEUR</t>
  </si>
  <si>
    <t>AIRE MEDIANA DEL ENFRIADOR</t>
  </si>
  <si>
    <t>Kühlermittelluft</t>
  </si>
  <si>
    <t>Cooler middle air</t>
  </si>
  <si>
    <t>Air d'exhaure median du refroidisseur</t>
  </si>
  <si>
    <t>Aire mediana enfriador</t>
  </si>
  <si>
    <t>Standard value, false air kiln hood</t>
  </si>
  <si>
    <t>MASS BALANCE OF COOLER AIR</t>
  </si>
  <si>
    <t>MASSENBILANZ DER KUEHLLUFT</t>
  </si>
  <si>
    <t>BILAN DES MATIERES D'AIR RAFRAICHISSANT</t>
  </si>
  <si>
    <t>BALANCE DE MATERIAL SISTEMA DE AERO FRIO</t>
  </si>
  <si>
    <t>KÜHLERVENTILATOREN</t>
  </si>
  <si>
    <t>COOLER AIR FANS</t>
  </si>
  <si>
    <t>VENTILATEURS DU REFROIDISSEUR</t>
  </si>
  <si>
    <t>VENTILADORES DEL ENFRIADOR</t>
  </si>
  <si>
    <t>KÜHLERWIRKUNGSGRAD</t>
  </si>
  <si>
    <t>COOLER EFFICIENCY</t>
  </si>
  <si>
    <t>RENDEMENT DU REFROIDISSEUR</t>
  </si>
  <si>
    <t>EFICIENCIA DEL ENFRIADOR</t>
  </si>
  <si>
    <t>Kühlerwirkungsgrad</t>
  </si>
  <si>
    <t>Cooler efficiency</t>
  </si>
  <si>
    <t>Rendement du refroidisseur</t>
  </si>
  <si>
    <t>Eficiencia del enfriador</t>
  </si>
  <si>
    <t>Kühlturm</t>
  </si>
  <si>
    <t>Cooling tower</t>
  </si>
  <si>
    <t>Tour de refroidissement</t>
  </si>
  <si>
    <t>Torre de enfriamento</t>
  </si>
  <si>
    <t>KALZINATOR</t>
  </si>
  <si>
    <t>CALCINER</t>
  </si>
  <si>
    <t>CALCINATEUR</t>
  </si>
  <si>
    <t>CALCINADOR</t>
  </si>
  <si>
    <t>Kalzinator</t>
  </si>
  <si>
    <t>Calciner</t>
  </si>
  <si>
    <t>Calcinateur</t>
  </si>
  <si>
    <t>Calcinador</t>
  </si>
  <si>
    <t>Kalzinatorabgase</t>
  </si>
  <si>
    <t>Calciner exhaust gas</t>
  </si>
  <si>
    <t>Gas d'exhaure calcinateur</t>
  </si>
  <si>
    <t>Gas de salida calcinador</t>
  </si>
  <si>
    <t>Kalzinatortyp</t>
  </si>
  <si>
    <t>Calciner system</t>
  </si>
  <si>
    <t>Sistème calcinateur</t>
  </si>
  <si>
    <t>Sistema precalcinador</t>
  </si>
  <si>
    <t>oder Sekundärfeuerung</t>
  </si>
  <si>
    <t>or Secondary firing</t>
  </si>
  <si>
    <t>ou brûleur secondair</t>
  </si>
  <si>
    <t>o combustión secundaria</t>
  </si>
  <si>
    <t>KALZINATORABGASE</t>
  </si>
  <si>
    <t>CALCINER EXHAUST GASES</t>
  </si>
  <si>
    <t>GAZ D'EXHAUR DU CALCINATEUR</t>
  </si>
  <si>
    <t>GAS DE SALIDA DEL PRECALCINADOR</t>
  </si>
  <si>
    <t>keit</t>
  </si>
  <si>
    <t xml:space="preserve"> </t>
  </si>
  <si>
    <t>Differenz</t>
  </si>
  <si>
    <t>Difference</t>
  </si>
  <si>
    <t>Differencia</t>
  </si>
  <si>
    <t>Klinker</t>
  </si>
  <si>
    <t>KLINKER</t>
  </si>
  <si>
    <t>CLINKER</t>
  </si>
  <si>
    <t>Klinker aus dem Ofen</t>
  </si>
  <si>
    <t>Clinker from the kiln</t>
  </si>
  <si>
    <t>Clinker entrant du four</t>
  </si>
  <si>
    <t>Clinker salida horno</t>
  </si>
  <si>
    <t>Klinker Austritt</t>
  </si>
  <si>
    <t>Clinker exit</t>
  </si>
  <si>
    <t>Sortie clinker</t>
  </si>
  <si>
    <t>Salida clinker</t>
  </si>
  <si>
    <t>KLINKER EIGENSCHAFTEN</t>
  </si>
  <si>
    <t>CLINKER PROPERTIES</t>
  </si>
  <si>
    <t>PRODUCTION CLINKER</t>
  </si>
  <si>
    <t>PROPIEDADES DEL CLINKER</t>
  </si>
  <si>
    <t>Klinker Temperatur am Ofenauslauf</t>
  </si>
  <si>
    <t>Clinker temperature at kiln discharge</t>
  </si>
  <si>
    <t>Température du clinker a la sortie du four</t>
  </si>
  <si>
    <t>Temperatura del clinker a la salida del horno</t>
  </si>
  <si>
    <t>KLINKERANALYSE</t>
  </si>
  <si>
    <t>CLINKER ANALYSIS</t>
  </si>
  <si>
    <t>ANALYSE CLINKER</t>
  </si>
  <si>
    <t>ANALISIS CLINKER</t>
  </si>
  <si>
    <t>Klinkeraustrittstemperatur des Kühlers</t>
  </si>
  <si>
    <t>Clinker exit temperature at cooler discharge</t>
  </si>
  <si>
    <t>Température du clinker a la sortie du refroidisseur</t>
  </si>
  <si>
    <t>Temperatura del clinker a la salida del enfriador</t>
  </si>
  <si>
    <t>Klinkerbildungswärme</t>
  </si>
  <si>
    <t>Heat of formation</t>
  </si>
  <si>
    <t>Chaleur de formation</t>
  </si>
  <si>
    <t>Calor de formación</t>
  </si>
  <si>
    <t>KLINKERBILDUNGSWÄRME</t>
  </si>
  <si>
    <t>HEAT OF FORMATION</t>
  </si>
  <si>
    <t>CHALEUR DE FORMATION</t>
  </si>
  <si>
    <t>CALOR DE FORMACION</t>
  </si>
  <si>
    <t>Klinkerproduktionsmenge</t>
  </si>
  <si>
    <t>Clinker production rate</t>
  </si>
  <si>
    <t>Production de clinker</t>
  </si>
  <si>
    <t>Producción de clinker</t>
  </si>
  <si>
    <t>Klinkerstaubkreislauf am Ofenkopf</t>
  </si>
  <si>
    <t>Clinker dust recirculation at the kiln discharge</t>
  </si>
  <si>
    <t>Recirculación de polvo de clinker en la salida del horno</t>
  </si>
  <si>
    <t>Klinkertemperatur Eintritt Kühler</t>
  </si>
  <si>
    <t>Clinker temperatur at cooler inlet</t>
  </si>
  <si>
    <t>Température du clinker à l'entrée du refroidisseur</t>
  </si>
  <si>
    <t>Temperatura del clinker en la entrada del enfriador</t>
  </si>
  <si>
    <t>Konvektion</t>
  </si>
  <si>
    <t>Convection</t>
  </si>
  <si>
    <t>Convección</t>
  </si>
  <si>
    <t>Konventionel</t>
  </si>
  <si>
    <t>Conventional</t>
  </si>
  <si>
    <t>Conventionel</t>
  </si>
  <si>
    <t>KONVENTIONELLER</t>
  </si>
  <si>
    <t>CONVENTIONAL</t>
  </si>
  <si>
    <t>COMBUSTIBLE</t>
  </si>
  <si>
    <t>konventioneller Brennstoff</t>
  </si>
  <si>
    <t>Conventional fuel</t>
  </si>
  <si>
    <t>Combustible conventionel</t>
  </si>
  <si>
    <t>Combust. conventional</t>
  </si>
  <si>
    <t>Konzentrationen am Ofeneinlauf (Heissmehl)</t>
  </si>
  <si>
    <t>Concentrations at kiln inlet (hot meal)</t>
  </si>
  <si>
    <t>Concentrations a l'entrée du four (farine chaude)</t>
  </si>
  <si>
    <t>Concentraciones a la entrada del horno (harina caliente)</t>
  </si>
  <si>
    <t>Korrektur-</t>
  </si>
  <si>
    <t>Correction</t>
  </si>
  <si>
    <t>Facteur de</t>
  </si>
  <si>
    <t>Factor de</t>
  </si>
  <si>
    <t>Korrekturfaktor</t>
  </si>
  <si>
    <t>Correction factor</t>
  </si>
  <si>
    <t>Facteur de calibration</t>
  </si>
  <si>
    <t>Factor de calibración</t>
  </si>
  <si>
    <t>Kühlertyp</t>
  </si>
  <si>
    <t>Cooler type</t>
  </si>
  <si>
    <t>Systeme du refroidisseur</t>
  </si>
  <si>
    <t>Tipo de enfriador</t>
  </si>
  <si>
    <t>L</t>
  </si>
  <si>
    <t>Länge des Ofens</t>
  </si>
  <si>
    <t>Kiln length</t>
  </si>
  <si>
    <t>Longeur du four</t>
  </si>
  <si>
    <t>Longitud del horno</t>
  </si>
  <si>
    <t>leer lassen</t>
  </si>
  <si>
    <t>leave empty</t>
  </si>
  <si>
    <t>no llenar</t>
  </si>
  <si>
    <t>Lieferant / Typ</t>
  </si>
  <si>
    <t>Supplier / Type</t>
  </si>
  <si>
    <t>Fournisseur / Type</t>
  </si>
  <si>
    <t>Proveedor / Tipo</t>
  </si>
  <si>
    <t>luft am Ofeneinlauf</t>
  </si>
  <si>
    <t>à l'entrée du four</t>
  </si>
  <si>
    <t>Luft-</t>
  </si>
  <si>
    <t>Air</t>
  </si>
  <si>
    <t>Tempéra-</t>
  </si>
  <si>
    <t xml:space="preserve">kJ/kg cli </t>
  </si>
  <si>
    <t>Input</t>
  </si>
  <si>
    <t>Output</t>
  </si>
  <si>
    <t>Kiln dust</t>
  </si>
  <si>
    <t>Bypass</t>
  </si>
  <si>
    <t>Emission</t>
  </si>
  <si>
    <t>% Error</t>
  </si>
  <si>
    <t>A/S-ratio:</t>
  </si>
  <si>
    <t>O2 at stack</t>
  </si>
  <si>
    <t>SO2 at stack</t>
  </si>
  <si>
    <t>)</t>
  </si>
  <si>
    <t>Tempera-</t>
  </si>
  <si>
    <t>LUFTBILANZ DES ROSTKÜHLERS</t>
  </si>
  <si>
    <t>AIR BALANCE GRATE COOLER</t>
  </si>
  <si>
    <t>BILAN AEROLIQUE REFROIDISSEUR</t>
  </si>
  <si>
    <t>Luftdichte</t>
  </si>
  <si>
    <t>Air density</t>
  </si>
  <si>
    <t>Densité de l'air</t>
  </si>
  <si>
    <t>Densidad del aire</t>
  </si>
  <si>
    <t>M</t>
  </si>
  <si>
    <t>MASSENBILANZ DES OFENSYSTEMS</t>
  </si>
  <si>
    <t>MASS BALANCE OF KILN SYSTEM</t>
  </si>
  <si>
    <t>BILAN DES MATIERES DU SISTEME DE FOUR</t>
  </si>
  <si>
    <t>BALANCE DE MATERIAL SISTEMA DE HORNO</t>
  </si>
  <si>
    <t>Massen-</t>
  </si>
  <si>
    <t>Mass-</t>
  </si>
  <si>
    <t>Flujo de</t>
  </si>
  <si>
    <t>Massenstrom</t>
  </si>
  <si>
    <t>Massflow</t>
  </si>
  <si>
    <t>maximale Ofendrehzahl</t>
  </si>
  <si>
    <t>Maximum kiln speed</t>
  </si>
  <si>
    <t>Vitesse maximum du four</t>
  </si>
  <si>
    <t>Velocidad maxima del horno</t>
  </si>
  <si>
    <t>Menge</t>
  </si>
  <si>
    <t>Flujo</t>
  </si>
  <si>
    <t>Minimalluft für Hauptfeuerung</t>
  </si>
  <si>
    <t>Minimum air for main firing</t>
  </si>
  <si>
    <t>Aire mínimo para combustión principal</t>
  </si>
  <si>
    <t>Minimalluft für Kalzinatorfeuerung</t>
  </si>
  <si>
    <t>Minimum air for calciner firing</t>
  </si>
  <si>
    <t>Aire mínimo para combustión en precalcinador</t>
  </si>
  <si>
    <t>Mittelluft</t>
  </si>
  <si>
    <t>Middle air</t>
  </si>
  <si>
    <t>Air d'exhaure médian</t>
  </si>
  <si>
    <t>Aire mediana</t>
  </si>
  <si>
    <t>Mittelluftvolumenstrom aus Prandtlmessung</t>
  </si>
  <si>
    <t>Middle air flowrate from prandtl measurement</t>
  </si>
  <si>
    <t>Débit de l'air d'exhaure resultant d'une mesure de prandtl</t>
  </si>
  <si>
    <t>Flujo de aire mediano calculado con una medición de Prandtl</t>
  </si>
  <si>
    <t>Mittlerer Wärmeaustrag</t>
  </si>
  <si>
    <t>Average heat output</t>
  </si>
  <si>
    <t>Moyenne sortie chaleur</t>
  </si>
  <si>
    <t>Promedio salida calor</t>
  </si>
  <si>
    <t>N</t>
  </si>
  <si>
    <t>Na2O Aufgabe</t>
  </si>
  <si>
    <t>Na2O kiln feed</t>
  </si>
  <si>
    <t>Na2O alimentation</t>
  </si>
  <si>
    <t>Na2O alimentación</t>
  </si>
  <si>
    <t>Na2O Klinker</t>
  </si>
  <si>
    <t>Na2O clinker</t>
  </si>
  <si>
    <t>Na2O Ofenstaub</t>
  </si>
  <si>
    <t>Na2O kiln dust</t>
  </si>
  <si>
    <t>Na2O poussière du four</t>
  </si>
  <si>
    <t>Na2O polvo del horno</t>
  </si>
  <si>
    <t>(nicht ausfüllen)</t>
  </si>
  <si>
    <t>(do not fill in)</t>
  </si>
  <si>
    <t>(no llenar)</t>
  </si>
  <si>
    <t>NOx Gehalt</t>
  </si>
  <si>
    <t>NOx content</t>
  </si>
  <si>
    <t>Teneur en NOx</t>
  </si>
  <si>
    <t>Contenido de NOx</t>
  </si>
  <si>
    <t>O</t>
  </si>
  <si>
    <t>O2 Gehalt</t>
  </si>
  <si>
    <t>O2 content</t>
  </si>
  <si>
    <t>Teneur en O2</t>
  </si>
  <si>
    <t>Contenido de O2</t>
  </si>
  <si>
    <t>O2 Ofeneinlauf</t>
  </si>
  <si>
    <t>O2 kiln inlet</t>
  </si>
  <si>
    <t>O2 entrée du four</t>
  </si>
  <si>
    <t>O2 entrada del horno</t>
  </si>
  <si>
    <t>O2 nach Kalzinator</t>
  </si>
  <si>
    <t>O2 after calciner</t>
  </si>
  <si>
    <t>O2 sortie calcinateur</t>
  </si>
  <si>
    <t>O2 después precacinador</t>
  </si>
  <si>
    <t>ODER ZWEITFEUERUNG</t>
  </si>
  <si>
    <t>OR SECONDARY FIRING</t>
  </si>
  <si>
    <t>O COMBUSTION SECUNDARIA</t>
  </si>
  <si>
    <t>oberer Grenzwert</t>
  </si>
  <si>
    <t>Upper boundary</t>
  </si>
  <si>
    <t>Valeur supérieur</t>
  </si>
  <si>
    <t>Límite alta</t>
  </si>
  <si>
    <t>Ofenmantel</t>
  </si>
  <si>
    <t>Kiln shell</t>
  </si>
  <si>
    <t>Virole du four</t>
  </si>
  <si>
    <t>Coraza del horno</t>
  </si>
  <si>
    <t>Ofen Nr.</t>
  </si>
  <si>
    <t>Kiln No.</t>
  </si>
  <si>
    <t>Four No.</t>
  </si>
  <si>
    <t>Horno No.</t>
  </si>
  <si>
    <t>Ofenabgas Volumenstrom (trocken)</t>
  </si>
  <si>
    <t>Kiln exhaust gas flowrate (dry)</t>
  </si>
  <si>
    <t>Débit gas d'exhaure (sec)</t>
  </si>
  <si>
    <t>Flujo de gas salida torre de precalentador (seco)</t>
  </si>
  <si>
    <t xml:space="preserve">Q Sek out - Q sec in  + Q Staub out - Q dust in </t>
  </si>
  <si>
    <t xml:space="preserve">Q Sec out - Q sec in  + Q Staub out - Q dust in </t>
  </si>
  <si>
    <t xml:space="preserve">Q Sec out - Q sec in  + Q poussières out  - Q poussières in </t>
  </si>
  <si>
    <t xml:space="preserve">Q Sec,Tert out - Q Sec,Ter in + Q poussières out  - Q poussières in </t>
  </si>
  <si>
    <t xml:space="preserve">Q Sek,Tert out - Q Sek,Ter in + Q Staub out - Q dust in </t>
  </si>
  <si>
    <t xml:space="preserve">Q Sec,Tert out - Q Sec,Ter in + Q Staub out - Q dust in </t>
  </si>
  <si>
    <t xml:space="preserve">Q Sek out - Q sec in  + Q polvo out - Q polvo in </t>
  </si>
  <si>
    <t xml:space="preserve">Q Sek,Tert out - Q Sek,Ter in + Q polvo outt - Q polvo in </t>
  </si>
  <si>
    <t>FLUJO DE GAS SALIDA TORRE DE PRECALENTADOR</t>
  </si>
  <si>
    <t>Ofenabgase</t>
  </si>
  <si>
    <t>Kiln exhaust gas</t>
  </si>
  <si>
    <t>Gaz d'exhaure du four</t>
  </si>
  <si>
    <t>Gases salida precal.</t>
  </si>
  <si>
    <t>Ofenaufgabe</t>
  </si>
  <si>
    <t>Alimentación</t>
  </si>
  <si>
    <t>OFENAUFGABE</t>
  </si>
  <si>
    <t>KILN FEED</t>
  </si>
  <si>
    <t>ALIMENTATION AU FOUR</t>
  </si>
  <si>
    <t>OFENDATEN</t>
  </si>
  <si>
    <t>KILN DATA</t>
  </si>
  <si>
    <t>FOUR</t>
  </si>
  <si>
    <t>DATOS DEL HORNO</t>
  </si>
  <si>
    <t>Ofendrehzahl Normalbetrieb</t>
  </si>
  <si>
    <t>Kiln speed at normal operation</t>
  </si>
  <si>
    <t>Vitesse du four opération normal</t>
  </si>
  <si>
    <t>Velocidad horno en operación normal</t>
  </si>
  <si>
    <t>ZWEITFEUERUNG</t>
  </si>
  <si>
    <t>SECONDARY FIRING</t>
  </si>
  <si>
    <t>BRULEUR SECONDAIRE</t>
  </si>
  <si>
    <t>COMBUSTION SECUNDARIA</t>
  </si>
  <si>
    <t>Coraza</t>
  </si>
  <si>
    <t>Ofenmanteloberfläche</t>
  </si>
  <si>
    <t>Kiln shell surface</t>
  </si>
  <si>
    <t>Surface de la virole</t>
  </si>
  <si>
    <t>Superficie de la coraza</t>
  </si>
  <si>
    <t>Ofenneigung</t>
  </si>
  <si>
    <t>Kiln slope</t>
  </si>
  <si>
    <t>Inclination du four</t>
  </si>
  <si>
    <t>Inclinación del horno</t>
  </si>
  <si>
    <t>ohne Wassereinspritzung</t>
  </si>
  <si>
    <t>without water injection</t>
  </si>
  <si>
    <t>sans injection d'eau</t>
  </si>
  <si>
    <t>sin inyección de agua</t>
  </si>
  <si>
    <t>Org. Kohlenstoffanteil</t>
  </si>
  <si>
    <t>Organic carbon content</t>
  </si>
  <si>
    <t>C organique dans</t>
  </si>
  <si>
    <t>Contenido de carbón</t>
  </si>
  <si>
    <t>Organischer C-Anteil im Rohmehl</t>
  </si>
  <si>
    <t>Organic carbon weight fraction in kiln feed</t>
  </si>
  <si>
    <t>Fraction C-organique dans l'alimentation du four</t>
  </si>
  <si>
    <t>Fracción C organica en la alimentación del horno</t>
  </si>
  <si>
    <t>P</t>
  </si>
  <si>
    <t>Position</t>
  </si>
  <si>
    <t>Posición</t>
  </si>
  <si>
    <t>PRIMÄRLUFT</t>
  </si>
  <si>
    <t>PRIMARY AIR</t>
  </si>
  <si>
    <t>AIR PRIMAIRE</t>
  </si>
  <si>
    <t>AIRE PRIMARIO</t>
  </si>
  <si>
    <t>Primärluft</t>
  </si>
  <si>
    <t>Primary air</t>
  </si>
  <si>
    <t>Air primaire</t>
  </si>
  <si>
    <t>Aire primario</t>
  </si>
  <si>
    <t>PRIMÄRLUFT HAUPTBRENNER</t>
  </si>
  <si>
    <t>PRIMARY AIR MAIN BURNER</t>
  </si>
  <si>
    <t>AIR PRIMAIRE BRÛLEUR PRINCIPAL</t>
  </si>
  <si>
    <t>AIRE PRIMARIO QUEMADOR PRINCIPAL</t>
  </si>
  <si>
    <t>Primärluft Hauptbrenner</t>
  </si>
  <si>
    <t>Primary air main burner</t>
  </si>
  <si>
    <t>Air primaire brûleur principal</t>
  </si>
  <si>
    <t>Air primaire brûleur princ.</t>
  </si>
  <si>
    <t>Aire primario quem.princ.</t>
  </si>
  <si>
    <t>Primärluft Kalzinator</t>
  </si>
  <si>
    <t>Primary air calciner</t>
  </si>
  <si>
    <t>Aire primario calciner</t>
  </si>
  <si>
    <t>Prozent von Ofenaufgabe in Kalzinatorstrang</t>
  </si>
  <si>
    <t>Percent of kiln feed into calciner string</t>
  </si>
  <si>
    <t>Percent of kiln feed in to calciner string</t>
  </si>
  <si>
    <t>Porcentaje de alimentación en la linea precalcinador</t>
  </si>
  <si>
    <t>PRIMÄRLUFT KALZINATOR ODER SEKUNDÄRFEUERUNG</t>
  </si>
  <si>
    <t>PRIMARY AIR CALCINER OR SECONDARY FIRING</t>
  </si>
  <si>
    <t>AIR PRIMAIRE CALCINATEUR OU BRULEUR SECONDAIR</t>
  </si>
  <si>
    <t>AIRE PRIMARIO CALCINADOR O COMBUSTION SECUNDARIA</t>
  </si>
  <si>
    <t>Primärluftmenge (Resultat aus</t>
  </si>
  <si>
    <t xml:space="preserve">Primary air flowrate (result from </t>
  </si>
  <si>
    <t>Débit de l'air primaire (resultat du bilan</t>
  </si>
  <si>
    <t>Flujo de aire primario (resultado del balance</t>
  </si>
  <si>
    <t>Produktion</t>
  </si>
  <si>
    <t>Production</t>
  </si>
  <si>
    <t>Producción</t>
  </si>
  <si>
    <t>Produktionsleistung</t>
  </si>
  <si>
    <t>Production rate</t>
  </si>
  <si>
    <t>Débit de production</t>
  </si>
  <si>
    <t>Pyritgehalt als S</t>
  </si>
  <si>
    <t>Pyrite content as S</t>
  </si>
  <si>
    <t>Contenu de pyrite comme S</t>
  </si>
  <si>
    <t>Contenido de pirita como S</t>
  </si>
  <si>
    <t>Pyritgehalt im Rohmehl</t>
  </si>
  <si>
    <t>Pyrite content in the kiln feed</t>
  </si>
  <si>
    <t>Contenu de pyrite dans la farine</t>
  </si>
  <si>
    <t>Contenido de pirita en la alimentación</t>
  </si>
  <si>
    <t>Q</t>
  </si>
  <si>
    <t>Quenchluft</t>
  </si>
  <si>
    <t>Quenching air</t>
  </si>
  <si>
    <t>Aire para "quenching"</t>
  </si>
  <si>
    <t>querschnitt</t>
  </si>
  <si>
    <t>area</t>
  </si>
  <si>
    <t>d'entré</t>
  </si>
  <si>
    <t>R</t>
  </si>
  <si>
    <t>Radialluft</t>
  </si>
  <si>
    <t>Swirl air</t>
  </si>
  <si>
    <t>Air radial</t>
  </si>
  <si>
    <t>Aire radial</t>
  </si>
  <si>
    <t>Referenztemperatur</t>
  </si>
  <si>
    <t>Reference temperature</t>
  </si>
  <si>
    <t>Température référence</t>
  </si>
  <si>
    <t>Temperatura referencia</t>
  </si>
  <si>
    <t>Rest</t>
  </si>
  <si>
    <t>Error</t>
  </si>
  <si>
    <t>Reste</t>
  </si>
  <si>
    <t>Resto</t>
  </si>
  <si>
    <t>Relative Luftfeuchtigkeit</t>
  </si>
  <si>
    <t>Relative humidity</t>
  </si>
  <si>
    <t>Humidité relative</t>
  </si>
  <si>
    <t>Humedad relativa</t>
  </si>
  <si>
    <t>Rohmehl - Klinker Faktor</t>
  </si>
  <si>
    <t>Kiln feed - Clinker factor</t>
  </si>
  <si>
    <t>Facteur alimentation - clinker</t>
  </si>
  <si>
    <t>Factor alimentación - clinker</t>
  </si>
  <si>
    <t>ROSTKÜHLER LUFTBILANZ</t>
  </si>
  <si>
    <t>GRATE COOLER AIR BALANCE</t>
  </si>
  <si>
    <t>BILAN AEROLIQUE REFROIDISSEUR Ä GRILLES</t>
  </si>
  <si>
    <t>BALANCE DE AIRE ENFRIADOR</t>
  </si>
  <si>
    <t>SEKUNDÄRLUFT</t>
  </si>
  <si>
    <t>SECONDARY AIR</t>
  </si>
  <si>
    <t>AIR SECONDAIRE</t>
  </si>
  <si>
    <t>AIRE SECUNDARIO</t>
  </si>
  <si>
    <t>SEKUNDÄRLUFT UND WASSERDAMPF</t>
  </si>
  <si>
    <t>SECONDARY AIR AND WATER VAPOR</t>
  </si>
  <si>
    <t>AIR SECONDAIRE ET VAPEUR D'EAU</t>
  </si>
  <si>
    <t>AIRE SECUNDARIO Y VAPOR DE AGUA</t>
  </si>
  <si>
    <t>SO3 Aufgabe</t>
  </si>
  <si>
    <t>SO3 kiln feed</t>
  </si>
  <si>
    <t>SO3 alimentation</t>
  </si>
  <si>
    <t>SO3 alimentación</t>
  </si>
  <si>
    <t>SO3 Klinker</t>
  </si>
  <si>
    <t>SO3 clinker</t>
  </si>
  <si>
    <t>SO3 Ofenstaub</t>
  </si>
  <si>
    <t>SO3 kiln dust</t>
  </si>
  <si>
    <t>SO3 poussière du four</t>
  </si>
  <si>
    <t>SO3 polvo del horno</t>
  </si>
  <si>
    <t>SCH</t>
  </si>
  <si>
    <t>SCHWEFEL-ALKALI REAKTIONEN</t>
  </si>
  <si>
    <t>SULFUR-ALCALI REACTIONS</t>
  </si>
  <si>
    <t>REACTIONS SOUFRE-ALCALI</t>
  </si>
  <si>
    <t>REACCIONES DEL AZUFRE CON LOS ALCALIS</t>
  </si>
  <si>
    <t>Schwefel-Alkali Reaktionen</t>
  </si>
  <si>
    <t>Sulfur-Alcali Reactions</t>
  </si>
  <si>
    <t>Réaction souffre-alcali</t>
  </si>
  <si>
    <t>Reacciónes del azufre con los álcalis</t>
  </si>
  <si>
    <t>Schwefelgehalt (S)</t>
  </si>
  <si>
    <t>Sulfur content (S)</t>
  </si>
  <si>
    <t>Teneur en soufre (S)</t>
  </si>
  <si>
    <t>Contenido de azufre (S)</t>
  </si>
  <si>
    <t>Sekundärfeuerung</t>
  </si>
  <si>
    <t>Secondary firing</t>
  </si>
  <si>
    <t>Brûleur secondair</t>
  </si>
  <si>
    <t>Quemador secundario</t>
  </si>
  <si>
    <t>Sekundärluft inkl. Staub</t>
  </si>
  <si>
    <t>Secondary air incl. dust</t>
  </si>
  <si>
    <t>Air secondaire, poussière incl.</t>
  </si>
  <si>
    <t>Aire secundario, polvo</t>
  </si>
  <si>
    <t>und Wasserdampf</t>
  </si>
  <si>
    <t>and water vapor</t>
  </si>
  <si>
    <t>et vapeur d'eau</t>
  </si>
  <si>
    <t>y vapor de agua</t>
  </si>
  <si>
    <t>Sekundärluft</t>
  </si>
  <si>
    <t>Secondary air</t>
  </si>
  <si>
    <t>Air secondaire</t>
  </si>
  <si>
    <t>Aire secundario</t>
  </si>
  <si>
    <t>Sekundärlufttemperatur</t>
  </si>
  <si>
    <t>Secondary air temperature</t>
  </si>
  <si>
    <t>Température de l'air secondair</t>
  </si>
  <si>
    <t>Temperatura del aire secundario</t>
  </si>
  <si>
    <t>SP</t>
  </si>
  <si>
    <t>Spez. Kühlluftmenge</t>
  </si>
  <si>
    <t>Spec. cooling air</t>
  </si>
  <si>
    <t>Débit specific de l'air</t>
  </si>
  <si>
    <t>SPEZIFIKATIONEN</t>
  </si>
  <si>
    <t>SPECIFICATION</t>
  </si>
  <si>
    <t>SPECIFICACIÓN</t>
  </si>
  <si>
    <t>Spezifische Wärme</t>
  </si>
  <si>
    <t>Specific heat</t>
  </si>
  <si>
    <t>Chaleur specifique</t>
  </si>
  <si>
    <t>Calor específico</t>
  </si>
  <si>
    <t>Spezifischer Wärme-</t>
  </si>
  <si>
    <t>Specific heat cons-</t>
  </si>
  <si>
    <t>Consommation specifique</t>
  </si>
  <si>
    <t xml:space="preserve">Consumo específico de </t>
  </si>
  <si>
    <t>Spezifische Wärmekapazität</t>
  </si>
  <si>
    <t>Specific heat capacity</t>
  </si>
  <si>
    <t>Capacité de chaleur specifique</t>
  </si>
  <si>
    <t>Capacidad específica de calor</t>
  </si>
  <si>
    <t>spezifischer Staubverlust Wärmetauscher</t>
  </si>
  <si>
    <t>Specific dust loss top stage cyclone(s)</t>
  </si>
  <si>
    <t>Perte de poussière étape supérieure</t>
  </si>
  <si>
    <t>Pérdida de polvo etapa superior</t>
  </si>
  <si>
    <t>ST</t>
  </si>
  <si>
    <t>Stöchiometrische Verbrennungsluftmenge im Ofen</t>
  </si>
  <si>
    <t>Minimum combustion air for complete in kiln</t>
  </si>
  <si>
    <t>Air stöchiometrique au four</t>
  </si>
  <si>
    <t>Aire estequiométrico para el horno</t>
  </si>
  <si>
    <t>Standart Kapazität</t>
  </si>
  <si>
    <t>Nominal capacity</t>
  </si>
  <si>
    <t>Capacité nominal</t>
  </si>
  <si>
    <t>Capacidad nominal</t>
  </si>
  <si>
    <t>Standartwert</t>
  </si>
  <si>
    <t>Standard value</t>
  </si>
  <si>
    <t>Valeur standard</t>
  </si>
  <si>
    <t>Valor estandar</t>
  </si>
  <si>
    <t>Staub</t>
  </si>
  <si>
    <t>dust</t>
  </si>
  <si>
    <t>poussière</t>
  </si>
  <si>
    <t>polvo</t>
  </si>
  <si>
    <t>Staubverlust</t>
  </si>
  <si>
    <t>Dust loss</t>
  </si>
  <si>
    <t>Perte de poussière</t>
  </si>
  <si>
    <t>Pérdida de polvo</t>
  </si>
  <si>
    <t>Staubverlust des Wärmetauschers</t>
  </si>
  <si>
    <t>Dust in exhaust gases</t>
  </si>
  <si>
    <t>Perte de poussière à l'étape superieur</t>
  </si>
  <si>
    <t>Pérdida de polvo del precalentador</t>
  </si>
  <si>
    <t>stat. Druck</t>
  </si>
  <si>
    <t>stat. pressure</t>
  </si>
  <si>
    <t>pression stat.</t>
  </si>
  <si>
    <t>presión estática</t>
  </si>
  <si>
    <t>STAUBVERLUST IM DIREKTBETRIEB</t>
  </si>
  <si>
    <t>DUST LOSS  IN DIRECT OPERATION</t>
  </si>
  <si>
    <t>PERTE DE POUSSIERE EN MARCHE DIRECTE</t>
  </si>
  <si>
    <t>PERDIDA DE POLVO DEL PRECALENTADOR</t>
  </si>
  <si>
    <t>zu COP</t>
  </si>
  <si>
    <t>to COP</t>
  </si>
  <si>
    <t>avec COP</t>
  </si>
  <si>
    <t>con COP</t>
  </si>
  <si>
    <t>STRAHLUNGSVERLUSTE</t>
  </si>
  <si>
    <t>RADIATION LOSSES</t>
  </si>
  <si>
    <t>Water injection into preheater tower</t>
  </si>
  <si>
    <t>Heat comsumption for water evaporation</t>
  </si>
  <si>
    <t>Injection d'eau dans le prechauffeur</t>
  </si>
  <si>
    <t>Comsommation d'energie por l'evaporationde l'eau</t>
  </si>
  <si>
    <t>Inyección de agua al precalentador</t>
  </si>
  <si>
    <t>Consumo de energia por la evaporation del agua</t>
  </si>
  <si>
    <t>PERTE DE RADIATION</t>
  </si>
  <si>
    <t>PERDIDA DE RADIACIÓN</t>
  </si>
  <si>
    <t>Strahlungs- und Konvektionsverluste</t>
  </si>
  <si>
    <t>Radiation and Convection losses</t>
  </si>
  <si>
    <t>Perte de radiation et convection</t>
  </si>
  <si>
    <t>Pérdida de radiación y convección</t>
  </si>
  <si>
    <t>strom</t>
  </si>
  <si>
    <t>aire</t>
  </si>
  <si>
    <t>Strahlungs &amp;</t>
  </si>
  <si>
    <t>Recuperation efficiency</t>
  </si>
  <si>
    <t>Anthracite (0% volatiles)</t>
  </si>
  <si>
    <t>Bituminous coal (20% volatiles)</t>
  </si>
  <si>
    <t>Lignite (40% volatiles)</t>
  </si>
  <si>
    <t>0.95 @ 50°C</t>
  </si>
  <si>
    <t>1.1 @ 50°C</t>
  </si>
  <si>
    <t>1.25 @ 50°C</t>
  </si>
  <si>
    <t>1.9 @ 25°C</t>
  </si>
  <si>
    <t>2.1 @ 100°C</t>
  </si>
  <si>
    <t>Radiation &amp;</t>
  </si>
  <si>
    <t>Radiación &amp;</t>
  </si>
  <si>
    <t>Strahlungsverluste</t>
  </si>
  <si>
    <t>Radiation losses</t>
  </si>
  <si>
    <t>Radiation</t>
  </si>
  <si>
    <t>Radiación</t>
  </si>
  <si>
    <t>SUMME DER AUSTRÄGE</t>
  </si>
  <si>
    <t>TOTAL OF OUTPUTS</t>
  </si>
  <si>
    <t>TOTALS DES SORTIES</t>
  </si>
  <si>
    <t>SALIDAS TOTAL</t>
  </si>
  <si>
    <t>SUMME DER EINTRÄGE</t>
  </si>
  <si>
    <t>TOTAL OF INPUTS</t>
  </si>
  <si>
    <t>TOTALS DES ENTREES</t>
  </si>
  <si>
    <t>ENTRADAS TOTAL</t>
  </si>
  <si>
    <t>tato</t>
  </si>
  <si>
    <t>t/d</t>
  </si>
  <si>
    <t>t/j</t>
  </si>
  <si>
    <t>Temp. am Brenner</t>
  </si>
  <si>
    <t>Temp. at burner</t>
  </si>
  <si>
    <t>Temp. au brûleur</t>
  </si>
  <si>
    <t>Temp. al quemador</t>
  </si>
  <si>
    <t>Combust. air sec. firing</t>
  </si>
  <si>
    <t>Fuelrate seondary firing</t>
  </si>
  <si>
    <t>70% - 75%</t>
  </si>
  <si>
    <t>50% - 70%</t>
  </si>
  <si>
    <t>modern cooler design</t>
  </si>
  <si>
    <t>traditional cooler design</t>
  </si>
  <si>
    <t>Temperatur</t>
  </si>
  <si>
    <t>Temperature</t>
  </si>
  <si>
    <t>Température</t>
  </si>
  <si>
    <t>Temperatura</t>
  </si>
  <si>
    <t>temperatur</t>
  </si>
  <si>
    <t>temp.</t>
  </si>
  <si>
    <t>ture de l'air</t>
  </si>
  <si>
    <t>tura aire</t>
  </si>
  <si>
    <t>Temperatur am Kühleraustritt (oder Bilanzgrenze)</t>
  </si>
  <si>
    <t>Temperature at cooler takeout (or balance boundary)</t>
  </si>
  <si>
    <t>Température a la sortie du refroidisseur (ou limite du bilan)</t>
  </si>
  <si>
    <t>Temperatura a la salida del enfriador (o limite del balance)</t>
  </si>
  <si>
    <t>Temperatur an der Gasentnahmestelle</t>
  </si>
  <si>
    <t>Temperature at gas extraction point</t>
  </si>
  <si>
    <t>Temperatura en el lugar de extracción de gas</t>
  </si>
  <si>
    <t>Temperatur an der Prandtlmessstelle</t>
  </si>
  <si>
    <t>Temperature at the Prandtl measuring point</t>
  </si>
  <si>
    <t>Température au point de mesure Prandtl</t>
  </si>
  <si>
    <t>Temperatura al punto de medición Prandtl</t>
  </si>
  <si>
    <t>Temperatur in der Leitung</t>
  </si>
  <si>
    <t>Temperature in the duct</t>
  </si>
  <si>
    <t>Température dans la conduite</t>
  </si>
  <si>
    <t>Temperatura en ducto</t>
  </si>
  <si>
    <t>Temperatur nach der Quenchkammer</t>
  </si>
  <si>
    <t>Temperature after the quenching chamber</t>
  </si>
  <si>
    <t>Temperatura después de cámara de enfriamiento repentino</t>
  </si>
  <si>
    <t>TERTIÄRLUFT</t>
  </si>
  <si>
    <t>TERTIARY AIR</t>
  </si>
  <si>
    <t>AIR TERTIAIRE</t>
  </si>
  <si>
    <t>AIRE TERCIARIO</t>
  </si>
  <si>
    <t>Tertiärluftleitung</t>
  </si>
  <si>
    <t>Tertiary air duct</t>
  </si>
  <si>
    <t>Conduite de l'air tertiaire</t>
  </si>
  <si>
    <t>Ducto aire terciario</t>
  </si>
  <si>
    <t>Tertiärlufttemperatur</t>
  </si>
  <si>
    <t>Tertiary air temperature</t>
  </si>
  <si>
    <t>Température de l'air tertiaire</t>
  </si>
  <si>
    <t>Temperatura del aire terciario</t>
  </si>
  <si>
    <t>UMGEBUNGSBEDINGUNGEN UND TESTDAUER</t>
  </si>
  <si>
    <t>AMBIENT CONDITIONS AND TEST DURATION</t>
  </si>
  <si>
    <t>CONDITION D'ENVIRONNEMENT ET DUREE DE MESURE</t>
  </si>
  <si>
    <t>CONDICIONES AMBIENTALES Y DURACION DE LA PRUEBA</t>
  </si>
  <si>
    <t>Transportluft</t>
  </si>
  <si>
    <t>Transport air</t>
  </si>
  <si>
    <t>Air de transport</t>
  </si>
  <si>
    <t>Aire transportadora</t>
  </si>
  <si>
    <t>trocken</t>
  </si>
  <si>
    <t>dry</t>
  </si>
  <si>
    <t>sec</t>
  </si>
  <si>
    <t>seca</t>
  </si>
  <si>
    <t xml:space="preserve">trockenes Abgas von Verbrennung und Rohmaterial </t>
  </si>
  <si>
    <t>dry exhaust gas from combustion and raw meal</t>
  </si>
  <si>
    <t>gaz d'exhaure sec de la combustion et la farine</t>
  </si>
  <si>
    <t>Gas de escape seco de la combustión y del crudo</t>
  </si>
  <si>
    <t>U</t>
  </si>
  <si>
    <t>U/min</t>
  </si>
  <si>
    <t>rpm</t>
  </si>
  <si>
    <t>tpm</t>
  </si>
  <si>
    <t xml:space="preserve">In case of secondary firing please check where the fuel is burning. In case of whole tires (burning in the kiln) the </t>
  </si>
  <si>
    <t>Überschussluft Ofeneinlauf</t>
  </si>
  <si>
    <t>Excess air kiln inlet</t>
  </si>
  <si>
    <t>Aire exceso entrada horno</t>
  </si>
  <si>
    <t>Überschussluft nach Kalzinator</t>
  </si>
  <si>
    <t>Excess air after calciner</t>
  </si>
  <si>
    <t>Aire exceso después precalcinador</t>
  </si>
  <si>
    <t>Umgebungsdruck (berechnet)</t>
  </si>
  <si>
    <t>Ambient pressure (calculated)</t>
  </si>
  <si>
    <t>Presion d'environnement (calculée)</t>
  </si>
  <si>
    <t>Presión ambiente (calculado)</t>
  </si>
  <si>
    <t>Umgebungsdruck (effektiv)</t>
  </si>
  <si>
    <t>Ambient pressure (actual)</t>
  </si>
  <si>
    <t>Presion d'environ (actuelle)</t>
  </si>
  <si>
    <t>Presión ambiente (actual)</t>
  </si>
  <si>
    <t>Umgebungstemperatur</t>
  </si>
  <si>
    <t>Ambient temperature</t>
  </si>
  <si>
    <t>Température d'environ</t>
  </si>
  <si>
    <t>Temperatura ambiente</t>
  </si>
  <si>
    <t>This program shall serve to perform heat and mass balances for any type of standard kiln systems,</t>
  </si>
  <si>
    <t>Umgebungstemperatur Prandtlmessung</t>
  </si>
  <si>
    <t>Ambient temperature Prandtl measurement</t>
  </si>
  <si>
    <t>Température d'environ point de mesure Prandtl</t>
  </si>
  <si>
    <t>Temperatura ambiente punto de medición Prandtl</t>
  </si>
  <si>
    <t>unterer Grenzwert</t>
  </si>
  <si>
    <t>Lower boundary</t>
  </si>
  <si>
    <t>Límite baja</t>
  </si>
  <si>
    <t>unterer Heizwert Hu</t>
  </si>
  <si>
    <t>Low heat value LHV</t>
  </si>
  <si>
    <t>Pouvoir calorifique inférieur</t>
  </si>
  <si>
    <t>Poder calorífico inferior</t>
  </si>
  <si>
    <t>unterer Heizwert Hu für CO</t>
  </si>
  <si>
    <t>Low heat value for CO</t>
  </si>
  <si>
    <t>Pouvoir calorifique inférieur de CO</t>
  </si>
  <si>
    <t>Poder calorífico inferior de CO</t>
  </si>
  <si>
    <t>V</t>
  </si>
  <si>
    <t>Ventilator</t>
  </si>
  <si>
    <t>Fan</t>
  </si>
  <si>
    <t>Ventilateur</t>
  </si>
  <si>
    <t>Ventilador</t>
  </si>
  <si>
    <t>Verantwortlicher</t>
  </si>
  <si>
    <t>Person in charge</t>
  </si>
  <si>
    <t>Responsable</t>
  </si>
  <si>
    <t>El encargado</t>
  </si>
  <si>
    <t>verbrauch</t>
  </si>
  <si>
    <t>sumption</t>
  </si>
  <si>
    <t>de l'energie térmique</t>
  </si>
  <si>
    <t>energía térmico</t>
  </si>
  <si>
    <t>Verbrennung</t>
  </si>
  <si>
    <t>combustion</t>
  </si>
  <si>
    <t>Primary air flow rate</t>
  </si>
  <si>
    <t>combustión</t>
  </si>
  <si>
    <t>Verbrennungsgas (feucht)</t>
  </si>
  <si>
    <t>Combustion gas (wet)</t>
  </si>
  <si>
    <t>Gaz de combustion (wet)</t>
  </si>
  <si>
    <t>Gas de combustión (húmedo)</t>
  </si>
  <si>
    <t>Verbrennungsluft</t>
  </si>
  <si>
    <t>Combustion air</t>
  </si>
  <si>
    <t>Air de combustion</t>
  </si>
  <si>
    <t>Aire de combustión</t>
  </si>
  <si>
    <t>Verbrenn.luft Ofen</t>
  </si>
  <si>
    <t>Combust. air kiln</t>
  </si>
  <si>
    <t>Air de comb. four</t>
  </si>
  <si>
    <t>Aire de comb. horno</t>
  </si>
  <si>
    <t>Verbrenn.luft Kalzinator</t>
  </si>
  <si>
    <t>Combust. air calciner</t>
  </si>
  <si>
    <t>Air de comb. cacinateur</t>
  </si>
  <si>
    <t>Aire de comb.precal.</t>
  </si>
  <si>
    <t>Verbrenn.gas Ofen</t>
  </si>
  <si>
    <t>Combust. gas kiln</t>
  </si>
  <si>
    <t>Gaz de comb. four</t>
  </si>
  <si>
    <t>Gas de comb. horno</t>
  </si>
  <si>
    <t>Verbrenn.gas Kalzinat.</t>
  </si>
  <si>
    <t>Combust. gas calciner</t>
  </si>
  <si>
    <t>Gaz de comb. calcinat.</t>
  </si>
  <si>
    <t>Gas de comb. precalc.</t>
  </si>
  <si>
    <t>Volumen-</t>
  </si>
  <si>
    <t>Flowrate</t>
  </si>
  <si>
    <t>Débit d'air</t>
  </si>
  <si>
    <t>Volumenstrom Luft</t>
  </si>
  <si>
    <t>Flowrate air</t>
  </si>
  <si>
    <t>Flujo de aire</t>
  </si>
  <si>
    <t>Volumenstrom Gas</t>
  </si>
  <si>
    <t>Flowrate gas</t>
  </si>
  <si>
    <t>Débit de gaz</t>
  </si>
  <si>
    <t>Flujo de gas</t>
  </si>
  <si>
    <t>Abluftvolumenstrom aus Prandtlmessung</t>
  </si>
  <si>
    <t>Waste air flowrate from prandtl measurement</t>
  </si>
  <si>
    <t>Flujo de aire de escape calculado con una medición de Prandtl</t>
  </si>
  <si>
    <t>Volumenstrom Kalzinatorabgas (trocken)</t>
  </si>
  <si>
    <t>Calciner exhaust gas flowrate (dry)</t>
  </si>
  <si>
    <t>Flujo de gas de salida del precalcinador (seco)</t>
  </si>
  <si>
    <t>Volumenstrom Wasser</t>
  </si>
  <si>
    <t>Water flowrate</t>
  </si>
  <si>
    <t>Flujo de agua</t>
  </si>
  <si>
    <t>von</t>
  </si>
  <si>
    <t>from</t>
  </si>
  <si>
    <t>du</t>
  </si>
  <si>
    <t>deste</t>
  </si>
  <si>
    <t>W</t>
  </si>
  <si>
    <t>WÄRME- UND MASSENBILANZ EINES WÄRMETAUSCHEROFENS</t>
  </si>
  <si>
    <t>HEAT AND MASS BALANCE OF A PREHEATER KILN</t>
  </si>
  <si>
    <t>BILAN TERMIQUE D'UN FOUR AVEC PRECHAUFFEUR</t>
  </si>
  <si>
    <t>BALANCE TERMICO DE UN HORNO CON PRECALENTADOR</t>
  </si>
  <si>
    <t>WÄRMEAUSTRAG</t>
  </si>
  <si>
    <t>HEAT OUTPUT</t>
  </si>
  <si>
    <t>SORTIE DE CHALEUR</t>
  </si>
  <si>
    <t>SALIDA DE CALOR</t>
  </si>
  <si>
    <t>WÄRMEBILANZ DES OFENSYSTEMS</t>
  </si>
  <si>
    <t>KILN SYSTEM HEAT BALANCE</t>
  </si>
  <si>
    <t>BILAN ENERGETIQUE SYSTEME DE FOUR</t>
  </si>
  <si>
    <t>BALANCE TÉRMICO SISTEMA DEL HORNO</t>
  </si>
  <si>
    <t>WÄRMEBILANZ TROCKENOFEN MIT</t>
  </si>
  <si>
    <t>HEAT BALANCE OF A</t>
  </si>
  <si>
    <t>BILAN ENERGETIQUE FOUR A</t>
  </si>
  <si>
    <t>BALANCE TERMICO HORNO CON</t>
  </si>
  <si>
    <t>Wärmebilanz Kohlenmühle)</t>
  </si>
  <si>
    <t>heat balance over coal mill)</t>
  </si>
  <si>
    <t>énergétique brouleur à charbon)</t>
  </si>
  <si>
    <t>AMBIENT CONDITIONS</t>
  </si>
  <si>
    <t>térmico molino de carbón)</t>
  </si>
  <si>
    <t>WÄRMEBILANZ KLINKERKÜHLER</t>
  </si>
  <si>
    <t>HEAT BALANCE CLINKER COOLER</t>
  </si>
  <si>
    <t>BILAN TERMIQUE REFROIDISSEUR</t>
  </si>
  <si>
    <t>Wärmeeintrag</t>
  </si>
  <si>
    <r>
      <t>[Nm</t>
    </r>
    <r>
      <rPr>
        <b/>
        <vertAlign val="superscript"/>
        <sz val="10"/>
        <rFont val="Arial Narrow"/>
        <family val="2"/>
      </rPr>
      <t>3</t>
    </r>
    <r>
      <rPr>
        <b/>
        <sz val="10"/>
        <rFont val="Arial Narrow"/>
        <family val="2"/>
      </rPr>
      <t>/kg</t>
    </r>
    <r>
      <rPr>
        <b/>
        <vertAlign val="subscript"/>
        <sz val="10"/>
        <rFont val="Arial Narrow"/>
        <family val="2"/>
      </rPr>
      <t>cli</t>
    </r>
    <r>
      <rPr>
        <b/>
        <sz val="10"/>
        <rFont val="Arial Narrow"/>
        <family val="2"/>
      </rPr>
      <t>]</t>
    </r>
  </si>
  <si>
    <r>
      <t>[kg/kg</t>
    </r>
    <r>
      <rPr>
        <b/>
        <vertAlign val="subscript"/>
        <sz val="10"/>
        <rFont val="Arial Narrow"/>
        <family val="2"/>
      </rPr>
      <t xml:space="preserve"> cli</t>
    </r>
    <r>
      <rPr>
        <b/>
        <sz val="10"/>
        <rFont val="Arial Narrow"/>
        <family val="2"/>
      </rPr>
      <t>],</t>
    </r>
  </si>
  <si>
    <r>
      <t>[kJ/kg</t>
    </r>
    <r>
      <rPr>
        <b/>
        <vertAlign val="subscript"/>
        <sz val="10"/>
        <rFont val="Arial Narrow"/>
        <family val="2"/>
      </rPr>
      <t>cli</t>
    </r>
    <r>
      <rPr>
        <b/>
        <sz val="10"/>
        <rFont val="Arial Narrow"/>
        <family val="2"/>
      </rPr>
      <t>]</t>
    </r>
  </si>
  <si>
    <r>
      <t>[kcal/kg</t>
    </r>
    <r>
      <rPr>
        <b/>
        <vertAlign val="subscript"/>
        <sz val="10"/>
        <rFont val="Arial Narrow"/>
        <family val="2"/>
      </rPr>
      <t>cli</t>
    </r>
    <r>
      <rPr>
        <b/>
        <sz val="10"/>
        <rFont val="Arial Narrow"/>
        <family val="2"/>
      </rPr>
      <t>]</t>
    </r>
  </si>
  <si>
    <t>NCV</t>
  </si>
  <si>
    <t>NCV as fired</t>
  </si>
  <si>
    <t>GAZ D'EXHAURE DU PRECHAUFFEUR</t>
  </si>
  <si>
    <t>PREHEATER EXHAUST GASES (kiln string)</t>
  </si>
  <si>
    <t>OFENABGASE (nach Ofenstrang)</t>
  </si>
  <si>
    <t>Air faux du chapot de chauffe</t>
  </si>
  <si>
    <t>Nm3/kg cli wet</t>
  </si>
  <si>
    <t xml:space="preserve">oxygen measured at kiln inlet incorporates already the combustion of whole tires. In this case no adapation required.  </t>
  </si>
  <si>
    <t>Rev.No.</t>
  </si>
  <si>
    <t>Responsible</t>
  </si>
  <si>
    <t xml:space="preserve">Filename: </t>
  </si>
  <si>
    <t>Heat Balance Tool</t>
  </si>
  <si>
    <t>Tertiary air</t>
  </si>
  <si>
    <t>Heat consumption</t>
  </si>
  <si>
    <t>% SF</t>
  </si>
  <si>
    <t>Actual</t>
  </si>
  <si>
    <t>Reference</t>
  </si>
  <si>
    <t>Kiln inlet</t>
  </si>
  <si>
    <t>Preheater exit</t>
  </si>
  <si>
    <t>Cooling air flow</t>
  </si>
  <si>
    <t>Q [Nm3/kg cli]</t>
  </si>
  <si>
    <t>Temp [°C]</t>
  </si>
  <si>
    <t>Prod [t/h]</t>
  </si>
  <si>
    <t>Prod [t/d]</t>
  </si>
  <si>
    <t>% Dust [% KF]</t>
  </si>
  <si>
    <t>Kiln feed [t/h]</t>
  </si>
  <si>
    <t>Kiln</t>
  </si>
  <si>
    <t>Rad.&amp; convection</t>
  </si>
  <si>
    <t>Flow (Nm3/kg cli]</t>
  </si>
  <si>
    <t>O2 [%]</t>
  </si>
  <si>
    <t>CO [%]</t>
  </si>
  <si>
    <t>@ 0.8 Nm3/kg cli air recuperated</t>
  </si>
  <si>
    <t>Flow [t/h]</t>
  </si>
  <si>
    <t>Flow [Nm3/kg cli]</t>
  </si>
  <si>
    <t xml:space="preserve">False air </t>
  </si>
  <si>
    <t>Normalized</t>
  </si>
  <si>
    <t>Clinker inlet temp [°C]</t>
  </si>
  <si>
    <t>Dust [%]</t>
  </si>
  <si>
    <t>Ambient Temp</t>
  </si>
  <si>
    <t>Nm3/kg cli @ °C</t>
  </si>
  <si>
    <t>Balance duration</t>
  </si>
  <si>
    <t>Comments</t>
  </si>
  <si>
    <t>Kiln hood [Nm3/kg]</t>
  </si>
  <si>
    <t>Cooler [Nm3/kg]</t>
  </si>
  <si>
    <t>Temp</t>
  </si>
  <si>
    <t xml:space="preserve">CO </t>
  </si>
  <si>
    <t>O2</t>
  </si>
  <si>
    <t>PC exit</t>
  </si>
  <si>
    <t>Grey cell border = Required for cooler heat balance</t>
  </si>
  <si>
    <t>In case of fuels burning in the riser or inlet chute adapt the formula I424 secondary air and delete I423 from the formula(twice)</t>
  </si>
  <si>
    <t>as well as delete in I424 "+sum(E:407:J407)" from the formula.</t>
  </si>
  <si>
    <t>FLSmith</t>
  </si>
  <si>
    <t>471 FA1</t>
  </si>
  <si>
    <t>471 FA2</t>
  </si>
  <si>
    <t>471 FA3</t>
  </si>
  <si>
    <t>471 FA4</t>
  </si>
  <si>
    <t>471 FA5</t>
  </si>
  <si>
    <t>471 FA6</t>
  </si>
  <si>
    <t>471 FA7</t>
  </si>
  <si>
    <t>471FAF</t>
  </si>
  <si>
    <t>471 FA9</t>
  </si>
  <si>
    <t>471FAA</t>
  </si>
  <si>
    <t>471 FAB</t>
  </si>
  <si>
    <t>471FAC</t>
  </si>
  <si>
    <t>471 FAD</t>
  </si>
  <si>
    <t>471 FAH</t>
  </si>
  <si>
    <t>471 FAI</t>
  </si>
  <si>
    <t>471 FAE</t>
  </si>
  <si>
    <t>SLC</t>
  </si>
  <si>
    <t>ILC</t>
  </si>
  <si>
    <t>Day Avg.</t>
  </si>
  <si>
    <t>Paint Sludge</t>
  </si>
  <si>
    <t>Laminted Waste</t>
  </si>
  <si>
    <t>ILC tapping from hood</t>
  </si>
  <si>
    <t>SLC taping from cooler</t>
  </si>
  <si>
    <t>Trade Reject</t>
  </si>
  <si>
    <t>Only Major AFR are considered</t>
  </si>
  <si>
    <t>Oily rags</t>
  </si>
  <si>
    <t xml:space="preserve">RDF </t>
  </si>
  <si>
    <t>ILC -0% ( Mix coal)</t>
  </si>
  <si>
    <t>Juli Flora</t>
  </si>
  <si>
    <t>KS1</t>
  </si>
  <si>
    <t>KS2</t>
  </si>
  <si>
    <t>Avg.</t>
  </si>
  <si>
    <t>ILC+SLC</t>
  </si>
  <si>
    <t xml:space="preserve">Kiln </t>
  </si>
  <si>
    <t xml:space="preserve">SLC </t>
  </si>
  <si>
    <t xml:space="preserve">ILC </t>
  </si>
  <si>
    <t>Plastic Waste</t>
  </si>
  <si>
    <t>Actual SA in CCR 1030-1050 DegC</t>
  </si>
  <si>
    <t>Taken less 100 DegC due to fine dust</t>
  </si>
  <si>
    <t>Kiln Fuel  error =0%</t>
  </si>
  <si>
    <t>Calciner Fuel  error =0%</t>
  </si>
  <si>
    <t>nm3/hr</t>
  </si>
  <si>
    <t>deg C</t>
  </si>
  <si>
    <t>m3/hr</t>
  </si>
  <si>
    <t>PH losses</t>
  </si>
  <si>
    <t>Cooler losses</t>
  </si>
  <si>
    <t>Rad losses</t>
  </si>
  <si>
    <t>CO2 rm</t>
  </si>
  <si>
    <t>fuel water vap</t>
  </si>
  <si>
    <t>RM water</t>
  </si>
  <si>
    <t>Exss air</t>
  </si>
  <si>
    <t>Cooler Volume</t>
  </si>
  <si>
    <t>Nm3/hr</t>
  </si>
  <si>
    <t>Deg C</t>
  </si>
  <si>
    <t>Outlet Boiler</t>
  </si>
  <si>
    <t>Heat available</t>
  </si>
  <si>
    <t>Kcal/hr</t>
  </si>
  <si>
    <t>Theoritical power</t>
  </si>
  <si>
    <t>MW</t>
  </si>
  <si>
    <t>Conversion Eff</t>
  </si>
  <si>
    <t>Power Generation</t>
  </si>
  <si>
    <t>Cp</t>
  </si>
  <si>
    <t>Coller vent air</t>
  </si>
  <si>
    <t>Nm3/kg clk</t>
  </si>
  <si>
    <t>Clonker production</t>
  </si>
  <si>
    <t>[kcal/kgcli]</t>
  </si>
  <si>
    <t/>
  </si>
  <si>
    <t>Mechanical energy</t>
  </si>
  <si>
    <t>[kcal/kg°C]</t>
  </si>
  <si>
    <t>Specific heat consumption</t>
  </si>
  <si>
    <t>Lake Cement</t>
  </si>
  <si>
    <t>kcal/kg cli.</t>
  </si>
  <si>
    <t>% Kiln Firing</t>
  </si>
  <si>
    <t>% PC Firing</t>
  </si>
  <si>
    <t>Trilok</t>
  </si>
  <si>
    <t>8/10/2025</t>
  </si>
  <si>
    <t>Preheater &amp; TAD</t>
  </si>
  <si>
    <t>6-8%</t>
  </si>
  <si>
    <t>75 to 77 %</t>
  </si>
  <si>
    <t>105 to 110</t>
  </si>
  <si>
    <t>2000 to 2200</t>
  </si>
  <si>
    <t>3% to 4%</t>
  </si>
  <si>
    <t>Heat Balance Tool - Cooler Balance</t>
  </si>
  <si>
    <t>900 to 950</t>
  </si>
  <si>
    <t>UOM</t>
  </si>
  <si>
    <t>Aug'25</t>
  </si>
  <si>
    <t>Sep'25</t>
  </si>
  <si>
    <t>Oct'25</t>
  </si>
  <si>
    <t>Nov'25</t>
  </si>
  <si>
    <t>Dec'25</t>
  </si>
  <si>
    <t>Heat Output / Losses</t>
  </si>
  <si>
    <t>Sensible Heat From Coal</t>
  </si>
  <si>
    <t>Sensible Heat From Kiln Feed</t>
  </si>
  <si>
    <t>Sensible Heat from Primary Air</t>
  </si>
  <si>
    <t>Sensible Heat from Cooler Input Air</t>
  </si>
  <si>
    <t>Sensible Heat from Cooler Fan Energy</t>
  </si>
  <si>
    <t>Heat loss from Kiln Feed Moisture Evaporation</t>
  </si>
  <si>
    <t>Heat loss from Cooler water spray</t>
  </si>
  <si>
    <t>Heat of Pre Heater Exit gases</t>
  </si>
  <si>
    <t>Heat Losses from Cooler Vent Air</t>
  </si>
  <si>
    <t>Heat From Coal Firing</t>
  </si>
  <si>
    <t>Kcal/Kg Clinker</t>
  </si>
  <si>
    <t>Otherr Losses / error %</t>
  </si>
  <si>
    <t>Radiation from Kiln Shell</t>
  </si>
  <si>
    <t>Radiation from Cooler</t>
  </si>
  <si>
    <t>Radiation Losses from Pre heater</t>
  </si>
  <si>
    <t>Heat Losses from Exit Clinker  Temperature</t>
  </si>
  <si>
    <t xml:space="preserve">Clinker Production </t>
  </si>
  <si>
    <t>S. NO.</t>
  </si>
  <si>
    <t>Feb'26</t>
  </si>
  <si>
    <t>Mar'26</t>
  </si>
  <si>
    <t>Jan'26</t>
  </si>
  <si>
    <t>Target</t>
  </si>
  <si>
    <t>Description</t>
  </si>
  <si>
    <t>Reason for Deviation</t>
  </si>
  <si>
    <t>Total Heat Input</t>
  </si>
  <si>
    <t>Total Heat Output</t>
  </si>
  <si>
    <t>STEC</t>
  </si>
  <si>
    <t>MT/Day</t>
  </si>
  <si>
    <t>M-23 Heat Balance Report</t>
  </si>
  <si>
    <t>1710 t/d</t>
  </si>
  <si>
    <t>…..........................................</t>
  </si>
  <si>
    <t>1770 t/d</t>
  </si>
  <si>
    <t>1580 t/d</t>
  </si>
  <si>
    <t>.</t>
  </si>
  <si>
    <t>0.9 to 1.0</t>
  </si>
  <si>
    <t>275 to 290</t>
  </si>
  <si>
    <t>1620 t/d</t>
  </si>
  <si>
    <t>&lt;400</t>
  </si>
  <si>
    <t>1.5 to 2</t>
  </si>
  <si>
    <t>0.35 to 0.4</t>
  </si>
  <si>
    <t>&gt;1050</t>
  </si>
  <si>
    <t>Heat from Pre heater exit dust</t>
  </si>
  <si>
    <t>1810 t/d</t>
  </si>
  <si>
    <t>1830 t/d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</si>
</sst>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0.000"/>
    <numFmt numFmtId="167" formatCode="General_)"/>
    <numFmt numFmtId="168" formatCode="0\'000"/>
    <numFmt numFmtId="169" formatCode="0.0000"/>
    <numFmt numFmtId="170" formatCode="[&gt;1000]0\'000;[&lt;1000]0;General"/>
    <numFmt numFmtId="171" formatCode="[&gt;999]0\'000;[&lt;1000]0;General"/>
    <numFmt numFmtId="172" formatCode="0.00000"/>
    <numFmt numFmtId="173" formatCode="#,##0.0;[Red]\-#,##0.0"/>
    <numFmt numFmtId="174" formatCode="#,##0.000;[Red]\-#,##0.000"/>
    <numFmt numFmtId="175" formatCode="0.00000000"/>
  </numFmts>
  <fonts count="80">
    <font>
      <sz val="10"/>
      <name val="Arial Narro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ETICA"/>
    </font>
    <font>
      <b/>
      <sz val="10"/>
      <name val="Helvetica-Narrow"/>
    </font>
    <font>
      <b/>
      <sz val="14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10"/>
      <color indexed="12"/>
      <name val="Arial Narrow"/>
      <family val="2"/>
    </font>
    <font>
      <b/>
      <sz val="10"/>
      <color indexed="12"/>
      <name val="Arial Narrow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2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b/>
      <sz val="14"/>
      <name val="Arial Narrow"/>
      <family val="2"/>
    </font>
    <font>
      <b/>
      <sz val="10"/>
      <name val="Symbol"/>
      <family val="1"/>
      <charset val="2"/>
    </font>
    <font>
      <u/>
      <sz val="10"/>
      <name val="Arial"/>
      <family val="2"/>
    </font>
    <font>
      <u/>
      <sz val="11"/>
      <name val="Arial Narrow"/>
      <family val="2"/>
    </font>
    <font>
      <vertAlign val="subscript"/>
      <sz val="1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10"/>
      <name val="Arial Narrow"/>
      <family val="2"/>
    </font>
    <font>
      <i/>
      <sz val="10"/>
      <color indexed="12"/>
      <name val="Arial Narrow"/>
      <family val="2"/>
    </font>
    <font>
      <b/>
      <i/>
      <sz val="10"/>
      <color indexed="12"/>
      <name val="Arial Narrow"/>
      <family val="2"/>
    </font>
    <font>
      <b/>
      <sz val="10"/>
      <color indexed="12"/>
      <name val="Arial Narrow"/>
      <family val="2"/>
    </font>
    <font>
      <sz val="10"/>
      <color indexed="48"/>
      <name val="Arial Narrow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b/>
      <vertAlign val="superscript"/>
      <sz val="10"/>
      <name val="Arial Narrow"/>
      <family val="2"/>
    </font>
    <font>
      <b/>
      <vertAlign val="subscript"/>
      <sz val="10"/>
      <name val="Arial Narrow"/>
      <family val="2"/>
    </font>
    <font>
      <sz val="10"/>
      <color theme="0" tint="-0.249977111117893"/>
      <name val="Arial Narrow"/>
      <family val="2"/>
    </font>
    <font>
      <sz val="10"/>
      <color rgb="FF0066FF"/>
      <name val="Arial"/>
      <family val="2"/>
    </font>
    <font>
      <sz val="10"/>
      <color rgb="FF0066FF"/>
      <name val="Arial Narrow"/>
      <family val="2"/>
    </font>
    <font>
      <b/>
      <sz val="12"/>
      <color rgb="FF0066FF"/>
      <name val="Arial"/>
      <family val="2"/>
    </font>
    <font>
      <b/>
      <sz val="10"/>
      <color rgb="FF0066FF"/>
      <name val="Arial Narrow"/>
      <family val="2"/>
    </font>
    <font>
      <i/>
      <sz val="10"/>
      <color rgb="FF0066FF"/>
      <name val="Arial Narrow"/>
      <family val="2"/>
    </font>
    <font>
      <b/>
      <i/>
      <sz val="10"/>
      <color rgb="FF0066FF"/>
      <name val="Arial Narrow"/>
      <family val="2"/>
    </font>
    <font>
      <sz val="10"/>
      <color rgb="FFFF0000"/>
      <name val="Arial Narrow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Arial Narrow"/>
      <family val="2"/>
    </font>
    <font>
      <b/>
      <sz val="11"/>
      <color rgb="FF3F3F3F"/>
      <name val="Calibri"/>
      <family val="2"/>
      <scheme val="minor"/>
    </font>
    <font>
      <sz val="10"/>
      <name val="Tahoma"/>
      <family val="2"/>
    </font>
    <font>
      <sz val="14"/>
      <name val="Arial"/>
      <family val="2"/>
    </font>
    <font>
      <b/>
      <sz val="16"/>
      <name val="Arial"/>
      <family val="2"/>
    </font>
    <font>
      <sz val="10"/>
      <name val="Arial Unicode MS"/>
      <family val="2"/>
    </font>
    <font>
      <sz val="8"/>
      <name val="Arial Unicode MS"/>
      <family val="2"/>
    </font>
    <font>
      <sz val="7"/>
      <name val="Arial"/>
      <family val="2"/>
    </font>
    <font>
      <sz val="10"/>
      <color theme="3"/>
      <name val="Arial Narrow"/>
      <family val="2"/>
    </font>
    <font>
      <b/>
      <sz val="10"/>
      <color theme="3"/>
      <name val="Arial Narrow"/>
      <family val="2"/>
    </font>
    <font>
      <b/>
      <sz val="10"/>
      <color theme="1"/>
      <name val="Arial Narrow"/>
      <family val="2"/>
    </font>
    <font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6"/>
      <name val="Arial"/>
      <family val="2"/>
    </font>
    <font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12"/>
      <color rgb="FF0000FF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rgb="FFCCFFFF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12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/>
      <top style="thin">
        <color indexed="12"/>
      </top>
      <bottom style="hair">
        <color indexed="12"/>
      </bottom>
      <diagonal/>
    </border>
    <border>
      <left style="hair">
        <color indexed="12"/>
      </left>
      <right/>
      <top style="hair">
        <color indexed="12"/>
      </top>
      <bottom style="hair">
        <color indexed="12"/>
      </bottom>
      <diagonal/>
    </border>
    <border>
      <left style="hair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hair">
        <color indexed="64"/>
      </bottom>
      <diagonal/>
    </border>
    <border>
      <left style="thick">
        <color theme="0" tint="-0.499984740745262"/>
      </left>
      <right style="thick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n">
        <color indexed="64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40" fontId="6" fillId="0" borderId="0" applyFont="0" applyFill="0" applyBorder="0" applyAlignment="0" applyProtection="0"/>
    <xf numFmtId="0" fontId="7" fillId="2" borderId="1" applyNumberFormat="0" applyAlignment="0">
      <protection locked="0"/>
    </xf>
    <xf numFmtId="0" fontId="6" fillId="0" borderId="0"/>
    <xf numFmtId="0" fontId="7" fillId="2" borderId="1" applyNumberFormat="0">
      <protection locked="0"/>
    </xf>
    <xf numFmtId="0" fontId="53" fillId="14" borderId="76" applyNumberFormat="0" applyAlignment="0" applyProtection="0"/>
    <xf numFmtId="0" fontId="5" fillId="15" borderId="0" applyNumberFormat="0" applyBorder="0" applyAlignment="0" applyProtection="0"/>
    <xf numFmtId="0" fontId="54" fillId="0" borderId="0"/>
    <xf numFmtId="0" fontId="22" fillId="0" borderId="0">
      <alignment vertical="center"/>
    </xf>
    <xf numFmtId="0" fontId="1" fillId="15" borderId="0" applyNumberFormat="0" applyBorder="0" applyAlignment="0" applyProtection="0"/>
  </cellStyleXfs>
  <cellXfs count="956">
    <xf numFmtId="0" fontId="0" fillId="0" borderId="0" xfId="0"/>
    <xf numFmtId="0" fontId="9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1" fontId="0" fillId="0" borderId="0" xfId="0" applyNumberFormat="1"/>
    <xf numFmtId="0" fontId="0" fillId="0" borderId="0" xfId="0" applyAlignment="1">
      <alignment horizontal="centerContinuous"/>
    </xf>
    <xf numFmtId="0" fontId="0" fillId="0" borderId="4" xfId="0" applyBorder="1"/>
    <xf numFmtId="0" fontId="9" fillId="0" borderId="6" xfId="0" applyFont="1" applyBorder="1"/>
    <xf numFmtId="0" fontId="9" fillId="0" borderId="0" xfId="0" quotePrefix="1" applyFont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164" fontId="0" fillId="0" borderId="0" xfId="0" applyNumberFormat="1"/>
    <xf numFmtId="0" fontId="0" fillId="0" borderId="10" xfId="0" applyBorder="1"/>
    <xf numFmtId="0" fontId="11" fillId="0" borderId="0" xfId="0" applyFont="1"/>
    <xf numFmtId="0" fontId="0" fillId="0" borderId="12" xfId="0" quotePrefix="1" applyBorder="1" applyAlignment="1">
      <alignment horizontal="right"/>
    </xf>
    <xf numFmtId="0" fontId="0" fillId="0" borderId="14" xfId="0" applyBorder="1" applyAlignment="1">
      <alignment horizontal="center"/>
    </xf>
    <xf numFmtId="164" fontId="0" fillId="0" borderId="0" xfId="0" quotePrefix="1" applyNumberFormat="1"/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6" fontId="0" fillId="0" borderId="0" xfId="0" quotePrefix="1" applyNumberFormat="1" applyAlignment="1">
      <alignment horizontal="left"/>
    </xf>
    <xf numFmtId="168" fontId="0" fillId="0" borderId="0" xfId="0" applyNumberFormat="1"/>
    <xf numFmtId="167" fontId="0" fillId="0" borderId="0" xfId="0" applyNumberFormat="1"/>
    <xf numFmtId="0" fontId="9" fillId="0" borderId="13" xfId="0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2" fontId="0" fillId="0" borderId="0" xfId="0" applyNumberFormat="1"/>
    <xf numFmtId="1" fontId="10" fillId="0" borderId="0" xfId="0" applyNumberFormat="1" applyFont="1" applyAlignment="1">
      <alignment horizontal="center"/>
    </xf>
    <xf numFmtId="164" fontId="10" fillId="0" borderId="0" xfId="0" applyNumberFormat="1" applyFont="1"/>
    <xf numFmtId="166" fontId="10" fillId="0" borderId="0" xfId="0" applyNumberFormat="1" applyFont="1"/>
    <xf numFmtId="167" fontId="0" fillId="0" borderId="0" xfId="0" quotePrefix="1" applyNumberFormat="1" applyAlignment="1">
      <alignment horizontal="left"/>
    </xf>
    <xf numFmtId="167" fontId="0" fillId="0" borderId="0" xfId="0" applyNumberForma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17" xfId="0" applyBorder="1"/>
    <xf numFmtId="0" fontId="9" fillId="0" borderId="13" xfId="0" applyFont="1" applyBorder="1" applyAlignment="1" applyProtection="1">
      <alignment horizontal="center"/>
      <protection locked="0"/>
    </xf>
    <xf numFmtId="0" fontId="9" fillId="0" borderId="20" xfId="0" applyFont="1" applyBorder="1" applyAlignment="1" applyProtection="1">
      <alignment horizontal="center"/>
      <protection locked="0"/>
    </xf>
    <xf numFmtId="0" fontId="0" fillId="0" borderId="17" xfId="0" quotePrefix="1" applyBorder="1" applyAlignment="1">
      <alignment horizontal="left"/>
    </xf>
    <xf numFmtId="0" fontId="11" fillId="0" borderId="13" xfId="0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0" fontId="9" fillId="0" borderId="17" xfId="0" applyFont="1" applyBorder="1"/>
    <xf numFmtId="0" fontId="11" fillId="0" borderId="13" xfId="0" applyFont="1" applyBorder="1" applyProtection="1">
      <protection locked="0"/>
    </xf>
    <xf numFmtId="0" fontId="11" fillId="0" borderId="20" xfId="0" applyFont="1" applyBorder="1" applyProtection="1">
      <protection locked="0"/>
    </xf>
    <xf numFmtId="1" fontId="0" fillId="0" borderId="13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 applyProtection="1">
      <alignment horizontal="left"/>
      <protection locked="0"/>
    </xf>
    <xf numFmtId="0" fontId="0" fillId="0" borderId="14" xfId="0" applyBorder="1"/>
    <xf numFmtId="15" fontId="9" fillId="0" borderId="0" xfId="0" applyNumberFormat="1" applyFont="1" applyAlignment="1" applyProtection="1">
      <alignment horizontal="left"/>
      <protection locked="0"/>
    </xf>
    <xf numFmtId="1" fontId="9" fillId="0" borderId="0" xfId="0" applyNumberFormat="1" applyFont="1"/>
    <xf numFmtId="0" fontId="0" fillId="0" borderId="17" xfId="0" applyBorder="1" applyAlignment="1">
      <alignment horizontal="center"/>
    </xf>
    <xf numFmtId="0" fontId="9" fillId="0" borderId="13" xfId="0" applyFont="1" applyBorder="1"/>
    <xf numFmtId="0" fontId="0" fillId="0" borderId="18" xfId="0" applyBorder="1"/>
    <xf numFmtId="0" fontId="9" fillId="0" borderId="22" xfId="0" applyFont="1" applyBorder="1" applyAlignment="1">
      <alignment horizontal="right"/>
    </xf>
    <xf numFmtId="166" fontId="9" fillId="0" borderId="23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8" xfId="0" applyBorder="1" applyAlignment="1">
      <alignment horizontal="left"/>
    </xf>
    <xf numFmtId="0" fontId="9" fillId="0" borderId="24" xfId="0" applyFont="1" applyBorder="1" applyAlignment="1">
      <alignment horizontal="centerContinuous"/>
    </xf>
    <xf numFmtId="1" fontId="9" fillId="0" borderId="22" xfId="0" applyNumberFormat="1" applyFont="1" applyBorder="1" applyAlignment="1">
      <alignment horizontal="center"/>
    </xf>
    <xf numFmtId="0" fontId="0" fillId="0" borderId="0" xfId="0" quotePrefix="1" applyAlignment="1">
      <alignment horizontal="right"/>
    </xf>
    <xf numFmtId="1" fontId="9" fillId="0" borderId="23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66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 applyAlignment="1">
      <alignment horizontal="right"/>
    </xf>
    <xf numFmtId="1" fontId="9" fillId="0" borderId="24" xfId="0" applyNumberFormat="1" applyFont="1" applyBorder="1" applyAlignment="1">
      <alignment horizontal="center"/>
    </xf>
    <xf numFmtId="0" fontId="0" fillId="0" borderId="13" xfId="0" applyBorder="1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164" fontId="9" fillId="0" borderId="25" xfId="0" applyNumberFormat="1" applyFont="1" applyBorder="1"/>
    <xf numFmtId="164" fontId="0" fillId="0" borderId="25" xfId="0" applyNumberFormat="1" applyBorder="1"/>
    <xf numFmtId="0" fontId="9" fillId="0" borderId="10" xfId="0" applyFont="1" applyBorder="1"/>
    <xf numFmtId="2" fontId="0" fillId="0" borderId="18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0" fillId="0" borderId="17" xfId="0" applyBorder="1" applyAlignment="1">
      <alignment horizontal="left"/>
    </xf>
    <xf numFmtId="164" fontId="0" fillId="0" borderId="13" xfId="0" applyNumberFormat="1" applyBorder="1"/>
    <xf numFmtId="164" fontId="0" fillId="0" borderId="12" xfId="0" applyNumberFormat="1" applyBorder="1"/>
    <xf numFmtId="0" fontId="0" fillId="0" borderId="0" xfId="0" applyAlignment="1">
      <alignment horizontal="fill"/>
    </xf>
    <xf numFmtId="0" fontId="14" fillId="0" borderId="0" xfId="0" applyFont="1"/>
    <xf numFmtId="0" fontId="11" fillId="0" borderId="0" xfId="0" applyFont="1" applyAlignment="1">
      <alignment horizontal="fill"/>
    </xf>
    <xf numFmtId="0" fontId="0" fillId="0" borderId="13" xfId="0" applyBorder="1" applyAlignment="1">
      <alignment horizontal="fill"/>
    </xf>
    <xf numFmtId="0" fontId="0" fillId="0" borderId="20" xfId="0" applyBorder="1" applyAlignment="1">
      <alignment horizontal="fill"/>
    </xf>
    <xf numFmtId="1" fontId="0" fillId="0" borderId="17" xfId="0" applyNumberFormat="1" applyBorder="1" applyAlignment="1">
      <alignment horizontal="centerContinuous"/>
    </xf>
    <xf numFmtId="0" fontId="0" fillId="0" borderId="20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1" xfId="0" applyBorder="1" applyAlignment="1">
      <alignment horizontal="fill"/>
    </xf>
    <xf numFmtId="0" fontId="0" fillId="0" borderId="12" xfId="0" applyBorder="1" applyAlignment="1">
      <alignment horizontal="fill"/>
    </xf>
    <xf numFmtId="0" fontId="0" fillId="0" borderId="0" xfId="0" quotePrefix="1" applyAlignment="1">
      <alignment horizontal="fill"/>
    </xf>
    <xf numFmtId="0" fontId="0" fillId="0" borderId="0" xfId="0" applyAlignment="1">
      <alignment horizontal="right"/>
    </xf>
    <xf numFmtId="166" fontId="0" fillId="0" borderId="11" xfId="0" applyNumberFormat="1" applyBorder="1"/>
    <xf numFmtId="1" fontId="0" fillId="0" borderId="27" xfId="0" applyNumberFormat="1" applyBorder="1"/>
    <xf numFmtId="1" fontId="0" fillId="0" borderId="13" xfId="0" quotePrefix="1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2" xfId="0" quotePrefix="1" applyNumberFormat="1" applyBorder="1" applyAlignment="1">
      <alignment horizontal="center"/>
    </xf>
    <xf numFmtId="167" fontId="0" fillId="0" borderId="0" xfId="0" quotePrefix="1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0" fillId="0" borderId="0" xfId="0" applyNumberFormat="1"/>
    <xf numFmtId="167" fontId="11" fillId="0" borderId="0" xfId="0" applyNumberFormat="1" applyFont="1"/>
    <xf numFmtId="167" fontId="9" fillId="0" borderId="0" xfId="0" applyNumberFormat="1" applyFont="1" applyAlignment="1">
      <alignment horizontal="left"/>
    </xf>
    <xf numFmtId="1" fontId="0" fillId="0" borderId="11" xfId="0" applyNumberFormat="1" applyBorder="1" applyProtection="1">
      <protection locked="0"/>
    </xf>
    <xf numFmtId="167" fontId="9" fillId="0" borderId="0" xfId="0" quotePrefix="1" applyNumberFormat="1" applyFont="1" applyAlignment="1">
      <alignment horizontal="left"/>
    </xf>
    <xf numFmtId="167" fontId="0" fillId="0" borderId="0" xfId="0" applyNumberFormat="1" applyAlignment="1">
      <alignment horizontal="fill"/>
    </xf>
    <xf numFmtId="164" fontId="0" fillId="0" borderId="11" xfId="0" applyNumberFormat="1" applyBorder="1"/>
    <xf numFmtId="164" fontId="11" fillId="0" borderId="0" xfId="0" applyNumberFormat="1" applyFont="1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1" fontId="0" fillId="0" borderId="27" xfId="0" applyNumberFormat="1" applyBorder="1" applyProtection="1">
      <protection locked="0"/>
    </xf>
    <xf numFmtId="0" fontId="0" fillId="0" borderId="0" xfId="0" applyProtection="1">
      <protection hidden="1"/>
    </xf>
    <xf numFmtId="167" fontId="0" fillId="0" borderId="0" xfId="0" quotePrefix="1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6" fillId="0" borderId="13" xfId="3" applyFont="1" applyBorder="1" applyAlignment="1">
      <alignment wrapText="1"/>
    </xf>
    <xf numFmtId="0" fontId="17" fillId="0" borderId="13" xfId="3" applyFont="1" applyBorder="1" applyAlignment="1">
      <alignment wrapText="1"/>
    </xf>
    <xf numFmtId="0" fontId="16" fillId="0" borderId="13" xfId="3" quotePrefix="1" applyFont="1" applyBorder="1" applyAlignment="1">
      <alignment horizontal="left" wrapText="1"/>
    </xf>
    <xf numFmtId="0" fontId="16" fillId="0" borderId="13" xfId="3" applyFont="1" applyBorder="1" applyAlignment="1">
      <alignment horizontal="left" wrapText="1"/>
    </xf>
    <xf numFmtId="0" fontId="16" fillId="0" borderId="13" xfId="3" quotePrefix="1" applyFont="1" applyBorder="1" applyAlignment="1">
      <alignment wrapText="1"/>
    </xf>
    <xf numFmtId="170" fontId="0" fillId="0" borderId="0" xfId="0" applyNumberFormat="1"/>
    <xf numFmtId="164" fontId="0" fillId="0" borderId="13" xfId="0" applyNumberFormat="1" applyBorder="1" applyAlignment="1">
      <alignment horizontal="right"/>
    </xf>
    <xf numFmtId="2" fontId="0" fillId="0" borderId="13" xfId="0" applyNumberFormat="1" applyBorder="1" applyAlignment="1">
      <alignment horizontal="center"/>
    </xf>
    <xf numFmtId="164" fontId="9" fillId="0" borderId="22" xfId="0" applyNumberFormat="1" applyFont="1" applyBorder="1" applyAlignment="1" applyProtection="1">
      <alignment horizontal="right"/>
      <protection locked="0"/>
    </xf>
    <xf numFmtId="164" fontId="9" fillId="0" borderId="22" xfId="0" applyNumberFormat="1" applyFont="1" applyBorder="1" applyAlignment="1">
      <alignment horizontal="right"/>
    </xf>
    <xf numFmtId="164" fontId="9" fillId="0" borderId="24" xfId="0" applyNumberFormat="1" applyFont="1" applyBorder="1" applyAlignment="1">
      <alignment horizontal="right"/>
    </xf>
    <xf numFmtId="164" fontId="9" fillId="0" borderId="24" xfId="0" applyNumberFormat="1" applyFont="1" applyBorder="1"/>
    <xf numFmtId="164" fontId="9" fillId="0" borderId="0" xfId="0" applyNumberFormat="1" applyFont="1"/>
    <xf numFmtId="166" fontId="9" fillId="0" borderId="22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0" fontId="9" fillId="0" borderId="28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166" fontId="9" fillId="0" borderId="13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9" fillId="0" borderId="18" xfId="0" applyFont="1" applyBorder="1"/>
    <xf numFmtId="164" fontId="9" fillId="0" borderId="13" xfId="0" applyNumberFormat="1" applyFont="1" applyBorder="1" applyAlignment="1">
      <alignment horizontal="right"/>
    </xf>
    <xf numFmtId="2" fontId="9" fillId="0" borderId="24" xfId="0" applyNumberFormat="1" applyFont="1" applyBorder="1" applyAlignment="1">
      <alignment horizontal="center"/>
    </xf>
    <xf numFmtId="2" fontId="9" fillId="0" borderId="22" xfId="0" applyNumberFormat="1" applyFont="1" applyBorder="1" applyAlignment="1">
      <alignment horizontal="center"/>
    </xf>
    <xf numFmtId="2" fontId="9" fillId="0" borderId="18" xfId="0" applyNumberFormat="1" applyFont="1" applyBorder="1" applyAlignment="1">
      <alignment horizontal="center"/>
    </xf>
    <xf numFmtId="170" fontId="0" fillId="0" borderId="13" xfId="0" applyNumberFormat="1" applyBorder="1" applyAlignment="1">
      <alignment horizontal="center"/>
    </xf>
    <xf numFmtId="170" fontId="0" fillId="0" borderId="25" xfId="0" applyNumberFormat="1" applyBorder="1" applyAlignment="1">
      <alignment horizontal="center"/>
    </xf>
    <xf numFmtId="170" fontId="0" fillId="0" borderId="18" xfId="0" applyNumberFormat="1" applyBorder="1" applyAlignment="1">
      <alignment horizontal="center"/>
    </xf>
    <xf numFmtId="170" fontId="0" fillId="0" borderId="27" xfId="0" applyNumberFormat="1" applyBorder="1"/>
    <xf numFmtId="0" fontId="0" fillId="0" borderId="0" xfId="0" quotePrefix="1" applyAlignment="1">
      <alignment horizontal="center"/>
    </xf>
    <xf numFmtId="170" fontId="0" fillId="0" borderId="11" xfId="0" applyNumberFormat="1" applyBorder="1"/>
    <xf numFmtId="171" fontId="0" fillId="0" borderId="0" xfId="0" applyNumberFormat="1"/>
    <xf numFmtId="171" fontId="0" fillId="0" borderId="27" xfId="0" applyNumberFormat="1" applyBorder="1"/>
    <xf numFmtId="171" fontId="0" fillId="0" borderId="13" xfId="0" applyNumberFormat="1" applyBorder="1" applyAlignment="1">
      <alignment horizontal="center"/>
    </xf>
    <xf numFmtId="171" fontId="0" fillId="0" borderId="13" xfId="0" quotePrefix="1" applyNumberFormat="1" applyBorder="1" applyAlignment="1">
      <alignment horizontal="center"/>
    </xf>
    <xf numFmtId="171" fontId="9" fillId="0" borderId="22" xfId="0" applyNumberFormat="1" applyFont="1" applyBorder="1" applyAlignment="1">
      <alignment horizontal="center"/>
    </xf>
    <xf numFmtId="171" fontId="9" fillId="0" borderId="13" xfId="0" applyNumberFormat="1" applyFont="1" applyBorder="1" applyAlignment="1">
      <alignment horizontal="center"/>
    </xf>
    <xf numFmtId="171" fontId="9" fillId="0" borderId="29" xfId="0" applyNumberFormat="1" applyFont="1" applyBorder="1" applyAlignment="1">
      <alignment horizontal="center"/>
    </xf>
    <xf numFmtId="0" fontId="9" fillId="0" borderId="7" xfId="0" applyFont="1" applyBorder="1"/>
    <xf numFmtId="1" fontId="0" fillId="0" borderId="9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4" borderId="0" xfId="0" applyFill="1"/>
    <xf numFmtId="0" fontId="9" fillId="4" borderId="0" xfId="0" applyFont="1" applyFill="1"/>
    <xf numFmtId="0" fontId="0" fillId="4" borderId="0" xfId="0" quotePrefix="1" applyFill="1" applyAlignment="1">
      <alignment horizontal="left"/>
    </xf>
    <xf numFmtId="0" fontId="21" fillId="4" borderId="0" xfId="0" quotePrefix="1" applyFont="1" applyFill="1" applyAlignment="1">
      <alignment horizontal="right"/>
    </xf>
    <xf numFmtId="164" fontId="0" fillId="0" borderId="18" xfId="0" applyNumberFormat="1" applyBorder="1" applyAlignment="1">
      <alignment horizontal="centerContinuous"/>
    </xf>
    <xf numFmtId="164" fontId="0" fillId="0" borderId="0" xfId="0" quotePrefix="1" applyNumberFormat="1" applyAlignment="1">
      <alignment horizontal="left"/>
    </xf>
    <xf numFmtId="0" fontId="15" fillId="0" borderId="17" xfId="0" applyFont="1" applyBorder="1"/>
    <xf numFmtId="0" fontId="7" fillId="0" borderId="0" xfId="0" applyFont="1"/>
    <xf numFmtId="0" fontId="15" fillId="0" borderId="0" xfId="0" applyFont="1"/>
    <xf numFmtId="0" fontId="15" fillId="0" borderId="0" xfId="0" quotePrefix="1" applyFont="1" applyAlignment="1">
      <alignment horizontal="left"/>
    </xf>
    <xf numFmtId="0" fontId="15" fillId="0" borderId="0" xfId="0" applyFont="1" applyAlignment="1">
      <alignment horizontal="left"/>
    </xf>
    <xf numFmtId="2" fontId="15" fillId="0" borderId="0" xfId="0" applyNumberFormat="1" applyFont="1"/>
    <xf numFmtId="164" fontId="15" fillId="0" borderId="0" xfId="0" applyNumberFormat="1" applyFont="1"/>
    <xf numFmtId="166" fontId="15" fillId="0" borderId="11" xfId="0" applyNumberFormat="1" applyFont="1" applyBorder="1"/>
    <xf numFmtId="1" fontId="15" fillId="0" borderId="27" xfId="0" applyNumberFormat="1" applyFont="1" applyBorder="1"/>
    <xf numFmtId="164" fontId="9" fillId="0" borderId="5" xfId="0" applyNumberFormat="1" applyFont="1" applyBorder="1"/>
    <xf numFmtId="1" fontId="9" fillId="0" borderId="29" xfId="0" applyNumberFormat="1" applyFont="1" applyBorder="1" applyAlignment="1">
      <alignment horizontal="center"/>
    </xf>
    <xf numFmtId="2" fontId="0" fillId="0" borderId="0" xfId="0" quotePrefix="1" applyNumberFormat="1"/>
    <xf numFmtId="2" fontId="9" fillId="0" borderId="23" xfId="0" applyNumberFormat="1" applyFont="1" applyBorder="1" applyAlignment="1">
      <alignment horizontal="center"/>
    </xf>
    <xf numFmtId="2" fontId="9" fillId="0" borderId="17" xfId="0" applyNumberFormat="1" applyFont="1" applyBorder="1" applyAlignment="1">
      <alignment horizontal="center"/>
    </xf>
    <xf numFmtId="2" fontId="9" fillId="0" borderId="5" xfId="0" applyNumberFormat="1" applyFont="1" applyBorder="1" applyAlignment="1">
      <alignment horizontal="center"/>
    </xf>
    <xf numFmtId="0" fontId="25" fillId="0" borderId="13" xfId="3" quotePrefix="1" applyFont="1" applyBorder="1" applyAlignment="1">
      <alignment horizontal="left" wrapText="1"/>
    </xf>
    <xf numFmtId="169" fontId="0" fillId="0" borderId="0" xfId="0" applyNumberFormat="1"/>
    <xf numFmtId="166" fontId="0" fillId="0" borderId="0" xfId="0" applyNumberFormat="1" applyAlignment="1">
      <alignment horizontal="right"/>
    </xf>
    <xf numFmtId="167" fontId="26" fillId="0" borderId="0" xfId="0" applyNumberFormat="1" applyFont="1" applyAlignment="1">
      <alignment horizontal="left"/>
    </xf>
    <xf numFmtId="0" fontId="0" fillId="0" borderId="11" xfId="0" applyBorder="1" applyAlignment="1">
      <alignment horizontal="right"/>
    </xf>
    <xf numFmtId="0" fontId="9" fillId="4" borderId="0" xfId="0" quotePrefix="1" applyFont="1" applyFill="1" applyAlignment="1">
      <alignment horizontal="left"/>
    </xf>
    <xf numFmtId="0" fontId="15" fillId="0" borderId="17" xfId="0" quotePrefix="1" applyFont="1" applyBorder="1" applyAlignment="1">
      <alignment horizontal="left"/>
    </xf>
    <xf numFmtId="164" fontId="0" fillId="0" borderId="6" xfId="0" applyNumberFormat="1" applyBorder="1"/>
    <xf numFmtId="0" fontId="0" fillId="0" borderId="26" xfId="0" applyBorder="1"/>
    <xf numFmtId="0" fontId="28" fillId="0" borderId="0" xfId="0" applyFont="1"/>
    <xf numFmtId="1" fontId="0" fillId="0" borderId="3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2" fillId="0" borderId="13" xfId="3" applyFont="1" applyBorder="1" applyAlignment="1">
      <alignment wrapText="1"/>
    </xf>
    <xf numFmtId="0" fontId="19" fillId="0" borderId="17" xfId="0" quotePrefix="1" applyFont="1" applyBorder="1" applyAlignment="1">
      <alignment horizontal="left"/>
    </xf>
    <xf numFmtId="0" fontId="8" fillId="4" borderId="0" xfId="0" applyFont="1" applyFill="1" applyAlignment="1">
      <alignment horizontal="left"/>
    </xf>
    <xf numFmtId="3" fontId="0" fillId="0" borderId="0" xfId="0" applyNumberFormat="1"/>
    <xf numFmtId="0" fontId="19" fillId="0" borderId="0" xfId="0" applyFont="1"/>
    <xf numFmtId="1" fontId="15" fillId="0" borderId="0" xfId="0" applyNumberFormat="1" applyFont="1"/>
    <xf numFmtId="2" fontId="9" fillId="0" borderId="13" xfId="0" applyNumberFormat="1" applyFont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1" fontId="30" fillId="0" borderId="0" xfId="0" applyNumberFormat="1" applyFont="1"/>
    <xf numFmtId="0" fontId="20" fillId="0" borderId="0" xfId="0" applyFont="1"/>
    <xf numFmtId="0" fontId="31" fillId="0" borderId="0" xfId="0" applyFont="1"/>
    <xf numFmtId="1" fontId="11" fillId="0" borderId="11" xfId="0" applyNumberFormat="1" applyFont="1" applyBorder="1" applyAlignment="1" applyProtection="1">
      <alignment horizontal="center"/>
      <protection locked="0"/>
    </xf>
    <xf numFmtId="166" fontId="18" fillId="0" borderId="1" xfId="4" applyNumberFormat="1" applyFont="1" applyFill="1">
      <protection locked="0"/>
    </xf>
    <xf numFmtId="166" fontId="0" fillId="0" borderId="25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1" fillId="0" borderId="0" xfId="0" quotePrefix="1" applyFont="1" applyAlignment="1">
      <alignment horizontal="left"/>
    </xf>
    <xf numFmtId="0" fontId="31" fillId="0" borderId="0" xfId="0" applyFont="1" applyAlignment="1">
      <alignment horizontal="right"/>
    </xf>
    <xf numFmtId="1" fontId="31" fillId="0" borderId="0" xfId="0" applyNumberFormat="1" applyFont="1"/>
    <xf numFmtId="0" fontId="31" fillId="0" borderId="10" xfId="0" applyFont="1" applyBorder="1"/>
    <xf numFmtId="164" fontId="31" fillId="0" borderId="0" xfId="0" applyNumberFormat="1" applyFont="1"/>
    <xf numFmtId="2" fontId="31" fillId="0" borderId="0" xfId="0" applyNumberFormat="1" applyFont="1"/>
    <xf numFmtId="0" fontId="9" fillId="0" borderId="18" xfId="0" applyFont="1" applyBorder="1" applyAlignment="1">
      <alignment horizontal="right"/>
    </xf>
    <xf numFmtId="2" fontId="9" fillId="0" borderId="28" xfId="0" applyNumberFormat="1" applyFont="1" applyBorder="1" applyAlignment="1">
      <alignment horizontal="center"/>
    </xf>
    <xf numFmtId="166" fontId="9" fillId="0" borderId="29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2" fontId="9" fillId="0" borderId="33" xfId="0" applyNumberFormat="1" applyFont="1" applyBorder="1" applyAlignment="1">
      <alignment horizontal="center"/>
    </xf>
    <xf numFmtId="166" fontId="9" fillId="0" borderId="34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Continuous"/>
    </xf>
    <xf numFmtId="0" fontId="0" fillId="0" borderId="28" xfId="0" applyBorder="1" applyAlignment="1">
      <alignment horizontal="centerContinuous"/>
    </xf>
    <xf numFmtId="0" fontId="0" fillId="0" borderId="0" xfId="0" applyAlignment="1">
      <alignment horizontal="left" indent="1"/>
    </xf>
    <xf numFmtId="0" fontId="19" fillId="0" borderId="0" xfId="0" quotePrefix="1" applyFont="1" applyAlignment="1">
      <alignment horizontal="left"/>
    </xf>
    <xf numFmtId="9" fontId="31" fillId="0" borderId="0" xfId="0" applyNumberFormat="1" applyFont="1" applyAlignment="1">
      <alignment horizontal="center"/>
    </xf>
    <xf numFmtId="0" fontId="31" fillId="0" borderId="0" xfId="0" applyFont="1" applyAlignment="1">
      <alignment wrapText="1"/>
    </xf>
    <xf numFmtId="0" fontId="31" fillId="0" borderId="0" xfId="0" quotePrefix="1" applyFont="1"/>
    <xf numFmtId="0" fontId="19" fillId="0" borderId="0" xfId="0" quotePrefix="1" applyFont="1"/>
    <xf numFmtId="0" fontId="32" fillId="0" borderId="0" xfId="0" applyFont="1" applyAlignment="1">
      <alignment horizontal="left"/>
    </xf>
    <xf numFmtId="0" fontId="23" fillId="4" borderId="0" xfId="0" quotePrefix="1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31" fillId="0" borderId="0" xfId="0" applyFont="1" applyAlignment="1">
      <alignment horizontal="left"/>
    </xf>
    <xf numFmtId="166" fontId="31" fillId="0" borderId="0" xfId="0" applyNumberFormat="1" applyFont="1"/>
    <xf numFmtId="9" fontId="31" fillId="0" borderId="0" xfId="0" quotePrefix="1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/>
    <xf numFmtId="3" fontId="15" fillId="0" borderId="1" xfId="4" applyNumberFormat="1" applyFont="1" applyFill="1">
      <protection locked="0"/>
    </xf>
    <xf numFmtId="164" fontId="0" fillId="0" borderId="1" xfId="0" applyNumberFormat="1" applyBorder="1"/>
    <xf numFmtId="2" fontId="0" fillId="0" borderId="1" xfId="0" quotePrefix="1" applyNumberFormat="1" applyBorder="1" applyAlignment="1">
      <alignment horizontal="right"/>
    </xf>
    <xf numFmtId="2" fontId="15" fillId="0" borderId="1" xfId="0" applyNumberFormat="1" applyFont="1" applyBorder="1"/>
    <xf numFmtId="168" fontId="0" fillId="0" borderId="1" xfId="0" applyNumberFormat="1" applyBorder="1"/>
    <xf numFmtId="1" fontId="18" fillId="0" borderId="1" xfId="4" applyNumberFormat="1" applyFont="1" applyFill="1">
      <protection locked="0"/>
    </xf>
    <xf numFmtId="2" fontId="0" fillId="0" borderId="1" xfId="0" applyNumberFormat="1" applyBorder="1"/>
    <xf numFmtId="166" fontId="18" fillId="0" borderId="0" xfId="0" quotePrefix="1" applyNumberFormat="1" applyFont="1" applyAlignment="1">
      <alignment horizontal="left"/>
    </xf>
    <xf numFmtId="0" fontId="18" fillId="0" borderId="0" xfId="0" quotePrefix="1" applyFont="1" applyAlignment="1">
      <alignment horizontal="left"/>
    </xf>
    <xf numFmtId="166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25" xfId="0" applyBorder="1" applyAlignment="1">
      <alignment horizontal="center"/>
    </xf>
    <xf numFmtId="0" fontId="31" fillId="0" borderId="18" xfId="0" applyFont="1" applyBorder="1"/>
    <xf numFmtId="0" fontId="31" fillId="0" borderId="17" xfId="0" applyFont="1" applyBorder="1" applyAlignment="1">
      <alignment horizontal="center"/>
    </xf>
    <xf numFmtId="164" fontId="31" fillId="0" borderId="13" xfId="0" applyNumberFormat="1" applyFont="1" applyBorder="1" applyAlignment="1">
      <alignment horizontal="center"/>
    </xf>
    <xf numFmtId="0" fontId="31" fillId="0" borderId="18" xfId="0" applyFont="1" applyBorder="1" applyAlignment="1">
      <alignment horizontal="left"/>
    </xf>
    <xf numFmtId="164" fontId="31" fillId="0" borderId="22" xfId="0" applyNumberFormat="1" applyFont="1" applyBorder="1" applyAlignment="1">
      <alignment horizontal="left" indent="1"/>
    </xf>
    <xf numFmtId="164" fontId="31" fillId="0" borderId="22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0" fillId="4" borderId="0" xfId="0" applyFill="1" applyAlignment="1">
      <alignment horizontal="left"/>
    </xf>
    <xf numFmtId="0" fontId="20" fillId="0" borderId="0" xfId="0" applyFont="1" applyAlignment="1">
      <alignment horizontal="center"/>
    </xf>
    <xf numFmtId="0" fontId="33" fillId="0" borderId="0" xfId="0" quotePrefix="1" applyFont="1" applyAlignment="1">
      <alignment horizontal="center"/>
    </xf>
    <xf numFmtId="164" fontId="9" fillId="0" borderId="22" xfId="0" applyNumberFormat="1" applyFont="1" applyBorder="1" applyAlignment="1">
      <alignment horizontal="center"/>
    </xf>
    <xf numFmtId="2" fontId="12" fillId="0" borderId="22" xfId="0" applyNumberFormat="1" applyFon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11" fillId="0" borderId="28" xfId="0" applyNumberFormat="1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4" fontId="9" fillId="0" borderId="28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38" fontId="0" fillId="0" borderId="1" xfId="1" applyNumberFormat="1" applyFont="1" applyBorder="1"/>
    <xf numFmtId="38" fontId="0" fillId="0" borderId="0" xfId="1" applyNumberFormat="1" applyFont="1"/>
    <xf numFmtId="0" fontId="33" fillId="0" borderId="0" xfId="0" applyFont="1"/>
    <xf numFmtId="14" fontId="20" fillId="0" borderId="0" xfId="0" applyNumberFormat="1" applyFont="1"/>
    <xf numFmtId="0" fontId="20" fillId="0" borderId="0" xfId="0" quotePrefix="1" applyFont="1" applyAlignment="1">
      <alignment horizontal="left"/>
    </xf>
    <xf numFmtId="1" fontId="30" fillId="0" borderId="0" xfId="0" applyNumberFormat="1" applyFont="1" applyAlignment="1">
      <alignment horizontal="center"/>
    </xf>
    <xf numFmtId="0" fontId="32" fillId="0" borderId="0" xfId="0" applyFont="1"/>
    <xf numFmtId="0" fontId="31" fillId="0" borderId="39" xfId="0" applyFont="1" applyBorder="1"/>
    <xf numFmtId="0" fontId="31" fillId="0" borderId="39" xfId="0" applyFont="1" applyBorder="1" applyAlignment="1">
      <alignment horizontal="center"/>
    </xf>
    <xf numFmtId="1" fontId="31" fillId="0" borderId="39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6" fontId="31" fillId="0" borderId="0" xfId="0" applyNumberFormat="1" applyFont="1" applyAlignment="1">
      <alignment horizontal="right"/>
    </xf>
    <xf numFmtId="0" fontId="0" fillId="0" borderId="23" xfId="0" applyBorder="1"/>
    <xf numFmtId="0" fontId="0" fillId="0" borderId="5" xfId="0" applyBorder="1" applyAlignment="1">
      <alignment horizontal="right"/>
    </xf>
    <xf numFmtId="0" fontId="0" fillId="0" borderId="22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0" fillId="0" borderId="33" xfId="0" applyBorder="1"/>
    <xf numFmtId="0" fontId="0" fillId="0" borderId="2" xfId="0" applyBorder="1" applyAlignment="1">
      <alignment horizontal="right"/>
    </xf>
    <xf numFmtId="1" fontId="0" fillId="0" borderId="28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33" xfId="0" quotePrefix="1" applyBorder="1" applyAlignment="1">
      <alignment horizontal="left"/>
    </xf>
    <xf numFmtId="0" fontId="0" fillId="0" borderId="2" xfId="0" applyBorder="1"/>
    <xf numFmtId="0" fontId="0" fillId="0" borderId="33" xfId="0" applyBorder="1" applyAlignment="1">
      <alignment horizontal="left"/>
    </xf>
    <xf numFmtId="0" fontId="0" fillId="0" borderId="28" xfId="0" quotePrefix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0" fillId="0" borderId="23" xfId="0" quotePrefix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33" xfId="0" quotePrefix="1" applyBorder="1"/>
    <xf numFmtId="166" fontId="0" fillId="0" borderId="28" xfId="0" applyNumberFormat="1" applyBorder="1" applyAlignment="1">
      <alignment horizontal="center"/>
    </xf>
    <xf numFmtId="166" fontId="0" fillId="0" borderId="42" xfId="0" applyNumberFormat="1" applyBorder="1" applyAlignment="1">
      <alignment horizontal="center"/>
    </xf>
    <xf numFmtId="172" fontId="0" fillId="0" borderId="28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0" fillId="0" borderId="45" xfId="0" applyBorder="1" applyAlignment="1">
      <alignment horizontal="right"/>
    </xf>
    <xf numFmtId="0" fontId="31" fillId="0" borderId="46" xfId="0" applyFont="1" applyBorder="1"/>
    <xf numFmtId="0" fontId="31" fillId="0" borderId="46" xfId="0" applyFont="1" applyBorder="1" applyAlignment="1">
      <alignment horizontal="center"/>
    </xf>
    <xf numFmtId="1" fontId="31" fillId="0" borderId="46" xfId="0" applyNumberFormat="1" applyFont="1" applyBorder="1" applyAlignment="1">
      <alignment horizontal="center"/>
    </xf>
    <xf numFmtId="0" fontId="32" fillId="0" borderId="47" xfId="0" applyFont="1" applyBorder="1"/>
    <xf numFmtId="0" fontId="32" fillId="0" borderId="48" xfId="0" applyFont="1" applyBorder="1"/>
    <xf numFmtId="0" fontId="32" fillId="0" borderId="49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0" fontId="32" fillId="0" borderId="51" xfId="0" applyFont="1" applyBorder="1"/>
    <xf numFmtId="0" fontId="31" fillId="0" borderId="52" xfId="0" applyFont="1" applyBorder="1" applyAlignment="1">
      <alignment horizontal="center"/>
    </xf>
    <xf numFmtId="1" fontId="31" fillId="0" borderId="52" xfId="0" applyNumberFormat="1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32" fillId="0" borderId="54" xfId="0" applyFont="1" applyBorder="1"/>
    <xf numFmtId="0" fontId="31" fillId="0" borderId="55" xfId="0" applyFont="1" applyBorder="1" applyAlignment="1">
      <alignment horizontal="center"/>
    </xf>
    <xf numFmtId="1" fontId="31" fillId="0" borderId="55" xfId="0" applyNumberFormat="1" applyFont="1" applyBorder="1" applyAlignment="1">
      <alignment horizontal="center"/>
    </xf>
    <xf numFmtId="0" fontId="31" fillId="0" borderId="56" xfId="0" applyFont="1" applyBorder="1" applyAlignment="1">
      <alignment horizontal="center"/>
    </xf>
    <xf numFmtId="0" fontId="31" fillId="0" borderId="57" xfId="0" applyFont="1" applyBorder="1"/>
    <xf numFmtId="0" fontId="31" fillId="0" borderId="58" xfId="0" applyFont="1" applyBorder="1"/>
    <xf numFmtId="0" fontId="31" fillId="0" borderId="59" xfId="0" applyFont="1" applyBorder="1"/>
    <xf numFmtId="164" fontId="18" fillId="0" borderId="0" xfId="0" applyNumberFormat="1" applyFont="1"/>
    <xf numFmtId="0" fontId="0" fillId="0" borderId="4" xfId="0" applyBorder="1" applyAlignment="1">
      <alignment horizontal="centerContinuous"/>
    </xf>
    <xf numFmtId="0" fontId="9" fillId="0" borderId="6" xfId="0" applyFont="1" applyBorder="1" applyAlignment="1">
      <alignment horizontal="centerContinuous"/>
    </xf>
    <xf numFmtId="0" fontId="0" fillId="0" borderId="26" xfId="0" applyBorder="1" applyAlignment="1">
      <alignment horizontal="centerContinuous"/>
    </xf>
    <xf numFmtId="164" fontId="0" fillId="0" borderId="60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61" xfId="0" applyNumberFormat="1" applyBorder="1" applyAlignment="1">
      <alignment horizontal="center"/>
    </xf>
    <xf numFmtId="0" fontId="0" fillId="0" borderId="45" xfId="0" applyBorder="1"/>
    <xf numFmtId="0" fontId="0" fillId="0" borderId="28" xfId="0" applyBorder="1"/>
    <xf numFmtId="0" fontId="0" fillId="0" borderId="60" xfId="0" applyBorder="1"/>
    <xf numFmtId="0" fontId="0" fillId="0" borderId="6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5" fillId="0" borderId="25" xfId="0" quotePrefix="1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0" fontId="12" fillId="0" borderId="25" xfId="0" applyFont="1" applyBorder="1"/>
    <xf numFmtId="0" fontId="9" fillId="0" borderId="26" xfId="0" applyFont="1" applyBorder="1" applyAlignment="1">
      <alignment horizontal="center"/>
    </xf>
    <xf numFmtId="0" fontId="32" fillId="0" borderId="46" xfId="0" quotePrefix="1" applyFont="1" applyBorder="1" applyAlignment="1">
      <alignment horizontal="center"/>
    </xf>
    <xf numFmtId="1" fontId="32" fillId="0" borderId="46" xfId="0" applyNumberFormat="1" applyFont="1" applyBorder="1" applyAlignment="1">
      <alignment horizontal="center"/>
    </xf>
    <xf numFmtId="0" fontId="32" fillId="0" borderId="39" xfId="0" quotePrefix="1" applyFont="1" applyBorder="1" applyAlignment="1">
      <alignment horizontal="center"/>
    </xf>
    <xf numFmtId="2" fontId="31" fillId="0" borderId="52" xfId="0" applyNumberFormat="1" applyFont="1" applyBorder="1" applyAlignment="1">
      <alignment horizontal="center"/>
    </xf>
    <xf numFmtId="2" fontId="31" fillId="0" borderId="55" xfId="0" applyNumberFormat="1" applyFont="1" applyBorder="1" applyAlignment="1">
      <alignment horizontal="center"/>
    </xf>
    <xf numFmtId="2" fontId="31" fillId="0" borderId="39" xfId="0" applyNumberFormat="1" applyFont="1" applyBorder="1" applyAlignment="1">
      <alignment horizontal="center"/>
    </xf>
    <xf numFmtId="1" fontId="31" fillId="0" borderId="63" xfId="0" applyNumberFormat="1" applyFont="1" applyBorder="1" applyAlignment="1">
      <alignment horizontal="center"/>
    </xf>
    <xf numFmtId="38" fontId="0" fillId="0" borderId="22" xfId="1" applyNumberFormat="1" applyFont="1" applyFill="1" applyBorder="1" applyAlignment="1">
      <alignment horizontal="center"/>
    </xf>
    <xf numFmtId="38" fontId="0" fillId="0" borderId="28" xfId="1" applyNumberFormat="1" applyFont="1" applyFill="1" applyBorder="1" applyAlignment="1">
      <alignment horizontal="center"/>
    </xf>
    <xf numFmtId="38" fontId="0" fillId="0" borderId="28" xfId="1" applyNumberFormat="1" applyFont="1" applyFill="1" applyBorder="1" applyAlignment="1" applyProtection="1">
      <alignment horizontal="center"/>
    </xf>
    <xf numFmtId="38" fontId="0" fillId="0" borderId="12" xfId="1" applyNumberFormat="1" applyFont="1" applyFill="1" applyBorder="1" applyAlignment="1" applyProtection="1">
      <alignment horizontal="center"/>
    </xf>
    <xf numFmtId="38" fontId="0" fillId="0" borderId="0" xfId="1" applyNumberFormat="1" applyFont="1" applyBorder="1"/>
    <xf numFmtId="173" fontId="9" fillId="0" borderId="22" xfId="1" applyNumberFormat="1" applyFont="1" applyBorder="1" applyAlignment="1" applyProtection="1">
      <alignment horizontal="right"/>
      <protection locked="0"/>
    </xf>
    <xf numFmtId="173" fontId="9" fillId="0" borderId="22" xfId="1" applyNumberFormat="1" applyFont="1" applyBorder="1" applyAlignment="1">
      <alignment horizontal="right"/>
    </xf>
    <xf numFmtId="38" fontId="9" fillId="0" borderId="22" xfId="1" applyNumberFormat="1" applyFont="1" applyBorder="1" applyAlignment="1">
      <alignment horizontal="right"/>
    </xf>
    <xf numFmtId="173" fontId="9" fillId="0" borderId="5" xfId="1" applyNumberFormat="1" applyFont="1" applyBorder="1" applyAlignment="1">
      <alignment horizontal="right"/>
    </xf>
    <xf numFmtId="38" fontId="9" fillId="0" borderId="24" xfId="1" applyNumberFormat="1" applyFont="1" applyBorder="1" applyAlignment="1">
      <alignment horizontal="center"/>
    </xf>
    <xf numFmtId="38" fontId="9" fillId="0" borderId="5" xfId="1" applyNumberFormat="1" applyFont="1" applyBorder="1" applyAlignment="1">
      <alignment horizontal="right"/>
    </xf>
    <xf numFmtId="173" fontId="9" fillId="0" borderId="13" xfId="1" applyNumberFormat="1" applyFont="1" applyBorder="1" applyAlignment="1">
      <alignment horizontal="right"/>
    </xf>
    <xf numFmtId="173" fontId="9" fillId="0" borderId="24" xfId="1" applyNumberFormat="1" applyFont="1" applyBorder="1" applyAlignment="1">
      <alignment horizontal="right"/>
    </xf>
    <xf numFmtId="173" fontId="9" fillId="0" borderId="0" xfId="1" applyNumberFormat="1" applyFont="1" applyBorder="1" applyAlignment="1">
      <alignment horizontal="right"/>
    </xf>
    <xf numFmtId="173" fontId="9" fillId="0" borderId="28" xfId="1" applyNumberFormat="1" applyFont="1" applyBorder="1"/>
    <xf numFmtId="173" fontId="9" fillId="0" borderId="29" xfId="1" applyNumberFormat="1" applyFont="1" applyBorder="1" applyAlignment="1">
      <alignment horizontal="right"/>
    </xf>
    <xf numFmtId="38" fontId="9" fillId="0" borderId="0" xfId="1" applyNumberFormat="1" applyFont="1"/>
    <xf numFmtId="38" fontId="9" fillId="0" borderId="0" xfId="1" applyNumberFormat="1" applyFont="1" applyBorder="1" applyProtection="1"/>
    <xf numFmtId="38" fontId="18" fillId="0" borderId="1" xfId="1" applyNumberFormat="1" applyFont="1" applyFill="1" applyBorder="1" applyProtection="1">
      <protection locked="0"/>
    </xf>
    <xf numFmtId="38" fontId="0" fillId="0" borderId="1" xfId="1" applyNumberFormat="1" applyFont="1" applyFill="1" applyBorder="1"/>
    <xf numFmtId="38" fontId="0" fillId="0" borderId="36" xfId="1" applyNumberFormat="1" applyFont="1" applyFill="1" applyBorder="1" applyAlignment="1"/>
    <xf numFmtId="0" fontId="0" fillId="0" borderId="23" xfId="0" applyBorder="1" applyAlignment="1">
      <alignment horizontal="left"/>
    </xf>
    <xf numFmtId="1" fontId="31" fillId="0" borderId="64" xfId="0" applyNumberFormat="1" applyFont="1" applyBorder="1" applyAlignment="1">
      <alignment horizontal="center"/>
    </xf>
    <xf numFmtId="0" fontId="31" fillId="0" borderId="50" xfId="0" applyFont="1" applyBorder="1" applyAlignment="1">
      <alignment horizontal="center"/>
    </xf>
    <xf numFmtId="3" fontId="15" fillId="0" borderId="0" xfId="4" applyNumberFormat="1" applyFont="1" applyFill="1" applyBorder="1">
      <protection locked="0"/>
    </xf>
    <xf numFmtId="2" fontId="31" fillId="0" borderId="0" xfId="0" quotePrefix="1" applyNumberFormat="1" applyFont="1" applyAlignment="1">
      <alignment horizontal="left"/>
    </xf>
    <xf numFmtId="166" fontId="31" fillId="0" borderId="0" xfId="0" quotePrefix="1" applyNumberFormat="1" applyFont="1" applyAlignment="1">
      <alignment horizontal="right"/>
    </xf>
    <xf numFmtId="164" fontId="18" fillId="0" borderId="1" xfId="4" applyNumberFormat="1" applyFont="1" applyFill="1">
      <protection locked="0"/>
    </xf>
    <xf numFmtId="174" fontId="0" fillId="0" borderId="28" xfId="1" applyNumberFormat="1" applyFont="1" applyFill="1" applyBorder="1" applyAlignment="1" applyProtection="1">
      <alignment horizontal="center"/>
    </xf>
    <xf numFmtId="174" fontId="0" fillId="0" borderId="41" xfId="0" applyNumberFormat="1" applyBorder="1" applyAlignment="1">
      <alignment horizontal="center"/>
    </xf>
    <xf numFmtId="174" fontId="0" fillId="0" borderId="29" xfId="0" applyNumberFormat="1" applyBorder="1" applyAlignment="1">
      <alignment horizontal="center"/>
    </xf>
    <xf numFmtId="174" fontId="0" fillId="0" borderId="28" xfId="0" applyNumberFormat="1" applyBorder="1" applyAlignment="1">
      <alignment horizontal="center"/>
    </xf>
    <xf numFmtId="1" fontId="9" fillId="0" borderId="23" xfId="0" applyNumberFormat="1" applyFont="1" applyBorder="1" applyAlignment="1">
      <alignment horizontal="centerContinuous"/>
    </xf>
    <xf numFmtId="0" fontId="19" fillId="0" borderId="13" xfId="0" applyFont="1" applyBorder="1"/>
    <xf numFmtId="164" fontId="19" fillId="0" borderId="22" xfId="0" applyNumberFormat="1" applyFont="1" applyBorder="1" applyAlignment="1">
      <alignment horizontal="right"/>
    </xf>
    <xf numFmtId="2" fontId="0" fillId="0" borderId="10" xfId="0" applyNumberFormat="1" applyBorder="1" applyAlignment="1">
      <alignment horizontal="center"/>
    </xf>
    <xf numFmtId="14" fontId="11" fillId="0" borderId="0" xfId="0" applyNumberFormat="1" applyFont="1"/>
    <xf numFmtId="0" fontId="20" fillId="0" borderId="0" xfId="0" applyFont="1" applyAlignment="1">
      <alignment horizontal="left"/>
    </xf>
    <xf numFmtId="14" fontId="34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4" fontId="9" fillId="0" borderId="24" xfId="0" applyNumberFormat="1" applyFont="1" applyBorder="1" applyAlignment="1">
      <alignment horizontal="center"/>
    </xf>
    <xf numFmtId="38" fontId="9" fillId="0" borderId="22" xfId="1" applyNumberFormat="1" applyFont="1" applyBorder="1" applyAlignment="1">
      <alignment horizontal="centerContinuous"/>
    </xf>
    <xf numFmtId="0" fontId="18" fillId="0" borderId="0" xfId="0" quotePrefix="1" applyFont="1"/>
    <xf numFmtId="0" fontId="0" fillId="0" borderId="17" xfId="0" applyBorder="1" applyAlignment="1">
      <alignment horizontal="fill"/>
    </xf>
    <xf numFmtId="0" fontId="0" fillId="0" borderId="10" xfId="0" applyBorder="1" applyAlignment="1">
      <alignment horizontal="fill"/>
    </xf>
    <xf numFmtId="0" fontId="0" fillId="0" borderId="7" xfId="0" applyBorder="1" applyAlignment="1">
      <alignment horizontal="fill"/>
    </xf>
    <xf numFmtId="1" fontId="0" fillId="0" borderId="17" xfId="0" applyNumberFormat="1" applyBorder="1" applyAlignment="1">
      <alignment horizontal="center"/>
    </xf>
    <xf numFmtId="0" fontId="0" fillId="0" borderId="9" xfId="0" applyBorder="1" applyAlignment="1">
      <alignment horizontal="fill"/>
    </xf>
    <xf numFmtId="0" fontId="0" fillId="0" borderId="8" xfId="0" applyBorder="1" applyAlignment="1">
      <alignment horizontal="fill"/>
    </xf>
    <xf numFmtId="0" fontId="0" fillId="0" borderId="15" xfId="0" applyBorder="1"/>
    <xf numFmtId="0" fontId="11" fillId="0" borderId="7" xfId="0" applyFont="1" applyBorder="1" applyAlignment="1">
      <alignment horizontal="fill"/>
    </xf>
    <xf numFmtId="0" fontId="11" fillId="0" borderId="17" xfId="0" applyFont="1" applyBorder="1" applyAlignment="1">
      <alignment horizontal="fill"/>
    </xf>
    <xf numFmtId="0" fontId="11" fillId="0" borderId="10" xfId="0" applyFont="1" applyBorder="1" applyAlignment="1">
      <alignment horizontal="fill"/>
    </xf>
    <xf numFmtId="0" fontId="0" fillId="0" borderId="21" xfId="0" applyBorder="1" applyAlignment="1">
      <alignment horizontal="fill"/>
    </xf>
    <xf numFmtId="1" fontId="0" fillId="0" borderId="20" xfId="0" applyNumberFormat="1" applyBorder="1" applyAlignment="1">
      <alignment horizontal="centerContinuous"/>
    </xf>
    <xf numFmtId="0" fontId="0" fillId="0" borderId="44" xfId="0" applyBorder="1" applyAlignment="1">
      <alignment horizontal="fill"/>
    </xf>
    <xf numFmtId="0" fontId="0" fillId="6" borderId="1" xfId="0" applyFill="1" applyBorder="1"/>
    <xf numFmtId="0" fontId="9" fillId="6" borderId="1" xfId="4" applyFont="1" applyFill="1">
      <protection locked="0"/>
    </xf>
    <xf numFmtId="0" fontId="9" fillId="7" borderId="1" xfId="0" applyFont="1" applyFill="1" applyBorder="1"/>
    <xf numFmtId="2" fontId="9" fillId="6" borderId="1" xfId="4" applyNumberFormat="1" applyFont="1" applyFill="1">
      <protection locked="0"/>
    </xf>
    <xf numFmtId="1" fontId="9" fillId="6" borderId="35" xfId="4" applyNumberFormat="1" applyFont="1" applyFill="1" applyBorder="1">
      <protection locked="0"/>
    </xf>
    <xf numFmtId="164" fontId="9" fillId="6" borderId="1" xfId="4" applyNumberFormat="1" applyFont="1" applyFill="1">
      <protection locked="0"/>
    </xf>
    <xf numFmtId="2" fontId="9" fillId="6" borderId="36" xfId="4" applyNumberFormat="1" applyFont="1" applyFill="1" applyBorder="1">
      <protection locked="0"/>
    </xf>
    <xf numFmtId="1" fontId="9" fillId="6" borderId="1" xfId="4" applyNumberFormat="1" applyFont="1" applyFill="1">
      <protection locked="0"/>
    </xf>
    <xf numFmtId="2" fontId="9" fillId="6" borderId="35" xfId="4" applyNumberFormat="1" applyFont="1" applyFill="1" applyBorder="1">
      <protection locked="0"/>
    </xf>
    <xf numFmtId="38" fontId="9" fillId="6" borderId="1" xfId="1" applyNumberFormat="1" applyFont="1" applyFill="1" applyBorder="1" applyProtection="1">
      <protection locked="0"/>
    </xf>
    <xf numFmtId="164" fontId="9" fillId="7" borderId="1" xfId="4" applyNumberFormat="1" applyFont="1" applyFill="1">
      <protection locked="0"/>
    </xf>
    <xf numFmtId="171" fontId="9" fillId="6" borderId="1" xfId="4" applyNumberFormat="1" applyFont="1" applyFill="1">
      <protection locked="0"/>
    </xf>
    <xf numFmtId="0" fontId="9" fillId="6" borderId="1" xfId="4" applyNumberFormat="1" applyFont="1" applyFill="1">
      <protection locked="0"/>
    </xf>
    <xf numFmtId="170" fontId="9" fillId="6" borderId="1" xfId="4" applyNumberFormat="1" applyFont="1" applyFill="1">
      <protection locked="0"/>
    </xf>
    <xf numFmtId="38" fontId="19" fillId="7" borderId="1" xfId="1" applyNumberFormat="1" applyFont="1" applyFill="1" applyBorder="1" applyAlignment="1"/>
    <xf numFmtId="166" fontId="9" fillId="6" borderId="1" xfId="4" applyNumberFormat="1" applyFont="1" applyFill="1">
      <protection locked="0"/>
    </xf>
    <xf numFmtId="1" fontId="19" fillId="6" borderId="22" xfId="0" applyNumberFormat="1" applyFont="1" applyFill="1" applyBorder="1" applyAlignment="1" applyProtection="1">
      <alignment horizontal="center"/>
      <protection locked="0"/>
    </xf>
    <xf numFmtId="0" fontId="19" fillId="6" borderId="28" xfId="0" applyFont="1" applyFill="1" applyBorder="1" applyAlignment="1" applyProtection="1">
      <alignment horizontal="center"/>
      <protection locked="0"/>
    </xf>
    <xf numFmtId="0" fontId="19" fillId="6" borderId="42" xfId="0" applyFont="1" applyFill="1" applyBorder="1" applyAlignment="1" applyProtection="1">
      <alignment horizontal="center"/>
      <protection locked="0"/>
    </xf>
    <xf numFmtId="1" fontId="19" fillId="6" borderId="28" xfId="0" applyNumberFormat="1" applyFont="1" applyFill="1" applyBorder="1" applyAlignment="1" applyProtection="1">
      <alignment horizontal="center"/>
      <protection locked="0"/>
    </xf>
    <xf numFmtId="2" fontId="19" fillId="6" borderId="28" xfId="0" applyNumberFormat="1" applyFont="1" applyFill="1" applyBorder="1" applyAlignment="1" applyProtection="1">
      <alignment horizontal="center"/>
      <protection locked="0"/>
    </xf>
    <xf numFmtId="166" fontId="19" fillId="6" borderId="22" xfId="0" applyNumberFormat="1" applyFont="1" applyFill="1" applyBorder="1" applyAlignment="1" applyProtection="1">
      <alignment horizontal="center"/>
      <protection locked="0"/>
    </xf>
    <xf numFmtId="166" fontId="19" fillId="6" borderId="43" xfId="0" applyNumberFormat="1" applyFont="1" applyFill="1" applyBorder="1" applyAlignment="1" applyProtection="1">
      <alignment horizontal="center"/>
      <protection locked="0"/>
    </xf>
    <xf numFmtId="166" fontId="19" fillId="6" borderId="28" xfId="0" applyNumberFormat="1" applyFont="1" applyFill="1" applyBorder="1" applyAlignment="1">
      <alignment horizontal="center"/>
    </xf>
    <xf numFmtId="166" fontId="19" fillId="6" borderId="42" xfId="0" applyNumberFormat="1" applyFont="1" applyFill="1" applyBorder="1" applyAlignment="1">
      <alignment horizontal="center"/>
    </xf>
    <xf numFmtId="166" fontId="19" fillId="6" borderId="29" xfId="0" applyNumberFormat="1" applyFont="1" applyFill="1" applyBorder="1" applyAlignment="1">
      <alignment horizontal="center"/>
    </xf>
    <xf numFmtId="166" fontId="19" fillId="6" borderId="28" xfId="0" applyNumberFormat="1" applyFont="1" applyFill="1" applyBorder="1" applyAlignment="1" applyProtection="1">
      <alignment horizontal="center"/>
      <protection locked="0"/>
    </xf>
    <xf numFmtId="166" fontId="19" fillId="6" borderId="42" xfId="0" applyNumberFormat="1" applyFont="1" applyFill="1" applyBorder="1" applyAlignment="1" applyProtection="1">
      <alignment horizontal="center"/>
      <protection locked="0"/>
    </xf>
    <xf numFmtId="0" fontId="17" fillId="6" borderId="25" xfId="3" applyFont="1" applyFill="1" applyBorder="1" applyAlignment="1">
      <alignment wrapText="1"/>
    </xf>
    <xf numFmtId="0" fontId="17" fillId="6" borderId="26" xfId="3" applyFont="1" applyFill="1" applyBorder="1" applyAlignment="1">
      <alignment wrapText="1"/>
    </xf>
    <xf numFmtId="0" fontId="0" fillId="8" borderId="1" xfId="0" applyFill="1" applyBorder="1"/>
    <xf numFmtId="0" fontId="9" fillId="9" borderId="30" xfId="4" applyFont="1" applyFill="1" applyBorder="1" applyAlignment="1">
      <alignment horizontal="left"/>
      <protection locked="0"/>
    </xf>
    <xf numFmtId="0" fontId="9" fillId="9" borderId="3" xfId="4" applyFont="1" applyFill="1" applyBorder="1" applyProtection="1"/>
    <xf numFmtId="0" fontId="9" fillId="9" borderId="1" xfId="4" applyFont="1" applyFill="1">
      <protection locked="0"/>
    </xf>
    <xf numFmtId="38" fontId="9" fillId="9" borderId="35" xfId="1" applyNumberFormat="1" applyFont="1" applyFill="1" applyBorder="1" applyProtection="1">
      <protection locked="0"/>
    </xf>
    <xf numFmtId="1" fontId="9" fillId="9" borderId="1" xfId="4" applyNumberFormat="1" applyFont="1" applyFill="1">
      <protection locked="0"/>
    </xf>
    <xf numFmtId="15" fontId="9" fillId="9" borderId="1" xfId="4" quotePrefix="1" applyNumberFormat="1" applyFont="1" applyFill="1" applyAlignment="1">
      <alignment horizontal="left"/>
      <protection locked="0"/>
    </xf>
    <xf numFmtId="20" fontId="9" fillId="9" borderId="1" xfId="1" applyNumberFormat="1" applyFont="1" applyFill="1" applyBorder="1" applyProtection="1">
      <protection locked="0"/>
    </xf>
    <xf numFmtId="0" fontId="0" fillId="8" borderId="5" xfId="0" applyFill="1" applyBorder="1" applyAlignment="1" applyProtection="1">
      <alignment horizontal="left"/>
      <protection locked="0"/>
    </xf>
    <xf numFmtId="0" fontId="0" fillId="8" borderId="5" xfId="0" applyFill="1" applyBorder="1"/>
    <xf numFmtId="0" fontId="9" fillId="8" borderId="30" xfId="4" applyFont="1" applyFill="1" applyBorder="1" applyAlignment="1">
      <alignment horizontal="left"/>
      <protection locked="0"/>
    </xf>
    <xf numFmtId="0" fontId="0" fillId="8" borderId="2" xfId="0" applyFill="1" applyBorder="1"/>
    <xf numFmtId="0" fontId="0" fillId="8" borderId="3" xfId="0" applyFill="1" applyBorder="1"/>
    <xf numFmtId="164" fontId="9" fillId="8" borderId="1" xfId="4" applyNumberFormat="1" applyFont="1" applyFill="1">
      <protection locked="0"/>
    </xf>
    <xf numFmtId="1" fontId="9" fillId="8" borderId="1" xfId="4" applyNumberFormat="1" applyFont="1" applyFill="1">
      <protection locked="0"/>
    </xf>
    <xf numFmtId="0" fontId="9" fillId="8" borderId="1" xfId="4" applyFont="1" applyFill="1">
      <protection locked="0"/>
    </xf>
    <xf numFmtId="0" fontId="19" fillId="9" borderId="1" xfId="4" applyFont="1" applyFill="1">
      <protection locked="0"/>
    </xf>
    <xf numFmtId="2" fontId="19" fillId="9" borderId="1" xfId="4" applyNumberFormat="1" applyFont="1" applyFill="1">
      <protection locked="0"/>
    </xf>
    <xf numFmtId="2" fontId="9" fillId="9" borderId="37" xfId="4" applyNumberFormat="1" applyFont="1" applyFill="1" applyBorder="1" applyAlignment="1">
      <alignment horizontal="center"/>
      <protection locked="0"/>
    </xf>
    <xf numFmtId="0" fontId="9" fillId="9" borderId="38" xfId="4" applyFont="1" applyFill="1" applyBorder="1" applyAlignment="1">
      <alignment horizontal="center"/>
      <protection locked="0"/>
    </xf>
    <xf numFmtId="2" fontId="9" fillId="9" borderId="1" xfId="0" applyNumberFormat="1" applyFont="1" applyFill="1" applyBorder="1" applyAlignment="1">
      <alignment horizontal="center"/>
    </xf>
    <xf numFmtId="164" fontId="9" fillId="9" borderId="1" xfId="4" applyNumberFormat="1" applyFont="1" applyFill="1">
      <protection locked="0"/>
    </xf>
    <xf numFmtId="0" fontId="9" fillId="9" borderId="1" xfId="4" quotePrefix="1" applyFont="1" applyFill="1" applyAlignment="1">
      <alignment horizontal="right"/>
      <protection locked="0"/>
    </xf>
    <xf numFmtId="38" fontId="19" fillId="9" borderId="1" xfId="1" applyNumberFormat="1" applyFont="1" applyFill="1" applyBorder="1"/>
    <xf numFmtId="171" fontId="9" fillId="8" borderId="1" xfId="4" applyNumberFormat="1" applyFont="1" applyFill="1">
      <protection locked="0"/>
    </xf>
    <xf numFmtId="1" fontId="19" fillId="9" borderId="28" xfId="0" applyNumberFormat="1" applyFont="1" applyFill="1" applyBorder="1" applyAlignment="1">
      <alignment horizontal="center"/>
    </xf>
    <xf numFmtId="0" fontId="9" fillId="9" borderId="9" xfId="0" applyFont="1" applyFill="1" applyBorder="1" applyAlignment="1" applyProtection="1">
      <alignment horizontal="center"/>
      <protection locked="0"/>
    </xf>
    <xf numFmtId="0" fontId="9" fillId="9" borderId="21" xfId="0" applyFont="1" applyFill="1" applyBorder="1" applyAlignment="1" applyProtection="1">
      <alignment horizontal="center"/>
      <protection locked="0"/>
    </xf>
    <xf numFmtId="0" fontId="9" fillId="9" borderId="8" xfId="0" applyFont="1" applyFill="1" applyBorder="1" applyAlignment="1" applyProtection="1">
      <alignment horizontal="center"/>
      <protection locked="0"/>
    </xf>
    <xf numFmtId="0" fontId="9" fillId="9" borderId="12" xfId="0" applyFont="1" applyFill="1" applyBorder="1" applyAlignment="1" applyProtection="1">
      <alignment horizontal="center"/>
      <protection locked="0"/>
    </xf>
    <xf numFmtId="0" fontId="9" fillId="9" borderId="44" xfId="0" applyFont="1" applyFill="1" applyBorder="1" applyAlignment="1" applyProtection="1">
      <alignment horizontal="center"/>
      <protection locked="0"/>
    </xf>
    <xf numFmtId="0" fontId="19" fillId="9" borderId="28" xfId="0" applyFont="1" applyFill="1" applyBorder="1" applyAlignment="1" applyProtection="1">
      <alignment horizontal="center"/>
      <protection locked="0"/>
    </xf>
    <xf numFmtId="0" fontId="19" fillId="9" borderId="42" xfId="0" applyFont="1" applyFill="1" applyBorder="1" applyAlignment="1" applyProtection="1">
      <alignment horizontal="center"/>
      <protection locked="0"/>
    </xf>
    <xf numFmtId="0" fontId="19" fillId="8" borderId="28" xfId="0" applyFont="1" applyFill="1" applyBorder="1" applyAlignment="1" applyProtection="1">
      <alignment horizontal="center"/>
      <protection locked="0"/>
    </xf>
    <xf numFmtId="0" fontId="19" fillId="8" borderId="42" xfId="0" applyFont="1" applyFill="1" applyBorder="1" applyAlignment="1" applyProtection="1">
      <alignment horizontal="center"/>
      <protection locked="0"/>
    </xf>
    <xf numFmtId="0" fontId="19" fillId="10" borderId="0" xfId="0" quotePrefix="1" applyFont="1" applyFill="1" applyAlignment="1">
      <alignment horizontal="left"/>
    </xf>
    <xf numFmtId="0" fontId="35" fillId="11" borderId="0" xfId="0" applyFont="1" applyFill="1" applyAlignment="1">
      <alignment horizontal="center"/>
    </xf>
    <xf numFmtId="0" fontId="35" fillId="11" borderId="0" xfId="0" quotePrefix="1" applyFont="1" applyFill="1" applyAlignment="1">
      <alignment horizontal="left"/>
    </xf>
    <xf numFmtId="0" fontId="36" fillId="11" borderId="0" xfId="0" applyFont="1" applyFill="1"/>
    <xf numFmtId="0" fontId="35" fillId="11" borderId="0" xfId="0" applyFont="1" applyFill="1"/>
    <xf numFmtId="0" fontId="38" fillId="12" borderId="0" xfId="0" quotePrefix="1" applyFont="1" applyFill="1" applyAlignment="1">
      <alignment horizontal="left"/>
    </xf>
    <xf numFmtId="0" fontId="37" fillId="12" borderId="0" xfId="0" applyFont="1" applyFill="1"/>
    <xf numFmtId="0" fontId="36" fillId="12" borderId="0" xfId="0" applyFont="1" applyFill="1"/>
    <xf numFmtId="0" fontId="38" fillId="12" borderId="0" xfId="0" applyFont="1" applyFill="1" applyAlignment="1">
      <alignment horizontal="left"/>
    </xf>
    <xf numFmtId="0" fontId="39" fillId="10" borderId="0" xfId="0" applyFont="1" applyFill="1" applyAlignment="1">
      <alignment horizontal="left"/>
    </xf>
    <xf numFmtId="0" fontId="0" fillId="11" borderId="0" xfId="0" applyFill="1"/>
    <xf numFmtId="0" fontId="22" fillId="0" borderId="0" xfId="0" applyFont="1"/>
    <xf numFmtId="164" fontId="19" fillId="0" borderId="66" xfId="0" applyNumberFormat="1" applyFont="1" applyBorder="1" applyAlignment="1">
      <alignment horizontal="right"/>
    </xf>
    <xf numFmtId="164" fontId="19" fillId="0" borderId="67" xfId="0" applyNumberFormat="1" applyFont="1" applyBorder="1"/>
    <xf numFmtId="0" fontId="19" fillId="0" borderId="17" xfId="0" applyFont="1" applyBorder="1"/>
    <xf numFmtId="0" fontId="9" fillId="0" borderId="6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3" fontId="9" fillId="0" borderId="25" xfId="1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center" vertical="center"/>
    </xf>
    <xf numFmtId="0" fontId="19" fillId="0" borderId="7" xfId="0" applyFont="1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164" fontId="19" fillId="0" borderId="12" xfId="0" applyNumberFormat="1" applyFont="1" applyBorder="1" applyAlignment="1">
      <alignment horizontal="right"/>
    </xf>
    <xf numFmtId="0" fontId="9" fillId="0" borderId="14" xfId="0" applyFont="1" applyBorder="1" applyAlignment="1">
      <alignment horizontal="center"/>
    </xf>
    <xf numFmtId="164" fontId="9" fillId="0" borderId="12" xfId="0" applyNumberFormat="1" applyFont="1" applyBorder="1" applyAlignment="1">
      <alignment horizontal="right"/>
    </xf>
    <xf numFmtId="0" fontId="22" fillId="0" borderId="13" xfId="3" quotePrefix="1" applyFont="1" applyBorder="1" applyAlignment="1">
      <alignment horizontal="left" wrapText="1"/>
    </xf>
    <xf numFmtId="0" fontId="9" fillId="10" borderId="7" xfId="0" applyFont="1" applyFill="1" applyBorder="1"/>
    <xf numFmtId="0" fontId="9" fillId="10" borderId="8" xfId="0" applyFont="1" applyFill="1" applyBorder="1" applyAlignment="1">
      <alignment horizontal="center"/>
    </xf>
    <xf numFmtId="0" fontId="9" fillId="10" borderId="15" xfId="0" applyFont="1" applyFill="1" applyBorder="1"/>
    <xf numFmtId="0" fontId="9" fillId="10" borderId="9" xfId="0" applyFont="1" applyFill="1" applyBorder="1"/>
    <xf numFmtId="0" fontId="9" fillId="10" borderId="17" xfId="0" applyFont="1" applyFill="1" applyBorder="1" applyAlignment="1">
      <alignment horizontal="centerContinuous"/>
    </xf>
    <xf numFmtId="0" fontId="9" fillId="10" borderId="0" xfId="0" applyFont="1" applyFill="1" applyAlignment="1">
      <alignment horizontal="centerContinuous"/>
    </xf>
    <xf numFmtId="0" fontId="9" fillId="10" borderId="18" xfId="0" applyFont="1" applyFill="1" applyBorder="1" applyAlignment="1">
      <alignment horizontal="centerContinuous"/>
    </xf>
    <xf numFmtId="0" fontId="9" fillId="10" borderId="13" xfId="0" applyFont="1" applyFill="1" applyBorder="1" applyAlignment="1">
      <alignment horizontal="center"/>
    </xf>
    <xf numFmtId="0" fontId="9" fillId="10" borderId="10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9" fillId="10" borderId="0" xfId="0" applyFont="1" applyFill="1"/>
    <xf numFmtId="0" fontId="19" fillId="10" borderId="17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9" fillId="10" borderId="13" xfId="0" applyFont="1" applyFill="1" applyBorder="1"/>
    <xf numFmtId="0" fontId="19" fillId="10" borderId="17" xfId="0" quotePrefix="1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19" fillId="10" borderId="13" xfId="0" applyFont="1" applyFill="1" applyBorder="1" applyAlignment="1">
      <alignment horizontal="center"/>
    </xf>
    <xf numFmtId="0" fontId="19" fillId="10" borderId="13" xfId="0" quotePrefix="1" applyFont="1" applyFill="1" applyBorder="1" applyAlignment="1">
      <alignment horizontal="center"/>
    </xf>
    <xf numFmtId="0" fontId="9" fillId="10" borderId="17" xfId="0" quotePrefix="1" applyFon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7" xfId="0" applyFill="1" applyBorder="1" applyAlignment="1">
      <alignment horizontal="left"/>
    </xf>
    <xf numFmtId="0" fontId="0" fillId="10" borderId="8" xfId="0" applyFill="1" applyBorder="1"/>
    <xf numFmtId="1" fontId="0" fillId="10" borderId="9" xfId="0" applyNumberFormat="1" applyFill="1" applyBorder="1"/>
    <xf numFmtId="0" fontId="0" fillId="10" borderId="15" xfId="0" applyFill="1" applyBorder="1"/>
    <xf numFmtId="0" fontId="9" fillId="10" borderId="17" xfId="0" applyFont="1" applyFill="1" applyBorder="1"/>
    <xf numFmtId="1" fontId="9" fillId="10" borderId="0" xfId="0" applyNumberFormat="1" applyFont="1" applyFill="1"/>
    <xf numFmtId="0" fontId="9" fillId="10" borderId="18" xfId="0" quotePrefix="1" applyFont="1" applyFill="1" applyBorder="1" applyAlignment="1">
      <alignment horizontal="center"/>
    </xf>
    <xf numFmtId="0" fontId="9" fillId="10" borderId="11" xfId="0" applyFont="1" applyFill="1" applyBorder="1"/>
    <xf numFmtId="1" fontId="9" fillId="10" borderId="11" xfId="0" applyNumberFormat="1" applyFont="1" applyFill="1" applyBorder="1"/>
    <xf numFmtId="0" fontId="9" fillId="10" borderId="12" xfId="0" applyFont="1" applyFill="1" applyBorder="1"/>
    <xf numFmtId="0" fontId="9" fillId="10" borderId="14" xfId="0" applyFont="1" applyFill="1" applyBorder="1"/>
    <xf numFmtId="164" fontId="0" fillId="0" borderId="65" xfId="0" applyNumberFormat="1" applyBorder="1"/>
    <xf numFmtId="38" fontId="0" fillId="0" borderId="68" xfId="1" applyNumberFormat="1" applyFont="1" applyBorder="1"/>
    <xf numFmtId="38" fontId="0" fillId="0" borderId="69" xfId="1" applyNumberFormat="1" applyFont="1" applyBorder="1"/>
    <xf numFmtId="38" fontId="0" fillId="0" borderId="67" xfId="1" applyNumberFormat="1" applyFont="1" applyBorder="1"/>
    <xf numFmtId="164" fontId="0" fillId="0" borderId="68" xfId="0" applyNumberFormat="1" applyBorder="1"/>
    <xf numFmtId="164" fontId="0" fillId="0" borderId="69" xfId="0" applyNumberFormat="1" applyBorder="1"/>
    <xf numFmtId="164" fontId="0" fillId="0" borderId="67" xfId="0" applyNumberFormat="1" applyBorder="1"/>
    <xf numFmtId="168" fontId="0" fillId="0" borderId="66" xfId="0" applyNumberFormat="1" applyBorder="1"/>
    <xf numFmtId="170" fontId="0" fillId="0" borderId="68" xfId="0" applyNumberFormat="1" applyBorder="1"/>
    <xf numFmtId="170" fontId="0" fillId="0" borderId="70" xfId="0" applyNumberFormat="1" applyBorder="1"/>
    <xf numFmtId="167" fontId="11" fillId="11" borderId="0" xfId="0" applyNumberFormat="1" applyFont="1" applyFill="1"/>
    <xf numFmtId="164" fontId="0" fillId="11" borderId="0" xfId="0" applyNumberFormat="1" applyFill="1" applyAlignment="1">
      <alignment horizontal="left"/>
    </xf>
    <xf numFmtId="0" fontId="19" fillId="10" borderId="7" xfId="0" applyFont="1" applyFill="1" applyBorder="1"/>
    <xf numFmtId="0" fontId="19" fillId="10" borderId="8" xfId="0" applyFont="1" applyFill="1" applyBorder="1"/>
    <xf numFmtId="0" fontId="19" fillId="10" borderId="9" xfId="0" applyFont="1" applyFill="1" applyBorder="1" applyAlignment="1">
      <alignment horizontal="center"/>
    </xf>
    <xf numFmtId="0" fontId="19" fillId="10" borderId="17" xfId="0" quotePrefix="1" applyFont="1" applyFill="1" applyBorder="1" applyAlignment="1">
      <alignment horizontal="right"/>
    </xf>
    <xf numFmtId="166" fontId="19" fillId="0" borderId="25" xfId="0" applyNumberFormat="1" applyFont="1" applyBorder="1"/>
    <xf numFmtId="0" fontId="19" fillId="10" borderId="13" xfId="0" applyFont="1" applyFill="1" applyBorder="1"/>
    <xf numFmtId="0" fontId="19" fillId="10" borderId="10" xfId="0" applyFont="1" applyFill="1" applyBorder="1" applyAlignment="1">
      <alignment horizontal="fill"/>
    </xf>
    <xf numFmtId="0" fontId="19" fillId="10" borderId="11" xfId="0" applyFont="1" applyFill="1" applyBorder="1" applyAlignment="1">
      <alignment horizontal="fill"/>
    </xf>
    <xf numFmtId="0" fontId="19" fillId="10" borderId="11" xfId="0" quotePrefix="1" applyFont="1" applyFill="1" applyBorder="1" applyAlignment="1">
      <alignment horizontal="left"/>
    </xf>
    <xf numFmtId="0" fontId="19" fillId="10" borderId="12" xfId="0" applyFont="1" applyFill="1" applyBorder="1" applyAlignment="1">
      <alignment horizontal="center"/>
    </xf>
    <xf numFmtId="0" fontId="19" fillId="10" borderId="12" xfId="0" quotePrefix="1" applyFont="1" applyFill="1" applyBorder="1" applyAlignment="1">
      <alignment horizontal="center"/>
    </xf>
    <xf numFmtId="0" fontId="19" fillId="10" borderId="12" xfId="0" quotePrefix="1" applyFont="1" applyFill="1" applyBorder="1" applyAlignment="1" applyProtection="1">
      <alignment horizontal="center"/>
      <protection locked="0"/>
    </xf>
    <xf numFmtId="0" fontId="9" fillId="0" borderId="2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171" fontId="9" fillId="0" borderId="25" xfId="0" applyNumberFormat="1" applyFont="1" applyBorder="1" applyAlignment="1">
      <alignment horizontal="center" vertical="center"/>
    </xf>
    <xf numFmtId="2" fontId="9" fillId="0" borderId="2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1" fillId="0" borderId="4" xfId="0" applyFont="1" applyBorder="1" applyAlignment="1" applyProtection="1">
      <alignment vertical="center"/>
      <protection locked="0"/>
    </xf>
    <xf numFmtId="164" fontId="9" fillId="0" borderId="25" xfId="0" applyNumberFormat="1" applyFont="1" applyBorder="1" applyAlignment="1">
      <alignment horizontal="center" vertical="center"/>
    </xf>
    <xf numFmtId="0" fontId="42" fillId="0" borderId="0" xfId="0" applyFont="1"/>
    <xf numFmtId="0" fontId="43" fillId="12" borderId="0" xfId="0" applyFont="1" applyFill="1"/>
    <xf numFmtId="0" fontId="44" fillId="0" borderId="0" xfId="0" applyFont="1"/>
    <xf numFmtId="0" fontId="45" fillId="10" borderId="0" xfId="0" applyFont="1" applyFill="1" applyAlignment="1">
      <alignment horizontal="left"/>
    </xf>
    <xf numFmtId="0" fontId="43" fillId="11" borderId="0" xfId="0" applyFont="1" applyFill="1"/>
    <xf numFmtId="0" fontId="46" fillId="10" borderId="9" xfId="0" applyFont="1" applyFill="1" applyBorder="1"/>
    <xf numFmtId="0" fontId="46" fillId="10" borderId="13" xfId="0" applyFont="1" applyFill="1" applyBorder="1" applyAlignment="1">
      <alignment horizontal="center"/>
    </xf>
    <xf numFmtId="0" fontId="46" fillId="10" borderId="13" xfId="0" applyFont="1" applyFill="1" applyBorder="1"/>
    <xf numFmtId="0" fontId="44" fillId="0" borderId="13" xfId="0" applyFont="1" applyBorder="1"/>
    <xf numFmtId="0" fontId="44" fillId="0" borderId="13" xfId="0" applyFont="1" applyBorder="1" applyAlignment="1">
      <alignment vertical="center"/>
    </xf>
    <xf numFmtId="0" fontId="46" fillId="0" borderId="13" xfId="0" applyFont="1" applyBorder="1" applyAlignment="1">
      <alignment horizontal="center"/>
    </xf>
    <xf numFmtId="0" fontId="44" fillId="0" borderId="12" xfId="0" applyFont="1" applyBorder="1" applyAlignment="1">
      <alignment vertical="center"/>
    </xf>
    <xf numFmtId="0" fontId="46" fillId="0" borderId="0" xfId="0" applyFont="1"/>
    <xf numFmtId="0" fontId="46" fillId="0" borderId="0" xfId="0" applyFont="1" applyAlignment="1">
      <alignment vertical="center"/>
    </xf>
    <xf numFmtId="0" fontId="46" fillId="10" borderId="13" xfId="0" applyFont="1" applyFill="1" applyBorder="1" applyAlignment="1">
      <alignment textRotation="90"/>
    </xf>
    <xf numFmtId="0" fontId="46" fillId="0" borderId="9" xfId="0" applyFont="1" applyBorder="1"/>
    <xf numFmtId="0" fontId="46" fillId="0" borderId="18" xfId="0" applyFont="1" applyBorder="1" applyAlignment="1">
      <alignment horizontal="center"/>
    </xf>
    <xf numFmtId="0" fontId="46" fillId="0" borderId="13" xfId="0" applyFont="1" applyBorder="1" applyAlignment="1" applyProtection="1">
      <alignment horizontal="center"/>
      <protection locked="0"/>
    </xf>
    <xf numFmtId="0" fontId="46" fillId="0" borderId="12" xfId="0" applyFont="1" applyBorder="1" applyAlignment="1">
      <alignment horizontal="center"/>
    </xf>
    <xf numFmtId="0" fontId="46" fillId="0" borderId="25" xfId="0" applyFont="1" applyBorder="1" applyAlignment="1">
      <alignment horizontal="center" vertical="center"/>
    </xf>
    <xf numFmtId="0" fontId="47" fillId="0" borderId="13" xfId="0" applyFont="1" applyBorder="1" applyAlignment="1">
      <alignment horizontal="left"/>
    </xf>
    <xf numFmtId="0" fontId="47" fillId="0" borderId="0" xfId="0" quotePrefix="1" applyFont="1" applyAlignment="1">
      <alignment horizontal="left"/>
    </xf>
    <xf numFmtId="0" fontId="47" fillId="0" borderId="10" xfId="0" applyFont="1" applyBorder="1"/>
    <xf numFmtId="0" fontId="47" fillId="0" borderId="0" xfId="0" applyFont="1"/>
    <xf numFmtId="9" fontId="47" fillId="0" borderId="0" xfId="0" applyNumberFormat="1" applyFont="1" applyAlignment="1">
      <alignment horizontal="center"/>
    </xf>
    <xf numFmtId="0" fontId="47" fillId="0" borderId="17" xfId="0" applyFont="1" applyBorder="1"/>
    <xf numFmtId="0" fontId="48" fillId="0" borderId="0" xfId="0" applyFont="1"/>
    <xf numFmtId="0" fontId="47" fillId="0" borderId="0" xfId="0" applyFont="1" applyAlignment="1">
      <alignment horizontal="right"/>
    </xf>
    <xf numFmtId="0" fontId="48" fillId="0" borderId="0" xfId="0" applyFont="1" applyAlignment="1">
      <alignment horizontal="left"/>
    </xf>
    <xf numFmtId="0" fontId="49" fillId="0" borderId="0" xfId="0" applyFont="1"/>
    <xf numFmtId="164" fontId="0" fillId="0" borderId="66" xfId="0" applyNumberFormat="1" applyBorder="1"/>
    <xf numFmtId="164" fontId="0" fillId="0" borderId="71" xfId="0" applyNumberFormat="1" applyBorder="1"/>
    <xf numFmtId="164" fontId="15" fillId="0" borderId="65" xfId="0" applyNumberFormat="1" applyFont="1" applyBorder="1"/>
    <xf numFmtId="164" fontId="0" fillId="0" borderId="65" xfId="0" quotePrefix="1" applyNumberFormat="1" applyBorder="1"/>
    <xf numFmtId="2" fontId="0" fillId="0" borderId="65" xfId="0" quotePrefix="1" applyNumberFormat="1" applyBorder="1"/>
    <xf numFmtId="164" fontId="15" fillId="0" borderId="72" xfId="4" applyNumberFormat="1" applyFont="1" applyFill="1" applyBorder="1" applyProtection="1"/>
    <xf numFmtId="164" fontId="0" fillId="0" borderId="73" xfId="0" applyNumberFormat="1" applyBorder="1"/>
    <xf numFmtId="164" fontId="15" fillId="0" borderId="74" xfId="4" applyNumberFormat="1" applyFont="1" applyFill="1" applyBorder="1" applyProtection="1"/>
    <xf numFmtId="164" fontId="15" fillId="0" borderId="75" xfId="4" applyNumberFormat="1" applyFont="1" applyFill="1" applyBorder="1" applyProtection="1"/>
    <xf numFmtId="1" fontId="0" fillId="0" borderId="65" xfId="0" applyNumberFormat="1" applyBorder="1"/>
    <xf numFmtId="164" fontId="0" fillId="0" borderId="65" xfId="0" applyNumberFormat="1" applyBorder="1" applyProtection="1">
      <protection locked="0"/>
    </xf>
    <xf numFmtId="167" fontId="35" fillId="11" borderId="0" xfId="0" applyNumberFormat="1" applyFont="1" applyFill="1" applyAlignment="1">
      <alignment horizontal="left"/>
    </xf>
    <xf numFmtId="167" fontId="36" fillId="11" borderId="0" xfId="0" applyNumberFormat="1" applyFont="1" applyFill="1"/>
    <xf numFmtId="0" fontId="50" fillId="13" borderId="0" xfId="0" applyFont="1" applyFill="1" applyAlignment="1">
      <alignment horizontal="center"/>
    </xf>
    <xf numFmtId="0" fontId="18" fillId="13" borderId="0" xfId="0" applyFont="1" applyFill="1"/>
    <xf numFmtId="0" fontId="51" fillId="13" borderId="0" xfId="0" applyFont="1" applyFill="1"/>
    <xf numFmtId="0" fontId="18" fillId="13" borderId="0" xfId="0" applyFont="1" applyFill="1" applyAlignment="1">
      <alignment horizontal="left"/>
    </xf>
    <xf numFmtId="0" fontId="52" fillId="13" borderId="0" xfId="0" applyFont="1" applyFill="1"/>
    <xf numFmtId="0" fontId="18" fillId="13" borderId="0" xfId="0" applyFont="1" applyFill="1" applyAlignment="1">
      <alignment vertical="center"/>
    </xf>
    <xf numFmtId="0" fontId="19" fillId="13" borderId="0" xfId="0" applyFont="1" applyFill="1" applyAlignment="1">
      <alignment horizontal="center"/>
    </xf>
    <xf numFmtId="0" fontId="19" fillId="13" borderId="0" xfId="0" applyFont="1" applyFill="1"/>
    <xf numFmtId="0" fontId="0" fillId="10" borderId="2" xfId="0" applyFill="1" applyBorder="1" applyAlignment="1">
      <alignment horizontal="center"/>
    </xf>
    <xf numFmtId="0" fontId="0" fillId="10" borderId="62" xfId="0" applyFill="1" applyBorder="1" applyAlignment="1">
      <alignment horizontal="center"/>
    </xf>
    <xf numFmtId="0" fontId="24" fillId="10" borderId="13" xfId="0" quotePrefix="1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12" xfId="0" quotePrefix="1" applyFont="1" applyFill="1" applyBorder="1" applyAlignment="1">
      <alignment horizontal="center"/>
    </xf>
    <xf numFmtId="0" fontId="0" fillId="10" borderId="16" xfId="0" applyFill="1" applyBorder="1"/>
    <xf numFmtId="0" fontId="0" fillId="10" borderId="0" xfId="0" applyFill="1" applyAlignment="1">
      <alignment horizontal="centerContinuous"/>
    </xf>
    <xf numFmtId="0" fontId="9" fillId="10" borderId="19" xfId="0" applyFont="1" applyFill="1" applyBorder="1" applyAlignment="1">
      <alignment horizontal="centerContinuous"/>
    </xf>
    <xf numFmtId="0" fontId="0" fillId="10" borderId="18" xfId="0" applyFill="1" applyBorder="1" applyAlignment="1">
      <alignment horizontal="centerContinuous"/>
    </xf>
    <xf numFmtId="0" fontId="0" fillId="10" borderId="19" xfId="0" applyFill="1" applyBorder="1"/>
    <xf numFmtId="0" fontId="0" fillId="10" borderId="0" xfId="0" applyFill="1"/>
    <xf numFmtId="0" fontId="0" fillId="10" borderId="18" xfId="0" applyFill="1" applyBorder="1"/>
    <xf numFmtId="0" fontId="0" fillId="10" borderId="17" xfId="0" applyFill="1" applyBorder="1"/>
    <xf numFmtId="0" fontId="9" fillId="10" borderId="18" xfId="0" applyFont="1" applyFill="1" applyBorder="1" applyAlignment="1">
      <alignment horizontal="center"/>
    </xf>
    <xf numFmtId="0" fontId="0" fillId="10" borderId="10" xfId="0" applyFill="1" applyBorder="1"/>
    <xf numFmtId="0" fontId="0" fillId="10" borderId="11" xfId="0" applyFill="1" applyBorder="1"/>
    <xf numFmtId="0" fontId="0" fillId="10" borderId="14" xfId="0" applyFill="1" applyBorder="1"/>
    <xf numFmtId="0" fontId="9" fillId="10" borderId="21" xfId="0" applyFont="1" applyFill="1" applyBorder="1" applyAlignment="1">
      <alignment horizontal="center"/>
    </xf>
    <xf numFmtId="0" fontId="0" fillId="10" borderId="12" xfId="0" applyFill="1" applyBorder="1"/>
    <xf numFmtId="0" fontId="9" fillId="10" borderId="20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left"/>
    </xf>
    <xf numFmtId="0" fontId="9" fillId="10" borderId="25" xfId="0" applyFont="1" applyFill="1" applyBorder="1" applyAlignment="1">
      <alignment horizontal="center"/>
    </xf>
    <xf numFmtId="1" fontId="9" fillId="10" borderId="25" xfId="0" applyNumberFormat="1" applyFont="1" applyFill="1" applyBorder="1" applyAlignment="1">
      <alignment horizontal="center"/>
    </xf>
    <xf numFmtId="0" fontId="9" fillId="10" borderId="25" xfId="0" quotePrefix="1" applyFont="1" applyFill="1" applyBorder="1" applyAlignment="1">
      <alignment horizontal="center"/>
    </xf>
    <xf numFmtId="0" fontId="22" fillId="0" borderId="0" xfId="8">
      <alignment vertical="center"/>
    </xf>
    <xf numFmtId="0" fontId="22" fillId="5" borderId="77" xfId="7" applyFont="1" applyFill="1" applyBorder="1" applyAlignment="1">
      <alignment horizontal="center" vertical="center"/>
    </xf>
    <xf numFmtId="0" fontId="22" fillId="5" borderId="8" xfId="7" applyFont="1" applyFill="1" applyBorder="1" applyAlignment="1">
      <alignment wrapText="1"/>
    </xf>
    <xf numFmtId="0" fontId="22" fillId="5" borderId="79" xfId="7" applyFont="1" applyFill="1" applyBorder="1" applyAlignment="1">
      <alignment wrapText="1"/>
    </xf>
    <xf numFmtId="0" fontId="22" fillId="5" borderId="80" xfId="7" applyFont="1" applyFill="1" applyBorder="1" applyAlignment="1">
      <alignment wrapText="1"/>
    </xf>
    <xf numFmtId="0" fontId="57" fillId="0" borderId="81" xfId="0" quotePrefix="1" applyFont="1" applyBorder="1" applyAlignment="1">
      <alignment horizontal="right" vertical="top"/>
    </xf>
    <xf numFmtId="0" fontId="58" fillId="0" borderId="0" xfId="0" quotePrefix="1" applyFont="1" applyAlignment="1">
      <alignment horizontal="right" vertical="top"/>
    </xf>
    <xf numFmtId="49" fontId="22" fillId="5" borderId="78" xfId="7" quotePrefix="1" applyNumberFormat="1" applyFont="1" applyFill="1" applyBorder="1" applyAlignment="1">
      <alignment horizontal="right" wrapText="1"/>
    </xf>
    <xf numFmtId="14" fontId="22" fillId="5" borderId="9" xfId="7" applyNumberFormat="1" applyFont="1" applyFill="1" applyBorder="1" applyAlignment="1">
      <alignment vertical="center"/>
    </xf>
    <xf numFmtId="0" fontId="53" fillId="14" borderId="83" xfId="5" applyBorder="1"/>
    <xf numFmtId="0" fontId="5" fillId="15" borderId="25" xfId="6" applyBorder="1"/>
    <xf numFmtId="0" fontId="18" fillId="0" borderId="0" xfId="0" applyFont="1" applyAlignment="1">
      <alignment horizontal="center"/>
    </xf>
    <xf numFmtId="2" fontId="53" fillId="14" borderId="83" xfId="5" applyNumberFormat="1" applyBorder="1"/>
    <xf numFmtId="1" fontId="53" fillId="14" borderId="83" xfId="5" applyNumberFormat="1" applyBorder="1"/>
    <xf numFmtId="0" fontId="21" fillId="0" borderId="0" xfId="0" quotePrefix="1" applyFont="1"/>
    <xf numFmtId="0" fontId="22" fillId="5" borderId="19" xfId="7" applyFont="1" applyFill="1" applyBorder="1" applyAlignment="1">
      <alignment horizontal="center"/>
    </xf>
    <xf numFmtId="0" fontId="0" fillId="0" borderId="82" xfId="0" applyBorder="1"/>
    <xf numFmtId="0" fontId="0" fillId="0" borderId="89" xfId="0" applyBorder="1"/>
    <xf numFmtId="0" fontId="0" fillId="0" borderId="90" xfId="0" applyBorder="1"/>
    <xf numFmtId="0" fontId="18" fillId="0" borderId="90" xfId="0" applyFont="1" applyBorder="1" applyAlignment="1">
      <alignment horizontal="center"/>
    </xf>
    <xf numFmtId="0" fontId="0" fillId="0" borderId="91" xfId="0" applyBorder="1"/>
    <xf numFmtId="0" fontId="0" fillId="0" borderId="92" xfId="0" applyBorder="1"/>
    <xf numFmtId="0" fontId="0" fillId="0" borderId="93" xfId="0" applyBorder="1"/>
    <xf numFmtId="0" fontId="0" fillId="0" borderId="95" xfId="0" applyBorder="1"/>
    <xf numFmtId="0" fontId="18" fillId="0" borderId="95" xfId="0" applyFont="1" applyBorder="1" applyAlignment="1">
      <alignment horizontal="center"/>
    </xf>
    <xf numFmtId="0" fontId="5" fillId="15" borderId="96" xfId="6" applyBorder="1"/>
    <xf numFmtId="0" fontId="0" fillId="0" borderId="94" xfId="0" applyBorder="1"/>
    <xf numFmtId="0" fontId="0" fillId="0" borderId="97" xfId="0" applyBorder="1"/>
    <xf numFmtId="0" fontId="0" fillId="0" borderId="98" xfId="0" applyBorder="1"/>
    <xf numFmtId="40" fontId="53" fillId="14" borderId="83" xfId="1" applyFont="1" applyFill="1" applyBorder="1"/>
    <xf numFmtId="14" fontId="22" fillId="5" borderId="9" xfId="7" applyNumberFormat="1" applyFont="1" applyFill="1" applyBorder="1" applyAlignment="1">
      <alignment horizontal="center" vertical="center"/>
    </xf>
    <xf numFmtId="0" fontId="22" fillId="5" borderId="99" xfId="7" applyFont="1" applyFill="1" applyBorder="1" applyAlignment="1">
      <alignment horizontal="center" vertical="center"/>
    </xf>
    <xf numFmtId="164" fontId="53" fillId="14" borderId="87" xfId="5" applyNumberFormat="1" applyBorder="1"/>
    <xf numFmtId="164" fontId="53" fillId="14" borderId="88" xfId="5" applyNumberFormat="1" applyBorder="1"/>
    <xf numFmtId="164" fontId="53" fillId="14" borderId="83" xfId="5" applyNumberFormat="1" applyBorder="1"/>
    <xf numFmtId="0" fontId="53" fillId="14" borderId="25" xfId="5" applyBorder="1" applyAlignment="1">
      <alignment horizontal="right"/>
    </xf>
    <xf numFmtId="0" fontId="53" fillId="14" borderId="83" xfId="5" applyBorder="1" applyAlignment="1">
      <alignment horizontal="right"/>
    </xf>
    <xf numFmtId="2" fontId="53" fillId="14" borderId="83" xfId="5" applyNumberFormat="1" applyBorder="1" applyAlignment="1">
      <alignment horizontal="right"/>
    </xf>
    <xf numFmtId="1" fontId="53" fillId="14" borderId="83" xfId="5" applyNumberFormat="1" applyBorder="1" applyAlignment="1">
      <alignment horizontal="right"/>
    </xf>
    <xf numFmtId="38" fontId="53" fillId="14" borderId="83" xfId="5" applyNumberFormat="1" applyBorder="1" applyAlignment="1">
      <alignment horizontal="right"/>
    </xf>
    <xf numFmtId="40" fontId="53" fillId="14" borderId="83" xfId="1" applyFont="1" applyFill="1" applyBorder="1" applyAlignment="1">
      <alignment horizontal="right"/>
    </xf>
    <xf numFmtId="49" fontId="22" fillId="5" borderId="78" xfId="7" quotePrefix="1" applyNumberFormat="1" applyFont="1" applyFill="1" applyBorder="1" applyAlignment="1">
      <alignment horizontal="right"/>
    </xf>
    <xf numFmtId="14" fontId="22" fillId="5" borderId="21" xfId="7" applyNumberFormat="1" applyFont="1" applyFill="1" applyBorder="1" applyAlignment="1">
      <alignment horizontal="center" vertical="center"/>
    </xf>
    <xf numFmtId="0" fontId="0" fillId="16" borderId="102" xfId="0" applyFill="1" applyBorder="1"/>
    <xf numFmtId="0" fontId="0" fillId="16" borderId="103" xfId="0" applyFill="1" applyBorder="1"/>
    <xf numFmtId="0" fontId="9" fillId="10" borderId="18" xfId="0" applyFont="1" applyFill="1" applyBorder="1"/>
    <xf numFmtId="0" fontId="9" fillId="6" borderId="104" xfId="4" applyFont="1" applyFill="1" applyBorder="1">
      <protection locked="0"/>
    </xf>
    <xf numFmtId="0" fontId="9" fillId="7" borderId="104" xfId="0" applyFont="1" applyFill="1" applyBorder="1"/>
    <xf numFmtId="1" fontId="18" fillId="0" borderId="105" xfId="4" applyNumberFormat="1" applyFont="1" applyFill="1" applyBorder="1">
      <protection locked="0"/>
    </xf>
    <xf numFmtId="166" fontId="0" fillId="0" borderId="36" xfId="0" applyNumberFormat="1" applyBorder="1"/>
    <xf numFmtId="1" fontId="9" fillId="6" borderId="104" xfId="4" applyNumberFormat="1" applyFont="1" applyFill="1" applyBorder="1">
      <protection locked="0"/>
    </xf>
    <xf numFmtId="164" fontId="9" fillId="6" borderId="104" xfId="4" applyNumberFormat="1" applyFont="1" applyFill="1" applyBorder="1" applyAlignment="1">
      <alignment horizontal="right"/>
      <protection locked="0"/>
    </xf>
    <xf numFmtId="2" fontId="9" fillId="6" borderId="104" xfId="4" applyNumberFormat="1" applyFont="1" applyFill="1" applyBorder="1">
      <protection locked="0"/>
    </xf>
    <xf numFmtId="38" fontId="9" fillId="6" borderId="104" xfId="1" applyNumberFormat="1" applyFont="1" applyFill="1" applyBorder="1" applyProtection="1">
      <protection locked="0"/>
    </xf>
    <xf numFmtId="38" fontId="9" fillId="6" borderId="104" xfId="1" quotePrefix="1" applyNumberFormat="1" applyFont="1" applyFill="1" applyBorder="1" applyAlignment="1" applyProtection="1">
      <alignment horizontal="right"/>
      <protection locked="0"/>
    </xf>
    <xf numFmtId="164" fontId="9" fillId="8" borderId="36" xfId="4" applyNumberFormat="1" applyFont="1" applyFill="1" applyBorder="1">
      <protection locked="0"/>
    </xf>
    <xf numFmtId="164" fontId="9" fillId="6" borderId="104" xfId="4" applyNumberFormat="1" applyFont="1" applyFill="1" applyBorder="1">
      <protection locked="0"/>
    </xf>
    <xf numFmtId="170" fontId="9" fillId="6" borderId="104" xfId="4" applyNumberFormat="1" applyFont="1" applyFill="1" applyBorder="1">
      <protection locked="0"/>
    </xf>
    <xf numFmtId="168" fontId="9" fillId="7" borderId="104" xfId="0" applyNumberFormat="1" applyFont="1" applyFill="1" applyBorder="1"/>
    <xf numFmtId="2" fontId="0" fillId="0" borderId="106" xfId="0" applyNumberFormat="1" applyBorder="1"/>
    <xf numFmtId="166" fontId="0" fillId="0" borderId="36" xfId="0" applyNumberFormat="1" applyBorder="1" applyAlignment="1">
      <alignment horizontal="right"/>
    </xf>
    <xf numFmtId="0" fontId="0" fillId="0" borderId="23" xfId="0" quotePrefix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0" quotePrefix="1" applyBorder="1" applyAlignment="1">
      <alignment horizontal="center"/>
    </xf>
    <xf numFmtId="1" fontId="19" fillId="6" borderId="24" xfId="0" applyNumberFormat="1" applyFont="1" applyFill="1" applyBorder="1" applyAlignment="1" applyProtection="1">
      <alignment horizontal="center"/>
      <protection locked="0"/>
    </xf>
    <xf numFmtId="0" fontId="19" fillId="6" borderId="29" xfId="0" applyFont="1" applyFill="1" applyBorder="1" applyAlignment="1" applyProtection="1">
      <alignment horizontal="center"/>
      <protection locked="0"/>
    </xf>
    <xf numFmtId="1" fontId="19" fillId="6" borderId="29" xfId="0" applyNumberFormat="1" applyFont="1" applyFill="1" applyBorder="1" applyAlignment="1" applyProtection="1">
      <alignment horizontal="center"/>
      <protection locked="0"/>
    </xf>
    <xf numFmtId="2" fontId="19" fillId="6" borderId="29" xfId="0" applyNumberFormat="1" applyFont="1" applyFill="1" applyBorder="1" applyAlignment="1" applyProtection="1">
      <alignment horizontal="center"/>
      <protection locked="0"/>
    </xf>
    <xf numFmtId="0" fontId="19" fillId="9" borderId="29" xfId="0" applyFont="1" applyFill="1" applyBorder="1" applyAlignment="1" applyProtection="1">
      <alignment horizontal="center"/>
      <protection locked="0"/>
    </xf>
    <xf numFmtId="0" fontId="19" fillId="8" borderId="29" xfId="0" applyFont="1" applyFill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11" fillId="0" borderId="18" xfId="0" applyFont="1" applyBorder="1" applyProtection="1">
      <protection locked="0"/>
    </xf>
    <xf numFmtId="166" fontId="19" fillId="6" borderId="5" xfId="0" applyNumberFormat="1" applyFont="1" applyFill="1" applyBorder="1" applyAlignment="1" applyProtection="1">
      <alignment horizontal="center"/>
      <protection locked="0"/>
    </xf>
    <xf numFmtId="166" fontId="19" fillId="6" borderId="103" xfId="0" applyNumberFormat="1" applyFont="1" applyFill="1" applyBorder="1" applyAlignment="1">
      <alignment horizontal="center"/>
    </xf>
    <xf numFmtId="166" fontId="0" fillId="0" borderId="103" xfId="0" applyNumberFormat="1" applyBorder="1" applyAlignment="1">
      <alignment horizontal="center"/>
    </xf>
    <xf numFmtId="166" fontId="19" fillId="6" borderId="108" xfId="0" applyNumberFormat="1" applyFont="1" applyFill="1" applyBorder="1" applyAlignment="1">
      <alignment horizontal="center"/>
    </xf>
    <xf numFmtId="166" fontId="19" fillId="6" borderId="24" xfId="0" applyNumberFormat="1" applyFont="1" applyFill="1" applyBorder="1" applyAlignment="1" applyProtection="1">
      <alignment horizontal="center"/>
      <protection locked="0"/>
    </xf>
    <xf numFmtId="166" fontId="19" fillId="6" borderId="29" xfId="0" applyNumberFormat="1" applyFont="1" applyFill="1" applyBorder="1" applyAlignment="1" applyProtection="1">
      <alignment horizontal="center"/>
      <protection locked="0"/>
    </xf>
    <xf numFmtId="0" fontId="9" fillId="9" borderId="13" xfId="0" quotePrefix="1" applyFont="1" applyFill="1" applyBorder="1" applyAlignment="1" applyProtection="1">
      <alignment horizontal="center"/>
      <protection locked="0"/>
    </xf>
    <xf numFmtId="166" fontId="0" fillId="0" borderId="12" xfId="0" applyNumberFormat="1" applyBorder="1" applyAlignment="1">
      <alignment horizontal="center"/>
    </xf>
    <xf numFmtId="164" fontId="19" fillId="6" borderId="110" xfId="0" applyNumberFormat="1" applyFont="1" applyFill="1" applyBorder="1" applyAlignment="1" applyProtection="1">
      <alignment horizontal="center"/>
      <protection locked="0"/>
    </xf>
    <xf numFmtId="1" fontId="19" fillId="6" borderId="110" xfId="0" applyNumberFormat="1" applyFont="1" applyFill="1" applyBorder="1" applyAlignment="1" applyProtection="1">
      <alignment horizontal="center"/>
      <protection locked="0"/>
    </xf>
    <xf numFmtId="2" fontId="19" fillId="6" borderId="110" xfId="0" applyNumberFormat="1" applyFont="1" applyFill="1" applyBorder="1" applyAlignment="1" applyProtection="1">
      <alignment horizontal="center"/>
      <protection locked="0"/>
    </xf>
    <xf numFmtId="0" fontId="19" fillId="9" borderId="110" xfId="0" applyFont="1" applyFill="1" applyBorder="1" applyAlignment="1" applyProtection="1">
      <alignment horizontal="center"/>
      <protection locked="0"/>
    </xf>
    <xf numFmtId="164" fontId="19" fillId="9" borderId="110" xfId="0" applyNumberFormat="1" applyFont="1" applyFill="1" applyBorder="1" applyAlignment="1" applyProtection="1">
      <alignment horizontal="center"/>
      <protection locked="0"/>
    </xf>
    <xf numFmtId="164" fontId="19" fillId="8" borderId="110" xfId="0" applyNumberFormat="1" applyFont="1" applyFill="1" applyBorder="1" applyAlignment="1" applyProtection="1">
      <alignment horizontal="center"/>
      <protection locked="0"/>
    </xf>
    <xf numFmtId="0" fontId="11" fillId="0" borderId="111" xfId="0" applyFont="1" applyBorder="1" applyAlignment="1" applyProtection="1">
      <alignment horizontal="center"/>
      <protection locked="0"/>
    </xf>
    <xf numFmtId="0" fontId="11" fillId="0" borderId="112" xfId="0" applyFont="1" applyBorder="1" applyAlignment="1" applyProtection="1">
      <alignment horizontal="center"/>
      <protection locked="0"/>
    </xf>
    <xf numFmtId="0" fontId="11" fillId="0" borderId="111" xfId="0" applyFont="1" applyBorder="1" applyProtection="1">
      <protection locked="0"/>
    </xf>
    <xf numFmtId="166" fontId="19" fillId="6" borderId="109" xfId="0" applyNumberFormat="1" applyFont="1" applyFill="1" applyBorder="1" applyAlignment="1" applyProtection="1">
      <alignment horizontal="center"/>
      <protection locked="0"/>
    </xf>
    <xf numFmtId="166" fontId="19" fillId="6" borderId="110" xfId="0" applyNumberFormat="1" applyFont="1" applyFill="1" applyBorder="1" applyAlignment="1">
      <alignment horizontal="center"/>
    </xf>
    <xf numFmtId="166" fontId="0" fillId="0" borderId="110" xfId="0" applyNumberFormat="1" applyBorder="1" applyAlignment="1">
      <alignment horizontal="center"/>
    </xf>
    <xf numFmtId="1" fontId="0" fillId="0" borderId="111" xfId="0" applyNumberFormat="1" applyBorder="1" applyAlignment="1">
      <alignment horizontal="center"/>
    </xf>
    <xf numFmtId="169" fontId="0" fillId="0" borderId="110" xfId="0" applyNumberFormat="1" applyBorder="1" applyAlignment="1">
      <alignment horizontal="center"/>
    </xf>
    <xf numFmtId="166" fontId="19" fillId="6" borderId="110" xfId="0" applyNumberFormat="1" applyFont="1" applyFill="1" applyBorder="1" applyAlignment="1" applyProtection="1">
      <alignment horizontal="center"/>
      <protection locked="0"/>
    </xf>
    <xf numFmtId="1" fontId="0" fillId="0" borderId="113" xfId="0" applyNumberFormat="1" applyBorder="1" applyAlignment="1">
      <alignment horizontal="center"/>
    </xf>
    <xf numFmtId="0" fontId="0" fillId="3" borderId="105" xfId="0" applyFill="1" applyBorder="1"/>
    <xf numFmtId="0" fontId="0" fillId="13" borderId="104" xfId="0" applyFill="1" applyBorder="1"/>
    <xf numFmtId="0" fontId="15" fillId="4" borderId="0" xfId="0" quotePrefix="1" applyFont="1" applyFill="1" applyAlignment="1">
      <alignment horizontal="left"/>
    </xf>
    <xf numFmtId="166" fontId="0" fillId="0" borderId="65" xfId="0" applyNumberFormat="1" applyBorder="1"/>
    <xf numFmtId="164" fontId="18" fillId="0" borderId="65" xfId="4" applyNumberFormat="1" applyFont="1" applyFill="1" applyBorder="1">
      <protection locked="0"/>
    </xf>
    <xf numFmtId="49" fontId="9" fillId="4" borderId="0" xfId="0" applyNumberFormat="1" applyFont="1" applyFill="1" applyAlignment="1">
      <alignment horizontal="left"/>
    </xf>
    <xf numFmtId="166" fontId="9" fillId="6" borderId="36" xfId="4" applyNumberFormat="1" applyFont="1" applyFill="1" applyBorder="1">
      <protection locked="0"/>
    </xf>
    <xf numFmtId="0" fontId="60" fillId="13" borderId="0" xfId="0" applyFont="1" applyFill="1"/>
    <xf numFmtId="166" fontId="19" fillId="6" borderId="107" xfId="0" applyNumberFormat="1" applyFont="1" applyFill="1" applyBorder="1" applyAlignment="1" applyProtection="1">
      <alignment horizontal="center"/>
      <protection locked="0"/>
    </xf>
    <xf numFmtId="164" fontId="61" fillId="8" borderId="1" xfId="4" applyNumberFormat="1" applyFont="1" applyFill="1">
      <protection locked="0"/>
    </xf>
    <xf numFmtId="1" fontId="62" fillId="6" borderId="104" xfId="4" applyNumberFormat="1" applyFont="1" applyFill="1" applyBorder="1">
      <protection locked="0"/>
    </xf>
    <xf numFmtId="0" fontId="60" fillId="0" borderId="0" xfId="0" applyFont="1"/>
    <xf numFmtId="166" fontId="9" fillId="6" borderId="22" xfId="0" applyNumberFormat="1" applyFont="1" applyFill="1" applyBorder="1" applyAlignment="1" applyProtection="1">
      <alignment horizontal="center"/>
      <protection locked="0"/>
    </xf>
    <xf numFmtId="38" fontId="9" fillId="6" borderId="1" xfId="1" applyNumberFormat="1" applyFont="1" applyFill="1" applyBorder="1" applyAlignment="1" applyProtection="1">
      <alignment horizontal="right"/>
      <protection locked="0"/>
    </xf>
    <xf numFmtId="0" fontId="9" fillId="17" borderId="0" xfId="0" applyFont="1" applyFill="1" applyAlignment="1">
      <alignment wrapText="1"/>
    </xf>
    <xf numFmtId="1" fontId="15" fillId="0" borderId="111" xfId="0" applyNumberFormat="1" applyFont="1" applyBorder="1" applyAlignment="1">
      <alignment horizontal="center"/>
    </xf>
    <xf numFmtId="1" fontId="19" fillId="9" borderId="29" xfId="0" applyNumberFormat="1" applyFont="1" applyFill="1" applyBorder="1" applyAlignment="1">
      <alignment horizontal="center"/>
    </xf>
    <xf numFmtId="1" fontId="9" fillId="6" borderId="0" xfId="4" applyNumberFormat="1" applyFont="1" applyFill="1" applyBorder="1" applyAlignment="1">
      <alignment horizontal="left"/>
      <protection locked="0"/>
    </xf>
    <xf numFmtId="174" fontId="19" fillId="6" borderId="0" xfId="1" applyNumberFormat="1" applyFont="1" applyFill="1" applyBorder="1" applyAlignment="1" applyProtection="1">
      <alignment horizontal="center"/>
      <protection locked="0"/>
    </xf>
    <xf numFmtId="40" fontId="19" fillId="6" borderId="0" xfId="1" applyFont="1" applyFill="1" applyBorder="1" applyAlignment="1" applyProtection="1">
      <alignment horizontal="center"/>
      <protection locked="0"/>
    </xf>
    <xf numFmtId="38" fontId="19" fillId="0" borderId="0" xfId="1" applyNumberFormat="1" applyFont="1" applyFill="1" applyBorder="1" applyAlignment="1" applyProtection="1">
      <alignment horizontal="center"/>
      <protection locked="0"/>
    </xf>
    <xf numFmtId="173" fontId="19" fillId="6" borderId="0" xfId="1" applyNumberFormat="1" applyFont="1" applyFill="1" applyBorder="1" applyAlignment="1" applyProtection="1">
      <alignment horizontal="center"/>
      <protection locked="0"/>
    </xf>
    <xf numFmtId="164" fontId="19" fillId="6" borderId="0" xfId="4" applyNumberFormat="1" applyFont="1" applyFill="1" applyBorder="1" applyAlignment="1">
      <alignment horizontal="center"/>
      <protection locked="0"/>
    </xf>
    <xf numFmtId="1" fontId="9" fillId="6" borderId="0" xfId="4" applyNumberFormat="1" applyFont="1" applyFill="1" applyBorder="1" applyAlignment="1">
      <alignment horizontal="center"/>
      <protection locked="0"/>
    </xf>
    <xf numFmtId="0" fontId="15" fillId="8" borderId="5" xfId="0" applyFont="1" applyFill="1" applyBorder="1" applyAlignment="1" applyProtection="1">
      <alignment horizontal="left"/>
      <protection locked="0"/>
    </xf>
    <xf numFmtId="0" fontId="0" fillId="0" borderId="25" xfId="0" applyBorder="1"/>
    <xf numFmtId="0" fontId="15" fillId="13" borderId="25" xfId="0" applyFont="1" applyFill="1" applyBorder="1"/>
    <xf numFmtId="0" fontId="0" fillId="13" borderId="25" xfId="0" applyFill="1" applyBorder="1"/>
    <xf numFmtId="2" fontId="63" fillId="0" borderId="0" xfId="0" applyNumberFormat="1" applyFont="1"/>
    <xf numFmtId="38" fontId="0" fillId="0" borderId="0" xfId="0" applyNumberFormat="1"/>
    <xf numFmtId="173" fontId="0" fillId="0" borderId="0" xfId="0" applyNumberFormat="1"/>
    <xf numFmtId="172" fontId="0" fillId="0" borderId="0" xfId="0" applyNumberFormat="1"/>
    <xf numFmtId="0" fontId="15" fillId="0" borderId="0" xfId="0" applyFont="1" applyAlignment="1">
      <alignment horizontal="center"/>
    </xf>
    <xf numFmtId="2" fontId="9" fillId="9" borderId="1" xfId="4" applyNumberFormat="1" applyFont="1" applyFill="1">
      <protection locked="0"/>
    </xf>
    <xf numFmtId="0" fontId="15" fillId="18" borderId="25" xfId="0" applyFont="1" applyFill="1" applyBorder="1" applyAlignment="1">
      <alignment horizontal="right"/>
    </xf>
    <xf numFmtId="0" fontId="0" fillId="18" borderId="25" xfId="0" applyFill="1" applyBorder="1"/>
    <xf numFmtId="0" fontId="0" fillId="19" borderId="25" xfId="0" applyFill="1" applyBorder="1"/>
    <xf numFmtId="0" fontId="15" fillId="19" borderId="25" xfId="0" applyFont="1" applyFill="1" applyBorder="1"/>
    <xf numFmtId="172" fontId="0" fillId="19" borderId="25" xfId="0" applyNumberFormat="1" applyFill="1" applyBorder="1"/>
    <xf numFmtId="2" fontId="0" fillId="19" borderId="25" xfId="0" applyNumberFormat="1" applyFill="1" applyBorder="1"/>
    <xf numFmtId="166" fontId="0" fillId="19" borderId="25" xfId="0" applyNumberFormat="1" applyFill="1" applyBorder="1"/>
    <xf numFmtId="1" fontId="9" fillId="6" borderId="43" xfId="0" applyNumberFormat="1" applyFont="1" applyFill="1" applyBorder="1" applyAlignment="1" applyProtection="1">
      <alignment horizontal="center"/>
      <protection locked="0"/>
    </xf>
    <xf numFmtId="0" fontId="9" fillId="6" borderId="42" xfId="0" applyFont="1" applyFill="1" applyBorder="1" applyAlignment="1" applyProtection="1">
      <alignment horizontal="center"/>
      <protection locked="0"/>
    </xf>
    <xf numFmtId="1" fontId="9" fillId="6" borderId="42" xfId="0" applyNumberFormat="1" applyFont="1" applyFill="1" applyBorder="1" applyAlignment="1" applyProtection="1">
      <alignment horizontal="center"/>
      <protection locked="0"/>
    </xf>
    <xf numFmtId="2" fontId="9" fillId="6" borderId="42" xfId="0" applyNumberFormat="1" applyFont="1" applyFill="1" applyBorder="1" applyAlignment="1" applyProtection="1">
      <alignment horizontal="center"/>
      <protection locked="0"/>
    </xf>
    <xf numFmtId="40" fontId="9" fillId="6" borderId="0" xfId="1" applyFont="1" applyFill="1" applyBorder="1" applyAlignment="1" applyProtection="1">
      <alignment horizontal="center"/>
      <protection locked="0"/>
    </xf>
    <xf numFmtId="0" fontId="9" fillId="17" borderId="0" xfId="0" applyFont="1" applyFill="1"/>
    <xf numFmtId="10" fontId="0" fillId="0" borderId="0" xfId="0" applyNumberFormat="1"/>
    <xf numFmtId="10" fontId="9" fillId="0" borderId="0" xfId="0" applyNumberFormat="1" applyFont="1"/>
    <xf numFmtId="173" fontId="9" fillId="0" borderId="22" xfId="1" applyNumberFormat="1" applyFont="1" applyFill="1" applyBorder="1" applyAlignment="1">
      <alignment horizontal="right"/>
    </xf>
    <xf numFmtId="0" fontId="64" fillId="6" borderId="42" xfId="0" applyFont="1" applyFill="1" applyBorder="1" applyAlignment="1" applyProtection="1">
      <alignment horizontal="center"/>
      <protection locked="0"/>
    </xf>
    <xf numFmtId="2" fontId="64" fillId="6" borderId="110" xfId="0" applyNumberFormat="1" applyFont="1" applyFill="1" applyBorder="1" applyAlignment="1" applyProtection="1">
      <alignment horizontal="center"/>
      <protection locked="0"/>
    </xf>
    <xf numFmtId="166" fontId="14" fillId="0" borderId="0" xfId="0" applyNumberFormat="1" applyFont="1"/>
    <xf numFmtId="166" fontId="0" fillId="0" borderId="0" xfId="0" quotePrefix="1" applyNumberFormat="1"/>
    <xf numFmtId="0" fontId="65" fillId="0" borderId="115" xfId="0" applyFont="1" applyBorder="1" applyAlignment="1">
      <alignment wrapText="1"/>
    </xf>
    <xf numFmtId="0" fontId="66" fillId="0" borderId="115" xfId="0" applyFont="1" applyBorder="1" applyAlignment="1">
      <alignment wrapText="1"/>
    </xf>
    <xf numFmtId="0" fontId="65" fillId="17" borderId="115" xfId="0" applyFont="1" applyFill="1" applyBorder="1" applyAlignment="1">
      <alignment horizontal="right" wrapText="1"/>
    </xf>
    <xf numFmtId="0" fontId="65" fillId="0" borderId="115" xfId="0" applyFont="1" applyBorder="1" applyAlignment="1">
      <alignment horizontal="right" wrapText="1"/>
    </xf>
    <xf numFmtId="0" fontId="65" fillId="17" borderId="115" xfId="0" applyFont="1" applyFill="1" applyBorder="1" applyAlignment="1">
      <alignment wrapText="1"/>
    </xf>
    <xf numFmtId="0" fontId="66" fillId="0" borderId="115" xfId="0" applyFont="1" applyBorder="1" applyAlignment="1">
      <alignment horizontal="right" wrapText="1"/>
    </xf>
    <xf numFmtId="0" fontId="67" fillId="0" borderId="115" xfId="0" applyFont="1" applyBorder="1" applyAlignment="1">
      <alignment horizontal="right" wrapText="1"/>
    </xf>
    <xf numFmtId="0" fontId="0" fillId="0" borderId="25" xfId="0" applyBorder="1" applyAlignment="1">
      <alignment horizontal="right" indent="1"/>
    </xf>
    <xf numFmtId="1" fontId="0" fillId="0" borderId="25" xfId="0" applyNumberFormat="1" applyBorder="1" applyAlignment="1">
      <alignment horizontal="right" indent="1"/>
    </xf>
    <xf numFmtId="164" fontId="0" fillId="20" borderId="25" xfId="0" applyNumberFormat="1" applyFill="1" applyBorder="1" applyAlignment="1">
      <alignment horizontal="right" indent="1"/>
    </xf>
    <xf numFmtId="2" fontId="65" fillId="0" borderId="115" xfId="0" applyNumberFormat="1" applyFont="1" applyBorder="1" applyAlignment="1">
      <alignment wrapText="1"/>
    </xf>
    <xf numFmtId="166" fontId="0" fillId="0" borderId="67" xfId="0" applyNumberFormat="1" applyBorder="1"/>
    <xf numFmtId="0" fontId="9" fillId="0" borderId="84" xfId="0" applyFont="1" applyBorder="1" applyAlignment="1">
      <alignment vertical="center"/>
    </xf>
    <xf numFmtId="0" fontId="0" fillId="0" borderId="86" xfId="0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173" fontId="9" fillId="0" borderId="117" xfId="1" applyNumberFormat="1" applyFont="1" applyBorder="1" applyAlignment="1">
      <alignment horizontal="right" vertical="center"/>
    </xf>
    <xf numFmtId="0" fontId="9" fillId="0" borderId="19" xfId="0" applyFont="1" applyBorder="1" applyAlignment="1">
      <alignment vertical="center"/>
    </xf>
    <xf numFmtId="0" fontId="19" fillId="10" borderId="118" xfId="0" quotePrefix="1" applyFont="1" applyFill="1" applyBorder="1" applyAlignment="1">
      <alignment horizontal="center"/>
    </xf>
    <xf numFmtId="0" fontId="9" fillId="10" borderId="118" xfId="0" applyFont="1" applyFill="1" applyBorder="1" applyAlignment="1">
      <alignment horizontal="center"/>
    </xf>
    <xf numFmtId="0" fontId="19" fillId="0" borderId="19" xfId="0" applyFont="1" applyBorder="1"/>
    <xf numFmtId="164" fontId="0" fillId="0" borderId="118" xfId="0" applyNumberFormat="1" applyBorder="1" applyAlignment="1">
      <alignment horizontal="center"/>
    </xf>
    <xf numFmtId="0" fontId="0" fillId="0" borderId="19" xfId="0" applyBorder="1"/>
    <xf numFmtId="173" fontId="9" fillId="0" borderId="40" xfId="1" applyNumberFormat="1" applyFont="1" applyBorder="1" applyAlignment="1">
      <alignment horizontal="right"/>
    </xf>
    <xf numFmtId="164" fontId="9" fillId="0" borderId="40" xfId="0" applyNumberFormat="1" applyFont="1" applyBorder="1" applyAlignment="1">
      <alignment horizontal="right"/>
    </xf>
    <xf numFmtId="0" fontId="0" fillId="0" borderId="19" xfId="0" quotePrefix="1" applyBorder="1" applyAlignment="1">
      <alignment horizontal="left"/>
    </xf>
    <xf numFmtId="0" fontId="9" fillId="0" borderId="119" xfId="0" applyFont="1" applyBorder="1" applyAlignment="1">
      <alignment vertical="center"/>
    </xf>
    <xf numFmtId="0" fontId="0" fillId="0" borderId="120" xfId="0" applyBorder="1" applyAlignment="1">
      <alignment vertical="center"/>
    </xf>
    <xf numFmtId="0" fontId="0" fillId="0" borderId="120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173" fontId="9" fillId="0" borderId="122" xfId="1" applyNumberFormat="1" applyFont="1" applyBorder="1" applyAlignment="1">
      <alignment horizontal="right" vertical="center"/>
    </xf>
    <xf numFmtId="0" fontId="0" fillId="0" borderId="84" xfId="0" applyBorder="1"/>
    <xf numFmtId="0" fontId="0" fillId="0" borderId="86" xfId="0" applyBorder="1"/>
    <xf numFmtId="0" fontId="9" fillId="0" borderId="86" xfId="0" applyFont="1" applyBorder="1"/>
    <xf numFmtId="0" fontId="0" fillId="0" borderId="86" xfId="0" quotePrefix="1" applyBorder="1" applyAlignment="1">
      <alignment horizontal="left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9" fillId="10" borderId="78" xfId="0" applyFont="1" applyFill="1" applyBorder="1"/>
    <xf numFmtId="0" fontId="9" fillId="10" borderId="82" xfId="0" applyFont="1" applyFill="1" applyBorder="1" applyAlignment="1">
      <alignment horizontal="centerContinuous"/>
    </xf>
    <xf numFmtId="0" fontId="9" fillId="10" borderId="123" xfId="0" applyFont="1" applyFill="1" applyBorder="1" applyAlignment="1">
      <alignment horizontal="center"/>
    </xf>
    <xf numFmtId="0" fontId="15" fillId="0" borderId="19" xfId="0" applyFont="1" applyBorder="1"/>
    <xf numFmtId="0" fontId="9" fillId="10" borderId="124" xfId="0" applyFont="1" applyFill="1" applyBorder="1" applyAlignment="1">
      <alignment horizontal="center"/>
    </xf>
    <xf numFmtId="0" fontId="19" fillId="0" borderId="16" xfId="0" applyFont="1" applyBorder="1"/>
    <xf numFmtId="0" fontId="0" fillId="0" borderId="124" xfId="0" applyBorder="1" applyAlignment="1">
      <alignment horizontal="center"/>
    </xf>
    <xf numFmtId="173" fontId="9" fillId="0" borderId="40" xfId="1" applyNumberFormat="1" applyFont="1" applyFill="1" applyBorder="1" applyAlignment="1">
      <alignment horizontal="right"/>
    </xf>
    <xf numFmtId="164" fontId="19" fillId="0" borderId="40" xfId="0" applyNumberFormat="1" applyFont="1" applyBorder="1" applyAlignment="1">
      <alignment horizontal="right"/>
    </xf>
    <xf numFmtId="0" fontId="0" fillId="0" borderId="125" xfId="0" applyBorder="1"/>
    <xf numFmtId="164" fontId="19" fillId="0" borderId="31" xfId="0" applyNumberFormat="1" applyFont="1" applyBorder="1" applyAlignment="1">
      <alignment horizontal="right"/>
    </xf>
    <xf numFmtId="0" fontId="69" fillId="14" borderId="83" xfId="5" applyFont="1" applyBorder="1" applyAlignment="1">
      <alignment horizontal="right"/>
    </xf>
    <xf numFmtId="0" fontId="70" fillId="14" borderId="83" xfId="5" applyFont="1" applyBorder="1" applyAlignment="1">
      <alignment horizontal="right"/>
    </xf>
    <xf numFmtId="38" fontId="53" fillId="17" borderId="83" xfId="5" applyNumberFormat="1" applyFill="1" applyBorder="1" applyAlignment="1">
      <alignment horizontal="right"/>
    </xf>
    <xf numFmtId="1" fontId="71" fillId="14" borderId="83" xfId="5" applyNumberFormat="1" applyFont="1" applyBorder="1" applyAlignment="1">
      <alignment horizontal="right"/>
    </xf>
    <xf numFmtId="0" fontId="22" fillId="0" borderId="0" xfId="8" applyAlignment="1">
      <alignment horizontal="center" vertical="center"/>
    </xf>
    <xf numFmtId="0" fontId="5" fillId="15" borderId="25" xfId="6" applyBorder="1" applyAlignment="1">
      <alignment horizontal="center"/>
    </xf>
    <xf numFmtId="0" fontId="4" fillId="15" borderId="25" xfId="6" applyFont="1" applyBorder="1" applyAlignment="1">
      <alignment horizontal="center"/>
    </xf>
    <xf numFmtId="0" fontId="0" fillId="16" borderId="102" xfId="0" applyFill="1" applyBorder="1" applyAlignment="1">
      <alignment horizontal="center"/>
    </xf>
    <xf numFmtId="0" fontId="0" fillId="16" borderId="103" xfId="0" applyFill="1" applyBorder="1" applyAlignment="1">
      <alignment horizontal="center"/>
    </xf>
    <xf numFmtId="0" fontId="5" fillId="15" borderId="6" xfId="6" applyBorder="1" applyAlignment="1">
      <alignment horizontal="center"/>
    </xf>
    <xf numFmtId="38" fontId="53" fillId="14" borderId="83" xfId="5" applyNumberFormat="1" applyBorder="1" applyAlignment="1">
      <alignment horizontal="center"/>
    </xf>
    <xf numFmtId="0" fontId="53" fillId="14" borderId="83" xfId="5" applyBorder="1" applyAlignment="1">
      <alignment horizontal="center"/>
    </xf>
    <xf numFmtId="0" fontId="0" fillId="0" borderId="93" xfId="0" applyBorder="1" applyAlignment="1">
      <alignment horizontal="center"/>
    </xf>
    <xf numFmtId="2" fontId="53" fillId="14" borderId="83" xfId="5" applyNumberFormat="1" applyBorder="1" applyAlignment="1">
      <alignment horizontal="center"/>
    </xf>
    <xf numFmtId="0" fontId="3" fillId="15" borderId="25" xfId="6" applyFont="1" applyBorder="1" applyAlignment="1">
      <alignment horizontal="center"/>
    </xf>
    <xf numFmtId="0" fontId="3" fillId="15" borderId="25" xfId="6" applyFont="1" applyBorder="1"/>
    <xf numFmtId="0" fontId="72" fillId="0" borderId="0" xfId="0" applyFont="1"/>
    <xf numFmtId="0" fontId="72" fillId="0" borderId="0" xfId="0" applyFont="1" applyAlignment="1">
      <alignment horizontal="center"/>
    </xf>
    <xf numFmtId="0" fontId="73" fillId="0" borderId="25" xfId="0" applyFont="1" applyBorder="1"/>
    <xf numFmtId="0" fontId="73" fillId="0" borderId="25" xfId="0" applyFont="1" applyBorder="1" applyAlignment="1">
      <alignment horizontal="center"/>
    </xf>
    <xf numFmtId="0" fontId="74" fillId="0" borderId="25" xfId="0" applyFont="1" applyBorder="1" applyAlignment="1">
      <alignment horizontal="center" vertical="center"/>
    </xf>
    <xf numFmtId="38" fontId="72" fillId="0" borderId="25" xfId="0" applyNumberFormat="1" applyFont="1" applyBorder="1" applyAlignment="1">
      <alignment horizontal="center"/>
    </xf>
    <xf numFmtId="0" fontId="72" fillId="0" borderId="25" xfId="0" applyFont="1" applyBorder="1"/>
    <xf numFmtId="0" fontId="72" fillId="0" borderId="25" xfId="0" applyFont="1" applyBorder="1" applyAlignment="1">
      <alignment horizontal="center"/>
    </xf>
    <xf numFmtId="0" fontId="75" fillId="0" borderId="25" xfId="0" applyFont="1" applyBorder="1"/>
    <xf numFmtId="0" fontId="73" fillId="0" borderId="0" xfId="0" applyFont="1"/>
    <xf numFmtId="164" fontId="73" fillId="0" borderId="25" xfId="0" applyNumberFormat="1" applyFont="1" applyBorder="1" applyAlignment="1">
      <alignment horizontal="center"/>
    </xf>
    <xf numFmtId="164" fontId="72" fillId="0" borderId="25" xfId="0" applyNumberFormat="1" applyFont="1" applyBorder="1" applyAlignment="1">
      <alignment horizontal="center"/>
    </xf>
    <xf numFmtId="164" fontId="75" fillId="0" borderId="25" xfId="0" applyNumberFormat="1" applyFont="1" applyBorder="1" applyAlignment="1">
      <alignment horizontal="center" vertical="center"/>
    </xf>
    <xf numFmtId="0" fontId="17" fillId="21" borderId="25" xfId="0" applyFont="1" applyFill="1" applyBorder="1" applyAlignment="1">
      <alignment horizontal="center"/>
    </xf>
    <xf numFmtId="0" fontId="17" fillId="21" borderId="25" xfId="0" applyFont="1" applyFill="1" applyBorder="1"/>
    <xf numFmtId="0" fontId="77" fillId="21" borderId="25" xfId="0" applyFont="1" applyFill="1" applyBorder="1" applyAlignment="1">
      <alignment horizontal="center" vertical="center"/>
    </xf>
    <xf numFmtId="0" fontId="16" fillId="0" borderId="0" xfId="0" applyFont="1"/>
    <xf numFmtId="1" fontId="72" fillId="0" borderId="25" xfId="0" applyNumberFormat="1" applyFont="1" applyBorder="1" applyAlignment="1">
      <alignment horizontal="center"/>
    </xf>
    <xf numFmtId="175" fontId="0" fillId="0" borderId="0" xfId="0" applyNumberFormat="1"/>
    <xf numFmtId="1" fontId="64" fillId="0" borderId="0" xfId="0" applyNumberFormat="1" applyFont="1"/>
    <xf numFmtId="2" fontId="9" fillId="0" borderId="25" xfId="0" applyNumberFormat="1" applyFont="1" applyBorder="1"/>
    <xf numFmtId="38" fontId="73" fillId="0" borderId="25" xfId="0" applyNumberFormat="1" applyFont="1" applyBorder="1" applyAlignment="1">
      <alignment horizontal="center"/>
    </xf>
    <xf numFmtId="0" fontId="16" fillId="0" borderId="25" xfId="0" applyFont="1" applyBorder="1"/>
    <xf numFmtId="1" fontId="75" fillId="0" borderId="25" xfId="0" applyNumberFormat="1" applyFont="1" applyBorder="1" applyAlignment="1">
      <alignment horizontal="center"/>
    </xf>
    <xf numFmtId="0" fontId="75" fillId="0" borderId="25" xfId="0" applyFont="1" applyBorder="1" applyAlignment="1">
      <alignment horizontal="center"/>
    </xf>
    <xf numFmtId="164" fontId="75" fillId="0" borderId="25" xfId="0" applyNumberFormat="1" applyFont="1" applyBorder="1" applyAlignment="1">
      <alignment horizontal="center"/>
    </xf>
    <xf numFmtId="14" fontId="78" fillId="0" borderId="21" xfId="7" applyNumberFormat="1" applyFont="1" applyBorder="1" applyAlignment="1">
      <alignment horizontal="center" vertical="center"/>
    </xf>
    <xf numFmtId="1" fontId="79" fillId="13" borderId="12" xfId="0" applyNumberFormat="1" applyFont="1" applyFill="1" applyBorder="1" applyAlignment="1">
      <alignment horizontal="center" vertical="center"/>
    </xf>
    <xf numFmtId="1" fontId="79" fillId="13" borderId="25" xfId="0" applyNumberFormat="1" applyFont="1" applyFill="1" applyBorder="1" applyAlignment="1">
      <alignment horizontal="center" vertical="center"/>
    </xf>
    <xf numFmtId="0" fontId="2" fillId="15" borderId="25" xfId="6" applyFont="1" applyBorder="1"/>
    <xf numFmtId="0" fontId="2" fillId="15" borderId="25" xfId="6" applyFont="1" applyBorder="1" applyAlignment="1">
      <alignment horizontal="center"/>
    </xf>
    <xf numFmtId="17" fontId="17" fillId="5" borderId="19" xfId="7" applyNumberFormat="1" applyFont="1" applyFill="1" applyBorder="1" applyAlignment="1">
      <alignment horizontal="center"/>
    </xf>
    <xf numFmtId="1" fontId="73" fillId="0" borderId="25" xfId="0" applyNumberFormat="1" applyFont="1" applyBorder="1" applyAlignment="1">
      <alignment horizontal="center"/>
    </xf>
    <xf numFmtId="1" fontId="74" fillId="0" borderId="25" xfId="0" applyNumberFormat="1" applyFont="1" applyBorder="1" applyAlignment="1">
      <alignment horizontal="center" vertical="center"/>
    </xf>
    <xf numFmtId="164" fontId="74" fillId="0" borderId="25" xfId="0" applyNumberFormat="1" applyFont="1" applyBorder="1" applyAlignment="1">
      <alignment horizontal="center"/>
    </xf>
    <xf numFmtId="1" fontId="74" fillId="0" borderId="25" xfId="0" applyNumberFormat="1" applyFont="1" applyBorder="1" applyAlignment="1">
      <alignment horizontal="center"/>
    </xf>
    <xf numFmtId="38" fontId="9" fillId="0" borderId="0" xfId="1" applyNumberFormat="1" applyFont="1" applyFill="1" applyBorder="1" applyAlignment="1" applyProtection="1">
      <alignment horizontal="center"/>
      <protection locked="0"/>
    </xf>
    <xf numFmtId="164" fontId="72" fillId="0" borderId="25" xfId="0" applyNumberFormat="1" applyFont="1" applyBorder="1" applyAlignment="1">
      <alignment horizontal="center" vertical="center"/>
    </xf>
    <xf numFmtId="1" fontId="75" fillId="0" borderId="25" xfId="0" applyNumberFormat="1" applyFont="1" applyBorder="1" applyAlignment="1">
      <alignment horizontal="center" vertical="center"/>
    </xf>
    <xf numFmtId="1" fontId="72" fillId="0" borderId="25" xfId="0" applyNumberFormat="1" applyFont="1" applyBorder="1" applyAlignment="1">
      <alignment horizontal="center" vertical="center"/>
    </xf>
    <xf numFmtId="0" fontId="22" fillId="5" borderId="16" xfId="7" applyFont="1" applyFill="1" applyBorder="1" applyAlignment="1">
      <alignment horizontal="left" wrapText="1"/>
    </xf>
    <xf numFmtId="0" fontId="22" fillId="5" borderId="8" xfId="7" applyFont="1" applyFill="1" applyBorder="1" applyAlignment="1">
      <alignment horizontal="left" wrapText="1"/>
    </xf>
    <xf numFmtId="0" fontId="22" fillId="5" borderId="77" xfId="7" applyFont="1" applyFill="1" applyBorder="1" applyAlignment="1">
      <alignment horizontal="center" vertical="center" wrapText="1"/>
    </xf>
    <xf numFmtId="0" fontId="22" fillId="5" borderId="100" xfId="7" applyFont="1" applyFill="1" applyBorder="1" applyAlignment="1">
      <alignment horizontal="center" vertical="center" wrapText="1"/>
    </xf>
    <xf numFmtId="14" fontId="22" fillId="5" borderId="6" xfId="7" applyNumberFormat="1" applyFont="1" applyFill="1" applyBorder="1" applyAlignment="1">
      <alignment horizontal="center" vertical="center"/>
    </xf>
    <xf numFmtId="14" fontId="22" fillId="5" borderId="101" xfId="7" applyNumberFormat="1" applyFont="1" applyFill="1" applyBorder="1" applyAlignment="1">
      <alignment horizontal="center" vertical="center"/>
    </xf>
    <xf numFmtId="14" fontId="22" fillId="5" borderId="7" xfId="7" applyNumberFormat="1" applyFont="1" applyFill="1" applyBorder="1" applyAlignment="1">
      <alignment horizontal="center" vertical="center"/>
    </xf>
    <xf numFmtId="14" fontId="22" fillId="5" borderId="78" xfId="7" applyNumberFormat="1" applyFont="1" applyFill="1" applyBorder="1" applyAlignment="1">
      <alignment horizontal="center" vertical="center"/>
    </xf>
    <xf numFmtId="0" fontId="22" fillId="5" borderId="84" xfId="7" applyFont="1" applyFill="1" applyBorder="1" applyAlignment="1">
      <alignment horizontal="center"/>
    </xf>
    <xf numFmtId="0" fontId="22" fillId="5" borderId="85" xfId="7" applyFont="1" applyFill="1" applyBorder="1" applyAlignment="1">
      <alignment horizontal="center"/>
    </xf>
    <xf numFmtId="0" fontId="22" fillId="5" borderId="19" xfId="7" quotePrefix="1" applyFont="1" applyFill="1" applyBorder="1" applyAlignment="1">
      <alignment horizontal="center" vertical="center"/>
    </xf>
    <xf numFmtId="0" fontId="22" fillId="5" borderId="82" xfId="7" quotePrefix="1" applyFont="1" applyFill="1" applyBorder="1" applyAlignment="1">
      <alignment horizontal="center" vertical="center"/>
    </xf>
    <xf numFmtId="0" fontId="59" fillId="5" borderId="79" xfId="7" applyFont="1" applyFill="1" applyBorder="1" applyAlignment="1">
      <alignment horizontal="center" vertical="center"/>
    </xf>
    <xf numFmtId="0" fontId="59" fillId="5" borderId="81" xfId="7" applyFont="1" applyFill="1" applyBorder="1" applyAlignment="1">
      <alignment horizontal="center" vertical="center"/>
    </xf>
    <xf numFmtId="0" fontId="55" fillId="5" borderId="84" xfId="7" applyFont="1" applyFill="1" applyBorder="1" applyAlignment="1">
      <alignment horizontal="center" vertical="center"/>
    </xf>
    <xf numFmtId="0" fontId="55" fillId="5" borderId="86" xfId="7" applyFont="1" applyFill="1" applyBorder="1" applyAlignment="1">
      <alignment horizontal="center" vertical="center"/>
    </xf>
    <xf numFmtId="0" fontId="55" fillId="5" borderId="85" xfId="7" applyFont="1" applyFill="1" applyBorder="1" applyAlignment="1">
      <alignment horizontal="center" vertical="center"/>
    </xf>
    <xf numFmtId="0" fontId="55" fillId="5" borderId="19" xfId="7" applyFont="1" applyFill="1" applyBorder="1" applyAlignment="1">
      <alignment horizontal="center" vertical="center"/>
    </xf>
    <xf numFmtId="0" fontId="55" fillId="5" borderId="0" xfId="7" applyFont="1" applyFill="1" applyAlignment="1">
      <alignment horizontal="center" vertical="center"/>
    </xf>
    <xf numFmtId="0" fontId="55" fillId="5" borderId="82" xfId="7" applyFont="1" applyFill="1" applyBorder="1" applyAlignment="1">
      <alignment horizontal="center" vertical="center"/>
    </xf>
    <xf numFmtId="0" fontId="68" fillId="5" borderId="19" xfId="7" applyFont="1" applyFill="1" applyBorder="1" applyAlignment="1">
      <alignment horizontal="center" vertical="center" wrapText="1"/>
    </xf>
    <xf numFmtId="0" fontId="68" fillId="5" borderId="0" xfId="7" applyFont="1" applyFill="1" applyAlignment="1">
      <alignment horizontal="center" vertical="center" wrapText="1"/>
    </xf>
    <xf numFmtId="0" fontId="68" fillId="5" borderId="82" xfId="7" applyFont="1" applyFill="1" applyBorder="1" applyAlignment="1">
      <alignment horizontal="center" vertical="center" wrapText="1"/>
    </xf>
    <xf numFmtId="0" fontId="68" fillId="5" borderId="79" xfId="7" applyFont="1" applyFill="1" applyBorder="1" applyAlignment="1">
      <alignment horizontal="center" vertical="center" wrapText="1"/>
    </xf>
    <xf numFmtId="0" fontId="68" fillId="5" borderId="80" xfId="7" applyFont="1" applyFill="1" applyBorder="1" applyAlignment="1">
      <alignment horizontal="center" vertical="center" wrapText="1"/>
    </xf>
    <xf numFmtId="0" fontId="68" fillId="5" borderId="81" xfId="7" applyFont="1" applyFill="1" applyBorder="1" applyAlignment="1">
      <alignment horizontal="center" vertical="center" wrapText="1"/>
    </xf>
    <xf numFmtId="0" fontId="56" fillId="5" borderId="19" xfId="7" applyFont="1" applyFill="1" applyBorder="1" applyAlignment="1">
      <alignment horizontal="center" vertical="center" wrapText="1"/>
    </xf>
    <xf numFmtId="0" fontId="56" fillId="5" borderId="0" xfId="7" applyFont="1" applyFill="1" applyAlignment="1">
      <alignment horizontal="center" vertical="center" wrapText="1"/>
    </xf>
    <xf numFmtId="0" fontId="56" fillId="5" borderId="82" xfId="7" applyFont="1" applyFill="1" applyBorder="1" applyAlignment="1">
      <alignment horizontal="center" vertical="center" wrapText="1"/>
    </xf>
    <xf numFmtId="0" fontId="56" fillId="5" borderId="79" xfId="7" applyFont="1" applyFill="1" applyBorder="1" applyAlignment="1">
      <alignment horizontal="center" vertical="center" wrapText="1"/>
    </xf>
    <xf numFmtId="0" fontId="56" fillId="5" borderId="80" xfId="7" applyFont="1" applyFill="1" applyBorder="1" applyAlignment="1">
      <alignment horizontal="center" vertical="center" wrapText="1"/>
    </xf>
    <xf numFmtId="0" fontId="56" fillId="5" borderId="81" xfId="7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114" xfId="0" applyFont="1" applyBorder="1" applyAlignment="1" applyProtection="1">
      <alignment horizontal="left"/>
      <protection locked="0"/>
    </xf>
    <xf numFmtId="0" fontId="9" fillId="0" borderId="82" xfId="0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18" borderId="25" xfId="0" applyFill="1" applyBorder="1" applyAlignment="1">
      <alignment horizontal="center"/>
    </xf>
    <xf numFmtId="1" fontId="53" fillId="17" borderId="83" xfId="5" applyNumberFormat="1" applyFill="1" applyBorder="1" applyAlignment="1">
      <alignment horizontal="right"/>
    </xf>
  </cellXfs>
  <cellStyles count="10">
    <cellStyle name="20% - Accent3" xfId="6" builtinId="38"/>
    <cellStyle name="20% - Accent3 2" xfId="9" xr:uid="{2BF2D825-DD09-4871-BD34-4102E74EE9C7}"/>
    <cellStyle name="Comma" xfId="1" builtinId="3"/>
    <cellStyle name="Input" xfId="2" builtinId="20" customBuiltin="1"/>
    <cellStyle name="Normal" xfId="0" builtinId="0"/>
    <cellStyle name="Normal_AAC assessment Rev3" xfId="7" xr:uid="{00000000-0005-0000-0000-000004000000}"/>
    <cellStyle name="Normal_LanguageSheet HBL" xfId="3" xr:uid="{00000000-0005-0000-0000-000005000000}"/>
    <cellStyle name="Normal_Sheet" xfId="8" xr:uid="{00000000-0005-0000-0000-000006000000}"/>
    <cellStyle name="Output" xfId="5" builtinId="21"/>
    <cellStyle name="Zelle" xfId="4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6FF"/>
      <color rgb="FFFFFF99"/>
      <color rgb="FFCC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de-CH"/>
            </a:pPr>
            <a:r>
              <a:rPr lang="en-US"/>
              <a:t>Kiln Heat Balance Inputs [kcal/kg cli]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6192147856517941"/>
          <c:w val="0.48062489063867225"/>
          <c:h val="0.80104148439778644"/>
        </c:manualLayout>
      </c:layout>
      <c:pieChart>
        <c:varyColors val="1"/>
        <c:ser>
          <c:idx val="0"/>
          <c:order val="0"/>
          <c:tx>
            <c:strRef>
              <c:f>HBL!$B$584</c:f>
              <c:strCache>
                <c:ptCount val="1"/>
                <c:pt idx="0">
                  <c:v>INPUT</c:v>
                </c:pt>
              </c:strCache>
            </c:strRef>
          </c:tx>
          <c:explosion val="13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A3-4A49-9C9F-1E294731C4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HBL!$B$585:$D$595</c:f>
              <c:multiLvlStrCache>
                <c:ptCount val="11"/>
                <c:lvl>
                  <c:pt idx="0">
                    <c:v>Conventional</c:v>
                  </c:pt>
                  <c:pt idx="1">
                    <c:v>Alternative</c:v>
                  </c:pt>
                  <c:pt idx="2">
                    <c:v>Sensible heat</c:v>
                  </c:pt>
                  <c:pt idx="3">
                    <c:v>Sensible heat</c:v>
                  </c:pt>
                  <c:pt idx="4">
                    <c:v>Combustible matter</c:v>
                  </c:pt>
                  <c:pt idx="5">
                    <c:v>Sensible heat</c:v>
                  </c:pt>
                  <c:pt idx="6">
                    <c:v>Sensible heat air</c:v>
                  </c:pt>
                  <c:pt idx="7">
                    <c:v>Sensible heat water</c:v>
                  </c:pt>
                  <c:pt idx="8">
                    <c:v>Sensible heat water</c:v>
                  </c:pt>
                </c:lvl>
                <c:lvl>
                  <c:pt idx="0">
                    <c:v>Fuel</c:v>
                  </c:pt>
                  <c:pt idx="3">
                    <c:v>Kiln feed</c:v>
                  </c:pt>
                  <c:pt idx="5">
                    <c:v>Primary air</c:v>
                  </c:pt>
                  <c:pt idx="6">
                    <c:v>Cooler</c:v>
                  </c:pt>
                  <c:pt idx="8">
                    <c:v>Preheater</c:v>
                  </c:pt>
                  <c:pt idx="10">
                    <c:v>Mechanical energy</c:v>
                  </c:pt>
                </c:lvl>
              </c:multiLvlStrCache>
            </c:multiLvlStrRef>
          </c:cat>
          <c:val>
            <c:numRef>
              <c:f>HBL!$J$585:$J$595</c:f>
              <c:numCache>
                <c:formatCode>0.0</c:formatCode>
                <c:ptCount val="11"/>
                <c:pt idx="0" formatCode="#,##0.0;[Red]\-#,##0.0">
                  <c:v>792.60711651137774</c:v>
                </c:pt>
                <c:pt idx="1">
                  <c:v>0</c:v>
                </c:pt>
                <c:pt idx="2">
                  <c:v>1.8581678248734903</c:v>
                </c:pt>
                <c:pt idx="3">
                  <c:v>16.420843157449394</c:v>
                </c:pt>
                <c:pt idx="4">
                  <c:v>0</c:v>
                </c:pt>
                <c:pt idx="5">
                  <c:v>0.92425969346148629</c:v>
                </c:pt>
                <c:pt idx="6">
                  <c:v>12.940103380268564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6.942317071451729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3-4A49-9C9F-1E294731C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70"/>
      </c:pieChart>
    </c:plotArea>
    <c:legend>
      <c:legendPos val="r"/>
      <c:overlay val="0"/>
      <c:txPr>
        <a:bodyPr/>
        <a:lstStyle/>
        <a:p>
          <a:pPr>
            <a:defRPr lang="de-CH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de-CH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Kiln Heat Balance  Outputs [kcal/kg cli]</a:t>
            </a:r>
            <a:endParaRPr lang="en-US" sz="1400"/>
          </a:p>
        </c:rich>
      </c:tx>
      <c:overlay val="0"/>
    </c:title>
    <c:autoTitleDeleted val="0"/>
    <c:view3D>
      <c:rotX val="50"/>
      <c:rotY val="260"/>
      <c:rAngAx val="0"/>
      <c:perspective val="11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HBL!$B$597</c:f>
              <c:strCache>
                <c:ptCount val="1"/>
                <c:pt idx="0">
                  <c:v>OUTPUT</c:v>
                </c:pt>
              </c:strCache>
            </c:strRef>
          </c:tx>
          <c:explosion val="30"/>
          <c:dPt>
            <c:idx val="0"/>
            <c:bubble3D val="0"/>
            <c:spPr>
              <a:scene3d>
                <a:camera prst="orthographicFront"/>
                <a:lightRig rig="threePt" dir="t"/>
              </a:scene3d>
              <a:sp3d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5D7-99E3-43BD4196A755}"/>
              </c:ext>
            </c:extLst>
          </c:dPt>
          <c:dLbls>
            <c:dLbl>
              <c:idx val="0"/>
              <c:layout>
                <c:manualLayout>
                  <c:x val="0.36560020601022958"/>
                  <c:y val="6.67336608046795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3B-45D7-99E3-43BD4196A755}"/>
                </c:ext>
              </c:extLst>
            </c:dLbl>
            <c:dLbl>
              <c:idx val="5"/>
              <c:layout>
                <c:manualLayout>
                  <c:x val="2.7874622476173581E-2"/>
                  <c:y val="5.864272069923331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3B-45D7-99E3-43BD4196A755}"/>
                </c:ext>
              </c:extLst>
            </c:dLbl>
            <c:dLbl>
              <c:idx val="11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3B-45D7-99E3-43BD4196A755}"/>
                </c:ext>
              </c:extLst>
            </c:dLbl>
            <c:dLbl>
              <c:idx val="14"/>
              <c:layout>
                <c:manualLayout>
                  <c:x val="-8.203073646856221E-2"/>
                  <c:y val="0.1460284653225930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Clinker exit Sensible heat; 106.2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43B-45D7-99E3-43BD4196A755}"/>
                </c:ext>
              </c:extLst>
            </c:dLbl>
            <c:dLbl>
              <c:idx val="19"/>
              <c:layout>
                <c:manualLayout>
                  <c:x val="-2.9209558892250801E-2"/>
                  <c:y val="-9.31172522404290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Radiation &amp; Convection</a:t>
                    </a:r>
                    <a:r>
                      <a:rPr lang="en-US" baseline="0"/>
                      <a:t> </a:t>
                    </a:r>
                    <a:r>
                      <a:rPr lang="en-US"/>
                      <a:t>Preheater tower; 126.0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43B-45D7-99E3-43BD4196A755}"/>
                </c:ext>
              </c:extLst>
            </c:dLbl>
            <c:dLbl>
              <c:idx val="20"/>
              <c:layout>
                <c:manualLayout>
                  <c:x val="-2.1163970492850882E-2"/>
                  <c:y val="-0.2451191650737843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Radiation &amp; Convection Kiln shell; 105.0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43B-45D7-99E3-43BD4196A7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HBL!$B$598:$E$622</c:f>
              <c:multiLvlStrCache>
                <c:ptCount val="25"/>
                <c:lvl>
                  <c:pt idx="2">
                    <c:v>Kiln feed</c:v>
                  </c:pt>
                  <c:pt idx="3">
                    <c:v>Preheater</c:v>
                  </c:pt>
                  <c:pt idx="4">
                    <c:v>Cooler</c:v>
                  </c:pt>
                  <c:pt idx="5">
                    <c:v>Sensible heat</c:v>
                  </c:pt>
                  <c:pt idx="6">
                    <c:v>CO</c:v>
                  </c:pt>
                  <c:pt idx="7">
                    <c:v>Sensible heat</c:v>
                  </c:pt>
                  <c:pt idx="11">
                    <c:v>Sensible heat</c:v>
                  </c:pt>
                  <c:pt idx="12">
                    <c:v>Sensible heat</c:v>
                  </c:pt>
                  <c:pt idx="13">
                    <c:v>Sensible heat</c:v>
                  </c:pt>
                  <c:pt idx="14">
                    <c:v>Sensible heat</c:v>
                  </c:pt>
                  <c:pt idx="19">
                    <c:v>Preheater tower</c:v>
                  </c:pt>
                  <c:pt idx="20">
                    <c:v>Kiln shell</c:v>
                  </c:pt>
                  <c:pt idx="21">
                    <c:v>Cooler and kiln hood</c:v>
                  </c:pt>
                  <c:pt idx="22">
                    <c:v>Tertiary air duct</c:v>
                  </c:pt>
                  <c:pt idx="24">
                    <c:v>%</c:v>
                  </c:pt>
                </c:lvl>
                <c:lvl>
                  <c:pt idx="7">
                    <c:v>dust</c:v>
                  </c:pt>
                  <c:pt idx="11">
                    <c:v>Waste air</c:v>
                  </c:pt>
                  <c:pt idx="12">
                    <c:v>Water vapor</c:v>
                  </c:pt>
                  <c:pt idx="13">
                    <c:v>Middle air</c:v>
                  </c:pt>
                  <c:pt idx="14">
                    <c:v>Clinker exit</c:v>
                  </c:pt>
                  <c:pt idx="24">
                    <c:v>-0.75</c:v>
                  </c:pt>
                </c:lvl>
                <c:lvl>
                  <c:pt idx="0">
                    <c:v>Heat of formation</c:v>
                  </c:pt>
                  <c:pt idx="2">
                    <c:v>Water evaporation</c:v>
                  </c:pt>
                  <c:pt idx="5">
                    <c:v>Kiln exhaust gas</c:v>
                  </c:pt>
                  <c:pt idx="11">
                    <c:v>Cooler</c:v>
                  </c:pt>
                  <c:pt idx="19">
                    <c:v>Radiation &amp;</c:v>
                  </c:pt>
                  <c:pt idx="20">
                    <c:v>Convection</c:v>
                  </c:pt>
                  <c:pt idx="24">
                    <c:v>Error</c:v>
                  </c:pt>
                </c:lvl>
              </c:multiLvlStrCache>
            </c:multiLvlStrRef>
          </c:cat>
          <c:val>
            <c:numRef>
              <c:f>HBL!$J$598:$J$622</c:f>
              <c:numCache>
                <c:formatCode>0.0</c:formatCode>
                <c:ptCount val="25"/>
                <c:pt idx="0" formatCode="#,##0.0;[Red]\-#,##0.0">
                  <c:v>422.27954523741283</c:v>
                </c:pt>
                <c:pt idx="2">
                  <c:v>4.2132416165090278</c:v>
                </c:pt>
                <c:pt idx="3">
                  <c:v>0</c:v>
                </c:pt>
                <c:pt idx="4">
                  <c:v>0</c:v>
                </c:pt>
                <c:pt idx="5">
                  <c:v>217.08126820609161</c:v>
                </c:pt>
                <c:pt idx="6">
                  <c:v>0</c:v>
                </c:pt>
                <c:pt idx="7">
                  <c:v>6.9738998217378851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92.891048569538341</c:v>
                </c:pt>
                <c:pt idx="12">
                  <c:v>0</c:v>
                </c:pt>
                <c:pt idx="13">
                  <c:v>0</c:v>
                </c:pt>
                <c:pt idx="14">
                  <c:v>19.384669924864909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47.291487532244197</c:v>
                </c:pt>
                <c:pt idx="20">
                  <c:v>22.451514282984618</c:v>
                </c:pt>
                <c:pt idx="21">
                  <c:v>5.3979172637814088</c:v>
                </c:pt>
                <c:pt idx="22">
                  <c:v>0</c:v>
                </c:pt>
                <c:pt idx="23">
                  <c:v>0</c:v>
                </c:pt>
                <c:pt idx="24">
                  <c:v>-6.2717848162823326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3B-45D7-99E3-43BD4196A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de-CH" sz="1400"/>
            </a:pPr>
            <a:r>
              <a:rPr lang="en-US" sz="1400"/>
              <a:t>Cooler Energy Balance Outputs [kcal/kg cli]</a:t>
            </a:r>
          </a:p>
        </c:rich>
      </c:tx>
      <c:layout>
        <c:manualLayout>
          <c:xMode val="edge"/>
          <c:yMode val="edge"/>
          <c:x val="5.7749745122184587E-2"/>
          <c:y val="2.5510679906967801E-2"/>
        </c:manualLayout>
      </c:layout>
      <c:overlay val="0"/>
    </c:title>
    <c:autoTitleDeleted val="0"/>
    <c:view3D>
      <c:rotX val="50"/>
      <c:rotY val="150"/>
      <c:rAngAx val="0"/>
      <c:perspective val="11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8069881889763781"/>
          <c:y val="7.1148330575185617E-2"/>
          <c:w val="0.49432030595929499"/>
          <c:h val="0.82438857176402158"/>
        </c:manualLayout>
      </c:layout>
      <c:pie3DChart>
        <c:varyColors val="1"/>
        <c:ser>
          <c:idx val="0"/>
          <c:order val="0"/>
          <c:tx>
            <c:strRef>
              <c:f>HBL!$B$544</c:f>
              <c:strCache>
                <c:ptCount val="1"/>
                <c:pt idx="0">
                  <c:v>OUTPUT</c:v>
                </c:pt>
              </c:strCache>
            </c:strRef>
          </c:tx>
          <c:explosion val="46"/>
          <c:dPt>
            <c:idx val="3"/>
            <c:bubble3D val="0"/>
            <c:explosion val="11"/>
            <c:extLst>
              <c:ext xmlns:c16="http://schemas.microsoft.com/office/drawing/2014/chart" uri="{C3380CC4-5D6E-409C-BE32-E72D297353CC}">
                <c16:uniqueId val="{00000000-9611-4A7A-B3E9-F184E5DA3FF6}"/>
              </c:ext>
            </c:extLst>
          </c:dPt>
          <c:dLbls>
            <c:dLbl>
              <c:idx val="3"/>
              <c:layout>
                <c:manualLayout>
                  <c:x val="-7.3780296235711196E-2"/>
                  <c:y val="7.84262065032650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11-4A7A-B3E9-F184E5DA3FF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11-4A7A-B3E9-F184E5DA3FF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11-4A7A-B3E9-F184E5DA3F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de-CH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HBL!$B$545:$B$555</c:f>
              <c:strCache>
                <c:ptCount val="11"/>
                <c:pt idx="0">
                  <c:v>Clinker</c:v>
                </c:pt>
                <c:pt idx="1">
                  <c:v>Secondary air incl. dust</c:v>
                </c:pt>
                <c:pt idx="2">
                  <c:v>and water vapor</c:v>
                </c:pt>
                <c:pt idx="3">
                  <c:v>Tertiary air (incl dust)</c:v>
                </c:pt>
                <c:pt idx="4">
                  <c:v>Cooler middle air</c:v>
                </c:pt>
                <c:pt idx="5">
                  <c:v>Cooler waste air</c:v>
                </c:pt>
                <c:pt idx="6">
                  <c:v>and water vapor</c:v>
                </c:pt>
                <c:pt idx="7">
                  <c:v>Water evaporation</c:v>
                </c:pt>
                <c:pt idx="8">
                  <c:v>Radiation losses</c:v>
                </c:pt>
                <c:pt idx="9">
                  <c:v>Other heat output</c:v>
                </c:pt>
                <c:pt idx="10">
                  <c:v>Error</c:v>
                </c:pt>
              </c:strCache>
            </c:strRef>
          </c:cat>
          <c:val>
            <c:numRef>
              <c:f>HBL!$J$545:$J$555</c:f>
              <c:numCache>
                <c:formatCode>#,##0.0;[Red]\-#,##0.0</c:formatCode>
                <c:ptCount val="11"/>
                <c:pt idx="0">
                  <c:v>19.384669924864909</c:v>
                </c:pt>
                <c:pt idx="1">
                  <c:v>92.392827679196799</c:v>
                </c:pt>
                <c:pt idx="3">
                  <c:v>196.19453078628334</c:v>
                </c:pt>
                <c:pt idx="4">
                  <c:v>0</c:v>
                </c:pt>
                <c:pt idx="5">
                  <c:v>92.891048569538341</c:v>
                </c:pt>
                <c:pt idx="7">
                  <c:v>0</c:v>
                </c:pt>
                <c:pt idx="8">
                  <c:v>5.3979172637814088</c:v>
                </c:pt>
                <c:pt idx="10" formatCode="0.0">
                  <c:v>-3.0001461952366943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11-4A7A-B3E9-F184E5DA3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de-CH"/>
            </a:pPr>
            <a:r>
              <a:rPr lang="en-US" sz="1600"/>
              <a:t>Cooler air balance Outputs [Nm3/kg cli]</a:t>
            </a:r>
          </a:p>
        </c:rich>
      </c:tx>
      <c:layout>
        <c:manualLayout>
          <c:xMode val="edge"/>
          <c:yMode val="edge"/>
          <c:x val="0.11446522309711328"/>
          <c:y val="9.2592558839108031E-3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v>Cooler air balance Outputs</c:v>
          </c:tx>
          <c:explosion val="25"/>
          <c:cat>
            <c:strRef>
              <c:f>HBL!$B$508:$B$512</c:f>
              <c:strCache>
                <c:ptCount val="5"/>
                <c:pt idx="0">
                  <c:v>Secondary air</c:v>
                </c:pt>
                <c:pt idx="1">
                  <c:v>Tertiary air (incl dust)</c:v>
                </c:pt>
                <c:pt idx="2">
                  <c:v>Cooler middle air</c:v>
                </c:pt>
                <c:pt idx="3">
                  <c:v>Cooler waste air</c:v>
                </c:pt>
                <c:pt idx="4">
                  <c:v>Error</c:v>
                </c:pt>
              </c:strCache>
            </c:strRef>
          </c:cat>
          <c:val>
            <c:numRef>
              <c:f>HBL!$H$508:$H$512</c:f>
              <c:numCache>
                <c:formatCode>0.00</c:formatCode>
                <c:ptCount val="5"/>
                <c:pt idx="0">
                  <c:v>0.27205824422228264</c:v>
                </c:pt>
                <c:pt idx="1">
                  <c:v>0.68588381886251615</c:v>
                </c:pt>
                <c:pt idx="2">
                  <c:v>0</c:v>
                </c:pt>
                <c:pt idx="3">
                  <c:v>1.1284590163934427</c:v>
                </c:pt>
                <c:pt idx="4">
                  <c:v>-3.7232597655689221E-3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6-4C0D-B829-32BBEFD8D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lang="de-CH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Drop" dropLines="4" dropStyle="combo" dx="16" fmlaLink="$X$13" fmlaRange="$X$7:$X$10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780286</xdr:colOff>
      <xdr:row>106</xdr:row>
      <xdr:rowOff>125345</xdr:rowOff>
    </xdr:from>
    <xdr:to>
      <xdr:col>9</xdr:col>
      <xdr:colOff>13043</xdr:colOff>
      <xdr:row>107</xdr:row>
      <xdr:rowOff>131885</xdr:rowOff>
    </xdr:to>
    <xdr:sp macro="" textlink="">
      <xdr:nvSpPr>
        <xdr:cNvPr id="54" name="Parallelogra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 bwMode="auto">
        <a:xfrm rot="21265746">
          <a:off x="2271156" y="10296388"/>
          <a:ext cx="4980887" cy="197040"/>
        </a:xfrm>
        <a:prstGeom prst="parallelogram">
          <a:avLst>
            <a:gd name="adj" fmla="val 16398"/>
          </a:avLst>
        </a:prstGeom>
        <a:gradFill flip="none" rotWithShape="1">
          <a:gsLst>
            <a:gs pos="0">
              <a:srgbClr val="000082"/>
            </a:gs>
            <a:gs pos="30000">
              <a:srgbClr val="66008F"/>
            </a:gs>
            <a:gs pos="64999">
              <a:srgbClr val="BA0066"/>
            </a:gs>
            <a:gs pos="89999">
              <a:srgbClr val="FF0000"/>
            </a:gs>
            <a:gs pos="100000">
              <a:srgbClr val="FF8200"/>
            </a:gs>
          </a:gsLst>
          <a:lin ang="0" scaled="1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373161</xdr:colOff>
      <xdr:row>27</xdr:row>
      <xdr:rowOff>9525</xdr:rowOff>
    </xdr:from>
    <xdr:to>
      <xdr:col>9</xdr:col>
      <xdr:colOff>741347</xdr:colOff>
      <xdr:row>36</xdr:row>
      <xdr:rowOff>52659</xdr:rowOff>
    </xdr:to>
    <xdr:pic>
      <xdr:nvPicPr>
        <xdr:cNvPr id="7" name="Picture 6" descr="D:\Users\cengmann\AppData\Local\Temp\SNAGHTMLb45c607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705"/>
        <a:stretch/>
      </xdr:blipFill>
      <xdr:spPr bwMode="auto">
        <a:xfrm>
          <a:off x="906561" y="5095875"/>
          <a:ext cx="7083311" cy="1529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9525</xdr:colOff>
      <xdr:row>7</xdr:row>
      <xdr:rowOff>156881</xdr:rowOff>
    </xdr:from>
    <xdr:to>
      <xdr:col>10</xdr:col>
      <xdr:colOff>15757</xdr:colOff>
      <xdr:row>36</xdr:row>
      <xdr:rowOff>77872</xdr:rowOff>
    </xdr:to>
    <xdr:pic>
      <xdr:nvPicPr>
        <xdr:cNvPr id="8" name="Picture 7" descr="D:\Users\cengmann\AppData\Local\Temp\SNAGHTMLb45c60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992"/>
        <a:stretch/>
      </xdr:blipFill>
      <xdr:spPr bwMode="auto">
        <a:xfrm>
          <a:off x="6467475" y="1509431"/>
          <a:ext cx="1587382" cy="5140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616324</xdr:colOff>
      <xdr:row>102</xdr:row>
      <xdr:rowOff>66261</xdr:rowOff>
    </xdr:from>
    <xdr:to>
      <xdr:col>8</xdr:col>
      <xdr:colOff>621196</xdr:colOff>
      <xdr:row>105</xdr:row>
      <xdr:rowOff>145676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 bwMode="auto">
        <a:xfrm flipH="1">
          <a:off x="7068476" y="9442174"/>
          <a:ext cx="4872" cy="626067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621196</xdr:colOff>
      <xdr:row>102</xdr:row>
      <xdr:rowOff>74544</xdr:rowOff>
    </xdr:from>
    <xdr:to>
      <xdr:col>9</xdr:col>
      <xdr:colOff>313766</xdr:colOff>
      <xdr:row>102</xdr:row>
      <xdr:rowOff>78446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 bwMode="auto">
        <a:xfrm flipH="1" flipV="1">
          <a:off x="7073348" y="9450457"/>
          <a:ext cx="479418" cy="3902"/>
        </a:xfrm>
        <a:prstGeom prst="straightConnector1">
          <a:avLst/>
        </a:prstGeom>
        <a:ln>
          <a:headEnd type="none" w="med" len="med"/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372717</xdr:colOff>
      <xdr:row>98</xdr:row>
      <xdr:rowOff>91106</xdr:rowOff>
    </xdr:from>
    <xdr:to>
      <xdr:col>9</xdr:col>
      <xdr:colOff>670891</xdr:colOff>
      <xdr:row>98</xdr:row>
      <xdr:rowOff>99389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 bwMode="auto">
        <a:xfrm flipV="1">
          <a:off x="6824869" y="8779563"/>
          <a:ext cx="1085022" cy="8283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103</xdr:row>
      <xdr:rowOff>1</xdr:rowOff>
    </xdr:from>
    <xdr:to>
      <xdr:col>9</xdr:col>
      <xdr:colOff>612913</xdr:colOff>
      <xdr:row>105</xdr:row>
      <xdr:rowOff>66261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 bwMode="auto">
        <a:xfrm flipH="1" flipV="1">
          <a:off x="7239000" y="9541566"/>
          <a:ext cx="612913" cy="447260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521806</xdr:colOff>
      <xdr:row>106</xdr:row>
      <xdr:rowOff>99390</xdr:rowOff>
    </xdr:from>
    <xdr:to>
      <xdr:col>9</xdr:col>
      <xdr:colOff>695739</xdr:colOff>
      <xdr:row>106</xdr:row>
      <xdr:rowOff>107673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 bwMode="auto">
        <a:xfrm flipH="1" flipV="1">
          <a:off x="6973958" y="10212455"/>
          <a:ext cx="960781" cy="8283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331304</xdr:colOff>
      <xdr:row>94</xdr:row>
      <xdr:rowOff>99390</xdr:rowOff>
    </xdr:from>
    <xdr:to>
      <xdr:col>9</xdr:col>
      <xdr:colOff>629478</xdr:colOff>
      <xdr:row>94</xdr:row>
      <xdr:rowOff>107673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 bwMode="auto">
        <a:xfrm flipV="1">
          <a:off x="6783456" y="8025847"/>
          <a:ext cx="1085022" cy="8283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364437</xdr:colOff>
      <xdr:row>94</xdr:row>
      <xdr:rowOff>115956</xdr:rowOff>
    </xdr:from>
    <xdr:to>
      <xdr:col>8</xdr:col>
      <xdr:colOff>372718</xdr:colOff>
      <xdr:row>104</xdr:row>
      <xdr:rowOff>182218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 bwMode="auto">
        <a:xfrm>
          <a:off x="6816589" y="8042413"/>
          <a:ext cx="8281" cy="1871870"/>
        </a:xfrm>
        <a:prstGeom prst="straightConnector1">
          <a:avLst/>
        </a:prstGeom>
        <a:ln>
          <a:headEnd type="none" w="med" len="med"/>
          <a:tailEnd type="non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894522</xdr:colOff>
      <xdr:row>99</xdr:row>
      <xdr:rowOff>91108</xdr:rowOff>
    </xdr:from>
    <xdr:to>
      <xdr:col>9</xdr:col>
      <xdr:colOff>16565</xdr:colOff>
      <xdr:row>99</xdr:row>
      <xdr:rowOff>99391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 bwMode="auto">
        <a:xfrm flipV="1">
          <a:off x="6245087" y="8945217"/>
          <a:ext cx="1010478" cy="8283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165652</xdr:colOff>
      <xdr:row>101</xdr:row>
      <xdr:rowOff>74544</xdr:rowOff>
    </xdr:from>
    <xdr:to>
      <xdr:col>2</xdr:col>
      <xdr:colOff>778565</xdr:colOff>
      <xdr:row>103</xdr:row>
      <xdr:rowOff>140804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 bwMode="auto">
        <a:xfrm flipH="1" flipV="1">
          <a:off x="1656522" y="9309653"/>
          <a:ext cx="612913" cy="422412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94</xdr:row>
      <xdr:rowOff>41413</xdr:rowOff>
    </xdr:from>
    <xdr:to>
      <xdr:col>4</xdr:col>
      <xdr:colOff>256761</xdr:colOff>
      <xdr:row>102</xdr:row>
      <xdr:rowOff>157372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 bwMode="auto">
        <a:xfrm flipV="1">
          <a:off x="3313045" y="7976152"/>
          <a:ext cx="8281" cy="1623394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376128</xdr:colOff>
      <xdr:row>110</xdr:row>
      <xdr:rowOff>33131</xdr:rowOff>
    </xdr:from>
    <xdr:to>
      <xdr:col>3</xdr:col>
      <xdr:colOff>381000</xdr:colOff>
      <xdr:row>112</xdr:row>
      <xdr:rowOff>21437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 bwMode="auto">
        <a:xfrm flipH="1">
          <a:off x="2653845" y="10908196"/>
          <a:ext cx="4872" cy="319611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737160</xdr:colOff>
      <xdr:row>110</xdr:row>
      <xdr:rowOff>140804</xdr:rowOff>
    </xdr:from>
    <xdr:to>
      <xdr:col>5</xdr:col>
      <xdr:colOff>745442</xdr:colOff>
      <xdr:row>114</xdr:row>
      <xdr:rowOff>41413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 bwMode="auto">
        <a:xfrm>
          <a:off x="4091617" y="11049000"/>
          <a:ext cx="8282" cy="604630"/>
        </a:xfrm>
        <a:prstGeom prst="straightConnector1">
          <a:avLst/>
        </a:prstGeom>
        <a:ln>
          <a:headEnd type="arrow" w="med" len="med"/>
          <a:tailEnd type="non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212751</xdr:colOff>
      <xdr:row>36</xdr:row>
      <xdr:rowOff>152400</xdr:rowOff>
    </xdr:from>
    <xdr:to>
      <xdr:col>12</xdr:col>
      <xdr:colOff>493940</xdr:colOff>
      <xdr:row>54</xdr:row>
      <xdr:rowOff>62512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215152</xdr:colOff>
      <xdr:row>55</xdr:row>
      <xdr:rowOff>7684</xdr:rowOff>
    </xdr:from>
    <xdr:to>
      <xdr:col>12</xdr:col>
      <xdr:colOff>498928</xdr:colOff>
      <xdr:row>75</xdr:row>
      <xdr:rowOff>15118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243567</xdr:colOff>
      <xdr:row>55</xdr:row>
      <xdr:rowOff>7685</xdr:rowOff>
    </xdr:from>
    <xdr:to>
      <xdr:col>7</xdr:col>
      <xdr:colOff>68034</xdr:colOff>
      <xdr:row>76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243568</xdr:colOff>
      <xdr:row>36</xdr:row>
      <xdr:rowOff>152400</xdr:rowOff>
    </xdr:from>
    <xdr:to>
      <xdr:col>6</xdr:col>
      <xdr:colOff>1039185</xdr:colOff>
      <xdr:row>54</xdr:row>
      <xdr:rowOff>66676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657225</xdr:colOff>
      <xdr:row>23</xdr:row>
      <xdr:rowOff>0</xdr:rowOff>
    </xdr:from>
    <xdr:to>
      <xdr:col>8</xdr:col>
      <xdr:colOff>114300</xdr:colOff>
      <xdr:row>28</xdr:row>
      <xdr:rowOff>19050</xdr:rowOff>
    </xdr:to>
    <xdr:pic>
      <xdr:nvPicPr>
        <xdr:cNvPr id="26" name="Picture 25" descr="D:\Users\cengmann\AppData\Local\Temp\SNAGHTMLb45c607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91" t="54419" r="19475" b="26898"/>
        <a:stretch/>
      </xdr:blipFill>
      <xdr:spPr bwMode="auto">
        <a:xfrm>
          <a:off x="6010275" y="4324350"/>
          <a:ext cx="561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152400</xdr:rowOff>
    </xdr:from>
    <xdr:to>
      <xdr:col>10</xdr:col>
      <xdr:colOff>0</xdr:colOff>
      <xdr:row>21</xdr:row>
      <xdr:rowOff>200025</xdr:rowOff>
    </xdr:to>
    <xdr:sp macro="" textlink="">
      <xdr:nvSpPr>
        <xdr:cNvPr id="1326" name="Rectangle 302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>
          <a:spLocks noChangeArrowheads="1"/>
        </xdr:cNvSpPr>
      </xdr:nvSpPr>
      <xdr:spPr bwMode="auto">
        <a:xfrm>
          <a:off x="333375" y="152400"/>
          <a:ext cx="5476875" cy="3409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3</xdr:col>
      <xdr:colOff>552450</xdr:colOff>
      <xdr:row>1132</xdr:row>
      <xdr:rowOff>85725</xdr:rowOff>
    </xdr:from>
    <xdr:to>
      <xdr:col>5</xdr:col>
      <xdr:colOff>19050</xdr:colOff>
      <xdr:row>1132</xdr:row>
      <xdr:rowOff>85725</xdr:rowOff>
    </xdr:to>
    <xdr:sp macro="" textlink="">
      <xdr:nvSpPr>
        <xdr:cNvPr id="2001" name="Line 977">
          <a:extLst>
            <a:ext uri="{FF2B5EF4-FFF2-40B4-BE49-F238E27FC236}">
              <a16:creationId xmlns:a16="http://schemas.microsoft.com/office/drawing/2014/main" id="{00000000-0008-0000-0200-0000D1070000}"/>
            </a:ext>
          </a:extLst>
        </xdr:cNvPr>
        <xdr:cNvSpPr>
          <a:spLocks noChangeShapeType="1"/>
        </xdr:cNvSpPr>
      </xdr:nvSpPr>
      <xdr:spPr bwMode="auto">
        <a:xfrm>
          <a:off x="2076450" y="1856422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66675</xdr:colOff>
      <xdr:row>1132</xdr:row>
      <xdr:rowOff>95250</xdr:rowOff>
    </xdr:from>
    <xdr:to>
      <xdr:col>6</xdr:col>
      <xdr:colOff>485775</xdr:colOff>
      <xdr:row>1132</xdr:row>
      <xdr:rowOff>95250</xdr:rowOff>
    </xdr:to>
    <xdr:sp macro="" textlink="">
      <xdr:nvSpPr>
        <xdr:cNvPr id="2002" name="Line 978">
          <a:extLst>
            <a:ext uri="{FF2B5EF4-FFF2-40B4-BE49-F238E27FC236}">
              <a16:creationId xmlns:a16="http://schemas.microsoft.com/office/drawing/2014/main" id="{00000000-0008-0000-0200-0000D2070000}"/>
            </a:ext>
          </a:extLst>
        </xdr:cNvPr>
        <xdr:cNvSpPr>
          <a:spLocks noChangeShapeType="1"/>
        </xdr:cNvSpPr>
      </xdr:nvSpPr>
      <xdr:spPr bwMode="auto">
        <a:xfrm>
          <a:off x="3362325" y="18565177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580</xdr:row>
      <xdr:rowOff>0</xdr:rowOff>
    </xdr:from>
    <xdr:to>
      <xdr:col>3</xdr:col>
      <xdr:colOff>123825</xdr:colOff>
      <xdr:row>581</xdr:row>
      <xdr:rowOff>0</xdr:rowOff>
    </xdr:to>
    <xdr:sp macro="" textlink="">
      <xdr:nvSpPr>
        <xdr:cNvPr id="9756" name="Text Box 3612">
          <a:extLst>
            <a:ext uri="{FF2B5EF4-FFF2-40B4-BE49-F238E27FC236}">
              <a16:creationId xmlns:a16="http://schemas.microsoft.com/office/drawing/2014/main" id="{00000000-0008-0000-0200-00001C260000}"/>
            </a:ext>
          </a:extLst>
        </xdr:cNvPr>
        <xdr:cNvSpPr txBox="1">
          <a:spLocks noChangeArrowheads="1"/>
        </xdr:cNvSpPr>
      </xdr:nvSpPr>
      <xdr:spPr bwMode="auto">
        <a:xfrm>
          <a:off x="1524000" y="946499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F</a:t>
          </a:r>
          <a:endParaRPr lang="en-US"/>
        </a:p>
      </xdr:txBody>
    </xdr:sp>
    <xdr:clientData/>
  </xdr:twoCellAnchor>
  <xdr:twoCellAnchor>
    <xdr:from>
      <xdr:col>7</xdr:col>
      <xdr:colOff>0</xdr:colOff>
      <xdr:row>602</xdr:row>
      <xdr:rowOff>0</xdr:rowOff>
    </xdr:from>
    <xdr:to>
      <xdr:col>7</xdr:col>
      <xdr:colOff>123825</xdr:colOff>
      <xdr:row>603</xdr:row>
      <xdr:rowOff>0</xdr:rowOff>
    </xdr:to>
    <xdr:sp macro="" textlink="">
      <xdr:nvSpPr>
        <xdr:cNvPr id="9757" name="Text Box 3613">
          <a:extLst>
            <a:ext uri="{FF2B5EF4-FFF2-40B4-BE49-F238E27FC236}">
              <a16:creationId xmlns:a16="http://schemas.microsoft.com/office/drawing/2014/main" id="{00000000-0008-0000-0200-00001D260000}"/>
            </a:ext>
          </a:extLst>
        </xdr:cNvPr>
        <xdr:cNvSpPr txBox="1">
          <a:spLocks noChangeArrowheads="1"/>
        </xdr:cNvSpPr>
      </xdr:nvSpPr>
      <xdr:spPr bwMode="auto">
        <a:xfrm>
          <a:off x="3886200" y="991838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G</a:t>
          </a:r>
          <a:endParaRPr lang="en-US"/>
        </a:p>
      </xdr:txBody>
    </xdr:sp>
    <xdr:clientData/>
  </xdr:twoCellAnchor>
  <xdr:twoCellAnchor>
    <xdr:from>
      <xdr:col>7</xdr:col>
      <xdr:colOff>619125</xdr:colOff>
      <xdr:row>545</xdr:row>
      <xdr:rowOff>0</xdr:rowOff>
    </xdr:from>
    <xdr:to>
      <xdr:col>8</xdr:col>
      <xdr:colOff>0</xdr:colOff>
      <xdr:row>546</xdr:row>
      <xdr:rowOff>0</xdr:rowOff>
    </xdr:to>
    <xdr:sp macro="" textlink="">
      <xdr:nvSpPr>
        <xdr:cNvPr id="9849" name="Text Box 3705">
          <a:extLst>
            <a:ext uri="{FF2B5EF4-FFF2-40B4-BE49-F238E27FC236}">
              <a16:creationId xmlns:a16="http://schemas.microsoft.com/office/drawing/2014/main" id="{00000000-0008-0000-0200-000079260000}"/>
            </a:ext>
          </a:extLst>
        </xdr:cNvPr>
        <xdr:cNvSpPr txBox="1">
          <a:spLocks noChangeArrowheads="1"/>
        </xdr:cNvSpPr>
      </xdr:nvSpPr>
      <xdr:spPr bwMode="auto">
        <a:xfrm>
          <a:off x="4505325" y="890682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D</a:t>
          </a:r>
          <a:endParaRPr lang="en-US"/>
        </a:p>
      </xdr:txBody>
    </xdr:sp>
    <xdr:clientData/>
  </xdr:twoCellAnchor>
  <xdr:twoCellAnchor>
    <xdr:from>
      <xdr:col>7</xdr:col>
      <xdr:colOff>609600</xdr:colOff>
      <xdr:row>536</xdr:row>
      <xdr:rowOff>0</xdr:rowOff>
    </xdr:from>
    <xdr:to>
      <xdr:col>7</xdr:col>
      <xdr:colOff>733425</xdr:colOff>
      <xdr:row>537</xdr:row>
      <xdr:rowOff>0</xdr:rowOff>
    </xdr:to>
    <xdr:sp macro="" textlink="">
      <xdr:nvSpPr>
        <xdr:cNvPr id="9850" name="Text Box 3706">
          <a:extLst>
            <a:ext uri="{FF2B5EF4-FFF2-40B4-BE49-F238E27FC236}">
              <a16:creationId xmlns:a16="http://schemas.microsoft.com/office/drawing/2014/main" id="{00000000-0008-0000-0200-00007A260000}"/>
            </a:ext>
          </a:extLst>
        </xdr:cNvPr>
        <xdr:cNvSpPr txBox="1">
          <a:spLocks noChangeArrowheads="1"/>
        </xdr:cNvSpPr>
      </xdr:nvSpPr>
      <xdr:spPr bwMode="auto">
        <a:xfrm>
          <a:off x="4495800" y="874490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C</a:t>
          </a:r>
          <a:endParaRPr lang="en-US"/>
        </a:p>
      </xdr:txBody>
    </xdr:sp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123825</xdr:colOff>
      <xdr:row>559</xdr:row>
      <xdr:rowOff>0</xdr:rowOff>
    </xdr:to>
    <xdr:sp macro="" textlink="">
      <xdr:nvSpPr>
        <xdr:cNvPr id="10054" name="Text Box 3910">
          <a:extLst>
            <a:ext uri="{FF2B5EF4-FFF2-40B4-BE49-F238E27FC236}">
              <a16:creationId xmlns:a16="http://schemas.microsoft.com/office/drawing/2014/main" id="{00000000-0008-0000-0200-000046270000}"/>
            </a:ext>
          </a:extLst>
        </xdr:cNvPr>
        <xdr:cNvSpPr txBox="1">
          <a:spLocks noChangeArrowheads="1"/>
        </xdr:cNvSpPr>
      </xdr:nvSpPr>
      <xdr:spPr bwMode="auto">
        <a:xfrm>
          <a:off x="333375" y="911733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C</a:t>
          </a:r>
          <a:endParaRPr lang="en-US"/>
        </a:p>
      </xdr:txBody>
    </xdr:sp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123825</xdr:colOff>
      <xdr:row>560</xdr:row>
      <xdr:rowOff>0</xdr:rowOff>
    </xdr:to>
    <xdr:sp macro="" textlink="">
      <xdr:nvSpPr>
        <xdr:cNvPr id="10055" name="Text Box 3911">
          <a:extLst>
            <a:ext uri="{FF2B5EF4-FFF2-40B4-BE49-F238E27FC236}">
              <a16:creationId xmlns:a16="http://schemas.microsoft.com/office/drawing/2014/main" id="{00000000-0008-0000-0200-000047270000}"/>
            </a:ext>
          </a:extLst>
        </xdr:cNvPr>
        <xdr:cNvSpPr txBox="1">
          <a:spLocks noChangeArrowheads="1"/>
        </xdr:cNvSpPr>
      </xdr:nvSpPr>
      <xdr:spPr bwMode="auto">
        <a:xfrm>
          <a:off x="333375" y="913352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D</a:t>
          </a:r>
          <a:endParaRPr lang="en-US"/>
        </a:p>
      </xdr:txBody>
    </xdr:sp>
    <xdr:clientData/>
  </xdr:twoCellAnchor>
  <xdr:twoCellAnchor>
    <xdr:from>
      <xdr:col>5</xdr:col>
      <xdr:colOff>466725</xdr:colOff>
      <xdr:row>509</xdr:row>
      <xdr:rowOff>0</xdr:rowOff>
    </xdr:from>
    <xdr:to>
      <xdr:col>6</xdr:col>
      <xdr:colOff>0</xdr:colOff>
      <xdr:row>510</xdr:row>
      <xdr:rowOff>0</xdr:rowOff>
    </xdr:to>
    <xdr:sp macro="" textlink="">
      <xdr:nvSpPr>
        <xdr:cNvPr id="10056" name="Text Box 3912">
          <a:extLst>
            <a:ext uri="{FF2B5EF4-FFF2-40B4-BE49-F238E27FC236}">
              <a16:creationId xmlns:a16="http://schemas.microsoft.com/office/drawing/2014/main" id="{00000000-0008-0000-0200-000048270000}"/>
            </a:ext>
          </a:extLst>
        </xdr:cNvPr>
        <xdr:cNvSpPr txBox="1">
          <a:spLocks noChangeArrowheads="1"/>
        </xdr:cNvSpPr>
      </xdr:nvSpPr>
      <xdr:spPr bwMode="auto">
        <a:xfrm>
          <a:off x="3171825" y="828389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5</xdr:col>
      <xdr:colOff>466725</xdr:colOff>
      <xdr:row>510</xdr:row>
      <xdr:rowOff>0</xdr:rowOff>
    </xdr:from>
    <xdr:to>
      <xdr:col>6</xdr:col>
      <xdr:colOff>0</xdr:colOff>
      <xdr:row>511</xdr:row>
      <xdr:rowOff>0</xdr:rowOff>
    </xdr:to>
    <xdr:sp macro="" textlink="">
      <xdr:nvSpPr>
        <xdr:cNvPr id="10057" name="Text Box 3913">
          <a:extLst>
            <a:ext uri="{FF2B5EF4-FFF2-40B4-BE49-F238E27FC236}">
              <a16:creationId xmlns:a16="http://schemas.microsoft.com/office/drawing/2014/main" id="{00000000-0008-0000-0200-000049270000}"/>
            </a:ext>
          </a:extLst>
        </xdr:cNvPr>
        <xdr:cNvSpPr txBox="1">
          <a:spLocks noChangeArrowheads="1"/>
        </xdr:cNvSpPr>
      </xdr:nvSpPr>
      <xdr:spPr bwMode="auto">
        <a:xfrm>
          <a:off x="3171825" y="830008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B</a:t>
          </a:r>
          <a:endParaRPr lang="en-US"/>
        </a:p>
      </xdr:txBody>
    </xdr:sp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123825</xdr:colOff>
      <xdr:row>516</xdr:row>
      <xdr:rowOff>0</xdr:rowOff>
    </xdr:to>
    <xdr:sp macro="" textlink="">
      <xdr:nvSpPr>
        <xdr:cNvPr id="10058" name="Text Box 3914">
          <a:extLst>
            <a:ext uri="{FF2B5EF4-FFF2-40B4-BE49-F238E27FC236}">
              <a16:creationId xmlns:a16="http://schemas.microsoft.com/office/drawing/2014/main" id="{00000000-0008-0000-0200-00004A270000}"/>
            </a:ext>
          </a:extLst>
        </xdr:cNvPr>
        <xdr:cNvSpPr txBox="1">
          <a:spLocks noChangeArrowheads="1"/>
        </xdr:cNvSpPr>
      </xdr:nvSpPr>
      <xdr:spPr bwMode="auto">
        <a:xfrm>
          <a:off x="333375" y="838104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123825</xdr:colOff>
      <xdr:row>517</xdr:row>
      <xdr:rowOff>0</xdr:rowOff>
    </xdr:to>
    <xdr:sp macro="" textlink="">
      <xdr:nvSpPr>
        <xdr:cNvPr id="10059" name="Text Box 3915">
          <a:extLst>
            <a:ext uri="{FF2B5EF4-FFF2-40B4-BE49-F238E27FC236}">
              <a16:creationId xmlns:a16="http://schemas.microsoft.com/office/drawing/2014/main" id="{00000000-0008-0000-0200-00004B270000}"/>
            </a:ext>
          </a:extLst>
        </xdr:cNvPr>
        <xdr:cNvSpPr txBox="1">
          <a:spLocks noChangeArrowheads="1"/>
        </xdr:cNvSpPr>
      </xdr:nvSpPr>
      <xdr:spPr bwMode="auto">
        <a:xfrm>
          <a:off x="333375" y="839724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B</a:t>
          </a:r>
          <a:endParaRPr lang="en-US"/>
        </a:p>
      </xdr:txBody>
    </xdr:sp>
    <xdr:clientData/>
  </xdr:twoCellAnchor>
  <xdr:twoCellAnchor>
    <xdr:from>
      <xdr:col>1</xdr:col>
      <xdr:colOff>9525</xdr:colOff>
      <xdr:row>635</xdr:row>
      <xdr:rowOff>0</xdr:rowOff>
    </xdr:from>
    <xdr:to>
      <xdr:col>1</xdr:col>
      <xdr:colOff>133350</xdr:colOff>
      <xdr:row>636</xdr:row>
      <xdr:rowOff>0</xdr:rowOff>
    </xdr:to>
    <xdr:sp macro="" textlink="">
      <xdr:nvSpPr>
        <xdr:cNvPr id="10075" name="Text Box 3931">
          <a:extLst>
            <a:ext uri="{FF2B5EF4-FFF2-40B4-BE49-F238E27FC236}">
              <a16:creationId xmlns:a16="http://schemas.microsoft.com/office/drawing/2014/main" id="{00000000-0008-0000-0200-00005B270000}"/>
            </a:ext>
          </a:extLst>
        </xdr:cNvPr>
        <xdr:cNvSpPr txBox="1">
          <a:spLocks noChangeArrowheads="1"/>
        </xdr:cNvSpPr>
      </xdr:nvSpPr>
      <xdr:spPr bwMode="auto">
        <a:xfrm>
          <a:off x="342900" y="1048512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H</a:t>
          </a:r>
          <a:endParaRPr lang="en-US"/>
        </a:p>
      </xdr:txBody>
    </xdr:sp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123825</xdr:colOff>
      <xdr:row>632</xdr:row>
      <xdr:rowOff>0</xdr:rowOff>
    </xdr:to>
    <xdr:sp macro="" textlink="">
      <xdr:nvSpPr>
        <xdr:cNvPr id="10076" name="Text Box 3932">
          <a:extLst>
            <a:ext uri="{FF2B5EF4-FFF2-40B4-BE49-F238E27FC236}">
              <a16:creationId xmlns:a16="http://schemas.microsoft.com/office/drawing/2014/main" id="{00000000-0008-0000-0200-00005C270000}"/>
            </a:ext>
          </a:extLst>
        </xdr:cNvPr>
        <xdr:cNvSpPr txBox="1">
          <a:spLocks noChangeArrowheads="1"/>
        </xdr:cNvSpPr>
      </xdr:nvSpPr>
      <xdr:spPr bwMode="auto">
        <a:xfrm>
          <a:off x="333375" y="1042035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G</a:t>
          </a:r>
          <a:endParaRPr lang="en-US"/>
        </a:p>
      </xdr:txBody>
    </xdr:sp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123825</xdr:colOff>
      <xdr:row>628</xdr:row>
      <xdr:rowOff>0</xdr:rowOff>
    </xdr:to>
    <xdr:sp macro="" textlink="">
      <xdr:nvSpPr>
        <xdr:cNvPr id="10077" name="Text Box 3933">
          <a:extLst>
            <a:ext uri="{FF2B5EF4-FFF2-40B4-BE49-F238E27FC236}">
              <a16:creationId xmlns:a16="http://schemas.microsoft.com/office/drawing/2014/main" id="{00000000-0008-0000-0200-00005D270000}"/>
            </a:ext>
          </a:extLst>
        </xdr:cNvPr>
        <xdr:cNvSpPr txBox="1">
          <a:spLocks noChangeArrowheads="1"/>
        </xdr:cNvSpPr>
      </xdr:nvSpPr>
      <xdr:spPr bwMode="auto">
        <a:xfrm>
          <a:off x="333375" y="1035558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F</a:t>
          </a:r>
          <a:endParaRPr lang="en-US"/>
        </a:p>
      </xdr:txBody>
    </xdr:sp>
    <xdr:clientData/>
  </xdr:twoCellAnchor>
  <xdr:twoCellAnchor>
    <xdr:from>
      <xdr:col>1</xdr:col>
      <xdr:colOff>9525</xdr:colOff>
      <xdr:row>637</xdr:row>
      <xdr:rowOff>0</xdr:rowOff>
    </xdr:from>
    <xdr:to>
      <xdr:col>1</xdr:col>
      <xdr:colOff>133350</xdr:colOff>
      <xdr:row>638</xdr:row>
      <xdr:rowOff>0</xdr:rowOff>
    </xdr:to>
    <xdr:sp macro="" textlink="">
      <xdr:nvSpPr>
        <xdr:cNvPr id="10078" name="Text Box 3934">
          <a:extLst>
            <a:ext uri="{FF2B5EF4-FFF2-40B4-BE49-F238E27FC236}">
              <a16:creationId xmlns:a16="http://schemas.microsoft.com/office/drawing/2014/main" id="{00000000-0008-0000-0200-00005E270000}"/>
            </a:ext>
          </a:extLst>
        </xdr:cNvPr>
        <xdr:cNvSpPr txBox="1">
          <a:spLocks noChangeArrowheads="1"/>
        </xdr:cNvSpPr>
      </xdr:nvSpPr>
      <xdr:spPr bwMode="auto">
        <a:xfrm>
          <a:off x="342900" y="1051750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I</a:t>
          </a:r>
          <a:endParaRPr lang="en-US"/>
        </a:p>
      </xdr:txBody>
    </xdr:sp>
    <xdr:clientData/>
  </xdr:twoCellAnchor>
  <xdr:twoCellAnchor>
    <xdr:from>
      <xdr:col>7</xdr:col>
      <xdr:colOff>0</xdr:colOff>
      <xdr:row>608</xdr:row>
      <xdr:rowOff>0</xdr:rowOff>
    </xdr:from>
    <xdr:to>
      <xdr:col>7</xdr:col>
      <xdr:colOff>123825</xdr:colOff>
      <xdr:row>609</xdr:row>
      <xdr:rowOff>0</xdr:rowOff>
    </xdr:to>
    <xdr:sp macro="" textlink="">
      <xdr:nvSpPr>
        <xdr:cNvPr id="10079" name="Text Box 3935">
          <a:extLst>
            <a:ext uri="{FF2B5EF4-FFF2-40B4-BE49-F238E27FC236}">
              <a16:creationId xmlns:a16="http://schemas.microsoft.com/office/drawing/2014/main" id="{00000000-0008-0000-0200-00005F270000}"/>
            </a:ext>
          </a:extLst>
        </xdr:cNvPr>
        <xdr:cNvSpPr txBox="1">
          <a:spLocks noChangeArrowheads="1"/>
        </xdr:cNvSpPr>
      </xdr:nvSpPr>
      <xdr:spPr bwMode="auto">
        <a:xfrm>
          <a:off x="3886200" y="1001553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H</a:t>
          </a:r>
          <a:endParaRPr lang="en-US"/>
        </a:p>
      </xdr:txBody>
    </xdr:sp>
    <xdr:clientData/>
  </xdr:twoCellAnchor>
  <xdr:twoCellAnchor>
    <xdr:from>
      <xdr:col>1</xdr:col>
      <xdr:colOff>9525</xdr:colOff>
      <xdr:row>639</xdr:row>
      <xdr:rowOff>0</xdr:rowOff>
    </xdr:from>
    <xdr:to>
      <xdr:col>1</xdr:col>
      <xdr:colOff>133350</xdr:colOff>
      <xdr:row>640</xdr:row>
      <xdr:rowOff>0</xdr:rowOff>
    </xdr:to>
    <xdr:sp macro="" textlink="">
      <xdr:nvSpPr>
        <xdr:cNvPr id="10080" name="Text Box 3936">
          <a:extLst>
            <a:ext uri="{FF2B5EF4-FFF2-40B4-BE49-F238E27FC236}">
              <a16:creationId xmlns:a16="http://schemas.microsoft.com/office/drawing/2014/main" id="{00000000-0008-0000-0200-000060270000}"/>
            </a:ext>
          </a:extLst>
        </xdr:cNvPr>
        <xdr:cNvSpPr txBox="1">
          <a:spLocks noChangeArrowheads="1"/>
        </xdr:cNvSpPr>
      </xdr:nvSpPr>
      <xdr:spPr bwMode="auto">
        <a:xfrm>
          <a:off x="342900" y="1054989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J</a:t>
          </a:r>
          <a:endParaRPr lang="en-US"/>
        </a:p>
      </xdr:txBody>
    </xdr:sp>
    <xdr:clientData/>
  </xdr:twoCellAnchor>
  <xdr:twoCellAnchor>
    <xdr:from>
      <xdr:col>1</xdr:col>
      <xdr:colOff>9525</xdr:colOff>
      <xdr:row>641</xdr:row>
      <xdr:rowOff>0</xdr:rowOff>
    </xdr:from>
    <xdr:to>
      <xdr:col>1</xdr:col>
      <xdr:colOff>133350</xdr:colOff>
      <xdr:row>642</xdr:row>
      <xdr:rowOff>0</xdr:rowOff>
    </xdr:to>
    <xdr:sp macro="" textlink="">
      <xdr:nvSpPr>
        <xdr:cNvPr id="10081" name="Text Box 3937">
          <a:extLst>
            <a:ext uri="{FF2B5EF4-FFF2-40B4-BE49-F238E27FC236}">
              <a16:creationId xmlns:a16="http://schemas.microsoft.com/office/drawing/2014/main" id="{00000000-0008-0000-0200-000061270000}"/>
            </a:ext>
          </a:extLst>
        </xdr:cNvPr>
        <xdr:cNvSpPr txBox="1">
          <a:spLocks noChangeArrowheads="1"/>
        </xdr:cNvSpPr>
      </xdr:nvSpPr>
      <xdr:spPr bwMode="auto">
        <a:xfrm>
          <a:off x="342900" y="1058227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K</a:t>
          </a:r>
          <a:endParaRPr lang="en-US"/>
        </a:p>
      </xdr:txBody>
    </xdr:sp>
    <xdr:clientData/>
  </xdr:twoCellAnchor>
  <xdr:twoCellAnchor>
    <xdr:from>
      <xdr:col>8</xdr:col>
      <xdr:colOff>0</xdr:colOff>
      <xdr:row>616</xdr:row>
      <xdr:rowOff>0</xdr:rowOff>
    </xdr:from>
    <xdr:to>
      <xdr:col>8</xdr:col>
      <xdr:colOff>123825</xdr:colOff>
      <xdr:row>617</xdr:row>
      <xdr:rowOff>0</xdr:rowOff>
    </xdr:to>
    <xdr:sp macro="" textlink="">
      <xdr:nvSpPr>
        <xdr:cNvPr id="10082" name="Text Box 3938">
          <a:extLst>
            <a:ext uri="{FF2B5EF4-FFF2-40B4-BE49-F238E27FC236}">
              <a16:creationId xmlns:a16="http://schemas.microsoft.com/office/drawing/2014/main" id="{00000000-0008-0000-0200-000062270000}"/>
            </a:ext>
          </a:extLst>
        </xdr:cNvPr>
        <xdr:cNvSpPr txBox="1">
          <a:spLocks noChangeArrowheads="1"/>
        </xdr:cNvSpPr>
      </xdr:nvSpPr>
      <xdr:spPr bwMode="auto">
        <a:xfrm>
          <a:off x="4629150" y="1014507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J</a:t>
          </a:r>
          <a:endParaRPr lang="en-US"/>
        </a:p>
      </xdr:txBody>
    </xdr:sp>
    <xdr:clientData/>
  </xdr:twoCellAnchor>
  <xdr:twoCellAnchor>
    <xdr:from>
      <xdr:col>8</xdr:col>
      <xdr:colOff>0</xdr:colOff>
      <xdr:row>617</xdr:row>
      <xdr:rowOff>0</xdr:rowOff>
    </xdr:from>
    <xdr:to>
      <xdr:col>8</xdr:col>
      <xdr:colOff>123825</xdr:colOff>
      <xdr:row>618</xdr:row>
      <xdr:rowOff>0</xdr:rowOff>
    </xdr:to>
    <xdr:sp macro="" textlink="">
      <xdr:nvSpPr>
        <xdr:cNvPr id="10083" name="Text Box 3939">
          <a:extLst>
            <a:ext uri="{FF2B5EF4-FFF2-40B4-BE49-F238E27FC236}">
              <a16:creationId xmlns:a16="http://schemas.microsoft.com/office/drawing/2014/main" id="{00000000-0008-0000-0200-000063270000}"/>
            </a:ext>
          </a:extLst>
        </xdr:cNvPr>
        <xdr:cNvSpPr txBox="1">
          <a:spLocks noChangeArrowheads="1"/>
        </xdr:cNvSpPr>
      </xdr:nvSpPr>
      <xdr:spPr bwMode="auto">
        <a:xfrm>
          <a:off x="4629150" y="1016127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K</a:t>
          </a:r>
          <a:endParaRPr lang="en-US"/>
        </a:p>
      </xdr:txBody>
    </xdr:sp>
    <xdr:clientData/>
  </xdr:twoCellAnchor>
  <xdr:twoCellAnchor>
    <xdr:from>
      <xdr:col>8</xdr:col>
      <xdr:colOff>0</xdr:colOff>
      <xdr:row>618</xdr:row>
      <xdr:rowOff>0</xdr:rowOff>
    </xdr:from>
    <xdr:to>
      <xdr:col>8</xdr:col>
      <xdr:colOff>123825</xdr:colOff>
      <xdr:row>619</xdr:row>
      <xdr:rowOff>0</xdr:rowOff>
    </xdr:to>
    <xdr:sp macro="" textlink="">
      <xdr:nvSpPr>
        <xdr:cNvPr id="10084" name="Text Box 3940">
          <a:extLst>
            <a:ext uri="{FF2B5EF4-FFF2-40B4-BE49-F238E27FC236}">
              <a16:creationId xmlns:a16="http://schemas.microsoft.com/office/drawing/2014/main" id="{00000000-0008-0000-0200-000064270000}"/>
            </a:ext>
          </a:extLst>
        </xdr:cNvPr>
        <xdr:cNvSpPr txBox="1">
          <a:spLocks noChangeArrowheads="1"/>
        </xdr:cNvSpPr>
      </xdr:nvSpPr>
      <xdr:spPr bwMode="auto">
        <a:xfrm>
          <a:off x="4629150" y="1017746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L</a:t>
          </a:r>
          <a:endParaRPr lang="en-US"/>
        </a:p>
      </xdr:txBody>
    </xdr:sp>
    <xdr:clientData/>
  </xdr:twoCellAnchor>
  <xdr:twoCellAnchor>
    <xdr:from>
      <xdr:col>1</xdr:col>
      <xdr:colOff>9525</xdr:colOff>
      <xdr:row>643</xdr:row>
      <xdr:rowOff>0</xdr:rowOff>
    </xdr:from>
    <xdr:to>
      <xdr:col>1</xdr:col>
      <xdr:colOff>133350</xdr:colOff>
      <xdr:row>644</xdr:row>
      <xdr:rowOff>0</xdr:rowOff>
    </xdr:to>
    <xdr:sp macro="" textlink="">
      <xdr:nvSpPr>
        <xdr:cNvPr id="10085" name="Text Box 3941">
          <a:extLst>
            <a:ext uri="{FF2B5EF4-FFF2-40B4-BE49-F238E27FC236}">
              <a16:creationId xmlns:a16="http://schemas.microsoft.com/office/drawing/2014/main" id="{00000000-0008-0000-0200-000065270000}"/>
            </a:ext>
          </a:extLst>
        </xdr:cNvPr>
        <xdr:cNvSpPr txBox="1">
          <a:spLocks noChangeArrowheads="1"/>
        </xdr:cNvSpPr>
      </xdr:nvSpPr>
      <xdr:spPr bwMode="auto">
        <a:xfrm>
          <a:off x="342900" y="1061466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L</a:t>
          </a:r>
          <a:endParaRPr lang="en-US"/>
        </a:p>
      </xdr:txBody>
    </xdr:sp>
    <xdr:clientData/>
  </xdr:twoCellAnchor>
  <xdr:twoCellAnchor>
    <xdr:from>
      <xdr:col>7</xdr:col>
      <xdr:colOff>0</xdr:colOff>
      <xdr:row>611</xdr:row>
      <xdr:rowOff>0</xdr:rowOff>
    </xdr:from>
    <xdr:to>
      <xdr:col>7</xdr:col>
      <xdr:colOff>123825</xdr:colOff>
      <xdr:row>612</xdr:row>
      <xdr:rowOff>0</xdr:rowOff>
    </xdr:to>
    <xdr:sp macro="" textlink="">
      <xdr:nvSpPr>
        <xdr:cNvPr id="10089" name="Text Box 3945">
          <a:extLst>
            <a:ext uri="{FF2B5EF4-FFF2-40B4-BE49-F238E27FC236}">
              <a16:creationId xmlns:a16="http://schemas.microsoft.com/office/drawing/2014/main" id="{00000000-0008-0000-0200-000069270000}"/>
            </a:ext>
          </a:extLst>
        </xdr:cNvPr>
        <xdr:cNvSpPr txBox="1">
          <a:spLocks noChangeArrowheads="1"/>
        </xdr:cNvSpPr>
      </xdr:nvSpPr>
      <xdr:spPr bwMode="auto">
        <a:xfrm>
          <a:off x="3886200" y="1006411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I</a:t>
          </a:r>
          <a:endParaRPr lang="en-US"/>
        </a:p>
      </xdr:txBody>
    </xdr:sp>
    <xdr:clientData/>
  </xdr:twoCellAnchor>
  <xdr:twoCellAnchor>
    <xdr:from>
      <xdr:col>8</xdr:col>
      <xdr:colOff>0</xdr:colOff>
      <xdr:row>619</xdr:row>
      <xdr:rowOff>0</xdr:rowOff>
    </xdr:from>
    <xdr:to>
      <xdr:col>8</xdr:col>
      <xdr:colOff>123825</xdr:colOff>
      <xdr:row>620</xdr:row>
      <xdr:rowOff>0</xdr:rowOff>
    </xdr:to>
    <xdr:sp macro="" textlink="">
      <xdr:nvSpPr>
        <xdr:cNvPr id="17495" name="Text Box 5207">
          <a:extLst>
            <a:ext uri="{FF2B5EF4-FFF2-40B4-BE49-F238E27FC236}">
              <a16:creationId xmlns:a16="http://schemas.microsoft.com/office/drawing/2014/main" id="{00000000-0008-0000-0200-000057440000}"/>
            </a:ext>
          </a:extLst>
        </xdr:cNvPr>
        <xdr:cNvSpPr txBox="1">
          <a:spLocks noChangeArrowheads="1"/>
        </xdr:cNvSpPr>
      </xdr:nvSpPr>
      <xdr:spPr bwMode="auto">
        <a:xfrm>
          <a:off x="4629150" y="1019365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M</a:t>
          </a:r>
          <a:endParaRPr lang="en-US"/>
        </a:p>
      </xdr:txBody>
    </xdr:sp>
    <xdr:clientData/>
  </xdr:twoCellAnchor>
  <xdr:twoCellAnchor>
    <xdr:from>
      <xdr:col>1</xdr:col>
      <xdr:colOff>9525</xdr:colOff>
      <xdr:row>646</xdr:row>
      <xdr:rowOff>0</xdr:rowOff>
    </xdr:from>
    <xdr:to>
      <xdr:col>1</xdr:col>
      <xdr:colOff>133350</xdr:colOff>
      <xdr:row>647</xdr:row>
      <xdr:rowOff>0</xdr:rowOff>
    </xdr:to>
    <xdr:sp macro="" textlink="">
      <xdr:nvSpPr>
        <xdr:cNvPr id="17496" name="Text Box 5208">
          <a:extLst>
            <a:ext uri="{FF2B5EF4-FFF2-40B4-BE49-F238E27FC236}">
              <a16:creationId xmlns:a16="http://schemas.microsoft.com/office/drawing/2014/main" id="{00000000-0008-0000-0200-000058440000}"/>
            </a:ext>
          </a:extLst>
        </xdr:cNvPr>
        <xdr:cNvSpPr txBox="1">
          <a:spLocks noChangeArrowheads="1"/>
        </xdr:cNvSpPr>
      </xdr:nvSpPr>
      <xdr:spPr bwMode="auto">
        <a:xfrm>
          <a:off x="342900" y="1066323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chemeClr val="accent1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66FF"/>
              </a:solidFill>
              <a:latin typeface="Arial Narrow"/>
            </a:rPr>
            <a:t>M</a:t>
          </a:r>
          <a:endParaRPr lang="en-US">
            <a:solidFill>
              <a:srgbClr val="0066FF"/>
            </a:solidFill>
          </a:endParaRPr>
        </a:p>
      </xdr:txBody>
    </xdr:sp>
    <xdr:clientData/>
  </xdr:twoCellAnchor>
  <xdr:twoCellAnchor>
    <xdr:from>
      <xdr:col>6</xdr:col>
      <xdr:colOff>457200</xdr:colOff>
      <xdr:row>563</xdr:row>
      <xdr:rowOff>0</xdr:rowOff>
    </xdr:from>
    <xdr:to>
      <xdr:col>6</xdr:col>
      <xdr:colOff>581025</xdr:colOff>
      <xdr:row>564</xdr:row>
      <xdr:rowOff>0</xdr:rowOff>
    </xdr:to>
    <xdr:sp macro="" textlink="">
      <xdr:nvSpPr>
        <xdr:cNvPr id="17498" name="Text Box 5210">
          <a:extLst>
            <a:ext uri="{FF2B5EF4-FFF2-40B4-BE49-F238E27FC236}">
              <a16:creationId xmlns:a16="http://schemas.microsoft.com/office/drawing/2014/main" id="{00000000-0008-0000-0200-00005A440000}"/>
            </a:ext>
          </a:extLst>
        </xdr:cNvPr>
        <xdr:cNvSpPr txBox="1">
          <a:spLocks noChangeArrowheads="1"/>
        </xdr:cNvSpPr>
      </xdr:nvSpPr>
      <xdr:spPr bwMode="auto">
        <a:xfrm>
          <a:off x="3752850" y="919829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E</a:t>
          </a:r>
          <a:endParaRPr lang="en-US"/>
        </a:p>
      </xdr:txBody>
    </xdr:sp>
    <xdr:clientData/>
  </xdr:twoCellAnchor>
  <xdr:twoCellAnchor>
    <xdr:from>
      <xdr:col>1</xdr:col>
      <xdr:colOff>9525</xdr:colOff>
      <xdr:row>565</xdr:row>
      <xdr:rowOff>0</xdr:rowOff>
    </xdr:from>
    <xdr:to>
      <xdr:col>1</xdr:col>
      <xdr:colOff>133350</xdr:colOff>
      <xdr:row>566</xdr:row>
      <xdr:rowOff>0</xdr:rowOff>
    </xdr:to>
    <xdr:sp macro="" textlink="">
      <xdr:nvSpPr>
        <xdr:cNvPr id="17499" name="Text Box 5211">
          <a:extLst>
            <a:ext uri="{FF2B5EF4-FFF2-40B4-BE49-F238E27FC236}">
              <a16:creationId xmlns:a16="http://schemas.microsoft.com/office/drawing/2014/main" id="{00000000-0008-0000-0200-00005B440000}"/>
            </a:ext>
          </a:extLst>
        </xdr:cNvPr>
        <xdr:cNvSpPr txBox="1">
          <a:spLocks noChangeArrowheads="1"/>
        </xdr:cNvSpPr>
      </xdr:nvSpPr>
      <xdr:spPr bwMode="auto">
        <a:xfrm>
          <a:off x="342900" y="923067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E</a:t>
          </a:r>
          <a:endParaRPr lang="en-US"/>
        </a:p>
      </xdr:txBody>
    </xdr:sp>
    <xdr:clientData/>
  </xdr:twoCellAnchor>
  <xdr:twoCellAnchor>
    <xdr:from>
      <xdr:col>2</xdr:col>
      <xdr:colOff>466725</xdr:colOff>
      <xdr:row>347</xdr:row>
      <xdr:rowOff>0</xdr:rowOff>
    </xdr:from>
    <xdr:to>
      <xdr:col>3</xdr:col>
      <xdr:colOff>0</xdr:colOff>
      <xdr:row>348</xdr:row>
      <xdr:rowOff>0</xdr:rowOff>
    </xdr:to>
    <xdr:sp macro="" textlink="">
      <xdr:nvSpPr>
        <xdr:cNvPr id="18086" name="Text Box 5798">
          <a:extLst>
            <a:ext uri="{FF2B5EF4-FFF2-40B4-BE49-F238E27FC236}">
              <a16:creationId xmlns:a16="http://schemas.microsoft.com/office/drawing/2014/main" id="{00000000-0008-0000-0200-0000A6460000}"/>
            </a:ext>
          </a:extLst>
        </xdr:cNvPr>
        <xdr:cNvSpPr txBox="1">
          <a:spLocks noChangeArrowheads="1"/>
        </xdr:cNvSpPr>
      </xdr:nvSpPr>
      <xdr:spPr bwMode="auto">
        <a:xfrm>
          <a:off x="1400175" y="554831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2</xdr:col>
      <xdr:colOff>466725</xdr:colOff>
      <xdr:row>348</xdr:row>
      <xdr:rowOff>0</xdr:rowOff>
    </xdr:from>
    <xdr:to>
      <xdr:col>3</xdr:col>
      <xdr:colOff>0</xdr:colOff>
      <xdr:row>349</xdr:row>
      <xdr:rowOff>0</xdr:rowOff>
    </xdr:to>
    <xdr:sp macro="" textlink="">
      <xdr:nvSpPr>
        <xdr:cNvPr id="18087" name="Text Box 5799">
          <a:extLst>
            <a:ext uri="{FF2B5EF4-FFF2-40B4-BE49-F238E27FC236}">
              <a16:creationId xmlns:a16="http://schemas.microsoft.com/office/drawing/2014/main" id="{00000000-0008-0000-0200-0000A7460000}"/>
            </a:ext>
          </a:extLst>
        </xdr:cNvPr>
        <xdr:cNvSpPr txBox="1">
          <a:spLocks noChangeArrowheads="1"/>
        </xdr:cNvSpPr>
      </xdr:nvSpPr>
      <xdr:spPr bwMode="auto">
        <a:xfrm>
          <a:off x="1400175" y="556450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2</xdr:col>
      <xdr:colOff>466725</xdr:colOff>
      <xdr:row>349</xdr:row>
      <xdr:rowOff>0</xdr:rowOff>
    </xdr:from>
    <xdr:to>
      <xdr:col>3</xdr:col>
      <xdr:colOff>0</xdr:colOff>
      <xdr:row>350</xdr:row>
      <xdr:rowOff>0</xdr:rowOff>
    </xdr:to>
    <xdr:sp macro="" textlink="">
      <xdr:nvSpPr>
        <xdr:cNvPr id="18088" name="Text Box 5800">
          <a:extLst>
            <a:ext uri="{FF2B5EF4-FFF2-40B4-BE49-F238E27FC236}">
              <a16:creationId xmlns:a16="http://schemas.microsoft.com/office/drawing/2014/main" id="{00000000-0008-0000-0200-0000A8460000}"/>
            </a:ext>
          </a:extLst>
        </xdr:cNvPr>
        <xdr:cNvSpPr txBox="1">
          <a:spLocks noChangeArrowheads="1"/>
        </xdr:cNvSpPr>
      </xdr:nvSpPr>
      <xdr:spPr bwMode="auto">
        <a:xfrm>
          <a:off x="1400175" y="558069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2</xdr:col>
      <xdr:colOff>466725</xdr:colOff>
      <xdr:row>350</xdr:row>
      <xdr:rowOff>0</xdr:rowOff>
    </xdr:from>
    <xdr:to>
      <xdr:col>3</xdr:col>
      <xdr:colOff>0</xdr:colOff>
      <xdr:row>351</xdr:row>
      <xdr:rowOff>0</xdr:rowOff>
    </xdr:to>
    <xdr:sp macro="" textlink="">
      <xdr:nvSpPr>
        <xdr:cNvPr id="18089" name="Text Box 5801">
          <a:extLst>
            <a:ext uri="{FF2B5EF4-FFF2-40B4-BE49-F238E27FC236}">
              <a16:creationId xmlns:a16="http://schemas.microsoft.com/office/drawing/2014/main" id="{00000000-0008-0000-0200-0000A9460000}"/>
            </a:ext>
          </a:extLst>
        </xdr:cNvPr>
        <xdr:cNvSpPr txBox="1">
          <a:spLocks noChangeArrowheads="1"/>
        </xdr:cNvSpPr>
      </xdr:nvSpPr>
      <xdr:spPr bwMode="auto">
        <a:xfrm>
          <a:off x="1400175" y="5596890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123825</xdr:colOff>
      <xdr:row>377</xdr:row>
      <xdr:rowOff>0</xdr:rowOff>
    </xdr:to>
    <xdr:sp macro="" textlink="">
      <xdr:nvSpPr>
        <xdr:cNvPr id="18154" name="Text Box 5866">
          <a:extLst>
            <a:ext uri="{FF2B5EF4-FFF2-40B4-BE49-F238E27FC236}">
              <a16:creationId xmlns:a16="http://schemas.microsoft.com/office/drawing/2014/main" id="{00000000-0008-0000-0200-0000EA460000}"/>
            </a:ext>
          </a:extLst>
        </xdr:cNvPr>
        <xdr:cNvSpPr txBox="1">
          <a:spLocks noChangeArrowheads="1"/>
        </xdr:cNvSpPr>
      </xdr:nvSpPr>
      <xdr:spPr bwMode="auto">
        <a:xfrm>
          <a:off x="333375" y="60178950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A</a:t>
          </a:r>
          <a:endParaRPr lang="en-US"/>
        </a:p>
      </xdr:txBody>
    </xdr:sp>
    <xdr:clientData/>
  </xdr:twoCellAnchor>
  <xdr:twoCellAnchor>
    <xdr:from>
      <xdr:col>8</xdr:col>
      <xdr:colOff>0</xdr:colOff>
      <xdr:row>847</xdr:row>
      <xdr:rowOff>0</xdr:rowOff>
    </xdr:from>
    <xdr:to>
      <xdr:col>9</xdr:col>
      <xdr:colOff>0</xdr:colOff>
      <xdr:row>848</xdr:row>
      <xdr:rowOff>0</xdr:rowOff>
    </xdr:to>
    <xdr:sp macro="" textlink="">
      <xdr:nvSpPr>
        <xdr:cNvPr id="19856" name="Rectangle 7568">
          <a:extLst>
            <a:ext uri="{FF2B5EF4-FFF2-40B4-BE49-F238E27FC236}">
              <a16:creationId xmlns:a16="http://schemas.microsoft.com/office/drawing/2014/main" id="{00000000-0008-0000-0200-0000904D0000}"/>
            </a:ext>
          </a:extLst>
        </xdr:cNvPr>
        <xdr:cNvSpPr>
          <a:spLocks noChangeArrowheads="1"/>
        </xdr:cNvSpPr>
      </xdr:nvSpPr>
      <xdr:spPr bwMode="auto">
        <a:xfrm>
          <a:off x="4629150" y="139255500"/>
          <a:ext cx="59055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10</xdr:col>
      <xdr:colOff>19050</xdr:colOff>
      <xdr:row>365</xdr:row>
      <xdr:rowOff>0</xdr:rowOff>
    </xdr:from>
    <xdr:to>
      <xdr:col>10</xdr:col>
      <xdr:colOff>142875</xdr:colOff>
      <xdr:row>366</xdr:row>
      <xdr:rowOff>0</xdr:rowOff>
    </xdr:to>
    <xdr:sp macro="" textlink="">
      <xdr:nvSpPr>
        <xdr:cNvPr id="20071" name="Text Box 7783">
          <a:extLst>
            <a:ext uri="{FF2B5EF4-FFF2-40B4-BE49-F238E27FC236}">
              <a16:creationId xmlns:a16="http://schemas.microsoft.com/office/drawing/2014/main" id="{00000000-0008-0000-0200-0000674E0000}"/>
            </a:ext>
          </a:extLst>
        </xdr:cNvPr>
        <xdr:cNvSpPr txBox="1">
          <a:spLocks noChangeArrowheads="1"/>
        </xdr:cNvSpPr>
      </xdr:nvSpPr>
      <xdr:spPr bwMode="auto">
        <a:xfrm>
          <a:off x="5829300" y="5839777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B</a:t>
          </a:r>
          <a:endParaRPr lang="en-US"/>
        </a:p>
      </xdr:txBody>
    </xdr:sp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123825</xdr:colOff>
      <xdr:row>392</xdr:row>
      <xdr:rowOff>0</xdr:rowOff>
    </xdr:to>
    <xdr:sp macro="" textlink="">
      <xdr:nvSpPr>
        <xdr:cNvPr id="20072" name="Text Box 7784">
          <a:extLst>
            <a:ext uri="{FF2B5EF4-FFF2-40B4-BE49-F238E27FC236}">
              <a16:creationId xmlns:a16="http://schemas.microsoft.com/office/drawing/2014/main" id="{00000000-0008-0000-0200-0000684E0000}"/>
            </a:ext>
          </a:extLst>
        </xdr:cNvPr>
        <xdr:cNvSpPr txBox="1">
          <a:spLocks noChangeArrowheads="1"/>
        </xdr:cNvSpPr>
      </xdr:nvSpPr>
      <xdr:spPr bwMode="auto">
        <a:xfrm>
          <a:off x="333375" y="62607825"/>
          <a:ext cx="123825" cy="1619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 Narrow"/>
            </a:rPr>
            <a:t>B</a:t>
          </a:r>
          <a:endParaRPr lang="en-US"/>
        </a:p>
      </xdr:txBody>
    </xdr:sp>
    <xdr:clientData/>
  </xdr:twoCellAnchor>
  <xdr:twoCellAnchor editAs="oneCell">
    <xdr:from>
      <xdr:col>27</xdr:col>
      <xdr:colOff>1617738</xdr:colOff>
      <xdr:row>595</xdr:row>
      <xdr:rowOff>37798</xdr:rowOff>
    </xdr:from>
    <xdr:to>
      <xdr:col>30</xdr:col>
      <xdr:colOff>909183</xdr:colOff>
      <xdr:row>600</xdr:row>
      <xdr:rowOff>82074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036" y="86397798"/>
          <a:ext cx="5414659" cy="9363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16</xdr:row>
          <xdr:rowOff>133350</xdr:rowOff>
        </xdr:from>
        <xdr:to>
          <xdr:col>5</xdr:col>
          <xdr:colOff>95250</xdr:colOff>
          <xdr:row>24</xdr:row>
          <xdr:rowOff>38100</xdr:rowOff>
        </xdr:to>
        <xdr:sp macro="" textlink="">
          <xdr:nvSpPr>
            <xdr:cNvPr id="1611" name="Drop Down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2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Holcim">
      <a:dk1>
        <a:sysClr val="windowText" lastClr="000000"/>
      </a:dk1>
      <a:lt1>
        <a:sysClr val="window" lastClr="FFFFFF"/>
      </a:lt1>
      <a:dk2>
        <a:srgbClr val="FF1100"/>
      </a:dk2>
      <a:lt2>
        <a:srgbClr val="8B8D8E"/>
      </a:lt2>
      <a:accent1>
        <a:srgbClr val="8A7967"/>
      </a:accent1>
      <a:accent2>
        <a:srgbClr val="753F00"/>
      </a:accent2>
      <a:accent3>
        <a:srgbClr val="F38F1D"/>
      </a:accent3>
      <a:accent4>
        <a:srgbClr val="003D7E"/>
      </a:accent4>
      <a:accent5>
        <a:srgbClr val="387C2B"/>
      </a:accent5>
      <a:accent6>
        <a:srgbClr val="B20838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/>
  </sheetPr>
  <dimension ref="A1:M125"/>
  <sheetViews>
    <sheetView topLeftCell="A25" zoomScale="82" workbookViewId="0">
      <selection activeCell="P14" sqref="P14"/>
    </sheetView>
  </sheetViews>
  <sheetFormatPr defaultRowHeight="13"/>
  <cols>
    <col min="2" max="2" width="16.77734375" customWidth="1"/>
    <col min="3" max="4" width="13.77734375" customWidth="1"/>
    <col min="5" max="5" width="5" customWidth="1"/>
    <col min="6" max="6" width="16.33203125" customWidth="1"/>
    <col min="7" max="7" width="18.44140625" customWidth="1"/>
    <col min="8" max="8" width="19.33203125" style="3" customWidth="1"/>
    <col min="9" max="10" width="13.77734375" customWidth="1"/>
    <col min="11" max="11" width="15.77734375" customWidth="1"/>
    <col min="12" max="12" width="12" customWidth="1"/>
    <col min="13" max="14" width="13.77734375" customWidth="1"/>
  </cols>
  <sheetData>
    <row r="1" spans="1:13" ht="13.5" thickBot="1">
      <c r="A1" s="660"/>
      <c r="B1" s="660"/>
      <c r="C1" s="660"/>
      <c r="D1" s="660"/>
      <c r="E1" s="660"/>
      <c r="F1" s="660"/>
      <c r="G1" s="660"/>
      <c r="H1" s="863"/>
    </row>
    <row r="2" spans="1:13" ht="12.75" customHeight="1">
      <c r="A2" s="660"/>
      <c r="B2" s="923"/>
      <c r="C2" s="924"/>
      <c r="D2" s="929" t="s">
        <v>1967</v>
      </c>
      <c r="E2" s="930"/>
      <c r="F2" s="930"/>
      <c r="G2" s="930"/>
      <c r="H2" s="930"/>
      <c r="I2" s="931"/>
      <c r="J2" s="691"/>
      <c r="K2" s="661" t="s">
        <v>739</v>
      </c>
      <c r="L2" s="917"/>
      <c r="M2" s="918"/>
    </row>
    <row r="3" spans="1:13" ht="25.5" customHeight="1">
      <c r="A3" s="660"/>
      <c r="B3" s="906">
        <v>46025</v>
      </c>
      <c r="C3" s="676"/>
      <c r="D3" s="932"/>
      <c r="E3" s="933"/>
      <c r="F3" s="933"/>
      <c r="G3" s="933"/>
      <c r="H3" s="933"/>
      <c r="I3" s="934"/>
      <c r="J3" s="901"/>
      <c r="K3" s="690">
        <v>46068</v>
      </c>
      <c r="L3" s="919" t="str">
        <f>IF(HBL!I29="","",HBL!I29)</f>
        <v/>
      </c>
      <c r="M3" s="920"/>
    </row>
    <row r="4" spans="1:13" ht="12.75" customHeight="1">
      <c r="A4" s="660"/>
      <c r="B4" s="925"/>
      <c r="C4" s="926"/>
      <c r="D4" s="935" t="str">
        <f>IF(HBL!D29="","",HBL!D29&amp;" Ltd "&amp;HBL!D30)</f>
        <v xml:space="preserve">Lake Cement Ltd </v>
      </c>
      <c r="E4" s="936"/>
      <c r="F4" s="936"/>
      <c r="G4" s="936"/>
      <c r="H4" s="936"/>
      <c r="I4" s="937"/>
      <c r="J4" s="915"/>
      <c r="K4" s="916"/>
      <c r="L4" s="662"/>
      <c r="M4" s="667"/>
    </row>
    <row r="5" spans="1:13" ht="16.5" customHeight="1" thickBot="1">
      <c r="A5" s="660"/>
      <c r="B5" s="927"/>
      <c r="C5" s="928"/>
      <c r="D5" s="938"/>
      <c r="E5" s="939"/>
      <c r="F5" s="939"/>
      <c r="G5" s="939"/>
      <c r="H5" s="939"/>
      <c r="I5" s="940"/>
      <c r="J5" s="663" t="s">
        <v>1966</v>
      </c>
      <c r="K5" s="664"/>
      <c r="L5" s="664"/>
      <c r="M5" s="665" t="str">
        <f ca="1">MID(CELL("filename"),SEARCH("[",CELL("filename"))+1, SEARCH("]",CELL("filename"))-SEARCH("[",CELL("filename"))-1)</f>
        <v>M-23_Heat Balance Report_Feb 2026.xlsx</v>
      </c>
    </row>
    <row r="6" spans="1:13">
      <c r="A6" s="660"/>
      <c r="B6" s="660"/>
      <c r="C6" s="660"/>
      <c r="D6" s="660"/>
      <c r="E6" s="660"/>
      <c r="F6" s="660"/>
      <c r="G6" s="666"/>
      <c r="H6" s="863"/>
    </row>
    <row r="8" spans="1:13">
      <c r="B8" s="211" t="s">
        <v>1983</v>
      </c>
      <c r="C8" s="671" t="s">
        <v>1971</v>
      </c>
      <c r="D8" s="671" t="s">
        <v>1972</v>
      </c>
      <c r="G8" s="671" t="s">
        <v>1971</v>
      </c>
      <c r="H8" s="671" t="s">
        <v>1972</v>
      </c>
      <c r="K8" s="211" t="s">
        <v>1974</v>
      </c>
      <c r="L8" s="671" t="s">
        <v>1971</v>
      </c>
      <c r="M8" s="671" t="s">
        <v>1972</v>
      </c>
    </row>
    <row r="9" spans="1:13" ht="15.5">
      <c r="B9" s="261" t="s">
        <v>1180</v>
      </c>
      <c r="C9" s="698">
        <f>+HBL!I619/4.186</f>
        <v>5.3989488772097474</v>
      </c>
      <c r="D9" s="670">
        <v>5</v>
      </c>
      <c r="F9" s="261" t="s">
        <v>1981</v>
      </c>
      <c r="G9" s="860" t="str">
        <f>+M_FEED&amp;" t/h"</f>
        <v>122 t/h</v>
      </c>
      <c r="H9" s="864">
        <v>135</v>
      </c>
      <c r="K9" s="261" t="s">
        <v>2002</v>
      </c>
      <c r="L9" s="696" t="str">
        <f>+O2_EXHAUST&amp;" %"</f>
        <v>5 %</v>
      </c>
      <c r="M9" s="874" t="s">
        <v>2089</v>
      </c>
    </row>
    <row r="10" spans="1:13" ht="14.5">
      <c r="B10" s="261" t="s">
        <v>1982</v>
      </c>
      <c r="C10" s="698">
        <f>+HBL!I618/4.186</f>
        <v>22.455805064500716</v>
      </c>
      <c r="D10" s="670">
        <v>24</v>
      </c>
      <c r="F10" s="261" t="s">
        <v>1980</v>
      </c>
      <c r="G10" s="859" t="str">
        <f>ROUND(HBL!D100,1)&amp;" %"</f>
        <v>5.8 %</v>
      </c>
      <c r="H10" s="873" t="s">
        <v>2085</v>
      </c>
      <c r="K10" s="261" t="s">
        <v>2001</v>
      </c>
      <c r="L10" s="696" t="str">
        <f>+CO_EXHAUST&amp;" ppm"</f>
        <v>250 ppm</v>
      </c>
      <c r="M10" s="905" t="s">
        <v>2136</v>
      </c>
    </row>
    <row r="11" spans="1:13" ht="14.5">
      <c r="B11" s="261"/>
      <c r="C11" s="862">
        <f>+HBL!I620</f>
        <v>0</v>
      </c>
      <c r="D11" s="670"/>
      <c r="K11" s="261" t="s">
        <v>2000</v>
      </c>
      <c r="L11" s="696" t="str">
        <f>+T_EXHAUST &amp;" °C"</f>
        <v>332 °C</v>
      </c>
      <c r="M11" s="864">
        <v>340</v>
      </c>
    </row>
    <row r="12" spans="1:13" ht="14.5">
      <c r="B12" s="182" t="s">
        <v>2084</v>
      </c>
      <c r="C12" s="698">
        <f>+HBL!I617/4.186</f>
        <v>47.300525561395126</v>
      </c>
      <c r="D12" s="670">
        <v>45</v>
      </c>
      <c r="G12" s="671" t="s">
        <v>1971</v>
      </c>
      <c r="H12" s="671" t="s">
        <v>1972</v>
      </c>
      <c r="K12" s="261" t="s">
        <v>1984</v>
      </c>
      <c r="L12" s="697">
        <f>+ROUND(HBL!F603,2)</f>
        <v>1.9</v>
      </c>
      <c r="M12" s="670"/>
    </row>
    <row r="13" spans="1:13" ht="14.5">
      <c r="C13" s="108" t="s">
        <v>314</v>
      </c>
      <c r="F13" s="261" t="s">
        <v>1969</v>
      </c>
      <c r="G13" s="700" t="str">
        <f>ROUND(HBL!D534,0)&amp;" kJ/kg cli"</f>
        <v>3318 kJ/kg cli</v>
      </c>
      <c r="H13" s="864"/>
    </row>
    <row r="14" spans="1:13" ht="14.5">
      <c r="C14" s="108"/>
      <c r="F14" s="261"/>
      <c r="G14" s="955">
        <f>HBL!J585</f>
        <v>792.60711651137774</v>
      </c>
      <c r="H14" s="865" t="s">
        <v>2079</v>
      </c>
    </row>
    <row r="15" spans="1:13" ht="14.5">
      <c r="B15" s="211" t="s">
        <v>1201</v>
      </c>
      <c r="C15" s="671" t="s">
        <v>1971</v>
      </c>
      <c r="D15" s="671" t="s">
        <v>1972</v>
      </c>
      <c r="F15" s="182" t="s">
        <v>2080</v>
      </c>
      <c r="G15" s="696">
        <f>ROUND(QP_BZ,1)</f>
        <v>33.799999999999997</v>
      </c>
      <c r="H15" s="864">
        <v>40</v>
      </c>
    </row>
    <row r="16" spans="1:13" ht="14.5">
      <c r="B16" s="261" t="s">
        <v>1976</v>
      </c>
      <c r="C16" s="697">
        <f>+HBL!F609</f>
        <v>1.1284590163934427</v>
      </c>
      <c r="D16" s="904" t="s">
        <v>2133</v>
      </c>
      <c r="F16" s="261" t="s">
        <v>1970</v>
      </c>
      <c r="G16" s="696" t="str">
        <f>IF(HBL!I419&lt;1,"",ROUND(HBL!I419,1))</f>
        <v/>
      </c>
      <c r="H16" s="864"/>
    </row>
    <row r="17" spans="2:13" ht="14.5">
      <c r="B17" s="261" t="s">
        <v>1977</v>
      </c>
      <c r="C17" s="696" t="str">
        <f>+HBL!H609&amp;" °C"</f>
        <v>281 °C</v>
      </c>
      <c r="D17" s="904" t="s">
        <v>2134</v>
      </c>
      <c r="F17" s="182" t="s">
        <v>2081</v>
      </c>
      <c r="G17" s="696">
        <f>IF(QP_CZ&lt;1,"",ROUND(QP_CZ,1))</f>
        <v>66.2</v>
      </c>
      <c r="H17" s="864">
        <v>60</v>
      </c>
    </row>
    <row r="18" spans="2:13">
      <c r="C18" s="108"/>
    </row>
    <row r="19" spans="2:13" ht="14.5">
      <c r="B19" s="211" t="s">
        <v>1242</v>
      </c>
      <c r="C19" s="698">
        <f>ROUND(HBL!H564,1)</f>
        <v>67.099999999999994</v>
      </c>
      <c r="D19" s="874" t="s">
        <v>2086</v>
      </c>
    </row>
    <row r="20" spans="2:13">
      <c r="B20" s="674" t="s">
        <v>1987</v>
      </c>
      <c r="C20" s="108"/>
      <c r="G20" s="671" t="s">
        <v>1971</v>
      </c>
      <c r="H20" s="671" t="s">
        <v>1972</v>
      </c>
      <c r="K20" s="211" t="s">
        <v>2003</v>
      </c>
      <c r="L20" s="671" t="s">
        <v>1971</v>
      </c>
      <c r="M20" s="671" t="s">
        <v>1972</v>
      </c>
    </row>
    <row r="21" spans="2:13" ht="14.5">
      <c r="C21" s="108"/>
      <c r="F21" s="261" t="s">
        <v>1968</v>
      </c>
      <c r="G21" s="696" t="str">
        <f>ROUND(HBL!H509,2)&amp;" Nm3/kg"</f>
        <v>0.69 Nm3/kg</v>
      </c>
      <c r="H21" s="864"/>
      <c r="K21" s="261" t="s">
        <v>1985</v>
      </c>
      <c r="L21" s="696" t="str">
        <f>+O2_PRECALEXIT&amp;" %"</f>
        <v>3 %</v>
      </c>
      <c r="M21" s="904" t="s">
        <v>2137</v>
      </c>
    </row>
    <row r="22" spans="2:13" ht="14.5">
      <c r="B22" s="211" t="s">
        <v>1975</v>
      </c>
      <c r="C22" s="697" t="str">
        <f>ROUND(HBL!F538,2)&amp;"@"&amp;HBL!H538</f>
        <v>2.08@40</v>
      </c>
      <c r="D22" s="670"/>
      <c r="F22" s="261" t="s">
        <v>1968</v>
      </c>
      <c r="G22" s="698" t="str">
        <f>+HBL!H548&amp;" °C"</f>
        <v>874 °C</v>
      </c>
      <c r="H22" s="864">
        <v>900</v>
      </c>
    </row>
    <row r="23" spans="2:13" ht="14.5">
      <c r="C23" s="108" t="s">
        <v>1995</v>
      </c>
      <c r="F23" s="261" t="s">
        <v>1649</v>
      </c>
      <c r="G23" s="696" t="str">
        <f>ROUND(HBL!H508,2)&amp;" Nm3/kg"</f>
        <v>0.27 Nm3/kg</v>
      </c>
      <c r="H23" s="864"/>
      <c r="K23" s="211" t="s">
        <v>1973</v>
      </c>
      <c r="L23" s="671" t="s">
        <v>1971</v>
      </c>
      <c r="M23" s="671" t="s">
        <v>1972</v>
      </c>
    </row>
    <row r="24" spans="2:13" ht="14.5">
      <c r="B24" s="211" t="s">
        <v>319</v>
      </c>
      <c r="C24" s="671" t="s">
        <v>1971</v>
      </c>
      <c r="D24" s="671" t="s">
        <v>1972</v>
      </c>
      <c r="F24" s="261" t="s">
        <v>1649</v>
      </c>
      <c r="G24" s="698" t="str">
        <f>+HBL!H546&amp;" °C"</f>
        <v>1020 °C</v>
      </c>
      <c r="H24" s="905" t="s">
        <v>2139</v>
      </c>
      <c r="K24" s="261" t="s">
        <v>1985</v>
      </c>
      <c r="L24" s="696" t="str">
        <f>+O2_KILNINLET&amp;" %"</f>
        <v>2.4 %</v>
      </c>
      <c r="M24" s="670"/>
    </row>
    <row r="25" spans="2:13" ht="14.5">
      <c r="B25" s="261" t="s">
        <v>1977</v>
      </c>
      <c r="C25" s="698" t="str">
        <f>+HBL!H545&amp;" °C"</f>
        <v>121 °C</v>
      </c>
      <c r="D25" s="874" t="s">
        <v>2087</v>
      </c>
      <c r="K25" s="261" t="s">
        <v>1986</v>
      </c>
      <c r="L25" s="696" t="str">
        <f>+CO_KILNINLET&amp;" ppm"</f>
        <v xml:space="preserve"> ppm</v>
      </c>
      <c r="M25" s="670"/>
    </row>
    <row r="26" spans="2:13" ht="14.5">
      <c r="B26" s="261" t="s">
        <v>1978</v>
      </c>
      <c r="C26" s="699">
        <f>1810/24</f>
        <v>75.416666666666671</v>
      </c>
      <c r="D26" s="670"/>
      <c r="K26" s="261" t="s">
        <v>1984</v>
      </c>
      <c r="L26" s="696">
        <f>ROUND(VNSP_INLET,2)</f>
        <v>0.33</v>
      </c>
      <c r="M26" s="904" t="s">
        <v>2138</v>
      </c>
    </row>
    <row r="27" spans="2:13" ht="14.5">
      <c r="B27" s="261" t="s">
        <v>1979</v>
      </c>
      <c r="C27" s="861" t="str">
        <f>ROUND(HBL!D530,0)&amp;" t/d"</f>
        <v>1830 t/d</v>
      </c>
      <c r="D27" s="874" t="s">
        <v>2088</v>
      </c>
    </row>
    <row r="29" spans="2:13" ht="14.5">
      <c r="K29" s="261" t="s">
        <v>1996</v>
      </c>
      <c r="L29" s="695" t="str">
        <f>+TIME&amp;" h"</f>
        <v>7.5 h</v>
      </c>
      <c r="M29" s="670"/>
    </row>
    <row r="74" spans="2:12">
      <c r="B74" s="211" t="s">
        <v>1997</v>
      </c>
    </row>
    <row r="76" spans="2:12">
      <c r="B76" s="703"/>
      <c r="C76" s="703"/>
      <c r="D76" s="703"/>
      <c r="E76" s="703"/>
      <c r="F76" s="703"/>
      <c r="G76" s="703"/>
      <c r="H76" s="866"/>
      <c r="I76" s="703"/>
      <c r="J76" s="703"/>
      <c r="K76" s="703"/>
      <c r="L76" s="703"/>
    </row>
    <row r="77" spans="2:12">
      <c r="B77" s="704"/>
      <c r="C77" s="704"/>
      <c r="D77" s="704"/>
      <c r="E77" s="704"/>
      <c r="F77" s="704"/>
      <c r="G77" s="704"/>
      <c r="H77" s="867"/>
      <c r="I77" s="704"/>
      <c r="J77" s="704"/>
      <c r="K77" s="704"/>
      <c r="L77" s="704"/>
    </row>
    <row r="78" spans="2:12">
      <c r="B78" s="704"/>
      <c r="C78" s="704"/>
      <c r="D78" s="704"/>
      <c r="E78" s="704"/>
      <c r="F78" s="704"/>
      <c r="G78" s="704"/>
      <c r="H78" s="867"/>
      <c r="I78" s="704"/>
      <c r="J78" s="704"/>
      <c r="K78" s="704"/>
      <c r="L78" s="704"/>
    </row>
    <row r="79" spans="2:12">
      <c r="B79" s="704"/>
      <c r="C79" s="704"/>
      <c r="D79" s="704"/>
      <c r="E79" s="704"/>
      <c r="F79" s="704"/>
      <c r="G79" s="704"/>
      <c r="H79" s="867"/>
      <c r="I79" s="704"/>
      <c r="J79" s="704"/>
      <c r="K79" s="704"/>
      <c r="L79" s="704"/>
    </row>
    <row r="80" spans="2:12">
      <c r="B80" s="704"/>
      <c r="C80" s="704"/>
      <c r="D80" s="704"/>
      <c r="E80" s="704"/>
      <c r="F80" s="704"/>
      <c r="G80" s="704"/>
      <c r="H80" s="867"/>
      <c r="I80" s="704"/>
      <c r="J80" s="704"/>
      <c r="K80" s="704"/>
      <c r="L80" s="704"/>
    </row>
    <row r="81" spans="2:13">
      <c r="B81" s="704"/>
      <c r="C81" s="704"/>
      <c r="D81" s="704"/>
      <c r="E81" s="704"/>
      <c r="F81" s="704"/>
      <c r="G81" s="704"/>
      <c r="H81" s="867"/>
      <c r="I81" s="704"/>
      <c r="J81" s="704"/>
      <c r="K81" s="704"/>
      <c r="L81" s="704"/>
    </row>
    <row r="88" spans="2:13" ht="13.5" thickBot="1"/>
    <row r="89" spans="2:13" ht="12.75" customHeight="1">
      <c r="B89" s="923"/>
      <c r="C89" s="924"/>
      <c r="D89" s="929" t="s">
        <v>2090</v>
      </c>
      <c r="E89" s="930"/>
      <c r="F89" s="930"/>
      <c r="G89" s="930"/>
      <c r="H89" s="930"/>
      <c r="I89" s="931"/>
      <c r="J89" s="691" t="s">
        <v>1964</v>
      </c>
      <c r="K89" s="661" t="s">
        <v>739</v>
      </c>
      <c r="L89" s="917" t="s">
        <v>1965</v>
      </c>
      <c r="M89" s="918"/>
    </row>
    <row r="90" spans="2:13" ht="24" customHeight="1">
      <c r="B90" s="675"/>
      <c r="C90" s="676"/>
      <c r="D90" s="932"/>
      <c r="E90" s="933"/>
      <c r="F90" s="933"/>
      <c r="G90" s="933"/>
      <c r="H90" s="933"/>
      <c r="I90" s="934"/>
      <c r="J90" s="702" t="str">
        <f>IF(J3="","",J3)</f>
        <v/>
      </c>
      <c r="K90" s="668">
        <f>IF(K3="","",K3)</f>
        <v>46068</v>
      </c>
      <c r="L90" s="921" t="str">
        <f>IF(L3="","",L3)</f>
        <v/>
      </c>
      <c r="M90" s="922"/>
    </row>
    <row r="91" spans="2:13" ht="12.75" customHeight="1">
      <c r="B91" s="925"/>
      <c r="C91" s="926"/>
      <c r="D91" s="941"/>
      <c r="E91" s="942"/>
      <c r="F91" s="942"/>
      <c r="G91" s="942"/>
      <c r="H91" s="942"/>
      <c r="I91" s="943"/>
      <c r="J91" s="915">
        <f>+J4</f>
        <v>0</v>
      </c>
      <c r="K91" s="916"/>
      <c r="L91" s="662"/>
      <c r="M91" s="701">
        <f>+M4</f>
        <v>0</v>
      </c>
    </row>
    <row r="92" spans="2:13" ht="15.75" customHeight="1" thickBot="1">
      <c r="B92" s="927"/>
      <c r="C92" s="928"/>
      <c r="D92" s="944"/>
      <c r="E92" s="945"/>
      <c r="F92" s="945"/>
      <c r="G92" s="945"/>
      <c r="H92" s="945"/>
      <c r="I92" s="946"/>
      <c r="J92" s="663" t="s">
        <v>1966</v>
      </c>
      <c r="K92" s="664"/>
      <c r="L92" s="664"/>
      <c r="M92" s="665" t="str">
        <f ca="1">MID(CELL("filename"),SEARCH("[",CELL("filename"))+1, SEARCH("]",CELL("filename"))-SEARCH("[",CELL("filename"))-1)</f>
        <v>M-23_Heat Balance Report_Feb 2026.xlsx</v>
      </c>
    </row>
    <row r="94" spans="2:13" ht="13.5" thickBot="1">
      <c r="K94" s="211" t="s">
        <v>1968</v>
      </c>
      <c r="L94" s="671" t="s">
        <v>1971</v>
      </c>
      <c r="M94" s="671" t="s">
        <v>1972</v>
      </c>
    </row>
    <row r="95" spans="2:13" ht="15" thickTop="1">
      <c r="C95" s="671" t="s">
        <v>1971</v>
      </c>
      <c r="D95" s="671" t="s">
        <v>1972</v>
      </c>
      <c r="I95" s="687"/>
      <c r="J95" s="418"/>
      <c r="K95" s="261" t="s">
        <v>1989</v>
      </c>
      <c r="L95" s="672">
        <f>+HBL!F548</f>
        <v>0.68588381886251615</v>
      </c>
      <c r="M95" s="670"/>
    </row>
    <row r="96" spans="2:13" ht="14.5">
      <c r="B96" s="211" t="s">
        <v>1746</v>
      </c>
      <c r="C96" s="669">
        <f>+HBL!I553</f>
        <v>22.6</v>
      </c>
      <c r="D96" s="670"/>
      <c r="F96" s="211" t="s">
        <v>1225</v>
      </c>
      <c r="G96" s="671" t="s">
        <v>1971</v>
      </c>
      <c r="H96" s="671" t="s">
        <v>1972</v>
      </c>
      <c r="I96" s="688"/>
      <c r="J96" s="61"/>
      <c r="K96" s="261" t="s">
        <v>1977</v>
      </c>
      <c r="L96" s="673">
        <f>+HBL!H548</f>
        <v>874</v>
      </c>
      <c r="M96" s="874" t="s">
        <v>2091</v>
      </c>
    </row>
    <row r="97" spans="2:13" ht="14.5">
      <c r="F97" s="261" t="s">
        <v>1989</v>
      </c>
      <c r="G97" s="672" t="str">
        <f>IF(HBL!I270=0,"",ROUND(HBL!I270,2))</f>
        <v/>
      </c>
      <c r="H97" s="868"/>
      <c r="I97" s="688"/>
    </row>
    <row r="98" spans="2:13" ht="14.5">
      <c r="F98" s="261" t="s">
        <v>1977</v>
      </c>
      <c r="G98" s="673">
        <f>+HBL!H549</f>
        <v>0</v>
      </c>
      <c r="H98" s="868"/>
      <c r="I98" s="688"/>
      <c r="J98" s="418"/>
    </row>
    <row r="99" spans="2:13">
      <c r="B99" s="211" t="s">
        <v>1201</v>
      </c>
      <c r="C99" s="671" t="s">
        <v>1971</v>
      </c>
      <c r="D99" s="671" t="s">
        <v>1972</v>
      </c>
      <c r="I99" s="688"/>
      <c r="J99" s="66"/>
      <c r="K99" s="211" t="s">
        <v>1649</v>
      </c>
      <c r="L99" s="671" t="s">
        <v>1971</v>
      </c>
      <c r="M99" s="671" t="s">
        <v>1972</v>
      </c>
    </row>
    <row r="100" spans="2:13" ht="14.5">
      <c r="B100" s="261" t="s">
        <v>1989</v>
      </c>
      <c r="C100" s="672">
        <f>+HBL!H511</f>
        <v>1.1284590163934427</v>
      </c>
      <c r="D100" s="670"/>
      <c r="F100" s="211" t="s">
        <v>1532</v>
      </c>
      <c r="G100" s="671" t="s">
        <v>1971</v>
      </c>
      <c r="H100" s="671" t="s">
        <v>1972</v>
      </c>
      <c r="I100" s="688"/>
      <c r="J100" s="66"/>
      <c r="K100" s="261" t="s">
        <v>1989</v>
      </c>
      <c r="L100" s="672">
        <f>+HBL!F546</f>
        <v>0.27205824422228264</v>
      </c>
      <c r="M100" s="670"/>
    </row>
    <row r="101" spans="2:13" ht="14.5">
      <c r="B101" s="261" t="s">
        <v>1977</v>
      </c>
      <c r="C101" s="673">
        <f>+HBL!H550</f>
        <v>281</v>
      </c>
      <c r="D101" s="670"/>
      <c r="F101" s="261" t="s">
        <v>1989</v>
      </c>
      <c r="G101" s="672">
        <f>+HBL!F590</f>
        <v>5.2065573770491806E-2</v>
      </c>
      <c r="H101" s="868"/>
      <c r="I101" s="688"/>
      <c r="J101" s="66"/>
      <c r="K101" s="261" t="s">
        <v>1977</v>
      </c>
      <c r="L101" s="673">
        <f>+HBL!H546</f>
        <v>1020</v>
      </c>
      <c r="M101" s="670">
        <v>1050</v>
      </c>
    </row>
    <row r="102" spans="2:13" ht="14.5">
      <c r="F102" s="261" t="s">
        <v>1977</v>
      </c>
      <c r="G102" s="669">
        <f>+T_PRIMAIR</f>
        <v>48.819899244332497</v>
      </c>
      <c r="H102" s="868"/>
      <c r="I102" s="688"/>
      <c r="J102" s="66"/>
    </row>
    <row r="103" spans="2:13" ht="13.5" thickBot="1">
      <c r="I103" s="688"/>
      <c r="J103" s="61"/>
    </row>
    <row r="104" spans="2:13" ht="13.5" thickTop="1">
      <c r="D104" s="677"/>
      <c r="E104" s="678"/>
      <c r="F104" s="678"/>
      <c r="G104" s="679" t="s">
        <v>1971</v>
      </c>
      <c r="H104" s="679" t="s">
        <v>1972</v>
      </c>
      <c r="I104" s="683"/>
    </row>
    <row r="105" spans="2:13" ht="14.5">
      <c r="D105" s="680"/>
      <c r="E105" s="261" t="s">
        <v>1733</v>
      </c>
      <c r="G105" s="692">
        <f>+HBL!H563</f>
        <v>73.882799633200619</v>
      </c>
      <c r="H105" s="864"/>
      <c r="I105" s="683"/>
      <c r="K105" s="211" t="s">
        <v>1990</v>
      </c>
      <c r="L105" s="671" t="s">
        <v>1971</v>
      </c>
      <c r="M105" s="671" t="s">
        <v>1972</v>
      </c>
    </row>
    <row r="106" spans="2:13" ht="14.5">
      <c r="D106" s="680"/>
      <c r="E106" s="261" t="s">
        <v>1991</v>
      </c>
      <c r="G106" s="693">
        <f>+HBL!H564</f>
        <v>67.133906630353437</v>
      </c>
      <c r="H106" s="864"/>
      <c r="I106" s="683"/>
      <c r="K106" s="261" t="s">
        <v>1998</v>
      </c>
      <c r="L106" s="672">
        <f>+VNSP_OUTLETSEAL</f>
        <v>1.8570491803278688E-2</v>
      </c>
      <c r="M106" s="670"/>
    </row>
    <row r="107" spans="2:13" ht="14.5">
      <c r="D107" s="680"/>
      <c r="G107" s="261"/>
      <c r="I107" s="683"/>
      <c r="K107" s="261" t="s">
        <v>1999</v>
      </c>
      <c r="L107" s="672">
        <f>+HBL!H505</f>
        <v>0</v>
      </c>
      <c r="M107" s="670"/>
    </row>
    <row r="108" spans="2:13">
      <c r="D108" s="680"/>
      <c r="G108" s="261"/>
      <c r="H108" s="671" t="s">
        <v>1971</v>
      </c>
      <c r="I108" s="684" t="s">
        <v>1972</v>
      </c>
    </row>
    <row r="109" spans="2:13" ht="14.5">
      <c r="D109" s="680"/>
      <c r="G109" s="261" t="s">
        <v>1992</v>
      </c>
      <c r="H109" s="869">
        <f>+HBL!H537</f>
        <v>1450</v>
      </c>
      <c r="I109" s="685"/>
      <c r="L109" s="671" t="s">
        <v>1971</v>
      </c>
      <c r="M109" s="671" t="s">
        <v>1972</v>
      </c>
    </row>
    <row r="110" spans="2:13" ht="14.5">
      <c r="D110" s="680"/>
      <c r="G110" s="261" t="s">
        <v>1993</v>
      </c>
      <c r="H110" s="870">
        <f>+CLI_DUST</f>
        <v>1</v>
      </c>
      <c r="I110" s="685"/>
      <c r="K110" s="261" t="s">
        <v>1994</v>
      </c>
      <c r="L110" s="694">
        <f>+HBL!TAMB</f>
        <v>32</v>
      </c>
      <c r="M110" s="670"/>
    </row>
    <row r="111" spans="2:13" ht="15" thickBot="1">
      <c r="D111" s="681"/>
      <c r="E111" s="682"/>
      <c r="F111" s="682"/>
      <c r="G111" s="682"/>
      <c r="H111" s="871"/>
      <c r="I111" s="686"/>
      <c r="K111" s="261" t="s">
        <v>1969</v>
      </c>
      <c r="L111" s="689" t="str">
        <f>+G13</f>
        <v>3318 kJ/kg cli</v>
      </c>
      <c r="M111" s="670"/>
    </row>
    <row r="112" spans="2:13" ht="15" thickTop="1">
      <c r="K112" s="261" t="s">
        <v>1563</v>
      </c>
      <c r="L112" s="697" t="str">
        <f>+C27</f>
        <v>1830 t/d</v>
      </c>
      <c r="M112" s="670"/>
    </row>
    <row r="113" spans="2:12">
      <c r="B113" s="211" t="s">
        <v>319</v>
      </c>
      <c r="C113" s="671" t="s">
        <v>1971</v>
      </c>
      <c r="D113" s="671" t="s">
        <v>1972</v>
      </c>
      <c r="G113" s="211" t="s">
        <v>1213</v>
      </c>
      <c r="H113" s="671" t="s">
        <v>1971</v>
      </c>
      <c r="I113" s="671" t="s">
        <v>1972</v>
      </c>
    </row>
    <row r="114" spans="2:12" ht="14.5">
      <c r="B114" s="261" t="s">
        <v>1988</v>
      </c>
      <c r="C114" s="669">
        <f>+HBL!F545</f>
        <v>1</v>
      </c>
      <c r="D114" s="670"/>
      <c r="G114" s="261" t="s">
        <v>1989</v>
      </c>
      <c r="H114" s="872">
        <f>+HBL!F538</f>
        <v>2.0826778197126727</v>
      </c>
      <c r="I114" s="670"/>
    </row>
    <row r="115" spans="2:12" ht="14.5">
      <c r="B115" s="261" t="s">
        <v>1977</v>
      </c>
      <c r="C115" s="673">
        <f>+HBL!H545</f>
        <v>121</v>
      </c>
      <c r="D115" s="670"/>
      <c r="G115" s="261" t="s">
        <v>1977</v>
      </c>
      <c r="H115" s="870">
        <f>+HBL!H538</f>
        <v>40</v>
      </c>
      <c r="I115" s="670"/>
    </row>
    <row r="118" spans="2:12">
      <c r="B118" s="211" t="s">
        <v>1997</v>
      </c>
    </row>
    <row r="120" spans="2:12">
      <c r="B120" s="703"/>
      <c r="C120" s="703"/>
      <c r="D120" s="703"/>
      <c r="E120" s="703"/>
      <c r="F120" s="703"/>
      <c r="G120" s="703"/>
      <c r="H120" s="866"/>
      <c r="I120" s="703"/>
      <c r="J120" s="703"/>
      <c r="K120" s="703"/>
      <c r="L120" s="703"/>
    </row>
    <row r="121" spans="2:12">
      <c r="B121" s="704"/>
      <c r="C121" s="704"/>
      <c r="D121" s="704"/>
      <c r="E121" s="704"/>
      <c r="F121" s="704"/>
      <c r="G121" s="704"/>
      <c r="H121" s="867"/>
      <c r="I121" s="704"/>
      <c r="J121" s="704"/>
      <c r="K121" s="704"/>
      <c r="L121" s="704"/>
    </row>
    <row r="122" spans="2:12">
      <c r="B122" s="704"/>
      <c r="C122" s="704"/>
      <c r="D122" s="704"/>
      <c r="E122" s="704"/>
      <c r="F122" s="704"/>
      <c r="G122" s="704"/>
      <c r="H122" s="867"/>
      <c r="I122" s="704"/>
      <c r="J122" s="704"/>
      <c r="K122" s="704"/>
      <c r="L122" s="704"/>
    </row>
    <row r="123" spans="2:12">
      <c r="B123" s="704"/>
      <c r="C123" s="704"/>
      <c r="D123" s="704"/>
      <c r="E123" s="704"/>
      <c r="F123" s="704"/>
      <c r="G123" s="704"/>
      <c r="H123" s="867"/>
      <c r="I123" s="704"/>
      <c r="J123" s="704"/>
      <c r="K123" s="704"/>
      <c r="L123" s="704"/>
    </row>
    <row r="124" spans="2:12">
      <c r="B124" s="704"/>
      <c r="C124" s="704"/>
      <c r="D124" s="704"/>
      <c r="E124" s="704"/>
      <c r="F124" s="704"/>
      <c r="G124" s="704"/>
      <c r="H124" s="867"/>
      <c r="I124" s="704"/>
      <c r="J124" s="704"/>
      <c r="K124" s="704"/>
      <c r="L124" s="704"/>
    </row>
    <row r="125" spans="2:12">
      <c r="B125" s="704"/>
      <c r="C125" s="704"/>
      <c r="D125" s="704"/>
      <c r="E125" s="704"/>
      <c r="F125" s="704"/>
      <c r="G125" s="704"/>
      <c r="H125" s="867"/>
      <c r="I125" s="704"/>
      <c r="J125" s="704"/>
      <c r="K125" s="704"/>
      <c r="L125" s="704"/>
    </row>
  </sheetData>
  <mergeCells count="16">
    <mergeCell ref="B89:C89"/>
    <mergeCell ref="D89:I90"/>
    <mergeCell ref="D91:I92"/>
    <mergeCell ref="B91:C91"/>
    <mergeCell ref="B92:C92"/>
    <mergeCell ref="B2:C2"/>
    <mergeCell ref="B4:C4"/>
    <mergeCell ref="B5:C5"/>
    <mergeCell ref="D2:I3"/>
    <mergeCell ref="D4:I5"/>
    <mergeCell ref="J4:K4"/>
    <mergeCell ref="J91:K91"/>
    <mergeCell ref="L2:M2"/>
    <mergeCell ref="L3:M3"/>
    <mergeCell ref="L89:M89"/>
    <mergeCell ref="L90:M90"/>
  </mergeCells>
  <pageMargins left="0.7" right="0.7" top="0.75" bottom="0.75" header="0.3" footer="0.3"/>
  <pageSetup paperSize="9" scale="59" orientation="portrait" r:id="rId1"/>
  <rowBreaks count="1" manualBreakCount="1">
    <brk id="82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40D2-FA79-4C0E-BCFA-85E23FA99036}">
  <sheetPr>
    <pageSetUpPr fitToPage="1"/>
  </sheetPr>
  <dimension ref="A1:N28"/>
  <sheetViews>
    <sheetView tabSelected="1" zoomScale="83" zoomScaleNormal="95" workbookViewId="0">
      <selection activeCell="F6" sqref="F6"/>
    </sheetView>
  </sheetViews>
  <sheetFormatPr defaultColWidth="8.77734375" defaultRowHeight="14"/>
  <cols>
    <col min="1" max="1" width="8.77734375" style="876"/>
    <col min="2" max="2" width="52.77734375" style="875" bestFit="1" customWidth="1"/>
    <col min="3" max="3" width="18.109375" style="876" bestFit="1" customWidth="1"/>
    <col min="4" max="4" width="8.109375" style="876" bestFit="1" customWidth="1"/>
    <col min="5" max="5" width="9.77734375" style="876" bestFit="1" customWidth="1"/>
    <col min="6" max="6" width="30.44140625" style="875" bestFit="1" customWidth="1"/>
    <col min="7" max="7" width="0" style="875" hidden="1" customWidth="1"/>
    <col min="8" max="8" width="9.6640625" style="876" hidden="1" customWidth="1"/>
    <col min="9" max="9" width="10.109375" style="876" hidden="1" customWidth="1"/>
    <col min="10" max="10" width="10.33203125" style="876" bestFit="1" customWidth="1"/>
    <col min="11" max="11" width="13.77734375" style="875" customWidth="1"/>
    <col min="12" max="12" width="10.77734375" style="875" customWidth="1"/>
    <col min="13" max="13" width="12.6640625" style="875" customWidth="1"/>
    <col min="14" max="16384" width="8.77734375" style="875"/>
  </cols>
  <sheetData>
    <row r="1" spans="1:14" ht="18">
      <c r="A1" s="947" t="s">
        <v>2127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</row>
    <row r="2" spans="1:14" s="891" customFormat="1" ht="13">
      <c r="A2" s="888" t="s">
        <v>2116</v>
      </c>
      <c r="B2" s="889" t="s">
        <v>2121</v>
      </c>
      <c r="C2" s="888" t="s">
        <v>2092</v>
      </c>
      <c r="D2" s="888" t="s">
        <v>2120</v>
      </c>
      <c r="E2" s="888" t="s">
        <v>1971</v>
      </c>
      <c r="F2" s="889" t="s">
        <v>2122</v>
      </c>
      <c r="G2" s="890" t="s">
        <v>2093</v>
      </c>
      <c r="H2" s="890" t="s">
        <v>2094</v>
      </c>
      <c r="I2" s="890" t="s">
        <v>2095</v>
      </c>
      <c r="J2" s="890" t="s">
        <v>2096</v>
      </c>
      <c r="K2" s="890" t="s">
        <v>2097</v>
      </c>
      <c r="L2" s="890" t="s">
        <v>2119</v>
      </c>
      <c r="M2" s="890" t="s">
        <v>2117</v>
      </c>
      <c r="N2" s="890" t="s">
        <v>2118</v>
      </c>
    </row>
    <row r="3" spans="1:14">
      <c r="A3" s="878" t="s">
        <v>396</v>
      </c>
      <c r="B3" s="877" t="s">
        <v>2115</v>
      </c>
      <c r="C3" s="882" t="s">
        <v>2126</v>
      </c>
      <c r="D3" s="882">
        <v>2000</v>
      </c>
      <c r="E3" s="880" t="str">
        <f>Visualization!C27</f>
        <v>1830 t/d</v>
      </c>
      <c r="F3" s="881"/>
      <c r="G3" s="879"/>
      <c r="H3" s="879" t="s">
        <v>2128</v>
      </c>
      <c r="I3" s="879" t="s">
        <v>2130</v>
      </c>
      <c r="J3" s="896" t="s">
        <v>2131</v>
      </c>
      <c r="K3" s="879" t="s">
        <v>2135</v>
      </c>
      <c r="L3" s="877" t="s">
        <v>2141</v>
      </c>
      <c r="M3" s="896" t="s">
        <v>2142</v>
      </c>
      <c r="N3" s="881"/>
    </row>
    <row r="4" spans="1:14">
      <c r="A4" s="878"/>
      <c r="B4" s="877"/>
      <c r="C4" s="882"/>
      <c r="D4" s="882"/>
      <c r="E4" s="880"/>
      <c r="F4" s="881"/>
      <c r="G4" s="879"/>
      <c r="H4" s="879"/>
      <c r="I4" s="879"/>
      <c r="J4" s="880"/>
      <c r="K4" s="879"/>
      <c r="L4" s="881"/>
      <c r="M4" s="880"/>
      <c r="N4" s="881"/>
    </row>
    <row r="5" spans="1:14" s="884" customFormat="1">
      <c r="A5" s="878" t="s">
        <v>492</v>
      </c>
      <c r="B5" s="877" t="s">
        <v>2125</v>
      </c>
      <c r="C5" s="882" t="s">
        <v>2109</v>
      </c>
      <c r="D5" s="878">
        <v>770</v>
      </c>
      <c r="E5" s="907">
        <f>E8</f>
        <v>792.60711651137774</v>
      </c>
      <c r="F5" s="897"/>
      <c r="G5" s="883"/>
      <c r="H5" s="908">
        <v>795</v>
      </c>
      <c r="I5" s="910">
        <v>792.32065911751704</v>
      </c>
      <c r="J5" s="907">
        <v>830.87932779694597</v>
      </c>
      <c r="K5" s="910">
        <v>807.80513005601381</v>
      </c>
      <c r="L5" s="908">
        <v>787.73751442972309</v>
      </c>
      <c r="M5" s="907">
        <v>792.60711651137774</v>
      </c>
      <c r="N5" s="883"/>
    </row>
    <row r="6" spans="1:14" s="884" customFormat="1">
      <c r="A6" s="878"/>
      <c r="B6" s="877"/>
      <c r="C6" s="882"/>
      <c r="D6" s="882"/>
      <c r="E6" s="885"/>
      <c r="F6" s="881"/>
      <c r="G6" s="883"/>
      <c r="H6" s="887"/>
      <c r="I6" s="899"/>
      <c r="J6" s="885"/>
      <c r="K6" s="898"/>
      <c r="L6" s="913"/>
      <c r="M6" s="885"/>
      <c r="N6" s="883"/>
    </row>
    <row r="7" spans="1:14">
      <c r="A7" s="878" t="s">
        <v>642</v>
      </c>
      <c r="B7" s="877" t="s">
        <v>0</v>
      </c>
      <c r="C7" s="882"/>
      <c r="D7" s="878"/>
      <c r="E7" s="878"/>
      <c r="F7" s="881"/>
      <c r="G7" s="883"/>
      <c r="H7" s="887"/>
      <c r="I7" s="899"/>
      <c r="J7" s="878"/>
      <c r="K7" s="898"/>
      <c r="L7" s="913"/>
      <c r="M7" s="878"/>
      <c r="N7" s="883"/>
    </row>
    <row r="8" spans="1:14">
      <c r="A8" s="882">
        <v>1</v>
      </c>
      <c r="B8" s="877" t="s">
        <v>2108</v>
      </c>
      <c r="C8" s="882" t="s">
        <v>2109</v>
      </c>
      <c r="D8" s="878"/>
      <c r="E8" s="907">
        <f>HBL!J585</f>
        <v>792.60711651137774</v>
      </c>
      <c r="F8" s="881"/>
      <c r="G8" s="883"/>
      <c r="H8" s="908">
        <v>795</v>
      </c>
      <c r="I8" s="909">
        <v>792.32065911751704</v>
      </c>
      <c r="J8" s="907">
        <v>830.87932779694597</v>
      </c>
      <c r="K8" s="910">
        <v>807.80513005601381</v>
      </c>
      <c r="L8" s="908">
        <v>787.73751442972309</v>
      </c>
      <c r="M8" s="907">
        <v>792.60711651137774</v>
      </c>
      <c r="N8" s="883"/>
    </row>
    <row r="9" spans="1:14">
      <c r="A9" s="882">
        <v>2</v>
      </c>
      <c r="B9" s="881" t="s">
        <v>2099</v>
      </c>
      <c r="C9" s="882" t="s">
        <v>2109</v>
      </c>
      <c r="D9" s="882"/>
      <c r="E9" s="886">
        <f>HBL!J587</f>
        <v>1.8581678248734903</v>
      </c>
      <c r="F9" s="881"/>
      <c r="G9" s="883"/>
      <c r="H9" s="887">
        <v>1.7345743263288633</v>
      </c>
      <c r="I9" s="900">
        <v>1.7954734249530004</v>
      </c>
      <c r="J9" s="886">
        <v>1.9788195086909679</v>
      </c>
      <c r="K9" s="898">
        <v>1.929959767735635</v>
      </c>
      <c r="L9" s="913">
        <v>1.8787000660323132</v>
      </c>
      <c r="M9" s="886">
        <v>1.8581678248734903</v>
      </c>
      <c r="N9" s="883"/>
    </row>
    <row r="10" spans="1:14">
      <c r="A10" s="882">
        <v>3</v>
      </c>
      <c r="B10" s="881" t="s">
        <v>2100</v>
      </c>
      <c r="C10" s="882" t="s">
        <v>2109</v>
      </c>
      <c r="D10" s="882"/>
      <c r="E10" s="886">
        <f>HBL!J588</f>
        <v>16.420843157449394</v>
      </c>
      <c r="F10" s="881"/>
      <c r="G10" s="881"/>
      <c r="H10" s="886">
        <v>16.800183242189739</v>
      </c>
      <c r="I10" s="886">
        <v>17.728098960761752</v>
      </c>
      <c r="J10" s="886">
        <v>12.105937735464018</v>
      </c>
      <c r="K10" s="886">
        <v>17.695933918099893</v>
      </c>
      <c r="L10" s="914">
        <v>17.301044285997801</v>
      </c>
      <c r="M10" s="886">
        <v>16.420843157449394</v>
      </c>
      <c r="N10" s="881"/>
    </row>
    <row r="11" spans="1:14">
      <c r="A11" s="882">
        <v>4</v>
      </c>
      <c r="B11" s="881" t="s">
        <v>2101</v>
      </c>
      <c r="C11" s="882" t="s">
        <v>2109</v>
      </c>
      <c r="D11" s="882"/>
      <c r="E11" s="886">
        <f>HBL!J590</f>
        <v>0.92425969346148629</v>
      </c>
      <c r="F11" s="881"/>
      <c r="G11" s="883"/>
      <c r="H11" s="887">
        <v>0.54010383467272083</v>
      </c>
      <c r="I11" s="900">
        <v>0.58529286537543668</v>
      </c>
      <c r="J11" s="886">
        <v>0.50592145609837702</v>
      </c>
      <c r="K11" s="898">
        <v>1.1323948908654116</v>
      </c>
      <c r="L11" s="913">
        <v>0.97795344263570716</v>
      </c>
      <c r="M11" s="886">
        <v>0.92425969346148629</v>
      </c>
      <c r="N11" s="883"/>
    </row>
    <row r="12" spans="1:14">
      <c r="A12" s="882">
        <v>5</v>
      </c>
      <c r="B12" s="881" t="s">
        <v>2102</v>
      </c>
      <c r="C12" s="882" t="s">
        <v>2109</v>
      </c>
      <c r="D12" s="882"/>
      <c r="E12" s="886">
        <f>HBL!J591</f>
        <v>12.940103380268564</v>
      </c>
      <c r="F12" s="881"/>
      <c r="G12" s="883"/>
      <c r="H12" s="887">
        <v>7.549498662812443</v>
      </c>
      <c r="I12" s="900">
        <v>7.3892701263902483</v>
      </c>
      <c r="J12" s="886">
        <v>8.2475011177110478</v>
      </c>
      <c r="K12" s="898">
        <v>12.198034494865063</v>
      </c>
      <c r="L12" s="913">
        <v>13.535627764137613</v>
      </c>
      <c r="M12" s="886">
        <v>12.940103380268564</v>
      </c>
      <c r="N12" s="883"/>
    </row>
    <row r="13" spans="1:14">
      <c r="A13" s="882">
        <v>6</v>
      </c>
      <c r="B13" s="881" t="s">
        <v>2103</v>
      </c>
      <c r="C13" s="882" t="s">
        <v>2109</v>
      </c>
      <c r="D13" s="882"/>
      <c r="E13" s="886">
        <f>HBL!J595</f>
        <v>6.942317071451729</v>
      </c>
      <c r="F13" s="881"/>
      <c r="G13" s="883"/>
      <c r="H13" s="887">
        <v>6.6524867629089917</v>
      </c>
      <c r="I13" s="900">
        <v>6.4269787370476701</v>
      </c>
      <c r="J13" s="886">
        <v>7.7182319840656541</v>
      </c>
      <c r="K13" s="898">
        <v>7.8422470621954732</v>
      </c>
      <c r="L13" s="913">
        <v>7.0190277573241238</v>
      </c>
      <c r="M13" s="886">
        <v>6.942317071451729</v>
      </c>
      <c r="N13" s="883"/>
    </row>
    <row r="14" spans="1:14" s="884" customFormat="1">
      <c r="A14" s="882"/>
      <c r="B14" s="877" t="s">
        <v>2123</v>
      </c>
      <c r="C14" s="882"/>
      <c r="D14" s="882"/>
      <c r="E14" s="886">
        <f>SUM(E8:E13)</f>
        <v>831.69280763888241</v>
      </c>
      <c r="F14" s="877"/>
      <c r="G14" s="883"/>
      <c r="H14" s="887">
        <v>828.27684682891277</v>
      </c>
      <c r="I14" s="900">
        <v>826.24577323204505</v>
      </c>
      <c r="J14" s="886">
        <v>861.43573959897617</v>
      </c>
      <c r="K14" s="898">
        <v>848.60370018977528</v>
      </c>
      <c r="L14" s="913">
        <v>828.44986774585072</v>
      </c>
      <c r="M14" s="886">
        <v>831.69280763888241</v>
      </c>
      <c r="N14" s="883"/>
    </row>
    <row r="15" spans="1:14" s="884" customFormat="1">
      <c r="A15" s="882"/>
      <c r="B15" s="877"/>
      <c r="C15" s="882"/>
      <c r="D15" s="882"/>
      <c r="E15" s="886"/>
      <c r="F15" s="877"/>
      <c r="G15" s="883"/>
      <c r="H15" s="887"/>
      <c r="I15" s="899"/>
      <c r="J15" s="886"/>
      <c r="K15" s="898"/>
      <c r="L15" s="913"/>
      <c r="M15" s="886"/>
      <c r="N15" s="883"/>
    </row>
    <row r="16" spans="1:14">
      <c r="A16" s="878" t="s">
        <v>732</v>
      </c>
      <c r="B16" s="877" t="s">
        <v>2098</v>
      </c>
      <c r="C16" s="882"/>
      <c r="D16" s="878"/>
      <c r="E16" s="878"/>
      <c r="F16" s="881"/>
      <c r="G16" s="881"/>
      <c r="H16" s="886"/>
      <c r="I16" s="882"/>
      <c r="J16" s="878"/>
      <c r="K16" s="892"/>
      <c r="L16" s="914"/>
      <c r="M16" s="878"/>
      <c r="N16" s="881"/>
    </row>
    <row r="17" spans="1:14">
      <c r="A17" s="882">
        <v>1</v>
      </c>
      <c r="B17" s="881" t="str">
        <f>HBL!B598</f>
        <v>Heat of formation</v>
      </c>
      <c r="C17" s="882" t="s">
        <v>2109</v>
      </c>
      <c r="D17" s="882"/>
      <c r="E17" s="886">
        <f>HBL!J598</f>
        <v>422.27954523741283</v>
      </c>
      <c r="F17" s="881"/>
      <c r="G17" s="881"/>
      <c r="H17" s="892">
        <v>423.95146651380531</v>
      </c>
      <c r="I17" s="892">
        <v>422.75723703066785</v>
      </c>
      <c r="J17" s="886">
        <v>429.75723703066802</v>
      </c>
      <c r="K17" s="886">
        <v>421.56300754753033</v>
      </c>
      <c r="L17" s="914">
        <v>419.41339447788289</v>
      </c>
      <c r="M17" s="886">
        <v>422.27954523741283</v>
      </c>
      <c r="N17" s="881"/>
    </row>
    <row r="18" spans="1:14">
      <c r="A18" s="882">
        <v>2</v>
      </c>
      <c r="B18" s="881" t="s">
        <v>2104</v>
      </c>
      <c r="C18" s="882" t="s">
        <v>2109</v>
      </c>
      <c r="D18" s="882"/>
      <c r="E18" s="886">
        <f>HBL!J600</f>
        <v>4.2132416165090278</v>
      </c>
      <c r="F18" s="881"/>
      <c r="G18" s="881"/>
      <c r="H18" s="892">
        <v>4.6813795738989201</v>
      </c>
      <c r="I18" s="886">
        <v>0.94421045643046031</v>
      </c>
      <c r="J18" s="886">
        <v>7.4899702863611157</v>
      </c>
      <c r="K18" s="892">
        <v>7.4902073182382738</v>
      </c>
      <c r="L18" s="914">
        <v>7.0181897645164186</v>
      </c>
      <c r="M18" s="886">
        <v>4.2132416165090278</v>
      </c>
      <c r="N18" s="881"/>
    </row>
    <row r="19" spans="1:14">
      <c r="A19" s="882">
        <v>3</v>
      </c>
      <c r="B19" s="881" t="s">
        <v>2105</v>
      </c>
      <c r="C19" s="882" t="s">
        <v>2109</v>
      </c>
      <c r="D19" s="882"/>
      <c r="E19" s="886">
        <f>HBL!J602</f>
        <v>0</v>
      </c>
      <c r="F19" s="881"/>
      <c r="G19" s="881"/>
      <c r="H19" s="892">
        <v>0</v>
      </c>
      <c r="I19" s="886">
        <v>0</v>
      </c>
      <c r="J19" s="886">
        <v>0</v>
      </c>
      <c r="K19" s="892">
        <v>0</v>
      </c>
      <c r="L19" s="914">
        <v>0</v>
      </c>
      <c r="M19" s="886">
        <v>0</v>
      </c>
      <c r="N19" s="881"/>
    </row>
    <row r="20" spans="1:14">
      <c r="A20" s="882">
        <v>4</v>
      </c>
      <c r="B20" s="881" t="s">
        <v>2106</v>
      </c>
      <c r="C20" s="882" t="s">
        <v>2109</v>
      </c>
      <c r="D20" s="882"/>
      <c r="E20" s="886">
        <f>HBL!J603</f>
        <v>217.08126820609161</v>
      </c>
      <c r="F20" s="881"/>
      <c r="G20" s="881"/>
      <c r="H20" s="892">
        <v>218.47954063133233</v>
      </c>
      <c r="I20" s="886">
        <v>218.29689866078164</v>
      </c>
      <c r="J20" s="886">
        <v>240.73446646843041</v>
      </c>
      <c r="K20" s="886">
        <v>223.62696436348412</v>
      </c>
      <c r="L20" s="914">
        <v>214.79620222497485</v>
      </c>
      <c r="M20" s="886">
        <v>217.08126820609161</v>
      </c>
      <c r="N20" s="881"/>
    </row>
    <row r="21" spans="1:14">
      <c r="A21" s="882">
        <v>5</v>
      </c>
      <c r="B21" s="881" t="s">
        <v>2140</v>
      </c>
      <c r="C21" s="882" t="s">
        <v>2109</v>
      </c>
      <c r="D21" s="882"/>
      <c r="E21" s="886">
        <f>HBL!J605</f>
        <v>6.9738998217378851</v>
      </c>
      <c r="F21" s="881"/>
      <c r="G21" s="881"/>
      <c r="H21" s="892">
        <v>7.5458201464308852</v>
      </c>
      <c r="I21" s="886">
        <v>7.1604752973542478</v>
      </c>
      <c r="J21" s="886">
        <v>8.5457789335837564</v>
      </c>
      <c r="K21" s="886">
        <v>7.9650323767881561</v>
      </c>
      <c r="L21" s="914">
        <v>7.4481966425455202</v>
      </c>
      <c r="M21" s="886">
        <v>6.9738998217378851</v>
      </c>
      <c r="N21" s="881"/>
    </row>
    <row r="22" spans="1:14">
      <c r="A22" s="882">
        <v>6</v>
      </c>
      <c r="B22" s="881" t="s">
        <v>2107</v>
      </c>
      <c r="C22" s="882" t="s">
        <v>2109</v>
      </c>
      <c r="D22" s="882"/>
      <c r="E22" s="886">
        <f>HBL!J609</f>
        <v>92.891048569538341</v>
      </c>
      <c r="F22" s="881"/>
      <c r="G22" s="881"/>
      <c r="H22" s="886">
        <v>59.1777718905659</v>
      </c>
      <c r="I22" s="886">
        <v>57.767494940387976</v>
      </c>
      <c r="J22" s="886">
        <v>56.391847923423391</v>
      </c>
      <c r="K22" s="886">
        <v>89.302059427056747</v>
      </c>
      <c r="L22" s="912">
        <v>93.184075818403016</v>
      </c>
      <c r="M22" s="886">
        <v>92.891048569538341</v>
      </c>
      <c r="N22" s="881"/>
    </row>
    <row r="23" spans="1:14">
      <c r="A23" s="882">
        <v>7</v>
      </c>
      <c r="B23" s="881" t="s">
        <v>2114</v>
      </c>
      <c r="C23" s="882" t="s">
        <v>2109</v>
      </c>
      <c r="D23" s="882"/>
      <c r="E23" s="886">
        <f>HBL!J612</f>
        <v>19.384669924864909</v>
      </c>
      <c r="F23" s="881"/>
      <c r="G23" s="881"/>
      <c r="H23" s="892">
        <v>19.181699933123156</v>
      </c>
      <c r="I23" s="886">
        <v>19.181699933123156</v>
      </c>
      <c r="J23" s="886">
        <v>17.968086690598643</v>
      </c>
      <c r="K23" s="886">
        <v>22.246827450857456</v>
      </c>
      <c r="L23" s="912">
        <v>20.810987484010319</v>
      </c>
      <c r="M23" s="886">
        <v>19.384669924864909</v>
      </c>
      <c r="N23" s="881"/>
    </row>
    <row r="24" spans="1:14">
      <c r="A24" s="882">
        <v>8</v>
      </c>
      <c r="B24" s="881" t="s">
        <v>2113</v>
      </c>
      <c r="C24" s="882" t="s">
        <v>2109</v>
      </c>
      <c r="D24" s="882"/>
      <c r="E24" s="886">
        <f>HBL!J617</f>
        <v>47.291487532244197</v>
      </c>
      <c r="F24" s="881"/>
      <c r="G24" s="881"/>
      <c r="H24" s="892">
        <v>48.963408808636672</v>
      </c>
      <c r="I24" s="886">
        <v>48.008025222126683</v>
      </c>
      <c r="J24" s="886">
        <v>48.008025222126683</v>
      </c>
      <c r="K24" s="886">
        <v>48.008025222126683</v>
      </c>
      <c r="L24" s="914">
        <v>47.291487532244197</v>
      </c>
      <c r="M24" s="886">
        <v>47.291487532244197</v>
      </c>
      <c r="N24" s="881"/>
    </row>
    <row r="25" spans="1:14">
      <c r="A25" s="882">
        <v>9</v>
      </c>
      <c r="B25" s="881" t="s">
        <v>2111</v>
      </c>
      <c r="C25" s="882" t="s">
        <v>2109</v>
      </c>
      <c r="D25" s="882"/>
      <c r="E25" s="886">
        <f>HBL!J618</f>
        <v>22.451514282984618</v>
      </c>
      <c r="F25" s="881"/>
      <c r="G25" s="881"/>
      <c r="H25" s="892">
        <v>21.018438903219643</v>
      </c>
      <c r="I25" s="886">
        <v>22.522777395624299</v>
      </c>
      <c r="J25" s="886">
        <v>26.273048629024554</v>
      </c>
      <c r="K25" s="886">
        <v>26.273048629024554</v>
      </c>
      <c r="L25" s="914">
        <v>22.690360179612114</v>
      </c>
      <c r="M25" s="886">
        <v>22.451514282984618</v>
      </c>
      <c r="N25" s="881"/>
    </row>
    <row r="26" spans="1:14">
      <c r="A26" s="882">
        <v>10</v>
      </c>
      <c r="B26" s="881" t="s">
        <v>2112</v>
      </c>
      <c r="C26" s="882" t="s">
        <v>2109</v>
      </c>
      <c r="D26" s="882"/>
      <c r="E26" s="886">
        <f>HBL!J619</f>
        <v>5.3979172637814088</v>
      </c>
      <c r="F26" s="881"/>
      <c r="G26" s="881"/>
      <c r="H26" s="892">
        <v>5.0157638291774145</v>
      </c>
      <c r="I26" s="886">
        <v>4.9679946498519163</v>
      </c>
      <c r="J26" s="886">
        <v>5.8517244673736508</v>
      </c>
      <c r="K26" s="886">
        <v>5.8517244673736508</v>
      </c>
      <c r="L26" s="914">
        <v>5.4934556224324069</v>
      </c>
      <c r="M26" s="886">
        <v>5.3979172637814088</v>
      </c>
      <c r="N26" s="881"/>
    </row>
    <row r="27" spans="1:14" hidden="1">
      <c r="A27" s="882">
        <v>11</v>
      </c>
      <c r="B27" s="881" t="s">
        <v>2110</v>
      </c>
      <c r="C27" s="882" t="s">
        <v>2109</v>
      </c>
      <c r="D27" s="882"/>
      <c r="E27" s="886">
        <f>HBL!J622</f>
        <v>-6.2717848162823326</v>
      </c>
      <c r="F27" s="881"/>
      <c r="G27" s="881"/>
      <c r="H27" s="892">
        <v>20.261556598722468</v>
      </c>
      <c r="I27" s="892">
        <v>24.522368964559998</v>
      </c>
      <c r="J27" s="886">
        <v>27.415553947386027</v>
      </c>
      <c r="K27" s="886">
        <v>-4.8735447220179893</v>
      </c>
      <c r="L27" s="914">
        <v>-9.6964820007709793</v>
      </c>
      <c r="M27" s="886">
        <v>-6.2717848162823326</v>
      </c>
      <c r="N27" s="881"/>
    </row>
    <row r="28" spans="1:14">
      <c r="A28" s="882"/>
      <c r="B28" s="877" t="s">
        <v>2124</v>
      </c>
      <c r="C28" s="882"/>
      <c r="D28" s="882"/>
      <c r="E28" s="886">
        <f>SUM(E17:E27)</f>
        <v>831.69280763888253</v>
      </c>
      <c r="F28" s="881"/>
      <c r="G28" s="881"/>
      <c r="H28" s="892">
        <v>828.27684682891254</v>
      </c>
      <c r="I28" s="886">
        <v>826.24577323204517</v>
      </c>
      <c r="J28" s="886">
        <v>861.43573959897594</v>
      </c>
      <c r="K28" s="892">
        <v>848.60370018977517</v>
      </c>
      <c r="L28" s="914">
        <v>828.44986774585072</v>
      </c>
      <c r="M28" s="886">
        <v>831.69280763888253</v>
      </c>
      <c r="N28" s="881"/>
    </row>
  </sheetData>
  <mergeCells count="1">
    <mergeCell ref="A1:N1"/>
  </mergeCells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E1695"/>
  <sheetViews>
    <sheetView topLeftCell="A24" zoomScale="85" zoomScaleNormal="85" workbookViewId="0">
      <selection activeCell="AB321" sqref="AB321"/>
    </sheetView>
  </sheetViews>
  <sheetFormatPr defaultColWidth="9.33203125" defaultRowHeight="13" outlineLevelRow="3"/>
  <cols>
    <col min="1" max="1" width="5.77734375" style="629" customWidth="1"/>
    <col min="2" max="2" width="10.44140625" customWidth="1"/>
    <col min="3" max="3" width="15.109375" customWidth="1"/>
    <col min="4" max="7" width="10.33203125" customWidth="1"/>
    <col min="8" max="8" width="13" customWidth="1"/>
    <col min="9" max="10" width="10.33203125" customWidth="1"/>
    <col min="11" max="11" width="10.109375" hidden="1" customWidth="1"/>
    <col min="12" max="12" width="14.44140625" hidden="1" customWidth="1"/>
    <col min="13" max="13" width="15.6640625" hidden="1" customWidth="1"/>
    <col min="14" max="14" width="19" hidden="1" customWidth="1"/>
    <col min="15" max="15" width="20.77734375" hidden="1" customWidth="1"/>
    <col min="16" max="16" width="21.44140625" hidden="1" customWidth="1"/>
    <col min="17" max="17" width="10.77734375" hidden="1" customWidth="1"/>
    <col min="18" max="18" width="11" hidden="1" customWidth="1"/>
    <col min="19" max="20" width="10.77734375" hidden="1" customWidth="1"/>
    <col min="21" max="22" width="10.33203125" hidden="1" customWidth="1"/>
    <col min="23" max="23" width="4" style="1" hidden="1" customWidth="1"/>
    <col min="24" max="24" width="3.77734375" hidden="1" customWidth="1"/>
    <col min="25" max="26" width="0" hidden="1" customWidth="1"/>
    <col min="27" max="27" width="35.77734375" hidden="1" customWidth="1"/>
    <col min="28" max="31" width="35.77734375" customWidth="1"/>
  </cols>
  <sheetData>
    <row r="1" spans="2:24" ht="12.75" hidden="1" customHeight="1"/>
    <row r="2" spans="2:24" ht="12.75" hidden="1" customHeight="1">
      <c r="B2" s="174"/>
      <c r="C2" s="175"/>
      <c r="D2" s="174"/>
      <c r="E2" s="174"/>
      <c r="F2" s="174"/>
      <c r="G2" s="174"/>
      <c r="H2" s="174"/>
      <c r="I2" s="174"/>
      <c r="J2" s="174"/>
    </row>
    <row r="3" spans="2:24" ht="12.75" hidden="1" customHeight="1">
      <c r="B3" s="174"/>
      <c r="C3" s="245"/>
      <c r="D3" s="174"/>
      <c r="E3" s="174"/>
      <c r="F3" s="174"/>
      <c r="G3" s="174"/>
      <c r="H3" s="174"/>
      <c r="I3" s="174"/>
      <c r="J3" s="174"/>
      <c r="M3" s="287"/>
      <c r="N3" s="217"/>
      <c r="O3" s="217"/>
      <c r="P3" s="217"/>
    </row>
    <row r="4" spans="2:24" ht="12.75" hidden="1" customHeight="1">
      <c r="B4" s="174"/>
      <c r="C4" s="209"/>
      <c r="D4" s="174"/>
      <c r="E4" s="174"/>
      <c r="F4" s="174"/>
      <c r="G4" s="174"/>
      <c r="H4" s="174"/>
      <c r="I4" s="174"/>
      <c r="J4" s="174"/>
      <c r="M4" s="288"/>
      <c r="N4" s="274"/>
      <c r="O4" s="217"/>
      <c r="P4" s="217"/>
    </row>
    <row r="5" spans="2:24" ht="12.75" hidden="1" customHeight="1">
      <c r="B5" s="174"/>
      <c r="C5" s="174"/>
      <c r="D5" s="174"/>
      <c r="E5" s="174"/>
      <c r="F5" s="174"/>
      <c r="G5" s="174"/>
      <c r="H5" s="174"/>
      <c r="I5" s="174"/>
      <c r="J5" s="174"/>
      <c r="M5" s="288"/>
      <c r="N5" s="274"/>
      <c r="O5" s="217"/>
      <c r="P5" s="217"/>
    </row>
    <row r="6" spans="2:24" ht="12.75" hidden="1" customHeight="1">
      <c r="B6" s="174"/>
      <c r="C6" s="174"/>
      <c r="D6" s="174"/>
      <c r="E6" s="174"/>
      <c r="F6" s="174"/>
      <c r="G6" s="174"/>
      <c r="H6" s="174"/>
      <c r="I6" s="174"/>
      <c r="J6" s="174"/>
      <c r="M6" s="288"/>
      <c r="N6" s="274"/>
      <c r="O6" s="217"/>
      <c r="P6" s="217"/>
    </row>
    <row r="7" spans="2:24" ht="25.5" hidden="1" customHeight="1">
      <c r="B7" s="174"/>
      <c r="C7" s="244" t="s">
        <v>97</v>
      </c>
      <c r="D7" s="174"/>
      <c r="E7" s="174"/>
      <c r="F7" s="174"/>
      <c r="G7" s="174"/>
      <c r="H7" s="174"/>
      <c r="I7" s="174"/>
      <c r="J7" s="174"/>
      <c r="M7" s="288"/>
      <c r="N7" s="274"/>
      <c r="O7" s="289"/>
      <c r="P7" s="217"/>
      <c r="V7" s="1" t="s">
        <v>286</v>
      </c>
      <c r="W7"/>
      <c r="X7" s="18" t="s">
        <v>287</v>
      </c>
    </row>
    <row r="8" spans="2:24" ht="12.75" hidden="1" customHeight="1">
      <c r="B8" s="174"/>
      <c r="C8" s="174"/>
      <c r="D8" s="174"/>
      <c r="E8" s="174"/>
      <c r="F8" s="174"/>
      <c r="G8" s="174"/>
      <c r="H8" s="174"/>
      <c r="I8" s="174"/>
      <c r="J8" s="174"/>
      <c r="M8" s="288"/>
      <c r="N8" s="274"/>
      <c r="O8" s="289"/>
      <c r="P8" s="217"/>
      <c r="V8" s="1"/>
      <c r="W8"/>
      <c r="X8" t="s">
        <v>288</v>
      </c>
    </row>
    <row r="9" spans="2:24" ht="12.75" hidden="1" customHeight="1">
      <c r="B9" s="175"/>
      <c r="C9" s="273" t="s">
        <v>1846</v>
      </c>
      <c r="D9" s="174"/>
      <c r="E9" s="174"/>
      <c r="F9" s="174"/>
      <c r="G9" s="174"/>
      <c r="H9" s="174"/>
      <c r="I9" s="174"/>
      <c r="J9" s="174"/>
      <c r="M9" s="288"/>
      <c r="N9" s="274"/>
      <c r="O9" s="217"/>
      <c r="P9" s="217"/>
      <c r="W9"/>
      <c r="X9" s="2" t="s">
        <v>289</v>
      </c>
    </row>
    <row r="10" spans="2:24" ht="12.75" hidden="1" customHeight="1">
      <c r="B10" s="174"/>
      <c r="C10" s="273" t="s">
        <v>981</v>
      </c>
      <c r="D10" s="176"/>
      <c r="E10" s="174"/>
      <c r="F10" s="174"/>
      <c r="G10" s="174"/>
      <c r="H10" s="174"/>
      <c r="I10" s="174"/>
      <c r="J10" s="174"/>
      <c r="M10" s="288"/>
      <c r="N10" s="274"/>
      <c r="O10" s="217"/>
      <c r="P10" s="217"/>
      <c r="W10"/>
      <c r="X10" s="2" t="s">
        <v>290</v>
      </c>
    </row>
    <row r="11" spans="2:24" ht="12.75" hidden="1" customHeight="1">
      <c r="B11" s="174"/>
      <c r="C11" s="273" t="s">
        <v>982</v>
      </c>
      <c r="D11" s="176"/>
      <c r="E11" s="174"/>
      <c r="F11" s="174"/>
      <c r="G11" s="174"/>
      <c r="H11" s="174"/>
      <c r="I11" s="174"/>
      <c r="J11" s="174"/>
      <c r="M11" s="404"/>
      <c r="N11" s="274"/>
      <c r="O11" s="289"/>
      <c r="W11"/>
    </row>
    <row r="12" spans="2:24" ht="12.75" hidden="1" customHeight="1">
      <c r="B12" s="174"/>
      <c r="C12" s="174"/>
      <c r="D12" s="174"/>
      <c r="E12" s="174"/>
      <c r="F12" s="174"/>
      <c r="G12" s="174"/>
      <c r="H12" s="174"/>
      <c r="I12" s="174"/>
      <c r="J12" s="174"/>
      <c r="M12" s="404"/>
      <c r="N12" s="274"/>
      <c r="O12" s="405"/>
      <c r="W12"/>
    </row>
    <row r="13" spans="2:24" ht="12.75" hidden="1" customHeight="1">
      <c r="B13" s="174"/>
      <c r="C13" s="425"/>
      <c r="D13" s="174" t="s">
        <v>291</v>
      </c>
      <c r="E13" s="174"/>
      <c r="F13" s="174"/>
      <c r="G13" s="174"/>
      <c r="H13" s="174"/>
      <c r="I13" s="174"/>
      <c r="J13" s="174"/>
      <c r="M13" s="404"/>
      <c r="N13" s="274"/>
      <c r="O13" s="22"/>
      <c r="V13" s="1" t="s">
        <v>292</v>
      </c>
      <c r="W13"/>
      <c r="X13" s="3">
        <v>2</v>
      </c>
    </row>
    <row r="14" spans="2:24" ht="12.75" hidden="1" customHeight="1">
      <c r="B14" s="174"/>
      <c r="C14" s="455"/>
      <c r="D14" s="176" t="s">
        <v>293</v>
      </c>
      <c r="E14" s="174"/>
      <c r="F14" s="174"/>
      <c r="G14" s="174"/>
      <c r="H14" s="174"/>
      <c r="I14" s="174"/>
      <c r="J14" s="174"/>
      <c r="M14" s="406"/>
      <c r="N14" s="274"/>
      <c r="O14" s="22"/>
    </row>
    <row r="15" spans="2:24" ht="12.75" hidden="1" customHeight="1" thickBot="1">
      <c r="B15" s="174"/>
      <c r="C15" s="757"/>
      <c r="D15" s="176" t="s">
        <v>979</v>
      </c>
      <c r="E15" s="174"/>
      <c r="F15" s="174"/>
      <c r="G15" s="174"/>
      <c r="H15" s="174"/>
      <c r="I15" s="174"/>
      <c r="J15" s="174"/>
      <c r="M15" s="404"/>
      <c r="N15" s="407"/>
      <c r="O15" s="408"/>
      <c r="P15" s="22"/>
    </row>
    <row r="16" spans="2:24" ht="12.75" hidden="1" customHeight="1" thickTop="1" thickBot="1">
      <c r="B16" s="174"/>
      <c r="C16" s="758"/>
      <c r="D16" s="759" t="s">
        <v>2004</v>
      </c>
      <c r="E16" s="174"/>
      <c r="F16" s="174"/>
      <c r="G16" s="174"/>
      <c r="H16" s="174"/>
      <c r="I16" s="174"/>
      <c r="J16" s="174"/>
      <c r="M16" s="404"/>
      <c r="N16" s="407"/>
      <c r="O16" s="408"/>
      <c r="P16" s="22"/>
    </row>
    <row r="17" spans="1:25" ht="12.75" hidden="1" customHeight="1" thickTop="1">
      <c r="B17" s="174"/>
      <c r="C17" s="646"/>
      <c r="D17" s="174"/>
      <c r="E17" s="174"/>
      <c r="F17" s="174"/>
      <c r="G17" s="174"/>
      <c r="H17" s="174"/>
      <c r="I17" s="174"/>
      <c r="J17" s="174"/>
      <c r="M17" s="404"/>
      <c r="N17" s="407"/>
      <c r="O17" s="22"/>
      <c r="P17" s="22"/>
    </row>
    <row r="18" spans="1:25" ht="12.75" hidden="1" customHeight="1">
      <c r="B18" s="174"/>
      <c r="C18" s="176" t="s">
        <v>294</v>
      </c>
      <c r="D18" s="174"/>
      <c r="E18" s="174"/>
      <c r="F18" s="174"/>
      <c r="G18" s="174" t="s">
        <v>45</v>
      </c>
      <c r="H18" s="174"/>
      <c r="I18" s="174"/>
      <c r="J18" s="174"/>
      <c r="M18" s="404"/>
      <c r="N18" s="407"/>
      <c r="O18" s="22"/>
      <c r="P18" s="22"/>
    </row>
    <row r="19" spans="1:25" ht="12.75" hidden="1" customHeight="1">
      <c r="B19" s="174"/>
      <c r="C19" s="174"/>
      <c r="D19" s="174"/>
      <c r="E19" s="174"/>
      <c r="F19" s="174"/>
      <c r="G19" s="174"/>
      <c r="H19" s="174"/>
      <c r="I19" s="174"/>
      <c r="J19" s="174"/>
      <c r="M19" s="404"/>
      <c r="N19" s="407"/>
      <c r="O19" s="22"/>
      <c r="P19" s="22"/>
    </row>
    <row r="20" spans="1:25" ht="12.75" hidden="1" customHeight="1">
      <c r="B20" s="200"/>
      <c r="C20" s="174"/>
      <c r="D20" s="174"/>
      <c r="E20" s="174"/>
      <c r="F20" s="174"/>
      <c r="G20" s="174"/>
      <c r="H20" s="174"/>
      <c r="I20" s="174"/>
      <c r="J20" s="174"/>
      <c r="M20" s="404"/>
      <c r="N20" s="407"/>
      <c r="O20" s="22"/>
    </row>
    <row r="21" spans="1:25" ht="12.75" hidden="1" customHeight="1">
      <c r="B21" s="200" t="s">
        <v>980</v>
      </c>
      <c r="C21" s="174"/>
      <c r="D21" s="174"/>
      <c r="E21" s="174"/>
      <c r="F21" s="200" t="s">
        <v>2082</v>
      </c>
      <c r="G21" s="174"/>
      <c r="H21" s="174"/>
      <c r="I21" s="174"/>
      <c r="J21" s="174"/>
      <c r="M21" s="404"/>
      <c r="N21" s="407"/>
      <c r="O21" s="22"/>
    </row>
    <row r="22" spans="1:25" ht="12.75" hidden="1" customHeight="1">
      <c r="B22" s="200" t="s">
        <v>295</v>
      </c>
      <c r="C22" s="174"/>
      <c r="D22" s="174"/>
      <c r="E22" s="174"/>
      <c r="F22" s="762" t="s">
        <v>2083</v>
      </c>
      <c r="G22" s="174"/>
      <c r="H22" s="174"/>
      <c r="I22" s="174"/>
      <c r="J22" s="177"/>
      <c r="M22" s="404"/>
      <c r="N22" s="407"/>
      <c r="O22" s="22"/>
    </row>
    <row r="23" spans="1:25" ht="12.75" hidden="1" customHeight="1">
      <c r="B23" s="2"/>
      <c r="M23" s="404"/>
      <c r="N23" s="407"/>
      <c r="O23" s="22"/>
    </row>
    <row r="24" spans="1:25" ht="12.75" customHeight="1">
      <c r="M24" s="404"/>
      <c r="N24" s="407"/>
      <c r="O24" s="22"/>
    </row>
    <row r="25" spans="1:25" ht="12.75" customHeight="1">
      <c r="M25" s="404"/>
      <c r="N25" s="407"/>
      <c r="O25" s="22"/>
      <c r="S25" s="3"/>
      <c r="T25" s="3"/>
      <c r="V25" s="3"/>
    </row>
    <row r="26" spans="1:25" s="4" customFormat="1" ht="18.75" customHeight="1">
      <c r="A26" s="630"/>
      <c r="B26" s="495" t="str">
        <f>HBL!$AA$1613</f>
        <v>HEAT AND MASS BALANCE OF A PREHEATER KILN</v>
      </c>
      <c r="C26" s="496"/>
      <c r="D26" s="496"/>
      <c r="E26" s="496"/>
      <c r="F26" s="496"/>
      <c r="G26" s="496"/>
      <c r="H26" s="496"/>
      <c r="I26" s="497"/>
      <c r="J26" s="496"/>
      <c r="K26" s="496"/>
      <c r="L26"/>
      <c r="M26" s="404"/>
      <c r="N26" s="407"/>
      <c r="O26" s="22"/>
      <c r="R26"/>
      <c r="S26"/>
      <c r="T26"/>
      <c r="U26"/>
      <c r="V26"/>
      <c r="W26"/>
      <c r="X26"/>
      <c r="Y26"/>
    </row>
    <row r="27" spans="1:25" ht="12.75" customHeight="1" outlineLevel="2">
      <c r="M27" s="404"/>
      <c r="N27" s="407"/>
      <c r="O27" s="22"/>
      <c r="W27"/>
    </row>
    <row r="28" spans="1:25" ht="12.75" customHeight="1" outlineLevel="2">
      <c r="E28" s="2"/>
      <c r="M28" s="404"/>
      <c r="N28" s="407"/>
      <c r="O28" s="22"/>
      <c r="W28"/>
    </row>
    <row r="29" spans="1:25" ht="12.75" customHeight="1" outlineLevel="2">
      <c r="B29" t="str">
        <f>HBL!$AA$1658</f>
        <v>Plant</v>
      </c>
      <c r="D29" s="456" t="s">
        <v>2078</v>
      </c>
      <c r="E29" s="457"/>
      <c r="G29" t="str">
        <f>HBL!$AA$1596</f>
        <v>Person in charge</v>
      </c>
      <c r="I29" s="456"/>
      <c r="J29" s="457"/>
      <c r="M29" s="404"/>
      <c r="N29" s="407"/>
      <c r="O29" s="22"/>
      <c r="W29"/>
    </row>
    <row r="30" spans="1:25" ht="12.75" customHeight="1" outlineLevel="2">
      <c r="B30" t="str">
        <f>HBL!$AA$1482</f>
        <v>Kiln No.</v>
      </c>
      <c r="D30" s="458"/>
      <c r="G30" t="s">
        <v>513</v>
      </c>
      <c r="I30" s="459">
        <v>2200</v>
      </c>
      <c r="J30" s="2" t="str">
        <f>HBL!$AA$1566</f>
        <v>t/d</v>
      </c>
      <c r="M30" s="404"/>
      <c r="N30" s="407"/>
      <c r="O30" s="22"/>
      <c r="W30"/>
    </row>
    <row r="31" spans="1:25" ht="12.75" customHeight="1" outlineLevel="2">
      <c r="B31" s="2" t="str">
        <f>HBL!$AA$1382</f>
        <v>Altitude</v>
      </c>
      <c r="D31" s="476">
        <v>30</v>
      </c>
      <c r="E31" s="2" t="s">
        <v>296</v>
      </c>
      <c r="G31" t="str">
        <f>HBL!$AA$1234</f>
        <v>Actual production rate</v>
      </c>
      <c r="I31" s="387">
        <v>1830</v>
      </c>
      <c r="J31" s="2" t="str">
        <f>HBL!$AA$1566</f>
        <v>t/d</v>
      </c>
      <c r="M31" s="404"/>
      <c r="N31" s="407"/>
      <c r="O31" s="217"/>
      <c r="W31"/>
    </row>
    <row r="32" spans="1:25" ht="12.75" customHeight="1" outlineLevel="2">
      <c r="M32" s="404"/>
      <c r="N32" s="407"/>
      <c r="O32" s="22"/>
      <c r="W32"/>
    </row>
    <row r="33" spans="1:23" ht="12.75" customHeight="1" outlineLevel="2">
      <c r="B33" t="str">
        <f>HBL!$AA$1309</f>
        <v>Date</v>
      </c>
      <c r="C33" t="str">
        <f>HBL!$AA$1611</f>
        <v>from</v>
      </c>
      <c r="D33" s="461">
        <v>46021</v>
      </c>
      <c r="E33" s="462">
        <v>0.39583333333333331</v>
      </c>
      <c r="F33" s="2" t="s">
        <v>301</v>
      </c>
      <c r="H33" s="17"/>
      <c r="I33" s="36"/>
      <c r="M33" s="404"/>
      <c r="N33" s="407"/>
      <c r="O33" s="217"/>
      <c r="W33"/>
    </row>
    <row r="34" spans="1:23" ht="12.75" customHeight="1" outlineLevel="2">
      <c r="C34" t="str">
        <f>HBL!$AA$1266</f>
        <v>to</v>
      </c>
      <c r="D34" s="461">
        <v>46021</v>
      </c>
      <c r="E34" s="462">
        <v>20.708333333333332</v>
      </c>
      <c r="F34" s="2" t="s">
        <v>301</v>
      </c>
      <c r="G34" t="s">
        <v>828</v>
      </c>
      <c r="I34" s="257">
        <f>IF(((DAY(DATE2)-DAY(DATE1))*24*60+(HOUR(E34)-HOUR(E33))*60+(MINUTE(E34)-MINUTE(E33)))/60=0,"",((DAY(DATE2)-DAY(DATE1))*24*60+(HOUR(E34)-HOUR(E33))*60+(MINUTE(E34)-MINUTE(E33)))/60)</f>
        <v>7.5</v>
      </c>
      <c r="J34" s="2" t="s">
        <v>301</v>
      </c>
      <c r="M34" s="404"/>
      <c r="N34" s="407"/>
      <c r="O34" s="217"/>
      <c r="W34"/>
    </row>
    <row r="35" spans="1:23" ht="12.75" customHeight="1" outlineLevel="2">
      <c r="H35" s="17"/>
      <c r="M35" s="404"/>
      <c r="N35" s="407"/>
      <c r="O35" s="217"/>
      <c r="W35"/>
    </row>
    <row r="36" spans="1:23" ht="12.75" customHeight="1" outlineLevel="2">
      <c r="B36" s="1" t="str">
        <f>HBL!$AA$1254</f>
        <v>REMARKS &amp; COMMENTS</v>
      </c>
      <c r="M36" s="404"/>
      <c r="N36" s="407"/>
      <c r="O36" s="217"/>
      <c r="W36"/>
    </row>
    <row r="37" spans="1:23" ht="12.75" customHeight="1" outlineLevel="2">
      <c r="B37" s="781"/>
      <c r="C37" s="464"/>
      <c r="D37" s="464"/>
      <c r="E37" s="464"/>
      <c r="F37" s="464"/>
      <c r="G37" s="464"/>
      <c r="H37" s="464"/>
      <c r="I37" s="464"/>
      <c r="J37" s="464"/>
      <c r="M37" s="404"/>
      <c r="N37" s="407"/>
      <c r="O37" s="217"/>
      <c r="W37"/>
    </row>
    <row r="38" spans="1:23" ht="12.75" customHeight="1" outlineLevel="2">
      <c r="B38" s="781"/>
      <c r="C38" s="464"/>
      <c r="D38" s="464"/>
      <c r="E38" s="464"/>
      <c r="F38" s="464"/>
      <c r="G38" s="464"/>
      <c r="H38" s="464"/>
      <c r="I38" s="464"/>
      <c r="J38" s="464"/>
      <c r="M38" s="404"/>
      <c r="N38" s="407"/>
      <c r="O38" s="217"/>
      <c r="W38"/>
    </row>
    <row r="39" spans="1:23" ht="12.75" customHeight="1" outlineLevel="2">
      <c r="B39" s="463"/>
      <c r="C39" s="464"/>
      <c r="D39" s="464"/>
      <c r="E39" s="464"/>
      <c r="F39" s="464"/>
      <c r="G39" s="464"/>
      <c r="H39" s="464"/>
      <c r="I39" s="464"/>
      <c r="J39" s="464"/>
      <c r="W39"/>
    </row>
    <row r="40" spans="1:23" ht="12.75" customHeight="1" outlineLevel="2">
      <c r="W40"/>
    </row>
    <row r="41" spans="1:23" ht="12.75" customHeight="1" outlineLevel="1">
      <c r="W41"/>
    </row>
    <row r="42" spans="1:23" ht="12.75" customHeight="1" outlineLevel="1">
      <c r="A42" s="628">
        <v>1</v>
      </c>
      <c r="B42" s="492" t="str">
        <f>HBL!$AA$1488</f>
        <v>KILN DATA</v>
      </c>
      <c r="C42" s="494"/>
      <c r="D42" s="6" t="str">
        <f>HBL!$AA$1452</f>
        <v>Supplier / Type</v>
      </c>
      <c r="E42" s="6"/>
      <c r="F42" s="465" t="s">
        <v>2007</v>
      </c>
      <c r="G42" s="466"/>
      <c r="H42" s="466"/>
      <c r="I42" s="466"/>
      <c r="J42" s="467"/>
      <c r="W42"/>
    </row>
    <row r="43" spans="1:23" ht="12.75" customHeight="1" outlineLevel="2">
      <c r="W43"/>
    </row>
    <row r="44" spans="1:23" ht="12.75" customHeight="1" outlineLevel="2">
      <c r="B44" t="str">
        <f>HBL!$AA$1493</f>
        <v>Kiln slope</v>
      </c>
      <c r="D44" s="468">
        <v>3.5</v>
      </c>
      <c r="E44" s="2" t="s">
        <v>297</v>
      </c>
      <c r="F44" t="str">
        <f>HBL!$AA$1489</f>
        <v>Kiln speed at normal operation</v>
      </c>
      <c r="I44" s="468">
        <v>4.2</v>
      </c>
      <c r="J44" t="str">
        <f>HBL!$AA$1584</f>
        <v>rpm</v>
      </c>
      <c r="W44"/>
    </row>
    <row r="45" spans="1:23" ht="12.75" customHeight="1" outlineLevel="2">
      <c r="B45" t="str">
        <f>HBL!$AA$1450</f>
        <v>Kiln length</v>
      </c>
      <c r="D45" s="469">
        <v>48</v>
      </c>
      <c r="E45" s="2" t="s">
        <v>296</v>
      </c>
      <c r="F45" t="str">
        <f>HBL!$AA$1462</f>
        <v>Maximum kiln speed</v>
      </c>
      <c r="I45" s="468">
        <v>5</v>
      </c>
      <c r="J45" t="str">
        <f>HBL!$AA$1584</f>
        <v>rpm</v>
      </c>
      <c r="W45"/>
    </row>
    <row r="46" spans="1:23" ht="12.75" customHeight="1" outlineLevel="2">
      <c r="E46" s="2"/>
      <c r="F46" t="str">
        <f>HBL!$AA$1313</f>
        <v>Diameter burning zone</v>
      </c>
      <c r="I46" s="470">
        <v>2.34</v>
      </c>
      <c r="J46" s="2" t="s">
        <v>296</v>
      </c>
      <c r="N46" s="2"/>
      <c r="W46"/>
    </row>
    <row r="47" spans="1:23" ht="12.75" customHeight="1" outlineLevel="2" thickBot="1">
      <c r="W47"/>
    </row>
    <row r="48" spans="1:23" ht="12.75" customHeight="1" outlineLevel="2" thickTop="1" thickBot="1">
      <c r="A48" s="631"/>
      <c r="B48" t="str">
        <f>HBL!$AA$1423</f>
        <v>Calciner system</v>
      </c>
      <c r="F48" s="706">
        <v>3</v>
      </c>
      <c r="H48" t="str">
        <f>HBL!$AA$1685</f>
        <v>0=none</v>
      </c>
      <c r="W48"/>
    </row>
    <row r="49" spans="2:28" ht="12.75" customHeight="1" outlineLevel="2" thickTop="1">
      <c r="B49" t="str">
        <f>HBL!$AA$1424</f>
        <v>or Secondary firing</v>
      </c>
      <c r="H49" t="str">
        <f>HBL!$AA$1686</f>
        <v>1=secondary firing</v>
      </c>
      <c r="W49"/>
    </row>
    <row r="50" spans="2:28" ht="12.75" customHeight="1" outlineLevel="2">
      <c r="H50" t="str">
        <f>HBL!$AA$1687</f>
        <v>2=in-line calciner (air through)</v>
      </c>
      <c r="W50"/>
    </row>
    <row r="51" spans="2:28" ht="12.75" customHeight="1" outlineLevel="2">
      <c r="H51" t="str">
        <f>HBL!$AA$1688</f>
        <v>3=in-line calciner (air separate)</v>
      </c>
      <c r="W51"/>
    </row>
    <row r="52" spans="2:28" ht="12.75" customHeight="1" outlineLevel="2">
      <c r="H52" t="str">
        <f>HBL!$AA$1689</f>
        <v>4=off-line calciner</v>
      </c>
      <c r="W52"/>
    </row>
    <row r="53" spans="2:28" ht="12.75" customHeight="1" outlineLevel="2">
      <c r="H53" t="str">
        <f>HBL!$AA$1690</f>
        <v>5=separate line calciner</v>
      </c>
      <c r="W53"/>
    </row>
    <row r="54" spans="2:28" ht="12.75" customHeight="1" outlineLevel="2" thickBot="1">
      <c r="W54"/>
    </row>
    <row r="55" spans="2:28" ht="12.75" customHeight="1" outlineLevel="2" thickTop="1" thickBot="1">
      <c r="B55" t="str">
        <f>HBL!$AA$1448</f>
        <v>Cooler type</v>
      </c>
      <c r="F55" s="707">
        <v>1</v>
      </c>
      <c r="H55" t="str">
        <f>HBL!$AA$1692</f>
        <v>1 = grate cooler</v>
      </c>
      <c r="W55"/>
    </row>
    <row r="56" spans="2:28" ht="12.75" customHeight="1" outlineLevel="2" thickTop="1">
      <c r="H56" t="str">
        <f>HBL!$AA$1693</f>
        <v>2 = planetary cooler</v>
      </c>
      <c r="W56"/>
    </row>
    <row r="57" spans="2:28" ht="12.75" customHeight="1" outlineLevel="2">
      <c r="W57"/>
    </row>
    <row r="58" spans="2:28" ht="12.75" customHeight="1" outlineLevel="2">
      <c r="B58" t="s">
        <v>950</v>
      </c>
      <c r="F58" s="427">
        <v>1</v>
      </c>
      <c r="H58" t="s">
        <v>951</v>
      </c>
      <c r="W58"/>
    </row>
    <row r="59" spans="2:28" ht="12.75" customHeight="1" outlineLevel="2">
      <c r="H59" t="s">
        <v>952</v>
      </c>
      <c r="W59"/>
    </row>
    <row r="60" spans="2:28" ht="12.75" customHeight="1" outlineLevel="2">
      <c r="B60" t="s">
        <v>958</v>
      </c>
      <c r="W60"/>
    </row>
    <row r="61" spans="2:28" ht="12.75" customHeight="1" outlineLevel="2">
      <c r="E61" t="s">
        <v>955</v>
      </c>
      <c r="F61" t="s">
        <v>961</v>
      </c>
      <c r="H61" t="s">
        <v>264</v>
      </c>
      <c r="W61"/>
    </row>
    <row r="62" spans="2:28" ht="12.75" customHeight="1" outlineLevel="2">
      <c r="B62" t="s">
        <v>953</v>
      </c>
      <c r="E62" t="s">
        <v>956</v>
      </c>
      <c r="F62" t="s">
        <v>962</v>
      </c>
      <c r="H62" t="s">
        <v>360</v>
      </c>
      <c r="W62"/>
    </row>
    <row r="63" spans="2:28" ht="12.75" customHeight="1" outlineLevel="2">
      <c r="B63" t="s">
        <v>957</v>
      </c>
      <c r="E63" s="427">
        <v>478</v>
      </c>
      <c r="F63" s="427">
        <v>0.98</v>
      </c>
      <c r="G63" s="1"/>
      <c r="H63" s="252">
        <f>IF(E63="",,IF(M_CLI="","",E63*F63*0.9*3600/(1000*M_CLI)))</f>
        <v>19.904860327868853</v>
      </c>
      <c r="I63" s="1"/>
      <c r="W63"/>
      <c r="AB63">
        <f>(1830/24)*7</f>
        <v>533.75</v>
      </c>
    </row>
    <row r="64" spans="2:28" ht="12.75" customHeight="1" outlineLevel="2">
      <c r="B64" t="s">
        <v>954</v>
      </c>
      <c r="E64" s="427">
        <v>220</v>
      </c>
      <c r="F64" s="427">
        <v>0.98</v>
      </c>
      <c r="G64" s="1"/>
      <c r="H64" s="252">
        <f>IF(E64="",,IF(M_CLI="","",E64*F64*0.9*3600/(1000*M_CLI)))</f>
        <v>9.1612327868852468</v>
      </c>
      <c r="I64" s="1"/>
      <c r="W64"/>
    </row>
    <row r="65" spans="1:28" ht="12.75" customHeight="1" outlineLevel="2">
      <c r="E65" s="1"/>
      <c r="F65" t="s">
        <v>959</v>
      </c>
      <c r="G65" s="1"/>
      <c r="H65" s="17"/>
      <c r="I65" s="1"/>
      <c r="W65"/>
    </row>
    <row r="66" spans="1:28" ht="12.75" customHeight="1" outlineLevel="2">
      <c r="F66" s="411" t="s">
        <v>960</v>
      </c>
      <c r="W66"/>
    </row>
    <row r="67" spans="1:28" ht="12.75" customHeight="1" outlineLevel="1">
      <c r="W67"/>
    </row>
    <row r="68" spans="1:28" ht="12.75" customHeight="1" outlineLevel="1">
      <c r="A68" s="628">
        <v>2</v>
      </c>
      <c r="B68" s="492" t="s">
        <v>1946</v>
      </c>
      <c r="C68" s="494"/>
      <c r="D68" s="491"/>
      <c r="E68" s="491"/>
      <c r="F68" s="562"/>
      <c r="W68"/>
    </row>
    <row r="69" spans="1:28" ht="12.75" customHeight="1" outlineLevel="2" thickBot="1">
      <c r="W69"/>
    </row>
    <row r="70" spans="1:28" ht="12.75" customHeight="1" outlineLevel="2" thickTop="1" thickBot="1">
      <c r="B70" t="str">
        <f>HBL!$AA$1587</f>
        <v>Ambient pressure (calculated)</v>
      </c>
      <c r="E70" s="708">
        <f>IF(ALTITUDE="","",1.03323*((288-6.5*ALTITUDE/1000)/288)^5.255*980.665)</f>
        <v>1009.6524611752321</v>
      </c>
      <c r="F70" s="2" t="s">
        <v>298</v>
      </c>
      <c r="G70" t="str">
        <f>HBL!$AA$1589</f>
        <v>Ambient temperature</v>
      </c>
      <c r="I70" s="706">
        <v>32</v>
      </c>
      <c r="J70" s="2" t="s">
        <v>299</v>
      </c>
      <c r="W70"/>
    </row>
    <row r="71" spans="1:28" ht="12.75" customHeight="1" outlineLevel="2" thickTop="1" thickBot="1">
      <c r="B71" t="str">
        <f>HBL!$AA$1588</f>
        <v>Ambient pressure (actual)</v>
      </c>
      <c r="E71" s="710">
        <v>974</v>
      </c>
      <c r="F71" s="18" t="s">
        <v>298</v>
      </c>
      <c r="G71" t="str">
        <f>HBL!$AA$1522</f>
        <v>Relative humidity</v>
      </c>
      <c r="I71" s="706">
        <v>65</v>
      </c>
      <c r="J71" s="18" t="s">
        <v>297</v>
      </c>
      <c r="W71"/>
    </row>
    <row r="72" spans="1:28" ht="15" customHeight="1" outlineLevel="2" thickTop="1">
      <c r="B72" t="str">
        <f>HBL!$AA$1233</f>
        <v>Absolute humidity</v>
      </c>
      <c r="E72" s="709">
        <f>IF(PAMB="","",(0.622*(EXP(11.4297-3591/(TAMB+179)+113216/(TAMB+179)^2))/(PAMB/1000-RELHUM/100*EXP(11.4297-3591/(TAMB+179)+113216/(TAMB+179)^2))*RELHUM/100)*1.608)</f>
        <v>3.2767974886518593E-2</v>
      </c>
      <c r="F72" s="2" t="s">
        <v>300</v>
      </c>
      <c r="W72"/>
    </row>
    <row r="73" spans="1:28" ht="12.75" customHeight="1" outlineLevel="2">
      <c r="E73" s="17"/>
      <c r="F73" s="2"/>
      <c r="H73" s="17"/>
      <c r="W73"/>
    </row>
    <row r="74" spans="1:28" ht="12.75" customHeight="1" outlineLevel="1">
      <c r="H74" s="768"/>
      <c r="W74"/>
    </row>
    <row r="75" spans="1:28" ht="12.75" customHeight="1" outlineLevel="1">
      <c r="A75" s="628">
        <v>3</v>
      </c>
      <c r="B75" s="492" t="str">
        <f>HBL!$AA$1315</f>
        <v>KILN FEED PROPERTIES</v>
      </c>
      <c r="C75" s="494"/>
      <c r="D75" s="491"/>
      <c r="E75" s="491"/>
      <c r="F75" s="562"/>
      <c r="W75"/>
    </row>
    <row r="76" spans="1:28" ht="12.75" customHeight="1" outlineLevel="2">
      <c r="B76" s="9"/>
      <c r="E76" s="2"/>
      <c r="W76"/>
    </row>
    <row r="77" spans="1:28" ht="12.75" customHeight="1" outlineLevel="2">
      <c r="B77" t="s">
        <v>830</v>
      </c>
      <c r="D77" s="432">
        <v>122</v>
      </c>
      <c r="E77" s="2" t="s">
        <v>363</v>
      </c>
      <c r="M77" s="34"/>
      <c r="W77"/>
      <c r="AB77" s="893">
        <f>1830*1.6/24</f>
        <v>122</v>
      </c>
    </row>
    <row r="78" spans="1:28" ht="12.75" customHeight="1" outlineLevel="2">
      <c r="W78"/>
    </row>
    <row r="79" spans="1:28" ht="12.75" customHeight="1" outlineLevel="2">
      <c r="B79" t="str">
        <f>HBL!$AA$1568</f>
        <v>Temperature</v>
      </c>
      <c r="D79" s="429">
        <v>69</v>
      </c>
      <c r="E79" s="2" t="s">
        <v>299</v>
      </c>
      <c r="G79" t="str">
        <f>HBL!$AA$1361</f>
        <v>Moisture content</v>
      </c>
      <c r="I79" s="428">
        <v>0.45</v>
      </c>
      <c r="J79" s="2" t="s">
        <v>297</v>
      </c>
      <c r="W79"/>
    </row>
    <row r="80" spans="1:28" ht="12.75" customHeight="1" outlineLevel="2">
      <c r="B80" t="str">
        <f>HBL!$AA$1303</f>
        <v>cp feed (dry)</v>
      </c>
      <c r="D80" s="250">
        <f>IF(T_FEED="","",IF(OR(T_FEED&gt;200,T_FEED&lt; 21),"ERROR",((0.8+7.3*10^-4*T_FEED-4.6*10^-7*T_FEED^2+5.2*10^-11*T_FEED^3)*T_FEED-(0.8+7.3*10^-4*20-4.6*10^-7*20^2+5.2*10^-11*20^3)*20)/(T_FEED-20)))</f>
        <v>0.86198502510800012</v>
      </c>
      <c r="E80" s="2" t="s">
        <v>303</v>
      </c>
      <c r="G80" t="str">
        <f>HBL!$AA$1378</f>
        <v>LOI</v>
      </c>
      <c r="I80" s="430">
        <v>36</v>
      </c>
      <c r="J80" s="2" t="s">
        <v>297</v>
      </c>
      <c r="W80"/>
    </row>
    <row r="81" spans="1:23" ht="12.75" customHeight="1" outlineLevel="2">
      <c r="B81" t="str">
        <f>HBL!$AA$1305</f>
        <v>cp water</v>
      </c>
      <c r="D81" s="250">
        <f>IF(H2O_FEED="","",4.1816)</f>
        <v>4.1816000000000004</v>
      </c>
      <c r="E81" s="2" t="s">
        <v>303</v>
      </c>
      <c r="G81" t="str">
        <f>HBL!$AA$1529</f>
        <v>SO3 kiln feed</v>
      </c>
      <c r="I81" s="471">
        <v>0.13</v>
      </c>
      <c r="J81" s="18" t="s">
        <v>297</v>
      </c>
      <c r="W81"/>
    </row>
    <row r="82" spans="1:23" ht="12.75" customHeight="1" outlineLevel="2">
      <c r="B82" t="str">
        <f>HBL!$AA$1495</f>
        <v>Organic carbon content</v>
      </c>
      <c r="C82" s="19"/>
      <c r="D82" s="431">
        <v>0</v>
      </c>
      <c r="E82" s="2" t="s">
        <v>297</v>
      </c>
      <c r="G82" t="str">
        <f>HBL!$AA$1470</f>
        <v>Na2O kiln feed</v>
      </c>
      <c r="I82" s="471">
        <v>0.22</v>
      </c>
      <c r="J82" s="18" t="s">
        <v>297</v>
      </c>
      <c r="W82"/>
    </row>
    <row r="83" spans="1:23" ht="12.75" customHeight="1" outlineLevel="2">
      <c r="B83" t="s">
        <v>103</v>
      </c>
      <c r="E83" s="432"/>
      <c r="F83" s="2" t="s">
        <v>304</v>
      </c>
      <c r="G83" t="str">
        <f>HBL!$AA$1398</f>
        <v>K2O kiln feed</v>
      </c>
      <c r="I83" s="471">
        <v>0.63</v>
      </c>
      <c r="J83" s="18" t="s">
        <v>297</v>
      </c>
      <c r="N83" s="18"/>
      <c r="W83"/>
    </row>
    <row r="84" spans="1:23" ht="12.75" customHeight="1" outlineLevel="2" thickBot="1">
      <c r="B84" t="str">
        <f>HBL!$AA$1510</f>
        <v>Pyrite content as S</v>
      </c>
      <c r="D84" s="433"/>
      <c r="E84" s="2" t="s">
        <v>297</v>
      </c>
      <c r="W84"/>
    </row>
    <row r="85" spans="1:23" ht="12.75" customHeight="1" outlineLevel="2" thickBot="1">
      <c r="B85" t="str">
        <f>HBL!$AA$1592</f>
        <v>Low heat value LHV</v>
      </c>
      <c r="D85" s="251">
        <v>12930</v>
      </c>
      <c r="E85" s="2" t="s">
        <v>304</v>
      </c>
      <c r="G85" t="str">
        <f>HBL!$AA$1358</f>
        <v>Mass balance error</v>
      </c>
      <c r="I85" s="551">
        <f>IF(MASBAL_ERROR="","",MASBAL_ERROR)</f>
        <v>-0.87586915341486526</v>
      </c>
      <c r="J85" s="2" t="s">
        <v>305</v>
      </c>
      <c r="N85" s="2"/>
      <c r="W85"/>
    </row>
    <row r="86" spans="1:23" ht="12.75" customHeight="1" outlineLevel="2">
      <c r="D86" s="392"/>
      <c r="E86" s="2"/>
      <c r="I86" s="20"/>
      <c r="J86" s="2"/>
      <c r="N86" s="2"/>
      <c r="W86"/>
    </row>
    <row r="87" spans="1:23" ht="12.75" customHeight="1" outlineLevel="2">
      <c r="B87" s="242" t="s">
        <v>669</v>
      </c>
      <c r="D87" s="392"/>
      <c r="E87" s="2"/>
      <c r="I87" s="20"/>
      <c r="J87" s="2" t="s">
        <v>2129</v>
      </c>
      <c r="N87" s="2"/>
      <c r="W87"/>
    </row>
    <row r="88" spans="1:23" ht="12.75" customHeight="1" outlineLevel="2">
      <c r="B88" t="str">
        <f>HBL!$AA$1505</f>
        <v>Percent of kiln feed into calciner string</v>
      </c>
      <c r="D88" s="3"/>
      <c r="E88" s="430"/>
      <c r="F88" t="s">
        <v>297</v>
      </c>
      <c r="W88"/>
    </row>
    <row r="89" spans="1:23" ht="12.75" customHeight="1" outlineLevel="2">
      <c r="D89" s="3"/>
      <c r="E89" t="str">
        <f>IF(PRECAL=5,"This considers just the meal distribution on top. All meal is considered to pass the precalciner","")</f>
        <v/>
      </c>
      <c r="W89"/>
    </row>
    <row r="90" spans="1:23" ht="12.75" customHeight="1" outlineLevel="1">
      <c r="W90"/>
    </row>
    <row r="91" spans="1:23" ht="12.75" customHeight="1" outlineLevel="1">
      <c r="A91" s="628">
        <v>4</v>
      </c>
      <c r="B91" s="492" t="str">
        <f>HBL!$AA$1556</f>
        <v>DUST LOSS  IN DIRECT OPERATION</v>
      </c>
      <c r="C91" s="494"/>
      <c r="D91" s="491"/>
      <c r="E91" s="491"/>
      <c r="F91" s="562"/>
      <c r="W91"/>
    </row>
    <row r="92" spans="1:23" ht="12.75" customHeight="1" outlineLevel="2">
      <c r="W92"/>
    </row>
    <row r="93" spans="1:23" ht="12.75" customHeight="1" outlineLevel="2">
      <c r="B93" t="s">
        <v>829</v>
      </c>
      <c r="D93" s="430">
        <v>7.1</v>
      </c>
      <c r="E93" s="2" t="s">
        <v>363</v>
      </c>
      <c r="W93"/>
    </row>
    <row r="94" spans="1:23" ht="12.75" customHeight="1" outlineLevel="2">
      <c r="B94" t="str">
        <f>HBL!$AA$1361</f>
        <v>Moisture content</v>
      </c>
      <c r="D94" s="428">
        <v>0.1</v>
      </c>
      <c r="E94" s="2" t="s">
        <v>297</v>
      </c>
      <c r="G94" t="str">
        <f>HBL!$AA$1531</f>
        <v>SO3 kiln dust</v>
      </c>
      <c r="I94" s="471">
        <v>0.03</v>
      </c>
      <c r="J94" s="18" t="s">
        <v>297</v>
      </c>
      <c r="W94"/>
    </row>
    <row r="95" spans="1:23" ht="12.75" customHeight="1" outlineLevel="2">
      <c r="B95" t="str">
        <f>HBL!$AA$1378</f>
        <v>LOI</v>
      </c>
      <c r="D95" s="430">
        <v>36</v>
      </c>
      <c r="E95" s="2" t="s">
        <v>297</v>
      </c>
      <c r="G95" t="str">
        <f>HBL!$AA$1472</f>
        <v>Na2O kiln dust</v>
      </c>
      <c r="I95" s="471">
        <v>0.3</v>
      </c>
      <c r="J95" s="18" t="s">
        <v>297</v>
      </c>
      <c r="W95"/>
    </row>
    <row r="96" spans="1:23" ht="12.75" customHeight="1" outlineLevel="2">
      <c r="B96" t="str">
        <f>HBL!$AA$1288</f>
        <v>CaO content</v>
      </c>
      <c r="D96" s="766"/>
      <c r="E96" s="2" t="s">
        <v>297</v>
      </c>
      <c r="G96" t="str">
        <f>HBL!$AA$1400</f>
        <v>K2O kiln dust</v>
      </c>
      <c r="I96" s="471">
        <v>0.8</v>
      </c>
      <c r="J96" s="18" t="s">
        <v>297</v>
      </c>
      <c r="L96" s="182"/>
      <c r="W96"/>
    </row>
    <row r="97" spans="1:23" ht="12.75" customHeight="1" outlineLevel="2" thickBot="1">
      <c r="W97"/>
    </row>
    <row r="98" spans="1:23" ht="12.75" customHeight="1" outlineLevel="2" thickBot="1">
      <c r="B98" t="str">
        <f>HBL!$AA$1554</f>
        <v>Dust in exhaust gases</v>
      </c>
      <c r="D98" s="760">
        <f>IF(M_DUSTFILTER="","",M_DUSTFILTER/M_FEED)</f>
        <v>5.8196721311475408E-2</v>
      </c>
      <c r="E98" s="2" t="s">
        <v>306</v>
      </c>
      <c r="W98"/>
    </row>
    <row r="99" spans="1:23" ht="12.75" customHeight="1" outlineLevel="2" thickBot="1">
      <c r="E99" s="18"/>
      <c r="F99" s="17"/>
      <c r="G99" s="2"/>
      <c r="I99" s="20"/>
      <c r="W99"/>
    </row>
    <row r="100" spans="1:23" ht="12.75" customHeight="1" outlineLevel="2" thickBot="1">
      <c r="B100" t="s">
        <v>1697</v>
      </c>
      <c r="D100" s="551">
        <f>IF(D98="","",D98*100)</f>
        <v>5.8196721311475406</v>
      </c>
      <c r="E100" t="s">
        <v>305</v>
      </c>
      <c r="F100" s="17"/>
      <c r="G100" t="s">
        <v>983</v>
      </c>
      <c r="I100" s="761">
        <f>IF(D100="","",100-D100)</f>
        <v>94.180327868852459</v>
      </c>
      <c r="J100" t="s">
        <v>305</v>
      </c>
      <c r="W100"/>
    </row>
    <row r="101" spans="1:23" ht="12.75" customHeight="1" outlineLevel="2">
      <c r="E101" s="18"/>
      <c r="F101" s="17"/>
      <c r="G101" s="2"/>
      <c r="I101" s="20"/>
      <c r="W101"/>
    </row>
    <row r="102" spans="1:23" ht="12.75" customHeight="1" outlineLevel="2">
      <c r="B102" s="218" t="s">
        <v>733</v>
      </c>
      <c r="C102" s="218" t="s">
        <v>465</v>
      </c>
      <c r="D102" s="218"/>
      <c r="E102" s="246"/>
      <c r="F102" s="247"/>
      <c r="G102" s="248">
        <v>0.95</v>
      </c>
      <c r="H102" s="218" t="s">
        <v>468</v>
      </c>
      <c r="I102" s="227"/>
      <c r="W102"/>
    </row>
    <row r="103" spans="1:23" ht="12.75" customHeight="1" outlineLevel="2">
      <c r="B103" s="218"/>
      <c r="C103" s="218"/>
      <c r="D103" s="218"/>
      <c r="E103" s="246"/>
      <c r="F103" s="247"/>
      <c r="G103" s="248">
        <v>0.93</v>
      </c>
      <c r="H103" s="218" t="s">
        <v>466</v>
      </c>
      <c r="I103" s="227"/>
      <c r="W103"/>
    </row>
    <row r="104" spans="1:23" ht="12.75" customHeight="1" outlineLevel="2">
      <c r="B104" s="218"/>
      <c r="C104" s="218"/>
      <c r="D104" s="218"/>
      <c r="E104" s="246"/>
      <c r="F104" s="247"/>
      <c r="G104" s="239">
        <v>0.9</v>
      </c>
      <c r="H104" s="218" t="s">
        <v>467</v>
      </c>
      <c r="I104" s="227"/>
      <c r="W104"/>
    </row>
    <row r="105" spans="1:23" ht="12.75" customHeight="1" outlineLevel="2">
      <c r="B105" s="218"/>
      <c r="C105" s="218"/>
      <c r="D105" s="218"/>
      <c r="E105" s="246"/>
      <c r="F105" s="247"/>
      <c r="G105" s="239"/>
      <c r="H105" s="218"/>
      <c r="I105" s="227"/>
      <c r="W105"/>
    </row>
    <row r="106" spans="1:23" ht="12.75" customHeight="1" outlineLevel="1">
      <c r="B106" s="217"/>
      <c r="C106" s="217"/>
      <c r="D106" s="217"/>
      <c r="E106" s="217"/>
      <c r="F106" s="217"/>
      <c r="I106" s="217"/>
      <c r="W106"/>
    </row>
    <row r="107" spans="1:23" ht="12.75" customHeight="1" outlineLevel="1">
      <c r="A107" s="628">
        <v>5</v>
      </c>
      <c r="B107" s="492" t="str">
        <f>HBL!$AA$1432</f>
        <v>CLINKER PROPERTIES</v>
      </c>
      <c r="C107" s="494"/>
      <c r="D107" s="491"/>
      <c r="E107" s="491"/>
      <c r="F107" s="562"/>
      <c r="W107"/>
    </row>
    <row r="108" spans="1:23" ht="12.75" customHeight="1" outlineLevel="2" thickBot="1">
      <c r="I108" t="s">
        <v>2026</v>
      </c>
      <c r="W108"/>
    </row>
    <row r="109" spans="1:23" ht="12.75" customHeight="1" outlineLevel="2" thickTop="1" thickBot="1">
      <c r="B109" s="18" t="s">
        <v>831</v>
      </c>
      <c r="D109" s="711">
        <f>1830/24</f>
        <v>76.25</v>
      </c>
      <c r="E109" s="2" t="s">
        <v>363</v>
      </c>
      <c r="G109" t="str">
        <f>HBL!$AA$1530</f>
        <v>SO3 clinker</v>
      </c>
      <c r="I109" s="472">
        <v>1.3</v>
      </c>
      <c r="J109" s="18" t="s">
        <v>297</v>
      </c>
      <c r="M109" s="34">
        <f>M_CLI*24</f>
        <v>1830</v>
      </c>
      <c r="W109"/>
    </row>
    <row r="110" spans="1:23" ht="12.75" customHeight="1" outlineLevel="2" thickTop="1" thickBot="1">
      <c r="B110" t="str">
        <f>HBL!$AA$1568</f>
        <v>Temperature</v>
      </c>
      <c r="D110" s="710">
        <v>121</v>
      </c>
      <c r="E110" s="2" t="s">
        <v>299</v>
      </c>
      <c r="G110" t="str">
        <f>HBL!$AA$1471</f>
        <v>Na2O clinker</v>
      </c>
      <c r="I110" s="472">
        <v>0.36</v>
      </c>
      <c r="J110" s="18" t="s">
        <v>297</v>
      </c>
      <c r="W110"/>
    </row>
    <row r="111" spans="1:23" ht="12.75" customHeight="1" outlineLevel="2" thickTop="1">
      <c r="B111" t="str">
        <f>HBL!$AA$1297</f>
        <v>cp clinker</v>
      </c>
      <c r="D111" s="709">
        <f>IF(T_CLI="","",IF(T_CLI&gt;300,"ERROR",((0.729+5.921*10^-4*T_CLI-5.369*10^-7*T_CLI^2+2.124*10^-10*T_CLI^3)*T_CLI-(0.729+5.921*10^-4*20-5.369*10^-7*20^2+2.124*10^-10*20^3)*20)/(T_CLI-20)))</f>
        <v>0.80356174298439997</v>
      </c>
      <c r="E111" s="2" t="s">
        <v>303</v>
      </c>
      <c r="G111" t="str">
        <f>HBL!$AA$1399</f>
        <v>K2O clinker</v>
      </c>
      <c r="I111" s="472">
        <v>0.94</v>
      </c>
      <c r="J111" s="18" t="s">
        <v>297</v>
      </c>
      <c r="W111"/>
    </row>
    <row r="112" spans="1:23" ht="12.75" customHeight="1" outlineLevel="2" thickBot="1">
      <c r="W112"/>
    </row>
    <row r="113" spans="2:28" ht="12.75" customHeight="1" outlineLevel="2" thickTop="1" thickBot="1">
      <c r="B113" t="str">
        <f>HBL!$AA$1378</f>
        <v>LOI</v>
      </c>
      <c r="D113" s="712">
        <v>0</v>
      </c>
      <c r="E113" s="2" t="s">
        <v>297</v>
      </c>
      <c r="W113"/>
    </row>
    <row r="114" spans="2:28" ht="12.75" customHeight="1" outlineLevel="2" thickTop="1">
      <c r="D114" s="22"/>
      <c r="E114" s="2"/>
      <c r="W114"/>
    </row>
    <row r="115" spans="2:28" ht="12.75" customHeight="1" outlineLevel="2">
      <c r="B115" s="18" t="s">
        <v>984</v>
      </c>
      <c r="D115" s="359"/>
      <c r="E115" s="360" t="s">
        <v>307</v>
      </c>
      <c r="F115" s="360" t="s">
        <v>308</v>
      </c>
      <c r="G115" s="360" t="s">
        <v>309</v>
      </c>
      <c r="H115" s="360" t="s">
        <v>310</v>
      </c>
      <c r="I115" s="360" t="s">
        <v>311</v>
      </c>
      <c r="J115" s="360" t="str">
        <f>HBL!$AA$1521</f>
        <v>Error</v>
      </c>
      <c r="W115"/>
    </row>
    <row r="116" spans="2:28" ht="12.75" customHeight="1" outlineLevel="2">
      <c r="D116" s="321" t="s">
        <v>312</v>
      </c>
      <c r="E116" s="473">
        <v>66.099999999999994</v>
      </c>
      <c r="F116" s="473">
        <v>0.8</v>
      </c>
      <c r="G116" s="473">
        <v>20.7</v>
      </c>
      <c r="H116" s="473">
        <v>3.2</v>
      </c>
      <c r="I116" s="473">
        <v>4.8</v>
      </c>
      <c r="J116" s="90">
        <f>100-SUM(E116:I116)-SUM(I109:I111)</f>
        <v>1.8000000000000056</v>
      </c>
      <c r="L116" s="953"/>
      <c r="M116" s="953"/>
      <c r="N116" s="953"/>
      <c r="O116" s="953"/>
      <c r="P116" s="953"/>
      <c r="Q116" s="953"/>
      <c r="W116"/>
    </row>
    <row r="117" spans="2:28" ht="12.75" customHeight="1" outlineLevel="2">
      <c r="D117" s="23" t="s">
        <v>313</v>
      </c>
      <c r="E117" s="24">
        <v>3200</v>
      </c>
      <c r="F117" s="24">
        <v>2710</v>
      </c>
      <c r="G117" s="24">
        <v>2140</v>
      </c>
      <c r="H117" s="24">
        <v>250</v>
      </c>
      <c r="I117" s="24">
        <v>1720</v>
      </c>
      <c r="J117" s="474"/>
      <c r="L117" s="953"/>
      <c r="M117" s="953"/>
      <c r="N117" s="953"/>
      <c r="O117" s="953"/>
      <c r="P117" s="953"/>
      <c r="Q117" s="953"/>
      <c r="W117"/>
    </row>
    <row r="118" spans="2:28" ht="12.75" customHeight="1" outlineLevel="2">
      <c r="D118" s="18"/>
      <c r="W118"/>
    </row>
    <row r="119" spans="2:28" ht="12.75" customHeight="1" outlineLevel="2">
      <c r="B119" s="18" t="str">
        <f>HBL!$AA$1436&amp;" (calculated value)"</f>
        <v>Heat of formation (calculated value)</v>
      </c>
      <c r="F119" s="386">
        <f>IF((CaO*3200+MgO*2710-SiO2_CLI*2140-Fe2O3*250+Al2O3*1720+J116*J117)/100=0,"",(CaO*3200+MgO*2710-SiO2_CLI*2140-Fe2O3*250+Al2O3*1720+J116*J117)/100)</f>
        <v>1768.4599999999998</v>
      </c>
      <c r="G119" s="2" t="s">
        <v>314</v>
      </c>
      <c r="H119" s="218"/>
      <c r="W119"/>
      <c r="AB119">
        <f>F119/4.186</f>
        <v>422.47013855709503</v>
      </c>
    </row>
    <row r="120" spans="2:28" ht="12.75" customHeight="1" outlineLevel="2" thickBot="1">
      <c r="B120" s="218" t="s">
        <v>895</v>
      </c>
      <c r="F120" s="20"/>
      <c r="H120" s="218"/>
      <c r="I120" s="782"/>
      <c r="J120" s="782"/>
      <c r="W120"/>
    </row>
    <row r="121" spans="2:28" ht="12.75" customHeight="1" outlineLevel="2" thickTop="1" thickBot="1">
      <c r="B121" s="18" t="str">
        <f>HBL!$AA$1436&amp;" (input value)"</f>
        <v>Heat of formation (input value)</v>
      </c>
      <c r="F121" s="713">
        <v>1768</v>
      </c>
      <c r="G121" s="2" t="s">
        <v>315</v>
      </c>
      <c r="H121" s="218"/>
      <c r="I121" s="783"/>
      <c r="J121" s="784"/>
      <c r="N121">
        <f>F119/4.186</f>
        <v>422.47013855709503</v>
      </c>
      <c r="W121"/>
    </row>
    <row r="122" spans="2:28" ht="12.75" customHeight="1" outlineLevel="2" thickTop="1">
      <c r="B122" s="218" t="s">
        <v>896</v>
      </c>
      <c r="F122" s="218"/>
      <c r="G122" s="217"/>
      <c r="H122" s="218"/>
      <c r="I122" s="782"/>
      <c r="J122" s="782"/>
      <c r="W122"/>
    </row>
    <row r="123" spans="2:28" ht="12.75" customHeight="1" outlineLevel="2">
      <c r="B123" s="218"/>
      <c r="F123" s="218"/>
      <c r="G123" s="217"/>
      <c r="H123" s="218"/>
      <c r="W123"/>
    </row>
    <row r="124" spans="2:28" ht="12.75" customHeight="1" outlineLevel="2">
      <c r="B124" s="218" t="s">
        <v>832</v>
      </c>
      <c r="E124" s="218"/>
      <c r="H124" s="20"/>
      <c r="N124">
        <f>1775/4.1868</f>
        <v>423.95146651380531</v>
      </c>
      <c r="W124"/>
    </row>
    <row r="125" spans="2:28" ht="12.75" customHeight="1" outlineLevel="2">
      <c r="B125" s="218"/>
      <c r="E125" s="218"/>
      <c r="H125" s="20"/>
      <c r="W125"/>
    </row>
    <row r="126" spans="2:28" ht="12.75" customHeight="1" outlineLevel="2">
      <c r="B126" s="1" t="s">
        <v>1125</v>
      </c>
      <c r="E126" s="20"/>
      <c r="W126"/>
    </row>
    <row r="127" spans="2:28" ht="12.75" customHeight="1" outlineLevel="2">
      <c r="B127" t="s">
        <v>1852</v>
      </c>
      <c r="E127" s="252">
        <f>IF(M_CLI="","",-8.37*($E$135+$F$135-$C$135))</f>
        <v>-91.712554347540987</v>
      </c>
      <c r="F127" t="s">
        <v>314</v>
      </c>
      <c r="W127"/>
    </row>
    <row r="128" spans="2:28" ht="12.75" customHeight="1" outlineLevel="2">
      <c r="B128" t="s">
        <v>1458</v>
      </c>
      <c r="E128" s="252">
        <f>IF(M_CLI="","",IF(-10.8*($C$137-$E$137-$F$137)-7.12*($C$136-$E$136-$F$136)+8.37*($C$135-$E$135-$F$135)=0,"",-10.8*($C$137-$E$137-$F$137)-7.12*($C$136-$E$136-$F$136)+8.37*($C$135-$E$135-$F$135)))</f>
        <v>-86.875384721311477</v>
      </c>
      <c r="F128" t="s">
        <v>314</v>
      </c>
      <c r="W128"/>
    </row>
    <row r="129" spans="1:23" ht="12.75" customHeight="1" outlineLevel="2">
      <c r="B129" t="s">
        <v>670</v>
      </c>
      <c r="E129" s="395">
        <f>IF(E127="","",(E127+E128)/2)</f>
        <v>-89.293969534426225</v>
      </c>
      <c r="F129" s="2" t="s">
        <v>315</v>
      </c>
      <c r="W129"/>
    </row>
    <row r="130" spans="1:23" ht="12.75" customHeight="1" outlineLevel="2">
      <c r="W130"/>
    </row>
    <row r="131" spans="1:23" ht="12.75" customHeight="1" outlineLevel="2">
      <c r="B131" s="2" t="s">
        <v>1126</v>
      </c>
      <c r="J131" s="2"/>
      <c r="W131"/>
    </row>
    <row r="132" spans="1:23" ht="12.75" customHeight="1" outlineLevel="2">
      <c r="B132" s="2"/>
      <c r="J132" s="2"/>
      <c r="W132"/>
    </row>
    <row r="133" spans="1:23" ht="12.75" customHeight="1" outlineLevel="2">
      <c r="C133" s="342" t="s">
        <v>1371</v>
      </c>
      <c r="D133" s="341"/>
      <c r="E133" s="342" t="s">
        <v>1372</v>
      </c>
      <c r="F133" s="341"/>
      <c r="G133" s="341"/>
      <c r="H133" s="343"/>
      <c r="J133" s="2"/>
      <c r="W133"/>
    </row>
    <row r="134" spans="1:23" ht="12.75" customHeight="1" outlineLevel="2">
      <c r="B134" s="1" t="s">
        <v>316</v>
      </c>
      <c r="C134" s="263" t="s">
        <v>317</v>
      </c>
      <c r="D134" s="355" t="s">
        <v>318</v>
      </c>
      <c r="E134" s="172" t="s">
        <v>319</v>
      </c>
      <c r="F134" s="263" t="s">
        <v>1373</v>
      </c>
      <c r="G134" s="263" t="s">
        <v>1374</v>
      </c>
      <c r="H134" s="351" t="s">
        <v>1375</v>
      </c>
      <c r="I134" s="353" t="s">
        <v>1376</v>
      </c>
      <c r="J134" s="2"/>
      <c r="W134"/>
    </row>
    <row r="135" spans="1:23" ht="12.75" customHeight="1" outlineLevel="2">
      <c r="B135" s="348" t="s">
        <v>320</v>
      </c>
      <c r="C135" s="345">
        <f>IF(SO3_FEED="","",SO3_FEED*CLI_FACTOR*10)</f>
        <v>2.07064</v>
      </c>
      <c r="D135" s="356">
        <f>IF(M_CLI="","",($E$352*10*M_FUEL1*1000/(M_CLI*1000)+$F$352*10*M_FUEL2*1000/(M_CLI*1000)+$G$352*10*M_FUEL3*1000/(M_CLI*1000)+$H$352*10*M_FUEL4*1000/(M_CLI*1000)+$I$352*10*M_FUEL5*1000/(M_CLI*1000)+$J$352*10*M_FUEL6*1000/(M_CLI*1000))*2.5)</f>
        <v>0</v>
      </c>
      <c r="E135" s="320">
        <f>IF(SO3_CLINKER="","",SO3_CLINKER*10)</f>
        <v>13</v>
      </c>
      <c r="F135" s="320">
        <f>IF(SO3_KILNDUST="","",SO3_KILNDUST*10*M_DUSTFILTER/M_CLI)</f>
        <v>2.7934426229508195E-2</v>
      </c>
      <c r="G135" s="320" t="str">
        <f>IF(M_BYPASS="","",SO3_BYPASS*10*M_BYPASS/M_CLI)</f>
        <v/>
      </c>
      <c r="H135" s="352" t="str">
        <f>IF(SO2_STACK="","",IF(VNSP_EXHAUSTWETCALCINER="", VNSP_EXHAUSTWET*(1+(O2_STACK-O2_EXHAUST)/(21-O2_STACK))*SO2_STACK*2.86/1000, (VNSP_EXHAUSTWET+VNSP_EXHAUSTWETCALCINER)*(1+(O2_STACK-O2_EXHAUST)/(21-O2_STACK))*SO2_STACK*2.86/1000))</f>
        <v/>
      </c>
      <c r="I135" s="354"/>
      <c r="J135" s="2"/>
      <c r="W135"/>
    </row>
    <row r="136" spans="1:23" ht="12.75" customHeight="1" outlineLevel="2">
      <c r="B136" s="349" t="s">
        <v>321</v>
      </c>
      <c r="C136" s="346">
        <f>IF(K2O_FEED="","",K2O_FEED*CLI_FACTOR*10)</f>
        <v>10.03464</v>
      </c>
      <c r="D136" s="357">
        <f>IF(M_CLI="","",($E$353*10*M_FUEL1*1000/(M_CLI*1000)+$F$353*10*M_FUEL2*1000/(M_CLI*1000)+$G$353*10*M_FUEL3*1000/(M_CLI*1000)+$H$353*10*M_FUEL4*1000/(M_CLI*1000)+$I$353*10*M_FUEL5*1000/(M_CLI*1000)+$J$353*10*M_FUEL6*1000/(M_CLI*1000))*1)</f>
        <v>0</v>
      </c>
      <c r="E136" s="278">
        <f>IF(K2O_CLINKER="","",K2O_CLINKER*10)</f>
        <v>9.3999999999999986</v>
      </c>
      <c r="F136" s="278">
        <f>IF(K2O_KILNDUST="","",K2O_KILNDUST*10*M_DUSTFILTER/M_CLI)</f>
        <v>0.74491803278688518</v>
      </c>
      <c r="G136" s="278" t="str">
        <f>IF(M_BYPASS="","",K2O_BYPASS*10*M_BYPASS/M_CLI)</f>
        <v/>
      </c>
      <c r="H136" s="636"/>
      <c r="I136" s="278" t="e">
        <f>IF(M_CLI="","",(1-((C136+D136)/(E136+F136+G136)))*100)</f>
        <v>#VALUE!</v>
      </c>
      <c r="J136" s="2"/>
      <c r="W136"/>
    </row>
    <row r="137" spans="1:23" ht="12.75" customHeight="1" outlineLevel="2">
      <c r="B137" s="350" t="s">
        <v>322</v>
      </c>
      <c r="C137" s="347">
        <f>IF(Na2O_FEED="","",Na2O_FEED*CLI_FACTOR*10)</f>
        <v>3.5041600000000002</v>
      </c>
      <c r="D137" s="358">
        <f>IF(M_CLI="","",($E$354*10*M_FUEL1*1000/(M_CLI*1000)+$F$354*10*M_FUEL2*1000/(M_CLI*1000)+$G$354*10*M_FUEL3*1000/(M_CLI*1000)+$H$354*10*M_FUEL4*1000/(M_CLI*1000)+$I$354*10*M_FUEL5*1000/(M_CLI*1000)+$J$354*10*M_FUEL6*1000/(M_CLI*1000))*1)</f>
        <v>0</v>
      </c>
      <c r="E137" s="344">
        <f>IF(Na2O_CLINKER="","",Na2O_CLINKER*10)</f>
        <v>3.5999999999999996</v>
      </c>
      <c r="F137" s="344">
        <f>IF(Na2O_KILNDUST="","",Na2O_KILNDUST*10*M_DUSTFILTER/M_CLI)</f>
        <v>0.27934426229508191</v>
      </c>
      <c r="G137" s="344" t="str">
        <f>IF(M_BYPASS="","",Na2O_BYPASS*10*M_BYPASS/M_CLI)</f>
        <v/>
      </c>
      <c r="H137" s="637"/>
      <c r="I137" s="344" t="e">
        <f>IF(M_CLI="","",(1-((C137+D137)/(E137+F137+G137)))*100)</f>
        <v>#VALUE!</v>
      </c>
      <c r="J137" s="2"/>
      <c r="W137"/>
    </row>
    <row r="138" spans="1:23" ht="12.75" customHeight="1" outlineLevel="2">
      <c r="J138" s="2"/>
      <c r="W138"/>
    </row>
    <row r="139" spans="1:23" ht="12.75" customHeight="1" outlineLevel="2">
      <c r="B139" t="s">
        <v>1377</v>
      </c>
      <c r="C139" s="284">
        <f>IF(M_CLI="","",((C136+D136)/94+(C137+D137)/62)/((C135+D135)/80))</f>
        <v>6.3080090808299456</v>
      </c>
      <c r="J139" s="2"/>
      <c r="W139"/>
    </row>
    <row r="140" spans="1:23" ht="12.75" customHeight="1" outlineLevel="2">
      <c r="B140" s="218"/>
      <c r="E140" s="218"/>
      <c r="H140" s="20"/>
      <c r="W140"/>
    </row>
    <row r="141" spans="1:23" ht="12.75" customHeight="1" outlineLevel="1">
      <c r="E141" s="18"/>
      <c r="W141"/>
    </row>
    <row r="142" spans="1:23" ht="12.75" customHeight="1" outlineLevel="1">
      <c r="A142" s="628">
        <v>6</v>
      </c>
      <c r="B142" s="492" t="s">
        <v>627</v>
      </c>
      <c r="C142" s="494"/>
      <c r="D142" s="491"/>
      <c r="E142" s="491"/>
      <c r="F142" s="562"/>
      <c r="W142"/>
    </row>
    <row r="143" spans="1:23" ht="12.75" hidden="1" customHeight="1" outlineLevel="2">
      <c r="E143" s="18"/>
      <c r="W143"/>
    </row>
    <row r="144" spans="1:23" ht="12.75" hidden="1" customHeight="1" outlineLevel="2">
      <c r="B144" s="18" t="s">
        <v>833</v>
      </c>
      <c r="D144" s="428"/>
      <c r="E144" s="18" t="s">
        <v>363</v>
      </c>
      <c r="G144" s="18"/>
      <c r="H144" s="18"/>
      <c r="I144" s="18"/>
      <c r="J144" s="18"/>
    </row>
    <row r="145" spans="2:23" ht="12.75" hidden="1" customHeight="1" outlineLevel="2">
      <c r="E145" s="2"/>
      <c r="G145" t="s">
        <v>320</v>
      </c>
      <c r="I145" s="458"/>
      <c r="J145" t="s">
        <v>297</v>
      </c>
    </row>
    <row r="146" spans="2:23" ht="12.75" hidden="1" customHeight="1" outlineLevel="2">
      <c r="B146" t="str">
        <f>HBL!$AA$1361</f>
        <v>Moisture content</v>
      </c>
      <c r="D146" s="426"/>
      <c r="E146" s="2" t="s">
        <v>297</v>
      </c>
      <c r="G146" t="s">
        <v>321</v>
      </c>
      <c r="I146" s="458"/>
      <c r="J146" t="s">
        <v>297</v>
      </c>
      <c r="W146"/>
    </row>
    <row r="147" spans="2:23" ht="12.75" hidden="1" customHeight="1" outlineLevel="2">
      <c r="B147" t="str">
        <f>HBL!$AA$1378</f>
        <v>LOI</v>
      </c>
      <c r="D147" s="426"/>
      <c r="E147" s="2" t="s">
        <v>297</v>
      </c>
      <c r="G147" s="18" t="s">
        <v>322</v>
      </c>
      <c r="I147" s="458"/>
      <c r="J147" t="s">
        <v>297</v>
      </c>
      <c r="W147"/>
    </row>
    <row r="148" spans="2:23" ht="12.75" hidden="1" customHeight="1" outlineLevel="2">
      <c r="B148" t="str">
        <f>HBL!$AA$1288</f>
        <v>CaO content</v>
      </c>
      <c r="D148" s="426"/>
      <c r="E148" s="2" t="s">
        <v>297</v>
      </c>
      <c r="G148" t="s">
        <v>323</v>
      </c>
      <c r="I148" s="458"/>
      <c r="J148" t="s">
        <v>297</v>
      </c>
      <c r="W148"/>
    </row>
    <row r="149" spans="2:23" ht="12.75" hidden="1" customHeight="1" outlineLevel="2">
      <c r="W149"/>
    </row>
    <row r="150" spans="2:23" ht="12.75" hidden="1" customHeight="1" outlineLevel="2">
      <c r="B150" t="str">
        <f>HBL!$AA$1571</f>
        <v>Temperature at gas extraction point</v>
      </c>
      <c r="G150" s="432"/>
      <c r="H150" s="2" t="s">
        <v>299</v>
      </c>
      <c r="W150"/>
    </row>
    <row r="151" spans="2:23" ht="12.75" hidden="1" customHeight="1" outlineLevel="2">
      <c r="B151" t="str">
        <f>HBL!$AA$1299</f>
        <v>cp gas</v>
      </c>
      <c r="D151" s="17" t="str">
        <f>IF(T_BYPASSEXTRAC="","",IF(T_BYPASSEXTRAC&gt;1400,"ERROR",1.61+(1.74-1.61)/(1400-800)*(T_BYPASSEXTRAC-800)))</f>
        <v/>
      </c>
      <c r="E151" s="18" t="s">
        <v>328</v>
      </c>
      <c r="G151" t="str">
        <f>HBL!$AA$1476</f>
        <v>O2 content</v>
      </c>
      <c r="I151" s="435"/>
      <c r="J151" s="18" t="s">
        <v>297</v>
      </c>
      <c r="W151"/>
    </row>
    <row r="152" spans="2:23" ht="12.75" hidden="1" customHeight="1" outlineLevel="2">
      <c r="B152" t="str">
        <f>HBL!$AA$1304</f>
        <v>cp dust</v>
      </c>
      <c r="D152" s="17" t="str">
        <f>IF(T_BYPASSEXTRAC="","",IF(T_BYPASSEXTRAC&lt;900,"ERROR",IF(T_BYPASSEXTRAC&gt;1400,"ERROR",((0.8+7.3*10^-4*T_BYPASSEXTRAC-4.6*10^-7*T_BYPASSEXTRAC^2+5.2*10^-11*T_BYPASSEXTRAC^3)*T_BYPASSEXTRAC-(0.8+7.3*10^-4*20-4.6*10^-7*20^2+5.2*10^-11*20^3)*20)/(T_BYPASSEXTRAC-20))))</f>
        <v/>
      </c>
      <c r="E152" s="18" t="s">
        <v>303</v>
      </c>
      <c r="G152" t="str">
        <f>HBL!$AA$1292</f>
        <v>CO content</v>
      </c>
      <c r="I152" s="426"/>
      <c r="J152" s="18" t="s">
        <v>329</v>
      </c>
      <c r="W152"/>
    </row>
    <row r="153" spans="2:23" ht="12.75" hidden="1" customHeight="1" outlineLevel="2">
      <c r="W153"/>
    </row>
    <row r="154" spans="2:23" ht="12.75" hidden="1" customHeight="1" outlineLevel="2">
      <c r="G154" s="3" t="s">
        <v>324</v>
      </c>
      <c r="H154" s="3" t="s">
        <v>325</v>
      </c>
      <c r="I154" s="3" t="s">
        <v>326</v>
      </c>
      <c r="J154" s="3" t="s">
        <v>327</v>
      </c>
      <c r="W154"/>
    </row>
    <row r="155" spans="2:23" ht="12.75" hidden="1" customHeight="1" outlineLevel="2">
      <c r="B155" t="str">
        <f>HBL!$AA$1445</f>
        <v>Concentrations at kiln inlet (hot meal)</v>
      </c>
      <c r="G155" s="475"/>
      <c r="H155" s="475"/>
      <c r="I155" s="475"/>
      <c r="J155" s="475"/>
      <c r="W155"/>
    </row>
    <row r="156" spans="2:23" ht="12.75" hidden="1" customHeight="1" outlineLevel="2">
      <c r="W156"/>
    </row>
    <row r="157" spans="2:23" ht="12.75" hidden="1" customHeight="1" outlineLevel="2">
      <c r="B157" s="211" t="s">
        <v>671</v>
      </c>
      <c r="W157"/>
    </row>
    <row r="158" spans="2:23" ht="12.75" hidden="1" customHeight="1" outlineLevel="2">
      <c r="B158" t="s">
        <v>673</v>
      </c>
      <c r="E158" s="18"/>
      <c r="G158" s="460"/>
      <c r="H158" s="2" t="s">
        <v>299</v>
      </c>
      <c r="W158"/>
    </row>
    <row r="159" spans="2:23" ht="12.75" hidden="1" customHeight="1" outlineLevel="2">
      <c r="B159" t="s">
        <v>672</v>
      </c>
      <c r="E159" s="18"/>
      <c r="G159" s="476"/>
      <c r="H159" s="2" t="s">
        <v>297</v>
      </c>
      <c r="W159"/>
    </row>
    <row r="160" spans="2:23" ht="12.75" hidden="1" customHeight="1" outlineLevel="2">
      <c r="B160" t="str">
        <f>HBL!$AA$1299</f>
        <v>cp gas</v>
      </c>
      <c r="G160" s="250" t="str">
        <f>IF(T_BYPASSQUENCH="","",IF(T_BYPASSQUENCH&gt;1200,"ERROR",1.54+(1.655-1.54)/(1000-500)*(T_BYPASSQUENCH-500)))</f>
        <v/>
      </c>
      <c r="H160" s="18" t="s">
        <v>328</v>
      </c>
      <c r="W160"/>
    </row>
    <row r="161" spans="2:23" ht="12.75" hidden="1" customHeight="1" outlineLevel="2">
      <c r="B161" t="str">
        <f>HBL!$AA$1304</f>
        <v>cp dust</v>
      </c>
      <c r="G161" s="250" t="str">
        <f>IF(T_BYPASSQUENCH="","",IF(T_BYPASSQUENCH&lt;300,"ERROR",IF(T_BYPASSQUENCH&gt;800,"ERROR",IF(T_BYPASSQUENCH&lt;700,((0.8+7.3*10^-4*T_BYPASSQUENCH-4.6*10^-7*T_BYPASSQUENCH^2+5.2*10^-11*T_BYPASSQUENCH^3)*T_BYPASSQUENCH-(0.8+7.3*10^-4*20-4.6*10^-7*20^2+5.2*10^-11*20^3)*20)/(T_BYPASSQUENCH-20)))))</f>
        <v/>
      </c>
      <c r="H161" s="18" t="s">
        <v>303</v>
      </c>
      <c r="J161" s="2"/>
      <c r="W161"/>
    </row>
    <row r="162" spans="2:23" ht="12.75" hidden="1" customHeight="1" outlineLevel="2">
      <c r="B162" t="s">
        <v>674</v>
      </c>
      <c r="D162" s="17"/>
      <c r="E162" s="18"/>
      <c r="G162" s="477"/>
      <c r="H162" t="s">
        <v>314</v>
      </c>
      <c r="J162" s="2"/>
      <c r="W162"/>
    </row>
    <row r="163" spans="2:23" ht="12.75" hidden="1" customHeight="1" outlineLevel="2">
      <c r="B163" t="s">
        <v>897</v>
      </c>
      <c r="E163" s="18"/>
      <c r="G163" s="478"/>
      <c r="H163" s="2" t="s">
        <v>330</v>
      </c>
      <c r="W163"/>
    </row>
    <row r="164" spans="2:23" ht="12.75" hidden="1" customHeight="1" outlineLevel="2">
      <c r="B164" t="s">
        <v>898</v>
      </c>
      <c r="E164" s="18"/>
      <c r="G164" s="477"/>
      <c r="H164" s="2" t="s">
        <v>299</v>
      </c>
      <c r="W164"/>
    </row>
    <row r="165" spans="2:23" ht="12.75" hidden="1" customHeight="1" outlineLevel="2">
      <c r="B165" t="str">
        <f>HBL!$AA$1401</f>
        <v>Heat of condensation of the alcalis</v>
      </c>
      <c r="E165" s="18"/>
      <c r="G165" s="252" t="str">
        <f>IF(Q_CONDALK&gt;0, Q_CONDALK,"")</f>
        <v/>
      </c>
      <c r="H165" s="18" t="s">
        <v>314</v>
      </c>
      <c r="I165" s="5"/>
      <c r="J165" s="2"/>
      <c r="W165"/>
    </row>
    <row r="166" spans="2:23" ht="12.75" hidden="1" customHeight="1" outlineLevel="2">
      <c r="B166" s="2" t="s">
        <v>331</v>
      </c>
      <c r="G166" s="253">
        <f>IF(M_CLI="","", SUM((SUM($E$408:$J$408)+SUM(E410:J410))/M_CLI/1000,0.27*(100-CALCINATION)/100,(SUM($E$409:$J$409)/M_CLI/1000+0.27*(100-CALCINATION)/100)*O2_BYPASSEXTRAC/(21-O2_BYPASSEXTRAC),$I$812,$I$815))</f>
        <v>0.33230127213114757</v>
      </c>
      <c r="H166" s="262" t="s">
        <v>1962</v>
      </c>
      <c r="I166" s="77" t="s">
        <v>510</v>
      </c>
      <c r="W166"/>
    </row>
    <row r="167" spans="2:23" ht="12.75" hidden="1" customHeight="1" outlineLevel="2">
      <c r="W167"/>
    </row>
    <row r="168" spans="2:23" ht="12.75" hidden="1" customHeight="1" outlineLevel="2">
      <c r="B168" t="str">
        <f>HBL!$AA$1261</f>
        <v>Calculated bypass flowrate based on a heat balance</v>
      </c>
      <c r="E168" s="18"/>
      <c r="G168" s="372" t="str">
        <f>IF(VN_QUENCHAIR="", "", VN_QUENCHAIR*((T_BYPASSQUENCH-20)*(1.29+T_BYPASSQUENCH/9300)-(T_QUENCHAIR-20)*(1.29+T_QUENCHAIR/9300))/((T_BYPASSEXTRAC-20)*CP_BYPASSEXTRAC-(T_BYPASSQUENCH-20)*CP_BYPASSQUENCH)+M_BYPASS*((T_BYPASSQUENCH-20)*CP_BYDUSTQUENCH-(T_BYPASSEXTRAC-20)*CP_BYDUSTEXTRAC)/((T_BYPASSEXTRAC-20)*CP_BYPASSEXTRAC-(T_BYPASSQUENCH-20)*CP_BYPASSQUENCH)+(BYPRAD-Q_CONDALK)*M_CLI*1000/((T_BYPASSEXTRAC-20)*CP_BYPASSEXTRAC-(T_BYPASSQUENCH-20)*CP_BYPASSQUENCH))</f>
        <v/>
      </c>
      <c r="H168" s="2" t="s">
        <v>333</v>
      </c>
      <c r="I168" s="249" t="str">
        <f>IF(VN_BYPASSBALANCE="", "", VN_BYPASSBALANCE/(M_CLI*1000)/VNSP_INLET*100)</f>
        <v/>
      </c>
      <c r="J168" s="18" t="str">
        <f>HBL!$AA$1679</f>
        <v xml:space="preserve"> % of kiln gases</v>
      </c>
      <c r="W168"/>
    </row>
    <row r="169" spans="2:23" ht="12.75" hidden="1" customHeight="1" outlineLevel="2">
      <c r="B169" s="218" t="s">
        <v>985</v>
      </c>
      <c r="E169" s="18"/>
      <c r="G169" s="36"/>
      <c r="H169" s="2"/>
      <c r="I169" s="3"/>
      <c r="J169" s="18"/>
      <c r="W169"/>
    </row>
    <row r="170" spans="2:23" ht="12.75" hidden="1" customHeight="1" outlineLevel="2">
      <c r="B170" s="218"/>
      <c r="E170" s="18"/>
      <c r="G170" s="36"/>
      <c r="H170" s="2"/>
      <c r="I170" s="3"/>
      <c r="J170" s="18"/>
      <c r="W170"/>
    </row>
    <row r="171" spans="2:23" ht="12.75" hidden="1" customHeight="1" outlineLevel="2">
      <c r="B171" t="str">
        <f>HBL!$AA$1260</f>
        <v>Calculated bypass flowrate based on O2 measurement</v>
      </c>
      <c r="E171" s="18"/>
      <c r="G171" s="372" t="str">
        <f>IF(O2_BYPASSQUENCH="","",VN_QUENCHAIR*(O2_BYPASSQUENCH/100-0.21)/(O2_BYPASSEXTRAC/100-O2_BYPASSQUENCH/100))</f>
        <v/>
      </c>
      <c r="H171" s="2" t="s">
        <v>333</v>
      </c>
      <c r="I171" s="249" t="str">
        <f>IF(VN_BYPASSO2="", "", VN_BYPASSO2/(M_CLI*1000)/VNSP_INLET*100)</f>
        <v/>
      </c>
      <c r="J171" s="18" t="str">
        <f>HBL!$AA$1679</f>
        <v xml:space="preserve"> % of kiln gases</v>
      </c>
      <c r="W171"/>
    </row>
    <row r="172" spans="2:23" ht="12.75" hidden="1" customHeight="1" outlineLevel="2">
      <c r="B172" s="218" t="s">
        <v>985</v>
      </c>
      <c r="E172" s="18"/>
      <c r="H172" s="5"/>
      <c r="I172" s="2"/>
      <c r="J172" s="18"/>
      <c r="W172"/>
    </row>
    <row r="173" spans="2:23" ht="12.75" hidden="1" customHeight="1" outlineLevel="2">
      <c r="B173" s="218"/>
      <c r="E173" s="18"/>
      <c r="H173" s="5"/>
      <c r="I173" s="2"/>
      <c r="J173" s="18"/>
      <c r="W173"/>
    </row>
    <row r="174" spans="2:23" ht="12.75" hidden="1" customHeight="1" outlineLevel="2" thickBot="1">
      <c r="B174" s="218"/>
      <c r="E174" s="18"/>
      <c r="H174" s="5"/>
      <c r="I174" s="2"/>
      <c r="J174" s="18"/>
      <c r="W174"/>
    </row>
    <row r="175" spans="2:23" ht="12.75" hidden="1" customHeight="1" outlineLevel="2" thickTop="1" thickBot="1">
      <c r="B175" t="str">
        <f>HBL!$AA$1284</f>
        <v>Bypass flowrate (wet)</v>
      </c>
      <c r="E175" s="18"/>
      <c r="G175" s="714"/>
      <c r="H175" s="2" t="s">
        <v>333</v>
      </c>
      <c r="I175" s="249" t="str">
        <f>IF(VN_BYPASS="", "", VN_BYPASS/(M_CLI*1000)/VNSP_INLET*100)</f>
        <v/>
      </c>
      <c r="J175" s="18" t="str">
        <f>HBL!$AA$1679</f>
        <v xml:space="preserve"> % of kiln gases</v>
      </c>
      <c r="W175"/>
    </row>
    <row r="176" spans="2:23" ht="12.75" hidden="1" customHeight="1" outlineLevel="2" thickTop="1">
      <c r="B176" s="218" t="s">
        <v>986</v>
      </c>
      <c r="E176" s="18"/>
      <c r="H176" s="2"/>
      <c r="I176" s="34"/>
      <c r="J176" s="18"/>
      <c r="W176"/>
    </row>
    <row r="177" spans="1:23" ht="12.75" hidden="1" customHeight="1" outlineLevel="2">
      <c r="W177"/>
    </row>
    <row r="178" spans="1:23" ht="12.75" customHeight="1" outlineLevel="1" collapsed="1">
      <c r="W178"/>
    </row>
    <row r="179" spans="1:23" ht="12.75" customHeight="1" outlineLevel="1">
      <c r="A179" s="628">
        <v>7</v>
      </c>
      <c r="B179" s="492" t="str">
        <f>HBL!$AA$1366</f>
        <v>GAS PROPERTIES AT KILN INLET</v>
      </c>
      <c r="C179" s="494"/>
      <c r="D179" s="491"/>
      <c r="E179" s="491"/>
      <c r="F179" s="562"/>
      <c r="H179" s="26"/>
      <c r="I179" s="26"/>
      <c r="W179"/>
    </row>
    <row r="180" spans="1:23" ht="12.75" customHeight="1" outlineLevel="2" thickBot="1">
      <c r="B180" s="18"/>
      <c r="D180" s="27"/>
      <c r="F180" s="28"/>
      <c r="G180" s="28"/>
      <c r="H180" s="26"/>
      <c r="I180" s="26"/>
      <c r="W180"/>
    </row>
    <row r="181" spans="1:23" ht="12.75" customHeight="1" outlineLevel="2" thickTop="1" thickBot="1">
      <c r="B181" t="str">
        <f>HBL!$AA$1476</f>
        <v>O2 content</v>
      </c>
      <c r="C181" s="26"/>
      <c r="D181" s="716">
        <v>2.4</v>
      </c>
      <c r="E181" s="2" t="s">
        <v>334</v>
      </c>
      <c r="F181" s="28"/>
      <c r="W181"/>
    </row>
    <row r="182" spans="1:23" ht="12.75" customHeight="1" outlineLevel="2" thickTop="1">
      <c r="B182" t="str">
        <f>HBL!$AA$1292</f>
        <v>CO content</v>
      </c>
      <c r="C182" s="26"/>
      <c r="D182" s="715"/>
      <c r="E182" s="2" t="s">
        <v>329</v>
      </c>
      <c r="F182" s="28"/>
      <c r="W182"/>
    </row>
    <row r="183" spans="1:23" ht="12.75" customHeight="1" outlineLevel="2">
      <c r="B183" t="str">
        <f>HBL!$AA$1474</f>
        <v>NOx content</v>
      </c>
      <c r="D183" s="470"/>
      <c r="E183" s="2" t="s">
        <v>329</v>
      </c>
      <c r="F183" s="28"/>
      <c r="G183" s="20"/>
      <c r="W183"/>
    </row>
    <row r="184" spans="1:23" ht="12.75" customHeight="1" outlineLevel="2">
      <c r="F184" s="28"/>
      <c r="G184" s="20"/>
      <c r="W184"/>
    </row>
    <row r="185" spans="1:23" ht="12.75" customHeight="1" outlineLevel="1">
      <c r="W185"/>
    </row>
    <row r="186" spans="1:23" ht="12.75" customHeight="1" outlineLevel="1">
      <c r="A186" s="628">
        <v>8</v>
      </c>
      <c r="B186" s="492" t="str">
        <f>HBL!$AA$1367</f>
        <v>GAS PROPERTIES AT PREHEATER OUTLET</v>
      </c>
      <c r="C186" s="494"/>
      <c r="D186" s="491"/>
      <c r="E186" s="491"/>
      <c r="F186" s="500"/>
      <c r="W186"/>
    </row>
    <row r="187" spans="1:23" ht="12.75" customHeight="1" outlineLevel="2">
      <c r="W187"/>
    </row>
    <row r="188" spans="1:23" ht="12.75" customHeight="1" outlineLevel="2">
      <c r="B188" t="str">
        <f>HBL!$AA$1568</f>
        <v>Temperature</v>
      </c>
      <c r="D188" s="432">
        <v>332</v>
      </c>
      <c r="E188" s="2" t="s">
        <v>299</v>
      </c>
      <c r="G188" t="str">
        <f>HBL!$AA$1476</f>
        <v>O2 content</v>
      </c>
      <c r="I188" s="430">
        <v>5</v>
      </c>
      <c r="J188" s="183" t="s">
        <v>335</v>
      </c>
      <c r="L188" s="949"/>
      <c r="M188" s="949"/>
      <c r="N188" s="949"/>
      <c r="O188" s="949"/>
      <c r="W188"/>
    </row>
    <row r="189" spans="1:23" ht="12.75" customHeight="1" outlineLevel="2">
      <c r="B189" t="s">
        <v>899</v>
      </c>
      <c r="D189" s="250">
        <f>IF(T_EXHAUST="","",IF(T_EXHAUST&lt;50,"ERROR",IF(T_EXHAUST&gt;500,"ERROR",-0.0000000000012626 * T_EXHAUST ^ 3 - 0.000000018696 * T_EXHAUST ^ 2 + 0.00026402 * T_EXHAUST + 1.414)))</f>
        <v>1.4995476880469631</v>
      </c>
      <c r="E189" s="2" t="s">
        <v>328</v>
      </c>
      <c r="G189" t="str">
        <f>HBL!$AA$1292</f>
        <v>CO content</v>
      </c>
      <c r="I189" s="436">
        <v>250</v>
      </c>
      <c r="J189" s="183" t="s">
        <v>336</v>
      </c>
      <c r="L189" s="949"/>
      <c r="M189" s="950"/>
      <c r="N189" s="950"/>
      <c r="O189" s="950"/>
      <c r="P189" s="950"/>
      <c r="W189"/>
    </row>
    <row r="190" spans="1:23" ht="12.75" customHeight="1" outlineLevel="2">
      <c r="B190" t="s">
        <v>900</v>
      </c>
      <c r="D190" s="763">
        <f>+CP_EXHAUST</f>
        <v>1.4995476880469631</v>
      </c>
      <c r="E190" s="2" t="s">
        <v>328</v>
      </c>
      <c r="G190" t="str">
        <f>HBL!$AA$1474</f>
        <v>NOx content</v>
      </c>
      <c r="I190" s="479"/>
      <c r="J190" s="2" t="s">
        <v>329</v>
      </c>
      <c r="W190"/>
    </row>
    <row r="191" spans="1:23" ht="12.75" customHeight="1" outlineLevel="2">
      <c r="B191" s="19" t="str">
        <f>HBL!$AA$1304</f>
        <v>cp dust</v>
      </c>
      <c r="D191" s="250">
        <f>IF(T_EXHAUST="","",IF(T_EXHAUST&lt;50,"ERROR",IF(T_EXHAUST&gt;500,"ERROR",((0.8+7.3*10^-4*T_EXHAUST-4.6*10^-7*T_EXHAUST^2+5.2*10^-11*T_EXHAUST^3)*T_EXHAUST-(0.8+7.3*10^-4*20-4.6*10^-7*20^2+5.2*10^-11*20^3)*20)/(T_EXHAUST-20))))</f>
        <v>1.0050434216959998</v>
      </c>
      <c r="E191" t="s">
        <v>303</v>
      </c>
      <c r="W191"/>
    </row>
    <row r="192" spans="1:23" ht="12.75" customHeight="1" outlineLevel="2">
      <c r="B192" s="19"/>
      <c r="D192" s="17"/>
      <c r="J192" s="2"/>
      <c r="W192"/>
    </row>
    <row r="193" spans="2:23" ht="12.75" customHeight="1" outlineLevel="2">
      <c r="B193" t="s">
        <v>1378</v>
      </c>
      <c r="D193" s="790">
        <v>11</v>
      </c>
      <c r="E193" t="s">
        <v>297</v>
      </c>
      <c r="W193"/>
    </row>
    <row r="194" spans="2:23" ht="12.75" customHeight="1" outlineLevel="2">
      <c r="B194" s="2" t="s">
        <v>1379</v>
      </c>
      <c r="D194" s="460"/>
      <c r="E194" s="18" t="s">
        <v>329</v>
      </c>
      <c r="W194"/>
    </row>
    <row r="195" spans="2:23" ht="12.75" customHeight="1" outlineLevel="2">
      <c r="W195"/>
    </row>
    <row r="196" spans="2:23" ht="12.75" customHeight="1" outlineLevel="2">
      <c r="B196" s="240" t="s">
        <v>972</v>
      </c>
      <c r="C196" s="218" t="s">
        <v>987</v>
      </c>
      <c r="D196" s="17"/>
      <c r="J196" s="2"/>
      <c r="W196"/>
    </row>
    <row r="197" spans="2:23" ht="12.75" customHeight="1" outlineLevel="2">
      <c r="B197" s="241"/>
      <c r="C197" s="218" t="s">
        <v>988</v>
      </c>
      <c r="D197" s="17"/>
      <c r="J197" s="2"/>
      <c r="W197"/>
    </row>
    <row r="198" spans="2:23" ht="12.75" customHeight="1" outlineLevel="2">
      <c r="B198" s="19"/>
      <c r="D198" s="17"/>
      <c r="J198" s="2"/>
      <c r="W198"/>
    </row>
    <row r="199" spans="2:23" ht="12.75" customHeight="1" outlineLevel="2">
      <c r="B199" s="242" t="s">
        <v>901</v>
      </c>
      <c r="D199" s="17"/>
      <c r="J199" s="2"/>
      <c r="W199"/>
    </row>
    <row r="200" spans="2:23" ht="12.75" customHeight="1" outlineLevel="2">
      <c r="B200" t="str">
        <f>IF(PRECAL=5, HBL!$AA$1568, HBL!$AA$1451)</f>
        <v>leave empty</v>
      </c>
      <c r="D200" s="432"/>
      <c r="E200" s="2" t="s">
        <v>299</v>
      </c>
      <c r="G200" t="str">
        <f>IF(PRECAL=5, HBL!$AA$1476, HBL!$AA$1451)</f>
        <v>leave empty</v>
      </c>
      <c r="I200" s="430"/>
      <c r="J200" s="2" t="s">
        <v>297</v>
      </c>
      <c r="L200" s="182"/>
      <c r="W200"/>
    </row>
    <row r="201" spans="2:23" ht="12.75" customHeight="1" outlineLevel="2">
      <c r="B201" t="str">
        <f>IF(PRECAL=5, HBL!$AA$1299,"")</f>
        <v/>
      </c>
      <c r="C201" t="str">
        <f>IF(PRECAL=5, HBL!$AA$1255,"")</f>
        <v/>
      </c>
      <c r="D201" s="17" t="str">
        <f>IF(T_EXHAUSTCALCINER="","",IF(T_EXHAUSTCALCINER&lt;100,"ERROR",IF(T_EXHAUSTCALCINER&gt;500,"ERROR",1.445+(1.545-1.445)/(500-100)*(T_EXHAUSTCALCINER-100))))</f>
        <v/>
      </c>
      <c r="E201" s="2" t="str">
        <f>IF(PRECAL=5, "kJ/Nm3°C", "")</f>
        <v/>
      </c>
      <c r="G201" t="str">
        <f>IF(PRECAL=5, HBL!$AA$1292, HBL!$AA$1451)</f>
        <v>leave empty</v>
      </c>
      <c r="I201" s="436"/>
      <c r="J201" s="2" t="s">
        <v>329</v>
      </c>
      <c r="W201"/>
    </row>
    <row r="202" spans="2:23" ht="12.75" customHeight="1" outlineLevel="2">
      <c r="B202" t="str">
        <f>IF(PRECAL=5, HBL!$AA$1300, HBL!$AA$1451)</f>
        <v>leave empty</v>
      </c>
      <c r="D202" s="437"/>
      <c r="E202" s="2" t="s">
        <v>328</v>
      </c>
      <c r="J202" s="2"/>
      <c r="W202"/>
    </row>
    <row r="203" spans="2:23" ht="12.75" customHeight="1" outlineLevel="2">
      <c r="W203"/>
    </row>
    <row r="204" spans="2:23" ht="12.75" customHeight="1" outlineLevel="1">
      <c r="W204"/>
    </row>
    <row r="205" spans="2:23" ht="12.75" customHeight="1" outlineLevel="1">
      <c r="B205" s="118" t="str">
        <f>$AA$1638</f>
        <v>WATERINJECTION INTO PREHEATER</v>
      </c>
      <c r="C205" s="182"/>
      <c r="D205" s="182"/>
      <c r="E205" s="183"/>
      <c r="F205" s="182"/>
      <c r="G205" s="182"/>
      <c r="H205" s="182"/>
      <c r="I205" s="182"/>
      <c r="J205" s="182"/>
      <c r="W205"/>
    </row>
    <row r="206" spans="2:23" ht="12.75" customHeight="1" outlineLevel="2">
      <c r="B206" s="9"/>
      <c r="C206" s="182"/>
      <c r="D206" s="182"/>
      <c r="E206" s="183"/>
      <c r="F206" s="182"/>
      <c r="G206" s="182"/>
      <c r="H206" s="182"/>
      <c r="I206" s="182"/>
      <c r="J206" s="182"/>
      <c r="W206"/>
    </row>
    <row r="207" spans="2:23" ht="12.75" customHeight="1" outlineLevel="2">
      <c r="B207" s="182" t="s">
        <v>834</v>
      </c>
      <c r="C207" s="182"/>
      <c r="D207" s="428">
        <v>0</v>
      </c>
      <c r="E207" s="183" t="s">
        <v>363</v>
      </c>
      <c r="I207" s="182"/>
      <c r="W207"/>
    </row>
    <row r="208" spans="2:23" ht="12.75" customHeight="1" outlineLevel="2">
      <c r="B208" t="str">
        <f>HBL!$AA$1568</f>
        <v>Temperature</v>
      </c>
      <c r="C208" s="182"/>
      <c r="D208" s="426"/>
      <c r="E208" s="183" t="s">
        <v>299</v>
      </c>
      <c r="F208" s="182"/>
      <c r="W208"/>
    </row>
    <row r="209" spans="1:23" ht="12.75" customHeight="1" outlineLevel="2">
      <c r="B209" s="182" t="s">
        <v>725</v>
      </c>
      <c r="C209" s="182"/>
      <c r="D209" s="254" t="str">
        <f>IF(D208="","",4.18+(D208-50)^2*0.04/2500)</f>
        <v/>
      </c>
      <c r="E209" s="184" t="s">
        <v>303</v>
      </c>
      <c r="F209" s="182"/>
      <c r="G209" s="182"/>
      <c r="H209" s="182"/>
      <c r="I209" s="185"/>
      <c r="J209" s="184"/>
      <c r="W209"/>
    </row>
    <row r="210" spans="1:23" ht="12.75" customHeight="1" outlineLevel="2">
      <c r="B210" s="182"/>
      <c r="C210" s="182"/>
      <c r="D210" s="185"/>
      <c r="E210" s="184"/>
      <c r="F210" s="182"/>
      <c r="G210" s="182"/>
      <c r="H210" s="182"/>
      <c r="I210" s="185"/>
      <c r="J210" s="184"/>
      <c r="W210"/>
    </row>
    <row r="211" spans="1:23" ht="12.75" customHeight="1" outlineLevel="1">
      <c r="W211"/>
    </row>
    <row r="212" spans="1:23" ht="12.75" customHeight="1" outlineLevel="1">
      <c r="A212" s="628">
        <v>9</v>
      </c>
      <c r="B212" s="492" t="str">
        <f>HBL!$AA$1499</f>
        <v>PRIMARY AIR</v>
      </c>
      <c r="C212" s="494"/>
      <c r="D212" s="491"/>
      <c r="E212" s="491"/>
      <c r="F212" s="562"/>
      <c r="W212"/>
    </row>
    <row r="213" spans="1:23" ht="12.75" customHeight="1" outlineLevel="2">
      <c r="W213"/>
    </row>
    <row r="214" spans="1:23" ht="12.75" customHeight="1" outlineLevel="2">
      <c r="B214" s="1" t="str">
        <f>HBL!$AA$1501</f>
        <v>PRIMARY AIR MAIN BURNER</v>
      </c>
      <c r="W214"/>
    </row>
    <row r="215" spans="1:23" ht="12.75" customHeight="1" outlineLevel="2">
      <c r="W215"/>
    </row>
    <row r="216" spans="1:23" ht="12.75" customHeight="1" outlineLevel="2" thickBot="1">
      <c r="B216" s="1" t="str">
        <f>HBL!$AA$1395</f>
        <v>Indirect firing system</v>
      </c>
      <c r="D216" s="218" t="s">
        <v>835</v>
      </c>
      <c r="W216"/>
    </row>
    <row r="217" spans="1:23" ht="12.75" customHeight="1" outlineLevel="2" thickTop="1" thickBot="1">
      <c r="B217" t="str">
        <f>HBL!$AA$1251</f>
        <v>Axial air</v>
      </c>
      <c r="C217" t="str">
        <f>HBL!$AA$1606</f>
        <v>Flowrate air</v>
      </c>
      <c r="H217" s="2"/>
      <c r="I217" s="713">
        <v>2885</v>
      </c>
      <c r="J217" s="2" t="s">
        <v>330</v>
      </c>
      <c r="W217"/>
    </row>
    <row r="218" spans="1:23" ht="12.75" customHeight="1" outlineLevel="2" thickTop="1" thickBot="1">
      <c r="C218" t="str">
        <f>HBL!$AA$1568</f>
        <v>Temperature</v>
      </c>
      <c r="H218" s="18"/>
      <c r="I218" s="706">
        <v>48</v>
      </c>
      <c r="J218" t="s">
        <v>299</v>
      </c>
      <c r="W218"/>
    </row>
    <row r="219" spans="1:23" ht="12.75" customHeight="1" outlineLevel="2" thickTop="1">
      <c r="G219" s="2"/>
      <c r="W219"/>
    </row>
    <row r="220" spans="1:23" ht="12.75" customHeight="1" outlineLevel="2">
      <c r="B220" t="str">
        <f>HBL!$AA$1519</f>
        <v>Swirl air</v>
      </c>
      <c r="C220" t="str">
        <f>HBL!$AA$1606</f>
        <v>Flowrate air</v>
      </c>
      <c r="H220" s="2"/>
      <c r="I220" s="770">
        <v>0</v>
      </c>
      <c r="J220" s="2" t="s">
        <v>330</v>
      </c>
      <c r="W220"/>
    </row>
    <row r="221" spans="1:23" ht="12.75" customHeight="1" outlineLevel="2">
      <c r="C221" t="str">
        <f>HBL!$AA$1568</f>
        <v>Temperature</v>
      </c>
      <c r="H221" s="18"/>
      <c r="I221" s="426">
        <v>47</v>
      </c>
      <c r="J221" t="s">
        <v>299</v>
      </c>
      <c r="W221"/>
    </row>
    <row r="222" spans="1:23" ht="12.75" customHeight="1" outlineLevel="2">
      <c r="L222" s="36"/>
    </row>
    <row r="223" spans="1:23" ht="12.75" customHeight="1" outlineLevel="2">
      <c r="B223" t="s">
        <v>902</v>
      </c>
      <c r="C223" t="s">
        <v>1907</v>
      </c>
      <c r="I223" s="434">
        <v>0</v>
      </c>
      <c r="J223" s="2" t="s">
        <v>330</v>
      </c>
      <c r="L223" s="36"/>
    </row>
    <row r="224" spans="1:23" ht="12.75" customHeight="1" outlineLevel="2">
      <c r="C224" t="s">
        <v>1770</v>
      </c>
      <c r="I224" s="426">
        <v>0</v>
      </c>
      <c r="J224" t="s">
        <v>299</v>
      </c>
      <c r="L224" s="36"/>
    </row>
    <row r="225" spans="2:12" ht="12.75" customHeight="1" outlineLevel="2" thickBot="1"/>
    <row r="226" spans="2:12" ht="12.75" customHeight="1" outlineLevel="2" thickTop="1" thickBot="1">
      <c r="B226" t="str">
        <f>HBL!$AA$1580</f>
        <v>Transport air</v>
      </c>
      <c r="C226" t="str">
        <f>HBL!$AA$1606</f>
        <v>Flowrate air</v>
      </c>
      <c r="H226" s="2"/>
      <c r="I226" s="713">
        <v>1085</v>
      </c>
      <c r="J226" s="2" t="s">
        <v>330</v>
      </c>
    </row>
    <row r="227" spans="2:12" ht="12.75" customHeight="1" outlineLevel="2" thickTop="1" thickBot="1">
      <c r="C227" t="str">
        <f>HBL!$AA$1568</f>
        <v>Temperature</v>
      </c>
      <c r="H227" s="18"/>
      <c r="I227" s="706">
        <v>51</v>
      </c>
      <c r="J227" t="s">
        <v>299</v>
      </c>
    </row>
    <row r="228" spans="2:12" ht="12.75" customHeight="1" outlineLevel="2" thickTop="1">
      <c r="I228" t="s">
        <v>2132</v>
      </c>
      <c r="L228" s="5"/>
    </row>
    <row r="229" spans="2:12" ht="12.75" customHeight="1" outlineLevel="2">
      <c r="B229" s="1" t="s">
        <v>837</v>
      </c>
      <c r="E229" s="218" t="s">
        <v>836</v>
      </c>
      <c r="L229" s="5"/>
    </row>
    <row r="230" spans="2:12" ht="12.75" customHeight="1" outlineLevel="2">
      <c r="B230" t="s">
        <v>200</v>
      </c>
      <c r="F230" s="2"/>
      <c r="I230" s="434"/>
      <c r="J230" s="2" t="s">
        <v>330</v>
      </c>
      <c r="L230" s="5"/>
    </row>
    <row r="231" spans="2:12" ht="12.75" customHeight="1" outlineLevel="2">
      <c r="B231" t="s">
        <v>682</v>
      </c>
      <c r="F231" s="2"/>
      <c r="I231" s="438"/>
      <c r="J231" t="s">
        <v>299</v>
      </c>
      <c r="L231" s="5"/>
    </row>
    <row r="232" spans="2:12" ht="12.75" customHeight="1" outlineLevel="2">
      <c r="B232" s="2" t="str">
        <f>HBL!$AA$1363</f>
        <v>Moisture content of the raw coal/coke as fed to the coal mill</v>
      </c>
      <c r="I232" s="426"/>
      <c r="J232" t="s">
        <v>297</v>
      </c>
      <c r="L232" s="5"/>
    </row>
    <row r="233" spans="2:12" ht="12.75" customHeight="1" outlineLevel="2">
      <c r="B233" t="str">
        <f>HBL!$AA$1362</f>
        <v>Moisture content of the coal fed to the burner</v>
      </c>
      <c r="F233" s="2"/>
      <c r="I233" s="426"/>
      <c r="J233" t="s">
        <v>297</v>
      </c>
      <c r="L233" s="5"/>
    </row>
    <row r="234" spans="2:12" ht="12.75" customHeight="1" outlineLevel="2">
      <c r="B234" s="2" t="str">
        <f>HBL!$AA$1247</f>
        <v>Feedrate to the coal mill</v>
      </c>
      <c r="I234" s="426"/>
      <c r="J234" t="s">
        <v>337</v>
      </c>
      <c r="L234" s="5"/>
    </row>
    <row r="235" spans="2:12" ht="12.75" customHeight="1" outlineLevel="2">
      <c r="B235" t="str">
        <f>HBL!$AA$1646</f>
        <v>Water vapor from coal mill (part of primary air)</v>
      </c>
      <c r="F235" s="2"/>
      <c r="I235" s="285" t="str">
        <f>IF(H2O_DRYCOAL="","",M_COALMILL*(H2O_RAWCOAL-H2O_DRYCOAL)/(100-H2O_DRYCOAL)/0.804)</f>
        <v/>
      </c>
      <c r="J235" t="s">
        <v>330</v>
      </c>
      <c r="L235" s="5"/>
    </row>
    <row r="236" spans="2:12" ht="12.75" customHeight="1" outlineLevel="2">
      <c r="F236" s="2"/>
      <c r="I236" s="137"/>
      <c r="L236" s="5"/>
    </row>
    <row r="237" spans="2:12" ht="12.75" customHeight="1" outlineLevel="2">
      <c r="B237" s="211" t="s">
        <v>903</v>
      </c>
      <c r="I237" s="256">
        <f>IF(AND(VN_JETAIR="",VN_PRIMDIRECT="",VN_SWIRLAIR="",VN_CENTRALAIR="",VN_BZTRANSAIR=""),"",     IF(VN_PRIMDIRECT="",   (VN_JETAIR*T_PRIMAIRJET+VN_SWIRLAIR*T_PRIMAIRSWIRL+VN_CENTRALAIR*T_CENTRALAIR+VN_BZTRANSAIR*T_PRIMAIRTRANS)/(VN_JETAIR+VN_SWIRLAIR+VN_CENTRALAIR+VN_BZTRANSAIR),   I231)    )</f>
        <v>48.819899244332497</v>
      </c>
      <c r="J237" s="2" t="s">
        <v>299</v>
      </c>
      <c r="L237" s="5"/>
    </row>
    <row r="238" spans="2:12" ht="12.75" customHeight="1" outlineLevel="2">
      <c r="B238" t="str">
        <f>HBL!$AA$1301</f>
        <v>cp air</v>
      </c>
      <c r="I238" s="250">
        <f>IF(T_PRIMAIR="","",IF(T_PRIMAIR=20,1.29,((1.297+0.0000575*T_PRIMAIR+0.0000000806*T_PRIMAIR^2-0.0000000000286*T_PRIMAIR^3)*T_PRIMAIR-(1.297+0.0000575*20+0.0000000806*20^2-0.0000000000286*20^3)*20)/(T_PRIMAIR-20)))</f>
        <v>1.3012547041283724</v>
      </c>
      <c r="J238" s="2" t="s">
        <v>328</v>
      </c>
      <c r="L238" s="5"/>
    </row>
    <row r="239" spans="2:12" ht="12.75" customHeight="1" outlineLevel="2">
      <c r="F239" s="2"/>
      <c r="I239" s="137"/>
      <c r="L239" s="5"/>
    </row>
    <row r="240" spans="2:12" ht="12.75" customHeight="1" outlineLevel="2" thickBot="1">
      <c r="B240" s="1" t="str">
        <f>HBL!$AA$1371</f>
        <v>Total primary air main burner</v>
      </c>
    </row>
    <row r="241" spans="2:23" ht="12.75" customHeight="1" outlineLevel="2" thickBot="1">
      <c r="B241" t="str">
        <f>HBL!$AA$1605</f>
        <v>Flowrate</v>
      </c>
      <c r="D241" s="551">
        <f>IF(VN_PRIMCOMB="","",VN_PRIMCOMB/SUM(E405:J405)*100)</f>
        <v>17.841304606525981</v>
      </c>
      <c r="E241" t="str">
        <f>HBL!$AA$1680</f>
        <v xml:space="preserve"> % of minimum combustion air primary firing</v>
      </c>
      <c r="I241" s="559">
        <f>IF(VN_PRIMDIRECT="",    IF((VN_JETAIR+VN_SWIRLAIR+VN_CENTRALAIR+VN_BZTRANSAIR)=0,"",(VN_JETAIR+VN_SWIRLAIR+VN_CENTRALAIR+VN_BZTRANSAIR)),   VN_PRIMDIRECT)</f>
        <v>3970</v>
      </c>
      <c r="J241" s="2" t="s">
        <v>333</v>
      </c>
    </row>
    <row r="242" spans="2:23" ht="12.75" customHeight="1" outlineLevel="2" thickBot="1">
      <c r="D242" s="20"/>
      <c r="F242" t="s">
        <v>338</v>
      </c>
      <c r="I242" s="560">
        <f>IF(VN_PRIMAIR="","",IF(H2OVAPOR_COALMILL="",VN_PRIMAIR,VN_PRIMAIR-H2OVAPOR_COALMILL))</f>
        <v>3970</v>
      </c>
      <c r="J242" s="2" t="s">
        <v>333</v>
      </c>
    </row>
    <row r="243" spans="2:23" ht="12.75" customHeight="1" outlineLevel="2">
      <c r="E243" s="2"/>
    </row>
    <row r="244" spans="2:23" ht="12.75" customHeight="1" outlineLevel="2">
      <c r="E244" s="2"/>
    </row>
    <row r="245" spans="2:23" ht="12.75" customHeight="1" outlineLevel="2">
      <c r="B245" s="1" t="str">
        <f>HBL!$AA$1506</f>
        <v>PRIMARY AIR CALCINER OR SECONDARY FIRING</v>
      </c>
    </row>
    <row r="246" spans="2:23" ht="12.75" customHeight="1" outlineLevel="2">
      <c r="B246" s="1"/>
    </row>
    <row r="247" spans="2:23" ht="12.75" customHeight="1" outlineLevel="2" thickBot="1">
      <c r="B247" s="1" t="str">
        <f>HBL!$AA$1395</f>
        <v>Indirect firing system</v>
      </c>
      <c r="D247" s="218" t="s">
        <v>835</v>
      </c>
      <c r="M247" s="789"/>
      <c r="N247" s="789"/>
      <c r="W247"/>
    </row>
    <row r="248" spans="2:23" ht="12.75" customHeight="1" outlineLevel="2" thickTop="1" thickBot="1">
      <c r="B248" t="s">
        <v>1877</v>
      </c>
      <c r="H248" s="2"/>
      <c r="I248" s="713">
        <v>3510</v>
      </c>
      <c r="J248" s="2" t="s">
        <v>330</v>
      </c>
      <c r="M248" s="3"/>
      <c r="N248" s="3"/>
    </row>
    <row r="249" spans="2:23" ht="12.75" customHeight="1" outlineLevel="2" thickTop="1" thickBot="1">
      <c r="B249" t="s">
        <v>682</v>
      </c>
      <c r="H249" s="2"/>
      <c r="I249" s="717">
        <v>52</v>
      </c>
      <c r="J249" t="s">
        <v>299</v>
      </c>
    </row>
    <row r="250" spans="2:23" ht="12.75" customHeight="1" outlineLevel="2" thickTop="1"/>
    <row r="251" spans="2:23" ht="12.75" customHeight="1" outlineLevel="2">
      <c r="B251" s="1" t="s">
        <v>837</v>
      </c>
      <c r="E251" s="218" t="s">
        <v>836</v>
      </c>
    </row>
    <row r="252" spans="2:23" ht="12.75" customHeight="1" outlineLevel="2">
      <c r="B252" t="s">
        <v>200</v>
      </c>
      <c r="F252" s="2"/>
      <c r="I252" s="434"/>
      <c r="J252" s="2" t="s">
        <v>330</v>
      </c>
    </row>
    <row r="253" spans="2:23" ht="12.75" customHeight="1" outlineLevel="2">
      <c r="B253" t="s">
        <v>682</v>
      </c>
      <c r="F253" s="2"/>
      <c r="I253" s="438"/>
      <c r="J253" t="s">
        <v>299</v>
      </c>
    </row>
    <row r="254" spans="2:23" ht="12.75" customHeight="1" outlineLevel="2">
      <c r="B254" s="2" t="str">
        <f>HBL!$AA$1363</f>
        <v>Moisture content of the raw coal/coke as fed to the coal mill</v>
      </c>
      <c r="I254" s="426"/>
      <c r="J254" t="s">
        <v>297</v>
      </c>
    </row>
    <row r="255" spans="2:23" ht="12.75" customHeight="1" outlineLevel="2">
      <c r="B255" t="str">
        <f>HBL!$AA$1362</f>
        <v>Moisture content of the coal fed to the burner</v>
      </c>
      <c r="F255" s="2"/>
      <c r="I255" s="426"/>
      <c r="J255" t="s">
        <v>297</v>
      </c>
    </row>
    <row r="256" spans="2:23" ht="12.75" customHeight="1" outlineLevel="2">
      <c r="B256" s="2" t="str">
        <f>HBL!$AA$1247</f>
        <v>Feedrate to the coal mill</v>
      </c>
      <c r="I256" s="426"/>
      <c r="J256" t="s">
        <v>337</v>
      </c>
    </row>
    <row r="257" spans="1:10" ht="12.75" customHeight="1" outlineLevel="2">
      <c r="B257" t="str">
        <f>HBL!$AA$1646</f>
        <v>Water vapor from coal mill (part of primary air)</v>
      </c>
      <c r="F257" s="2"/>
      <c r="I257" s="285" t="str">
        <f>IF(H2O_DRYCOALCAL="","",M_COALMILLCAL*(H2O_RAWCOALCAL-H2O_DRYCOALCAL)/(100-H2O_DRYCOALCAL)/0.804)</f>
        <v/>
      </c>
      <c r="J257" t="s">
        <v>330</v>
      </c>
    </row>
    <row r="258" spans="1:10" ht="12.75" customHeight="1" outlineLevel="2"/>
    <row r="259" spans="1:10" ht="12.75" customHeight="1" outlineLevel="2">
      <c r="B259" s="211" t="s">
        <v>904</v>
      </c>
      <c r="I259" s="256">
        <f>IF(VN_PRIMDIRECTCAL="",I249,I253)</f>
        <v>52</v>
      </c>
      <c r="J259" t="s">
        <v>299</v>
      </c>
    </row>
    <row r="260" spans="1:10" ht="12.75" customHeight="1" outlineLevel="2">
      <c r="B260" t="str">
        <f>HBL!$AA$1301</f>
        <v>cp air</v>
      </c>
      <c r="I260" s="250">
        <f>IF(T_PRIMAIRPRECAL="","",IF(T_PRIMAIRPRECAL=20,1.29,((1.297+0.0000575*T_PRIMAIRPRECAL+0.0000000806*T_PRIMAIRPRECAL^2-0.0000000000286*T_PRIMAIRPRECAL^3)*T_PRIMAIRPRECAL-(1.297+0.0000575*20+0.0000000806*20^2-0.0000000000286*20^3)*20)/(T_PRIMAIRPRECAL-20)))</f>
        <v>1.3014676146432003</v>
      </c>
      <c r="J260" s="2" t="s">
        <v>328</v>
      </c>
    </row>
    <row r="261" spans="1:10" ht="12.75" customHeight="1" outlineLevel="2"/>
    <row r="262" spans="1:10" ht="12.75" customHeight="1" outlineLevel="2" thickBot="1">
      <c r="B262" s="1" t="str">
        <f>HBL!$AA$1372</f>
        <v>Total primary air precalciner or secondary firing</v>
      </c>
    </row>
    <row r="263" spans="1:10" ht="12.75" customHeight="1" outlineLevel="2" thickBot="1">
      <c r="B263" t="str">
        <f>HBL!$AA$1605</f>
        <v>Flowrate</v>
      </c>
      <c r="D263" s="551">
        <f>IF(VN_PRIMCOMBCAL="","",IF(SUM(E407:J407)=0,"",VN_PRIMCOMBCAL/SUM(E407:J407)*100))</f>
        <v>8.0620565756910363</v>
      </c>
      <c r="E263" t="str">
        <f>HBL!$AA$1680</f>
        <v xml:space="preserve"> % of minimum combustion air primary firing</v>
      </c>
      <c r="I263" s="559">
        <f>IF(VN_PRIMDIRECTCAL="",VN_PRIMINDIRECTCAL,VN_PRIMDIRECTCAL)</f>
        <v>3510</v>
      </c>
      <c r="J263" s="2" t="s">
        <v>333</v>
      </c>
    </row>
    <row r="264" spans="1:10" ht="12.75" customHeight="1" outlineLevel="2" thickBot="1">
      <c r="D264" s="20"/>
      <c r="F264" t="s">
        <v>338</v>
      </c>
      <c r="I264" s="560">
        <f>IF(VN_PRIMAIRCAL="","",IF(H2OVAPOR_COALMILLCAL="",VN_PRIMAIRCAL,VN_PRIMAIRCAL-H2OVAPOR_COALMILLCAL))</f>
        <v>3510</v>
      </c>
      <c r="J264" s="2" t="s">
        <v>333</v>
      </c>
    </row>
    <row r="265" spans="1:10" ht="12.75" customHeight="1" outlineLevel="2">
      <c r="E265" s="2"/>
    </row>
    <row r="266" spans="1:10" ht="12.75" customHeight="1" outlineLevel="1">
      <c r="G266" s="18"/>
    </row>
    <row r="267" spans="1:10" ht="12.75" customHeight="1" outlineLevel="1">
      <c r="A267" s="628">
        <v>10</v>
      </c>
      <c r="B267" s="492" t="str">
        <f>HBL!$AA$1414</f>
        <v>COOLER MIDDLE AIR</v>
      </c>
      <c r="C267" s="494"/>
      <c r="D267" s="491"/>
      <c r="E267" s="491"/>
      <c r="F267" s="562"/>
      <c r="G267" s="28"/>
      <c r="H267" s="17"/>
      <c r="I267" s="17"/>
    </row>
    <row r="268" spans="1:10" ht="12.75" customHeight="1" outlineLevel="2">
      <c r="B268" s="18"/>
      <c r="D268" s="27"/>
      <c r="F268" s="20"/>
      <c r="G268" s="28"/>
      <c r="H268" s="17"/>
      <c r="I268" s="17"/>
    </row>
    <row r="269" spans="1:10" ht="12.75" customHeight="1" outlineLevel="2">
      <c r="B269" t="str">
        <f>HBL!$AA$1415&amp;" (flowrate)"</f>
        <v>Cooler middle air (flowrate)</v>
      </c>
      <c r="D269" s="27"/>
      <c r="F269" s="20"/>
      <c r="I269" s="439">
        <v>0</v>
      </c>
      <c r="J269" s="29" t="s">
        <v>330</v>
      </c>
    </row>
    <row r="270" spans="1:10" ht="12.75" customHeight="1" outlineLevel="2">
      <c r="B270" t="str">
        <f>HBL!$AA$1415&amp;" (flowrate)"</f>
        <v>Cooler middle air (flowrate)</v>
      </c>
      <c r="D270" s="27"/>
      <c r="F270" s="20"/>
      <c r="I270" s="257">
        <f>IF(VN_MIDDLE="",,VN_MIDDLE/(M_CLI*1000))</f>
        <v>0</v>
      </c>
      <c r="J270" s="2" t="s">
        <v>332</v>
      </c>
    </row>
    <row r="271" spans="1:10" ht="12.75" customHeight="1" outlineLevel="2">
      <c r="B271" t="str">
        <f>HBL!$AA$1570</f>
        <v>Temperature at cooler takeout (or balance boundary)</v>
      </c>
      <c r="D271" s="27"/>
      <c r="I271" s="432"/>
      <c r="J271" s="29" t="s">
        <v>299</v>
      </c>
    </row>
    <row r="272" spans="1:10" ht="12.75" customHeight="1" outlineLevel="2">
      <c r="B272" t="s">
        <v>838</v>
      </c>
      <c r="D272" s="27"/>
      <c r="F272" s="20"/>
      <c r="I272" s="250" t="str">
        <f>IF(T_MIDDLE="","",IF(T_MIDDLE&lt;20.01,"ERROR",((1.297+0.0000575*T_MIDDLE+0.0000000806*T_MIDDLE^2-0.0000000000286*T_MIDDLE^3)*T_MIDDLE-(1.297+0.0000575*20+0.0000000806*20^2-0.0000000000286*20^3)*20)/(T_MIDDLE-20)))</f>
        <v/>
      </c>
      <c r="J272" s="2" t="s">
        <v>328</v>
      </c>
    </row>
    <row r="273" spans="1:25" ht="12.75" customHeight="1" outlineLevel="2">
      <c r="B273" s="18"/>
      <c r="D273" s="27"/>
      <c r="F273" s="20"/>
      <c r="I273" s="17"/>
    </row>
    <row r="274" spans="1:25" ht="12.75" customHeight="1" outlineLevel="1">
      <c r="B274" s="18"/>
      <c r="D274" s="27"/>
      <c r="F274" s="20"/>
      <c r="I274" s="17"/>
    </row>
    <row r="275" spans="1:25" ht="12.75" customHeight="1" outlineLevel="1">
      <c r="A275" s="628">
        <v>11</v>
      </c>
      <c r="B275" s="492" t="str">
        <f>HBL!$AA$1407</f>
        <v>COOLER WASTE AIR</v>
      </c>
      <c r="C275" s="494"/>
      <c r="D275" s="491"/>
      <c r="E275" s="491"/>
      <c r="F275" s="562"/>
      <c r="G275" s="2"/>
      <c r="I275" s="20"/>
    </row>
    <row r="276" spans="1:25" ht="12.75" customHeight="1" outlineLevel="2">
      <c r="B276" s="18"/>
      <c r="D276" s="27"/>
      <c r="I276" s="17"/>
    </row>
    <row r="277" spans="1:25" ht="12.75" customHeight="1" outlineLevel="2">
      <c r="B277" s="18" t="str">
        <f>HBL!$AA$1249&amp;" *"</f>
        <v>Dry cooler waste air flow, calculated by an air balance *</v>
      </c>
      <c r="D277" s="27"/>
      <c r="I277" s="255">
        <f>IF(OR(Cooler=2, VN_COOLAIR=""),"", IF(ISNUMBER(VN_MIDDLE), VN_COOLAIR+VN_FALSECOOLER-VN_SECONDAIR-VN_TERTAIR-VN_MIDDLE, IF(ISNUMBER(VN_TERTAIR), VN_COOLAIR+VN_FALSECOOLER-VN_SECONDAIR-VN_TERTAIR, VN_COOLAIR+VN_FALSECOOLER-VN_SECONDAIR)))</f>
        <v>85761.10144287537</v>
      </c>
      <c r="J277" s="29" t="s">
        <v>330</v>
      </c>
    </row>
    <row r="278" spans="1:25" ht="12.75" customHeight="1" outlineLevel="2">
      <c r="B278" s="18" t="str">
        <f>HBL!$AA$1308&amp;" *"</f>
        <v>Vapor from waterinjection *</v>
      </c>
      <c r="D278" s="27"/>
      <c r="I278" s="388">
        <f>IF(M_CLI="","", IF(OR(Cooler=2, M_H2OCOOLER=""), 0, M_H2OCOOLER*1.24))</f>
        <v>0</v>
      </c>
      <c r="J278" s="29" t="s">
        <v>330</v>
      </c>
    </row>
    <row r="279" spans="1:25" ht="12.75" customHeight="1" outlineLevel="2">
      <c r="B279" s="246" t="s">
        <v>201</v>
      </c>
      <c r="D279" s="27"/>
      <c r="I279" s="30"/>
      <c r="J279" s="29"/>
    </row>
    <row r="280" spans="1:25" ht="12.75" customHeight="1" outlineLevel="2" thickBot="1">
      <c r="D280" s="27"/>
      <c r="F280" s="20"/>
      <c r="H280" s="29"/>
      <c r="I280" s="30"/>
      <c r="J280" s="29"/>
      <c r="L280" s="179"/>
      <c r="M280" s="20"/>
    </row>
    <row r="281" spans="1:25" ht="12.75" customHeight="1" outlineLevel="2" thickTop="1" thickBot="1">
      <c r="B281" s="261" t="str">
        <f>HBL!$AA$1410</f>
        <v>Cooler waste air (without water vapor)</v>
      </c>
      <c r="D281" s="27"/>
      <c r="I281" s="718">
        <v>86045</v>
      </c>
      <c r="J281" s="258" t="s">
        <v>330</v>
      </c>
      <c r="L281" s="764"/>
    </row>
    <row r="282" spans="1:25" ht="12.75" customHeight="1" outlineLevel="2" thickTop="1" thickBot="1">
      <c r="B282" s="261" t="str">
        <f>HBL!$AA$1410</f>
        <v>Cooler waste air (without water vapor)</v>
      </c>
      <c r="D282" s="27"/>
      <c r="F282" s="20"/>
      <c r="G282" s="28"/>
      <c r="H282" s="17"/>
      <c r="I282" s="719">
        <f>IF(VN_WASTE="","",VN_WASTE/(M_CLI*1000))</f>
        <v>1.1284590163934427</v>
      </c>
      <c r="J282" s="259" t="s">
        <v>332</v>
      </c>
      <c r="M282" s="20"/>
    </row>
    <row r="283" spans="1:25" ht="12.75" customHeight="1" outlineLevel="2" thickTop="1" thickBot="1">
      <c r="B283" t="str">
        <f>HBL!$AA$1570</f>
        <v>Temperature at cooler takeout (or balance boundary)</v>
      </c>
      <c r="D283" s="27"/>
      <c r="I283" s="710">
        <v>281</v>
      </c>
      <c r="J283" s="260" t="s">
        <v>299</v>
      </c>
    </row>
    <row r="284" spans="1:25" ht="12.75" customHeight="1" outlineLevel="2" thickTop="1">
      <c r="B284" t="s">
        <v>838</v>
      </c>
      <c r="D284" s="27"/>
      <c r="F284" s="20"/>
      <c r="G284" s="28"/>
      <c r="H284" s="17"/>
      <c r="I284" s="720">
        <f>IF(T_WASTE="","",IF(T_WASTE&lt;20.01,"ERROR",((1.297+0.0000575*T_WASTE+0.0000000806*T_WASTE^2-0.0000000000286*T_WASTE^3)*T_WASTE-(1.297+0.0000575*20+0.0000000806*20^2-0.0000000000286*20^3)*20)/(T_WASTE-20)))</f>
        <v>1.3204737814953997</v>
      </c>
      <c r="J284" s="259" t="s">
        <v>328</v>
      </c>
      <c r="N284">
        <v>0.64</v>
      </c>
    </row>
    <row r="285" spans="1:25" ht="12.75" customHeight="1" outlineLevel="2">
      <c r="B285" s="160"/>
      <c r="D285" s="27"/>
      <c r="F285" s="20"/>
      <c r="G285" s="28"/>
      <c r="H285" s="17"/>
      <c r="I285" s="197"/>
      <c r="J285" s="2"/>
    </row>
    <row r="286" spans="1:25" ht="12.75" customHeight="1" outlineLevel="1">
      <c r="B286" s="18"/>
      <c r="D286" s="27"/>
      <c r="F286" s="20"/>
      <c r="G286" s="28"/>
      <c r="H286" s="17"/>
      <c r="I286" s="17"/>
      <c r="M286">
        <f>$N$284*N286/100</f>
        <v>0.128</v>
      </c>
      <c r="N286">
        <v>20</v>
      </c>
      <c r="O286">
        <v>700</v>
      </c>
      <c r="P286">
        <f>N286/100*O286</f>
        <v>140</v>
      </c>
      <c r="R286">
        <f>HBL!M286*HBL!O286</f>
        <v>89.600000000000009</v>
      </c>
    </row>
    <row r="287" spans="1:25" ht="12.75" customHeight="1" outlineLevel="1">
      <c r="A287" s="628">
        <v>12</v>
      </c>
      <c r="B287" s="492" t="str">
        <f>HBL!$AA$1416</f>
        <v>COOLER AIR FANS</v>
      </c>
      <c r="C287" s="494"/>
      <c r="D287" s="491"/>
      <c r="E287" s="491"/>
      <c r="F287" s="562"/>
      <c r="H287" s="31"/>
      <c r="L287" s="36"/>
      <c r="M287">
        <f t="shared" ref="M287:M288" si="0">$N$284*N287/100</f>
        <v>0.44800000000000006</v>
      </c>
      <c r="N287" s="36">
        <v>70</v>
      </c>
      <c r="O287" s="5">
        <v>400</v>
      </c>
      <c r="P287">
        <f t="shared" ref="P287:P288" si="1">N287/100*O287</f>
        <v>280</v>
      </c>
      <c r="Q287" s="36"/>
      <c r="R287" s="36">
        <f>M287*O287</f>
        <v>179.20000000000002</v>
      </c>
      <c r="S287" s="36"/>
      <c r="T287" s="36"/>
      <c r="U287" s="36"/>
      <c r="V287" s="36"/>
      <c r="Y287" s="36"/>
    </row>
    <row r="288" spans="1:25" ht="12.75" customHeight="1" outlineLevel="2">
      <c r="L288" s="36"/>
      <c r="M288">
        <f t="shared" si="0"/>
        <v>6.4000000000000001E-2</v>
      </c>
      <c r="N288" s="36">
        <v>10</v>
      </c>
      <c r="O288" s="5">
        <v>200</v>
      </c>
      <c r="P288">
        <f t="shared" si="1"/>
        <v>20</v>
      </c>
      <c r="Q288" s="36"/>
      <c r="R288" s="36">
        <f>SUM(R286:R287)/(SUM(M286:M287))</f>
        <v>466.66666666666663</v>
      </c>
      <c r="S288" s="36"/>
      <c r="T288" s="36"/>
      <c r="U288" s="36"/>
      <c r="V288" s="36"/>
      <c r="Y288" s="36"/>
    </row>
    <row r="289" spans="2:29" ht="12.75" customHeight="1" outlineLevel="2">
      <c r="B289" s="532" t="str">
        <f>HBL!$AA$1595</f>
        <v>Fan</v>
      </c>
      <c r="C289" s="532" t="s">
        <v>996</v>
      </c>
      <c r="D289" s="532" t="s">
        <v>1088</v>
      </c>
      <c r="E289" s="532" t="s">
        <v>1904</v>
      </c>
      <c r="F289" s="532" t="s">
        <v>997</v>
      </c>
      <c r="G289" s="532" t="str">
        <f>HBL!$AA$1454</f>
        <v>Air</v>
      </c>
      <c r="H289" s="532" t="str">
        <f>HBL!$AA$1605</f>
        <v>Flowrate</v>
      </c>
      <c r="I289" s="532" t="s">
        <v>1904</v>
      </c>
      <c r="J289" s="532" t="s">
        <v>1276</v>
      </c>
      <c r="M289" s="36"/>
      <c r="O289" s="36"/>
      <c r="P289" s="36"/>
      <c r="Q289" s="36"/>
      <c r="R289" s="36"/>
      <c r="S289" s="36"/>
      <c r="T289" s="36"/>
      <c r="U289" s="36"/>
      <c r="V289" s="36"/>
      <c r="W289" s="36"/>
      <c r="X289" s="1"/>
      <c r="Z289" s="36"/>
    </row>
    <row r="290" spans="2:29" ht="12.75" customHeight="1" outlineLevel="2">
      <c r="B290" s="526" t="s">
        <v>340</v>
      </c>
      <c r="C290" s="526" t="s">
        <v>1578</v>
      </c>
      <c r="D290" s="526"/>
      <c r="E290" s="526"/>
      <c r="F290" s="638" t="s">
        <v>993</v>
      </c>
      <c r="G290" s="526" t="s">
        <v>283</v>
      </c>
      <c r="H290" s="526" t="str">
        <f>HBL!$AA$1560</f>
        <v xml:space="preserve"> </v>
      </c>
      <c r="I290" s="526" t="s">
        <v>995</v>
      </c>
      <c r="J290" s="526" t="s">
        <v>1713</v>
      </c>
      <c r="M290" s="36"/>
      <c r="O290" s="36"/>
      <c r="P290" s="36">
        <f>SUM(P286:P288)</f>
        <v>440</v>
      </c>
      <c r="Q290" s="36"/>
      <c r="R290" s="36"/>
      <c r="S290" s="36"/>
      <c r="T290" s="36"/>
      <c r="U290" s="36"/>
      <c r="V290" s="36"/>
      <c r="W290" s="36"/>
      <c r="X290" s="1"/>
      <c r="Z290" s="36"/>
    </row>
    <row r="291" spans="2:29" ht="12.75" customHeight="1" outlineLevel="2">
      <c r="B291" s="639" t="s">
        <v>341</v>
      </c>
      <c r="C291" s="639" t="s">
        <v>342</v>
      </c>
      <c r="D291" s="639" t="s">
        <v>343</v>
      </c>
      <c r="E291" s="639" t="s">
        <v>992</v>
      </c>
      <c r="F291" s="639" t="s">
        <v>994</v>
      </c>
      <c r="G291" s="639" t="s">
        <v>344</v>
      </c>
      <c r="H291" s="640" t="s">
        <v>345</v>
      </c>
      <c r="I291" s="639" t="s">
        <v>992</v>
      </c>
      <c r="J291" s="639" t="s">
        <v>297</v>
      </c>
      <c r="M291">
        <f>M286+M287</f>
        <v>0.57600000000000007</v>
      </c>
      <c r="W291"/>
      <c r="X291" s="1"/>
    </row>
    <row r="292" spans="2:29" ht="12.75" customHeight="1" outlineLevel="2">
      <c r="B292" s="32"/>
      <c r="C292" s="32"/>
      <c r="D292" s="32"/>
      <c r="E292" s="32"/>
      <c r="F292" s="32"/>
      <c r="G292" s="32"/>
      <c r="H292" s="32"/>
      <c r="I292" s="32"/>
      <c r="J292" s="12"/>
      <c r="M292">
        <f>1.1*M291</f>
        <v>0.63360000000000016</v>
      </c>
      <c r="W292"/>
      <c r="X292" s="1"/>
    </row>
    <row r="293" spans="2:29" ht="12.75" customHeight="1" outlineLevel="2">
      <c r="B293" s="774" t="s">
        <v>2008</v>
      </c>
      <c r="C293" s="775">
        <v>0.31156650000000002</v>
      </c>
      <c r="D293" s="776">
        <v>30.2</v>
      </c>
      <c r="E293" s="777">
        <f>IF(C293="","",C293*D293*3600)</f>
        <v>33873.509880000005</v>
      </c>
      <c r="F293" s="778">
        <v>83.4</v>
      </c>
      <c r="G293" s="779">
        <v>40</v>
      </c>
      <c r="H293" s="777">
        <f>IF(G293="","",E293*(PAMB+F293)/1013*273.16/(T_FAN1+273.16))</f>
        <v>30841.882603864397</v>
      </c>
      <c r="I293" s="773"/>
      <c r="J293" s="480"/>
      <c r="L293" s="34"/>
      <c r="M293" s="27"/>
      <c r="N293" s="36"/>
      <c r="O293" s="17"/>
      <c r="Q293" s="5"/>
      <c r="W293"/>
      <c r="X293" s="1"/>
      <c r="AC293" s="902">
        <v>32751.870479999998</v>
      </c>
    </row>
    <row r="294" spans="2:29" ht="12.75" customHeight="1" outlineLevel="2">
      <c r="B294" s="774" t="s">
        <v>2009</v>
      </c>
      <c r="C294" s="775">
        <v>0.11939850000000002</v>
      </c>
      <c r="D294" s="776">
        <v>29.5</v>
      </c>
      <c r="E294" s="777">
        <f t="shared" ref="E294:E308" si="2">IF(C294="","",C294*D294*3600)</f>
        <v>12680.120700000003</v>
      </c>
      <c r="F294" s="778">
        <v>62.843000000000004</v>
      </c>
      <c r="G294" s="779">
        <v>40</v>
      </c>
      <c r="H294" s="777">
        <f>IF(G294="","",E294*(PAMB+F294)/1013*273.16/(T_FAN2+273.16))</f>
        <v>11320.816783586557</v>
      </c>
      <c r="I294" s="773"/>
      <c r="J294" s="480"/>
      <c r="L294" s="34"/>
      <c r="M294" s="27"/>
      <c r="N294" s="36"/>
      <c r="O294" s="17"/>
      <c r="Q294" s="5"/>
      <c r="W294"/>
      <c r="X294" s="1"/>
      <c r="AC294" s="903">
        <v>12393.564300000002</v>
      </c>
    </row>
    <row r="295" spans="2:29" ht="12.75" customHeight="1" outlineLevel="2">
      <c r="B295" s="774" t="s">
        <v>2010</v>
      </c>
      <c r="C295" s="775">
        <v>0.11939850000000002</v>
      </c>
      <c r="D295" s="776">
        <v>31.5</v>
      </c>
      <c r="E295" s="777">
        <v>30232</v>
      </c>
      <c r="F295" s="778">
        <v>49.61</v>
      </c>
      <c r="G295" s="779">
        <v>40</v>
      </c>
      <c r="H295" s="777">
        <f>IF(G295="","",E295*(PAMB+F295)/1013*273.16/(T_FAN3+273.16))</f>
        <v>26646.659549761644</v>
      </c>
      <c r="I295" s="773"/>
      <c r="J295" s="480"/>
      <c r="L295" s="34"/>
      <c r="M295" s="27"/>
      <c r="N295" s="785"/>
      <c r="O295" s="17"/>
      <c r="Q295" s="5"/>
      <c r="W295"/>
      <c r="X295" s="1"/>
      <c r="AC295" s="902">
        <v>10316.030400000001</v>
      </c>
    </row>
    <row r="296" spans="2:29" ht="12.75" customHeight="1" outlineLevel="2">
      <c r="B296" s="774" t="s">
        <v>2011</v>
      </c>
      <c r="C296" s="775">
        <v>0.39571850000000003</v>
      </c>
      <c r="D296" s="776">
        <v>28.12</v>
      </c>
      <c r="E296" s="777">
        <v>31626</v>
      </c>
      <c r="F296" s="778">
        <v>51.27</v>
      </c>
      <c r="G296" s="779">
        <v>40</v>
      </c>
      <c r="H296" s="777">
        <f>IF(G296="","",E296*(PAMB+F296)/1013*273.16/(T_FAN4+273.16))</f>
        <v>27920.544962691551</v>
      </c>
      <c r="I296" s="773"/>
      <c r="J296" s="480"/>
      <c r="L296" s="34"/>
      <c r="M296" s="27"/>
      <c r="N296" s="36"/>
      <c r="O296" s="17"/>
      <c r="Q296" s="5"/>
      <c r="W296"/>
      <c r="X296" s="1"/>
      <c r="AC296" s="903">
        <v>31625.822519999998</v>
      </c>
    </row>
    <row r="297" spans="2:29" ht="12.75" customHeight="1" outlineLevel="2">
      <c r="B297" s="774" t="s">
        <v>2012</v>
      </c>
      <c r="C297" s="775">
        <v>0.39571850000000003</v>
      </c>
      <c r="D297" s="776">
        <v>16.5</v>
      </c>
      <c r="E297" s="777">
        <v>28954</v>
      </c>
      <c r="F297" s="778">
        <v>37.94</v>
      </c>
      <c r="G297" s="779">
        <v>40</v>
      </c>
      <c r="H297" s="777">
        <f>IF(G297="","",E297*(PAMB+F297)/1013*273.16/(T_FAN5+273.16))</f>
        <v>25229.271328652922</v>
      </c>
      <c r="I297" s="773"/>
      <c r="J297" s="480"/>
      <c r="L297" s="34"/>
      <c r="M297" s="27"/>
      <c r="N297" s="36"/>
      <c r="O297" s="17"/>
      <c r="Q297" s="5"/>
      <c r="W297"/>
      <c r="X297" s="1"/>
      <c r="AC297" s="902">
        <v>26212.39344</v>
      </c>
    </row>
    <row r="298" spans="2:29" ht="12.75" customHeight="1" outlineLevel="2">
      <c r="B298" s="774" t="s">
        <v>2013</v>
      </c>
      <c r="C298" s="775">
        <v>0.78500000000000003</v>
      </c>
      <c r="D298" s="776">
        <v>15</v>
      </c>
      <c r="E298" s="777">
        <v>42569</v>
      </c>
      <c r="F298" s="778">
        <v>31.18</v>
      </c>
      <c r="G298" s="779">
        <v>40</v>
      </c>
      <c r="H298" s="777">
        <f>IF(G298="","",E298*(PAMB+F298)/1013*273.16/(T_FAN6+273.16))</f>
        <v>36845.008524534227</v>
      </c>
      <c r="I298" s="773"/>
      <c r="J298" s="480"/>
      <c r="L298" s="34"/>
      <c r="M298" s="27"/>
      <c r="N298" s="36"/>
      <c r="O298" s="17"/>
      <c r="Q298" s="5"/>
      <c r="W298"/>
      <c r="X298" s="1"/>
      <c r="AC298" s="903">
        <v>52281</v>
      </c>
    </row>
    <row r="299" spans="2:29" ht="12.75" customHeight="1" outlineLevel="2">
      <c r="B299" s="774" t="s">
        <v>2014</v>
      </c>
      <c r="C299" s="775">
        <v>0</v>
      </c>
      <c r="D299" s="776">
        <v>0</v>
      </c>
      <c r="E299" s="911"/>
      <c r="F299" s="778">
        <v>0</v>
      </c>
      <c r="G299" s="779"/>
      <c r="H299" s="777" t="str">
        <f>IF(G299="","",E299*(PAMB+F299)/1013*273.16/(T_FAN7+273.16))</f>
        <v/>
      </c>
      <c r="I299" s="773"/>
      <c r="J299" s="480"/>
      <c r="L299" s="34"/>
      <c r="M299" s="27"/>
      <c r="N299" s="36"/>
      <c r="O299" s="17"/>
      <c r="Q299" s="5"/>
      <c r="W299"/>
      <c r="X299" s="1"/>
    </row>
    <row r="300" spans="2:29" ht="12.75" customHeight="1" outlineLevel="2">
      <c r="B300" s="774" t="s">
        <v>2023</v>
      </c>
      <c r="C300" s="775">
        <v>0</v>
      </c>
      <c r="D300" s="776">
        <v>0</v>
      </c>
      <c r="E300" s="777">
        <f t="shared" si="2"/>
        <v>0</v>
      </c>
      <c r="F300" s="778">
        <v>0</v>
      </c>
      <c r="G300" s="779"/>
      <c r="H300" s="777" t="str">
        <f>IF(G300="","",E300*(PAMB+F300)/1013*273.16/(T_FAN7+273.16))</f>
        <v/>
      </c>
      <c r="I300" s="773"/>
      <c r="J300" s="480"/>
      <c r="L300" s="34"/>
      <c r="M300" s="27"/>
      <c r="N300" s="36"/>
      <c r="O300" s="17"/>
      <c r="Q300" s="5"/>
      <c r="W300"/>
      <c r="X300" s="1"/>
    </row>
    <row r="301" spans="2:29" ht="12.75" customHeight="1" outlineLevel="2">
      <c r="B301" s="774" t="s">
        <v>2015</v>
      </c>
      <c r="C301" s="775">
        <v>0</v>
      </c>
      <c r="D301" s="776">
        <v>0</v>
      </c>
      <c r="E301" s="777">
        <f t="shared" si="2"/>
        <v>0</v>
      </c>
      <c r="F301" s="778">
        <v>0</v>
      </c>
      <c r="G301" s="779"/>
      <c r="H301" s="777" t="str">
        <f>IF(G301="","",E301*(PAMB+F301)/1013*273.16/(T_FAN8+273.16))</f>
        <v/>
      </c>
      <c r="I301" s="773"/>
      <c r="J301" s="480"/>
      <c r="L301" s="34"/>
      <c r="M301" s="27"/>
      <c r="N301" s="785"/>
      <c r="O301" s="17"/>
      <c r="Q301" s="5"/>
      <c r="W301"/>
      <c r="X301" s="1"/>
    </row>
    <row r="302" spans="2:29" ht="12.75" customHeight="1" outlineLevel="2">
      <c r="B302" s="774" t="s">
        <v>2016</v>
      </c>
      <c r="C302" s="775">
        <v>0</v>
      </c>
      <c r="D302" s="776">
        <v>0</v>
      </c>
      <c r="E302" s="777">
        <f t="shared" si="2"/>
        <v>0</v>
      </c>
      <c r="F302" s="778">
        <v>0</v>
      </c>
      <c r="G302" s="779"/>
      <c r="H302" s="777" t="str">
        <f>IF(G302="","",E302*(PAMB+F302)/1013*273.16/(T_FAN9+273.16))</f>
        <v/>
      </c>
      <c r="I302" s="773"/>
      <c r="J302" s="480"/>
      <c r="L302" s="34"/>
      <c r="M302" s="27"/>
      <c r="N302" s="36"/>
      <c r="O302" s="17"/>
      <c r="Q302" s="5"/>
      <c r="W302"/>
      <c r="X302" s="1"/>
    </row>
    <row r="303" spans="2:29" ht="12.75" customHeight="1" outlineLevel="2">
      <c r="B303" s="774" t="s">
        <v>2017</v>
      </c>
      <c r="C303" s="775">
        <v>0</v>
      </c>
      <c r="D303" s="776">
        <v>0</v>
      </c>
      <c r="E303" s="777">
        <f t="shared" si="2"/>
        <v>0</v>
      </c>
      <c r="F303" s="778">
        <v>0</v>
      </c>
      <c r="G303" s="779"/>
      <c r="H303" s="777" t="str">
        <f>IF(G303="","",E303*(PAMB+F303)/1013*273.16/(T_FAN10+273.16))</f>
        <v/>
      </c>
      <c r="I303" s="773"/>
      <c r="J303" s="480"/>
      <c r="L303" s="34"/>
      <c r="M303" s="27"/>
      <c r="N303" s="36"/>
      <c r="O303" s="17"/>
      <c r="Q303" s="5"/>
      <c r="W303"/>
      <c r="X303" s="1"/>
    </row>
    <row r="304" spans="2:29" ht="12.75" customHeight="1" outlineLevel="2">
      <c r="B304" s="774" t="s">
        <v>2018</v>
      </c>
      <c r="C304" s="775">
        <v>0</v>
      </c>
      <c r="D304" s="802">
        <v>0</v>
      </c>
      <c r="E304" s="777">
        <f t="shared" si="2"/>
        <v>0</v>
      </c>
      <c r="F304" s="778">
        <v>0</v>
      </c>
      <c r="G304" s="779"/>
      <c r="H304" s="777" t="str">
        <f>IF(G304="","",E304*(PAMB+F304)/1013*273.16/(T_FAN11+273.16))</f>
        <v/>
      </c>
      <c r="I304" s="773"/>
      <c r="J304" s="480"/>
      <c r="L304" s="34"/>
      <c r="M304" s="27"/>
      <c r="N304" s="36"/>
      <c r="O304" s="17"/>
      <c r="Q304" s="5"/>
      <c r="W304"/>
      <c r="X304" s="1"/>
    </row>
    <row r="305" spans="1:25" ht="12.75" customHeight="1" outlineLevel="2">
      <c r="B305" s="774" t="s">
        <v>2019</v>
      </c>
      <c r="C305" s="775">
        <v>0</v>
      </c>
      <c r="D305" s="802">
        <v>0</v>
      </c>
      <c r="E305" s="777">
        <f t="shared" si="2"/>
        <v>0</v>
      </c>
      <c r="F305" s="778">
        <v>0</v>
      </c>
      <c r="G305" s="779"/>
      <c r="H305" s="777" t="str">
        <f>IF(G305="","",E305*(PAMB+F305)/1013*273.16/(T_FAN12+273.16))</f>
        <v/>
      </c>
      <c r="I305" s="773"/>
      <c r="J305" s="480"/>
      <c r="L305" s="34"/>
      <c r="M305" s="27"/>
      <c r="N305" s="36"/>
      <c r="O305" s="17"/>
      <c r="Q305" s="5"/>
      <c r="W305"/>
      <c r="X305" s="1"/>
    </row>
    <row r="306" spans="1:25" ht="12.75" customHeight="1" outlineLevel="2">
      <c r="B306" s="774" t="s">
        <v>2020</v>
      </c>
      <c r="C306" s="775">
        <v>0</v>
      </c>
      <c r="D306" s="776">
        <v>0</v>
      </c>
      <c r="E306" s="777">
        <f t="shared" si="2"/>
        <v>0</v>
      </c>
      <c r="F306" s="778">
        <v>0</v>
      </c>
      <c r="G306" s="779"/>
      <c r="H306" s="777" t="str">
        <f>IF(G306="","",E306*(PAMB+F306)/1013*273.16/(T_FAN12+273.16))</f>
        <v/>
      </c>
      <c r="I306" s="773"/>
      <c r="J306" s="480"/>
      <c r="L306" s="34"/>
      <c r="M306" s="27"/>
      <c r="N306" s="36"/>
      <c r="O306" s="17"/>
      <c r="Q306" s="5"/>
      <c r="W306"/>
      <c r="X306" s="1"/>
    </row>
    <row r="307" spans="1:25" ht="12.75" customHeight="1" outlineLevel="2">
      <c r="B307" s="774" t="s">
        <v>2021</v>
      </c>
      <c r="C307" s="775">
        <v>0</v>
      </c>
      <c r="D307" s="776">
        <v>0</v>
      </c>
      <c r="E307" s="777">
        <f t="shared" si="2"/>
        <v>0</v>
      </c>
      <c r="F307" s="778">
        <v>0</v>
      </c>
      <c r="G307" s="779"/>
      <c r="H307" s="777" t="str">
        <f>IF(G307="","",E307*(PAMB+F307)/1013*273.16/(T_FAN12+273.16))</f>
        <v/>
      </c>
      <c r="I307" s="773"/>
      <c r="J307" s="480"/>
      <c r="L307" s="34"/>
      <c r="M307" s="27"/>
      <c r="O307" s="17"/>
      <c r="Q307" s="5"/>
      <c r="W307"/>
      <c r="X307" s="1"/>
    </row>
    <row r="308" spans="1:25" ht="12.75" customHeight="1" outlineLevel="2">
      <c r="B308" s="774" t="s">
        <v>2022</v>
      </c>
      <c r="C308" s="775">
        <v>0</v>
      </c>
      <c r="D308" s="776">
        <v>0</v>
      </c>
      <c r="E308" s="777">
        <f t="shared" si="2"/>
        <v>0</v>
      </c>
      <c r="F308" s="778">
        <v>0</v>
      </c>
      <c r="G308" s="779"/>
      <c r="H308" s="777" t="str">
        <f>IF(G308="","",E308*(PAMB+F308)/1013*273.16/(T_FAN12+273.16))</f>
        <v/>
      </c>
      <c r="I308" s="773"/>
      <c r="J308" s="480"/>
      <c r="L308" s="34"/>
      <c r="M308" s="27"/>
      <c r="O308" s="17"/>
      <c r="Q308" s="5"/>
      <c r="W308"/>
      <c r="X308" s="1"/>
    </row>
    <row r="309" spans="1:25" ht="12.75" customHeight="1" outlineLevel="2">
      <c r="B309" s="780"/>
      <c r="C309" s="775"/>
      <c r="D309" s="776"/>
      <c r="E309" s="777"/>
      <c r="F309" s="778"/>
      <c r="G309" s="779"/>
      <c r="H309" s="777"/>
      <c r="I309" s="773"/>
      <c r="J309" s="480"/>
      <c r="L309" s="27"/>
      <c r="N309" s="20"/>
      <c r="O309" s="17"/>
      <c r="W309"/>
      <c r="X309" s="1"/>
    </row>
    <row r="310" spans="1:25" ht="12.75" customHeight="1" outlineLevel="2">
      <c r="B310" s="15"/>
      <c r="C310" s="33"/>
      <c r="D310" s="33"/>
      <c r="E310" s="33"/>
      <c r="F310" s="33"/>
      <c r="G310" s="219"/>
      <c r="H310" s="403"/>
      <c r="I310" s="350"/>
      <c r="J310" s="350"/>
      <c r="M310" s="4"/>
      <c r="O310" s="17"/>
      <c r="R310" s="20"/>
      <c r="W310"/>
      <c r="X310" s="1"/>
      <c r="Y310" s="4"/>
    </row>
    <row r="311" spans="1:25" ht="12.75" customHeight="1" outlineLevel="2" thickBot="1">
      <c r="B311" s="3"/>
      <c r="D311" s="26"/>
      <c r="F311" s="34"/>
      <c r="H311" s="26"/>
      <c r="I311" s="26"/>
      <c r="M311" s="4"/>
      <c r="N311" s="4"/>
      <c r="O311" s="39"/>
      <c r="P311" s="4"/>
      <c r="Q311" s="4"/>
      <c r="R311" s="4"/>
      <c r="S311" s="4"/>
      <c r="T311" s="4"/>
      <c r="U311" s="4"/>
      <c r="V311" s="4"/>
      <c r="W311" s="35"/>
    </row>
    <row r="312" spans="1:25" ht="12.75" customHeight="1" outlineLevel="2">
      <c r="B312" t="s">
        <v>511</v>
      </c>
      <c r="E312" s="558">
        <f>SUM(H293:H308)</f>
        <v>158804.18375309129</v>
      </c>
      <c r="F312" s="2" t="s">
        <v>333</v>
      </c>
      <c r="H312" s="26"/>
      <c r="O312" s="17"/>
    </row>
    <row r="313" spans="1:25" ht="12.75" customHeight="1" outlineLevel="2" thickBot="1">
      <c r="B313" t="s">
        <v>512</v>
      </c>
      <c r="E313" s="822">
        <f>IF(VN_COOLAIR="","",VN_COOLAIR/(M_CLI*1000))</f>
        <v>2.0826778197126727</v>
      </c>
      <c r="F313" s="2" t="s">
        <v>346</v>
      </c>
      <c r="G313" t="str">
        <f>HBL!$AA$1678</f>
        <v xml:space="preserve"> </v>
      </c>
      <c r="H313" s="26">
        <f>VNSP_COOLAIR*1.293</f>
        <v>2.6929024208884855</v>
      </c>
      <c r="I313" s="36"/>
      <c r="J313" s="2"/>
    </row>
    <row r="314" spans="1:25" ht="12.75" customHeight="1" outlineLevel="2">
      <c r="E314" s="30"/>
      <c r="F314" s="2"/>
      <c r="H314" s="26"/>
      <c r="I314" s="36"/>
      <c r="J314" s="2"/>
    </row>
    <row r="315" spans="1:25" s="4" customFormat="1" ht="12.75" customHeight="1" outlineLevel="1">
      <c r="A315" s="632"/>
      <c r="D315" s="37"/>
      <c r="F315" s="38"/>
      <c r="H315" s="39"/>
      <c r="I315" s="39"/>
      <c r="J315"/>
      <c r="L315"/>
      <c r="M315"/>
      <c r="N315"/>
      <c r="O315"/>
      <c r="P315"/>
      <c r="Q315"/>
      <c r="R315"/>
      <c r="S315"/>
      <c r="T315"/>
      <c r="U315"/>
      <c r="V315"/>
      <c r="W315" s="1"/>
      <c r="X315"/>
    </row>
    <row r="316" spans="1:25" ht="12.75" customHeight="1" outlineLevel="1">
      <c r="A316" s="628">
        <v>13</v>
      </c>
      <c r="B316" s="492" t="str">
        <f>HBL!$AA$1637</f>
        <v>WATERINJECTION INTO COOLER</v>
      </c>
      <c r="C316" s="494"/>
      <c r="D316" s="491"/>
      <c r="E316" s="491"/>
      <c r="F316" s="562"/>
      <c r="G316" s="182"/>
      <c r="H316" s="182"/>
      <c r="I316" s="182"/>
      <c r="J316" s="182"/>
      <c r="W316"/>
    </row>
    <row r="317" spans="1:25" ht="12.75" customHeight="1" outlineLevel="2">
      <c r="B317" s="9"/>
      <c r="C317" s="182"/>
      <c r="D317" s="182"/>
      <c r="E317" s="183"/>
      <c r="F317" s="182"/>
      <c r="G317" s="182"/>
      <c r="H317" s="182"/>
      <c r="I317" s="182"/>
      <c r="J317" s="182"/>
      <c r="W317" s="181"/>
    </row>
    <row r="318" spans="1:25" ht="12.75" customHeight="1" outlineLevel="2">
      <c r="B318" s="18" t="s">
        <v>202</v>
      </c>
      <c r="C318" s="182"/>
      <c r="F318" s="182"/>
      <c r="G318" s="182"/>
      <c r="H318" s="182"/>
      <c r="I318" s="440"/>
      <c r="J318" t="s">
        <v>363</v>
      </c>
      <c r="W318" s="181"/>
    </row>
    <row r="319" spans="1:25" ht="12.75" customHeight="1" outlineLevel="2">
      <c r="B319" s="18" t="s">
        <v>203</v>
      </c>
      <c r="C319" s="182"/>
      <c r="F319" s="182"/>
      <c r="G319" s="182"/>
      <c r="H319" s="182"/>
      <c r="I319" s="220">
        <f>IF(I318="",,I318*1000)</f>
        <v>0</v>
      </c>
      <c r="J319" s="183" t="s">
        <v>372</v>
      </c>
      <c r="W319" s="181"/>
    </row>
    <row r="320" spans="1:25" ht="12.75" customHeight="1" outlineLevel="2">
      <c r="B320" t="s">
        <v>905</v>
      </c>
      <c r="C320" s="182"/>
      <c r="F320" s="182"/>
      <c r="I320" s="426"/>
      <c r="J320" s="183" t="s">
        <v>299</v>
      </c>
      <c r="L320" s="182"/>
      <c r="W320" s="181"/>
    </row>
    <row r="321" spans="1:28" ht="12.75" customHeight="1" outlineLevel="2">
      <c r="B321" t="s">
        <v>725</v>
      </c>
      <c r="C321" s="182"/>
      <c r="F321" s="182"/>
      <c r="G321" s="182"/>
      <c r="H321" s="182"/>
      <c r="I321" s="254" t="str">
        <f>IF(T_H2OCOOLER="","",4.18+(T_H2OCOOLER-50)^2*0.04/2500)</f>
        <v/>
      </c>
      <c r="J321" s="184" t="s">
        <v>303</v>
      </c>
      <c r="W321" s="181"/>
    </row>
    <row r="322" spans="1:28" ht="12.75" customHeight="1" outlineLevel="2">
      <c r="C322" s="182"/>
      <c r="D322" s="182"/>
      <c r="E322" s="183"/>
      <c r="F322" s="182"/>
      <c r="G322" s="182"/>
      <c r="H322" s="182"/>
      <c r="I322" s="185"/>
      <c r="J322" s="184"/>
      <c r="W322" s="181"/>
    </row>
    <row r="323" spans="1:28" ht="12.75" customHeight="1" outlineLevel="1">
      <c r="D323" s="27"/>
      <c r="F323" s="20"/>
      <c r="H323" s="17"/>
      <c r="I323" s="17"/>
      <c r="M323" s="9"/>
    </row>
    <row r="324" spans="1:28" ht="12.75" customHeight="1" outlineLevel="1">
      <c r="A324" s="628">
        <v>14</v>
      </c>
      <c r="B324" s="492" t="str">
        <f>HBL!$AA$1642</f>
        <v>HEAT LOSS FROM RADIATION &amp; CONVECTION</v>
      </c>
      <c r="C324" s="494"/>
      <c r="D324" s="491"/>
      <c r="E324" s="491"/>
      <c r="F324" s="561"/>
    </row>
    <row r="325" spans="1:28" ht="12.75" customHeight="1" outlineLevel="2"/>
    <row r="326" spans="1:28" ht="12.75" customHeight="1" outlineLevel="2">
      <c r="B326" t="str">
        <f>HBL!$AA$1633&amp;" *"</f>
        <v>Preheater tower incl. Calciner *</v>
      </c>
      <c r="E326" s="42" t="s">
        <v>2040</v>
      </c>
      <c r="G326" s="5"/>
      <c r="H326" s="40"/>
      <c r="I326" s="432">
        <v>198</v>
      </c>
      <c r="J326" s="40" t="s">
        <v>315</v>
      </c>
      <c r="M326">
        <f>QOUT_PREHEATER/4.186</f>
        <v>47.300525561395126</v>
      </c>
      <c r="AB326">
        <f>QOUT_PREHEATER/4.1486</f>
        <v>47.726944029311092</v>
      </c>
    </row>
    <row r="327" spans="1:28" ht="12.75" customHeight="1" outlineLevel="2" thickBot="1">
      <c r="B327" s="41" t="str">
        <f>HBL!$AA$1491&amp;" *"</f>
        <v>Kiln shell *</v>
      </c>
      <c r="F327" s="31"/>
      <c r="G327" s="5"/>
      <c r="H327" s="40"/>
      <c r="I327" s="432">
        <v>94</v>
      </c>
      <c r="J327" s="40" t="s">
        <v>315</v>
      </c>
      <c r="M327">
        <f>QOUT_KILNRAD/4.186</f>
        <v>22.455805064500716</v>
      </c>
      <c r="AB327">
        <f>QOUT_KILNRAD/4.1486</f>
        <v>22.658246155329508</v>
      </c>
    </row>
    <row r="328" spans="1:28" ht="12.75" customHeight="1" outlineLevel="2" thickTop="1" thickBot="1">
      <c r="B328" s="40" t="str">
        <f>HBL!$AA$1404&amp;" **"</f>
        <v>Cooler and kiln hood **</v>
      </c>
      <c r="E328" s="42"/>
      <c r="F328" s="31"/>
      <c r="G328" s="5"/>
      <c r="H328" s="40"/>
      <c r="I328" s="710">
        <v>22.6</v>
      </c>
      <c r="J328" s="40" t="s">
        <v>315</v>
      </c>
      <c r="M328">
        <f>QOUT_COOLRAD/4.186</f>
        <v>5.3989488772097474</v>
      </c>
    </row>
    <row r="329" spans="1:28" ht="12.75" customHeight="1" outlineLevel="2" thickTop="1" thickBot="1">
      <c r="B329" s="41" t="str">
        <f>HBL!$AA$1577&amp;" *"</f>
        <v>Tertiary air duct *</v>
      </c>
      <c r="E329" s="42" t="s">
        <v>2040</v>
      </c>
      <c r="F329" s="31"/>
      <c r="G329" s="5"/>
      <c r="H329" s="40"/>
      <c r="I329" s="710">
        <v>0</v>
      </c>
      <c r="J329" s="40" t="s">
        <v>315</v>
      </c>
      <c r="M329">
        <f>QOUT_TERTIARYDUCT/4.186</f>
        <v>0</v>
      </c>
    </row>
    <row r="330" spans="1:28" ht="12.75" customHeight="1" outlineLevel="2" thickTop="1">
      <c r="B330" s="218" t="s">
        <v>907</v>
      </c>
      <c r="C330" s="218" t="s">
        <v>676</v>
      </c>
      <c r="D330" s="27"/>
      <c r="F330" s="20"/>
      <c r="H330" s="17"/>
      <c r="I330" s="17"/>
      <c r="M330">
        <f>SUM(M326:M329)</f>
        <v>75.155279503105589</v>
      </c>
    </row>
    <row r="331" spans="1:28" ht="12.75" customHeight="1" outlineLevel="2">
      <c r="B331" s="218" t="s">
        <v>906</v>
      </c>
      <c r="C331" s="218" t="s">
        <v>675</v>
      </c>
      <c r="D331" s="218"/>
      <c r="I331" s="218"/>
    </row>
    <row r="332" spans="1:28" ht="12.75" customHeight="1" outlineLevel="2">
      <c r="B332" s="218"/>
      <c r="C332" s="218" t="s">
        <v>677</v>
      </c>
      <c r="D332" s="218"/>
      <c r="I332" s="218"/>
    </row>
    <row r="333" spans="1:28" ht="12.75" customHeight="1" outlineLevel="2">
      <c r="B333" s="218"/>
      <c r="C333" s="218"/>
      <c r="D333" s="218"/>
      <c r="F333" s="218"/>
      <c r="G333" s="218"/>
      <c r="H333" s="218"/>
      <c r="I333" s="17"/>
    </row>
    <row r="334" spans="1:28" ht="12.75" customHeight="1" outlineLevel="1"/>
    <row r="335" spans="1:28" ht="12.75" customHeight="1" outlineLevel="1">
      <c r="A335" s="628">
        <v>15</v>
      </c>
      <c r="B335" s="492" t="str">
        <f>HBL!$AA$1275</f>
        <v>FUEL DATA</v>
      </c>
      <c r="C335" s="494"/>
      <c r="D335" s="491"/>
      <c r="E335" s="491"/>
      <c r="F335" s="562"/>
    </row>
    <row r="336" spans="1:28" ht="12.75" customHeight="1" outlineLevel="2"/>
    <row r="337" spans="2:31" ht="12.75" customHeight="1" outlineLevel="2">
      <c r="B337" t="s">
        <v>914</v>
      </c>
    </row>
    <row r="338" spans="2:31" ht="12.75" customHeight="1" outlineLevel="2"/>
    <row r="339" spans="2:31" ht="12.75" customHeight="1" outlineLevel="2">
      <c r="B339" s="519"/>
      <c r="C339" s="541"/>
      <c r="D339" s="543"/>
      <c r="E339" s="541"/>
      <c r="F339" s="541"/>
      <c r="G339" s="641"/>
      <c r="H339" s="541"/>
      <c r="I339" s="541"/>
      <c r="J339" s="543"/>
    </row>
    <row r="340" spans="2:31" ht="12.75" customHeight="1" outlineLevel="2">
      <c r="B340" s="544"/>
      <c r="C340" s="646"/>
      <c r="D340" s="647"/>
      <c r="E340" s="524" t="str">
        <f>HBL!$AA$1443</f>
        <v>CONVENTIONAL</v>
      </c>
      <c r="F340" s="642"/>
      <c r="G340" s="643" t="str">
        <f>HBL!$AA$1235</f>
        <v>ALTERNATIVE FUELS</v>
      </c>
      <c r="H340" s="642"/>
      <c r="I340" s="642"/>
      <c r="J340" s="644"/>
    </row>
    <row r="341" spans="2:31" ht="12.75" customHeight="1" outlineLevel="2">
      <c r="B341" s="648"/>
      <c r="C341" s="646"/>
      <c r="D341" s="647"/>
      <c r="E341" s="524" t="str">
        <f>HBL!$AA$1269</f>
        <v>FUEL</v>
      </c>
      <c r="F341" s="642"/>
      <c r="G341" s="645"/>
      <c r="H341" s="646"/>
      <c r="I341" s="646"/>
      <c r="J341" s="647"/>
    </row>
    <row r="342" spans="2:31" ht="12.75" customHeight="1" outlineLevel="2">
      <c r="B342" s="648"/>
      <c r="C342" s="646"/>
      <c r="D342" s="649"/>
      <c r="E342" s="481"/>
      <c r="F342" s="483"/>
      <c r="G342" s="482"/>
      <c r="H342" s="483"/>
      <c r="I342" s="481"/>
      <c r="J342" s="481"/>
    </row>
    <row r="343" spans="2:31" ht="12.75" customHeight="1" outlineLevel="2">
      <c r="B343" s="650"/>
      <c r="C343" s="651"/>
      <c r="D343" s="652"/>
      <c r="E343" s="739"/>
      <c r="F343" s="484"/>
      <c r="G343" s="485"/>
      <c r="H343" s="484"/>
      <c r="I343" s="484"/>
      <c r="J343" s="484"/>
      <c r="L343" s="237"/>
    </row>
    <row r="344" spans="2:31" ht="12.75" customHeight="1" outlineLevel="2">
      <c r="B344" s="43"/>
      <c r="D344" s="43"/>
      <c r="E344" s="951" t="s">
        <v>2026</v>
      </c>
      <c r="F344" s="952"/>
      <c r="G344" s="45"/>
      <c r="H344" s="44"/>
      <c r="I344" s="44"/>
      <c r="J344" s="44"/>
      <c r="L344" s="791" t="s">
        <v>2041</v>
      </c>
      <c r="M344" s="791" t="s">
        <v>2042</v>
      </c>
      <c r="N344" s="791" t="s">
        <v>2043</v>
      </c>
      <c r="O344" s="791" t="s">
        <v>2035</v>
      </c>
      <c r="P344" s="792"/>
      <c r="Q344" s="954" t="s">
        <v>2032</v>
      </c>
      <c r="R344" s="954"/>
      <c r="S344" s="954"/>
    </row>
    <row r="345" spans="2:31" outlineLevel="2">
      <c r="B345" s="389" t="s">
        <v>27</v>
      </c>
      <c r="C345" s="314"/>
      <c r="D345" s="721" t="s">
        <v>348</v>
      </c>
      <c r="E345" s="798">
        <v>22522</v>
      </c>
      <c r="F345" s="724">
        <v>0</v>
      </c>
      <c r="G345" s="798"/>
      <c r="H345" s="441"/>
      <c r="I345" s="441"/>
      <c r="J345" s="441"/>
      <c r="L345" s="793">
        <v>8.98</v>
      </c>
      <c r="M345" s="793">
        <v>8.75</v>
      </c>
      <c r="N345" s="793">
        <v>18.149999999999999</v>
      </c>
      <c r="O345" s="793">
        <v>0</v>
      </c>
      <c r="P345" s="794" t="s">
        <v>2044</v>
      </c>
      <c r="Q345" s="794">
        <v>8</v>
      </c>
      <c r="R345" s="793">
        <v>2875</v>
      </c>
      <c r="S345" s="793">
        <f>Q345*R345</f>
        <v>23000</v>
      </c>
      <c r="AC345" s="18">
        <f>LHV_FUEL1/4.186</f>
        <v>5380.3153368370758</v>
      </c>
      <c r="AD345">
        <f>Visualization!G14</f>
        <v>792.60711651137774</v>
      </c>
      <c r="AE345">
        <f>KILNHBL_ERROR</f>
        <v>-0.75409871994534727</v>
      </c>
    </row>
    <row r="346" spans="2:31" outlineLevel="2">
      <c r="B346" s="303" t="s">
        <v>533</v>
      </c>
      <c r="C346" s="309"/>
      <c r="D346" s="722" t="s">
        <v>312</v>
      </c>
      <c r="E346" s="741">
        <v>1</v>
      </c>
      <c r="F346" s="725">
        <v>0</v>
      </c>
      <c r="G346" s="799"/>
      <c r="H346" s="442"/>
      <c r="I346" s="442"/>
      <c r="J346" s="442"/>
      <c r="L346" s="793">
        <v>7868</v>
      </c>
      <c r="M346" s="793">
        <v>7868</v>
      </c>
      <c r="N346" s="793">
        <v>3820</v>
      </c>
      <c r="O346" s="793">
        <v>0</v>
      </c>
      <c r="P346" s="794" t="s">
        <v>2027</v>
      </c>
      <c r="Q346" s="794">
        <v>7</v>
      </c>
      <c r="R346" s="793">
        <v>3532</v>
      </c>
      <c r="S346" s="793">
        <f t="shared" ref="S346:S351" si="3">Q346*R346</f>
        <v>24724</v>
      </c>
    </row>
    <row r="347" spans="2:31" outlineLevel="2">
      <c r="B347" s="308" t="str">
        <f>HBL!$AA$1567</f>
        <v>Temp. at burner</v>
      </c>
      <c r="C347" s="309"/>
      <c r="D347" s="722" t="s">
        <v>344</v>
      </c>
      <c r="E347" s="742">
        <v>68</v>
      </c>
      <c r="F347" s="726">
        <v>0</v>
      </c>
      <c r="G347" s="800"/>
      <c r="H347" s="444"/>
      <c r="I347" s="444"/>
      <c r="J347" s="444"/>
      <c r="L347" s="795">
        <f>(L345*L346)/N348</f>
        <v>0.33833140260066624</v>
      </c>
      <c r="M347" s="795">
        <f>(M345*M346)/N348</f>
        <v>0.32966589897058235</v>
      </c>
      <c r="N347" s="795">
        <f>(N345*N346)/N348</f>
        <v>0.33200269842875135</v>
      </c>
      <c r="O347" s="795">
        <f>(O345*O346)/N348</f>
        <v>0</v>
      </c>
      <c r="P347" s="794" t="s">
        <v>2031</v>
      </c>
      <c r="Q347" s="793">
        <v>8</v>
      </c>
      <c r="R347" s="793">
        <v>2467</v>
      </c>
      <c r="S347" s="793">
        <f t="shared" si="3"/>
        <v>19736</v>
      </c>
    </row>
    <row r="348" spans="2:31" ht="12.75" customHeight="1" outlineLevel="2">
      <c r="B348" s="303" t="str">
        <f>HBL!$AA$1296</f>
        <v>cp fuel</v>
      </c>
      <c r="C348" s="309"/>
      <c r="D348" s="723" t="s">
        <v>349</v>
      </c>
      <c r="E348" s="808">
        <v>1.1000000000000001</v>
      </c>
      <c r="F348" s="725">
        <v>1.1000000000000001</v>
      </c>
      <c r="G348" s="807">
        <v>0</v>
      </c>
      <c r="H348" s="442"/>
      <c r="I348" s="442"/>
      <c r="J348" s="442"/>
      <c r="L348" s="793"/>
      <c r="M348" s="793"/>
      <c r="N348" s="793">
        <f>L345*L346+M345*M346+N345*N346+O345*O346</f>
        <v>208832.64000000001</v>
      </c>
      <c r="O348" s="793"/>
      <c r="P348" s="794" t="s">
        <v>2033</v>
      </c>
      <c r="Q348" s="793">
        <v>2</v>
      </c>
      <c r="R348" s="793">
        <v>4490</v>
      </c>
      <c r="S348" s="793">
        <f t="shared" si="3"/>
        <v>8980</v>
      </c>
    </row>
    <row r="349" spans="2:31" ht="12.75" customHeight="1" outlineLevel="2">
      <c r="B349" s="303" t="s">
        <v>350</v>
      </c>
      <c r="C349" s="309"/>
      <c r="D349" s="723" t="s">
        <v>351</v>
      </c>
      <c r="E349" s="743">
        <v>0.26</v>
      </c>
      <c r="F349" s="727">
        <v>0.26</v>
      </c>
      <c r="G349" s="801"/>
      <c r="H349" s="445"/>
      <c r="I349" s="445"/>
      <c r="J349" s="445"/>
      <c r="L349" s="793"/>
      <c r="M349" s="793"/>
      <c r="N349" s="796">
        <f>N348/SUM(L345:O345)</f>
        <v>5820.3076923076933</v>
      </c>
      <c r="O349" s="793"/>
      <c r="P349" s="794" t="s">
        <v>2028</v>
      </c>
      <c r="Q349" s="793">
        <v>2</v>
      </c>
      <c r="R349" s="793">
        <v>5441</v>
      </c>
      <c r="S349" s="793">
        <f t="shared" si="3"/>
        <v>10882</v>
      </c>
    </row>
    <row r="350" spans="2:31" ht="12.75" customHeight="1" outlineLevel="2">
      <c r="B350" s="303" t="s">
        <v>352</v>
      </c>
      <c r="C350" s="309"/>
      <c r="D350" s="723" t="s">
        <v>351</v>
      </c>
      <c r="E350" s="743">
        <v>0.28000000000000003</v>
      </c>
      <c r="F350" s="727">
        <v>0.28000000000000003</v>
      </c>
      <c r="G350" s="801"/>
      <c r="H350" s="445"/>
      <c r="I350" s="445"/>
      <c r="J350" s="445"/>
      <c r="L350" s="793"/>
      <c r="M350" s="793"/>
      <c r="N350" s="796">
        <f>N349*4.186</f>
        <v>24363.808000000005</v>
      </c>
      <c r="O350" s="793"/>
      <c r="P350" s="794" t="s">
        <v>2034</v>
      </c>
      <c r="Q350" s="793">
        <v>10</v>
      </c>
      <c r="R350" s="793">
        <v>2184</v>
      </c>
      <c r="S350" s="793">
        <f t="shared" si="3"/>
        <v>21840</v>
      </c>
    </row>
    <row r="351" spans="2:31" ht="12.75" customHeight="1" outlineLevel="2">
      <c r="B351" s="308" t="str">
        <f>HBL!$AA$1386</f>
        <v>H2O in Vmin</v>
      </c>
      <c r="C351" s="309"/>
      <c r="D351" s="722" t="s">
        <v>312</v>
      </c>
      <c r="E351" s="741">
        <v>1</v>
      </c>
      <c r="F351" s="727">
        <v>1</v>
      </c>
      <c r="G351" s="801"/>
      <c r="H351" s="445"/>
      <c r="I351" s="445"/>
      <c r="J351" s="445"/>
      <c r="L351" s="793"/>
      <c r="M351" s="793"/>
      <c r="N351" s="793"/>
      <c r="O351" s="793"/>
      <c r="P351" s="794" t="s">
        <v>2036</v>
      </c>
      <c r="Q351" s="793">
        <v>90</v>
      </c>
      <c r="R351" s="793">
        <v>1825</v>
      </c>
      <c r="S351" s="793">
        <f t="shared" si="3"/>
        <v>164250</v>
      </c>
    </row>
    <row r="352" spans="2:31" ht="12.75" customHeight="1" outlineLevel="2">
      <c r="B352" s="308" t="str">
        <f>HBL!$AA$1535</f>
        <v>Sulfur content (S)</v>
      </c>
      <c r="C352" s="309"/>
      <c r="D352" s="722" t="s">
        <v>312</v>
      </c>
      <c r="E352" s="744"/>
      <c r="F352" s="728"/>
      <c r="G352" s="487"/>
      <c r="H352" s="486"/>
      <c r="I352" s="486"/>
      <c r="J352" s="486"/>
      <c r="L352" s="793"/>
      <c r="M352" s="793"/>
      <c r="N352" s="793"/>
      <c r="O352" s="793"/>
      <c r="P352" s="793"/>
      <c r="Q352" s="797">
        <f>SUM(Q345:Q351)/24</f>
        <v>5.291666666666667</v>
      </c>
      <c r="R352" s="793"/>
      <c r="S352" s="793">
        <f>SUM(S345:S351)/SUM(Q345:Q351)</f>
        <v>2152.8503937007872</v>
      </c>
    </row>
    <row r="353" spans="2:19" ht="12.75" customHeight="1" outlineLevel="2">
      <c r="B353" s="308" t="s">
        <v>353</v>
      </c>
      <c r="C353" s="309"/>
      <c r="D353" s="722" t="s">
        <v>312</v>
      </c>
      <c r="E353" s="745"/>
      <c r="F353" s="728"/>
      <c r="G353" s="487"/>
      <c r="H353" s="486"/>
      <c r="I353" s="486"/>
      <c r="J353" s="486"/>
      <c r="L353" s="793"/>
      <c r="M353" s="793"/>
      <c r="N353" s="793"/>
      <c r="O353" s="793"/>
      <c r="P353" s="793"/>
      <c r="Q353" s="793"/>
      <c r="R353" s="793"/>
      <c r="S353" s="793">
        <f>S352*4.187</f>
        <v>9013.984598425197</v>
      </c>
    </row>
    <row r="354" spans="2:19" ht="12.75" customHeight="1" outlineLevel="2">
      <c r="B354" s="308" t="s">
        <v>354</v>
      </c>
      <c r="C354" s="309"/>
      <c r="D354" s="722" t="s">
        <v>312</v>
      </c>
      <c r="E354" s="745"/>
      <c r="F354" s="728"/>
      <c r="G354" s="487"/>
      <c r="H354" s="486"/>
      <c r="I354" s="486"/>
      <c r="J354" s="486"/>
    </row>
    <row r="355" spans="2:19" ht="12.75" customHeight="1" outlineLevel="2">
      <c r="B355" s="308" t="str">
        <f>HBL!$AA$1290</f>
        <v>Chlor content (Cl)</v>
      </c>
      <c r="C355" s="309"/>
      <c r="D355" s="722" t="s">
        <v>312</v>
      </c>
      <c r="E355" s="746"/>
      <c r="F355" s="729"/>
      <c r="G355" s="489"/>
      <c r="H355" s="488"/>
      <c r="I355" s="488"/>
      <c r="J355" s="488"/>
      <c r="L355" s="788"/>
      <c r="M355" s="788"/>
      <c r="N355" s="788"/>
    </row>
    <row r="356" spans="2:19" ht="12.75" customHeight="1" outlineLevel="2">
      <c r="B356" s="303" t="str">
        <f>HBL!$AA$1243</f>
        <v>Ash content</v>
      </c>
      <c r="C356" s="309"/>
      <c r="D356" s="722" t="s">
        <v>312</v>
      </c>
      <c r="E356" s="741">
        <v>21</v>
      </c>
      <c r="F356" s="725">
        <v>0</v>
      </c>
      <c r="G356" s="443"/>
      <c r="H356" s="442"/>
      <c r="I356" s="442"/>
      <c r="J356" s="442"/>
    </row>
    <row r="357" spans="2:19" ht="12.75" customHeight="1" outlineLevel="2">
      <c r="B357" s="43"/>
      <c r="D357" s="64"/>
      <c r="E357" s="747"/>
      <c r="F357" s="730"/>
      <c r="G357" s="48"/>
      <c r="H357" s="47"/>
      <c r="I357" s="47"/>
      <c r="J357" s="47"/>
    </row>
    <row r="358" spans="2:19" ht="12.75" customHeight="1" outlineLevel="2">
      <c r="B358" s="10"/>
      <c r="C358" s="11"/>
      <c r="D358" s="512"/>
      <c r="E358" s="748"/>
      <c r="F358" s="731"/>
      <c r="G358" s="51"/>
      <c r="H358" s="50"/>
      <c r="I358" s="50"/>
      <c r="J358" s="50"/>
      <c r="N358" s="17"/>
    </row>
    <row r="359" spans="2:19" ht="12.75" customHeight="1" outlineLevel="2">
      <c r="B359" s="52" t="str">
        <f>HBL!$AA$1664</f>
        <v>COUNTER READING</v>
      </c>
      <c r="D359" s="43"/>
      <c r="E359" s="749"/>
      <c r="F359" s="732"/>
      <c r="G359" s="54"/>
      <c r="H359" s="53"/>
      <c r="I359" s="53"/>
      <c r="J359" s="53"/>
      <c r="N359" s="17"/>
    </row>
    <row r="360" spans="2:19" ht="12.75" customHeight="1" outlineLevel="2">
      <c r="B360" s="52" t="str">
        <f>HBL!$AA$1389</f>
        <v>MAIN BURNER</v>
      </c>
      <c r="D360" s="43"/>
      <c r="E360" s="749"/>
      <c r="F360" s="732"/>
      <c r="G360" s="54"/>
      <c r="H360" s="53"/>
      <c r="I360" s="53"/>
      <c r="J360" s="53"/>
    </row>
    <row r="361" spans="2:19" ht="12.75" customHeight="1" outlineLevel="2">
      <c r="B361" s="298" t="str">
        <f>HBL!$AA$1271</f>
        <v>Fuelrate main burner</v>
      </c>
      <c r="C361" s="315"/>
      <c r="D361" s="721" t="s">
        <v>302</v>
      </c>
      <c r="E361" s="750">
        <v>3.8</v>
      </c>
      <c r="F361" s="733"/>
      <c r="G361" s="447">
        <v>0</v>
      </c>
      <c r="H361" s="446"/>
      <c r="I361" s="446"/>
      <c r="J361" s="446"/>
      <c r="L361" s="17"/>
    </row>
    <row r="362" spans="2:19" ht="12.75" customHeight="1" outlineLevel="2">
      <c r="B362" s="308" t="str">
        <f>HBL!$AA$1447</f>
        <v>Correction factor</v>
      </c>
      <c r="C362" s="309"/>
      <c r="D362" s="722" t="s">
        <v>341</v>
      </c>
      <c r="E362" s="751">
        <v>1</v>
      </c>
      <c r="F362" s="734"/>
      <c r="G362" s="449"/>
      <c r="H362" s="448"/>
      <c r="I362" s="448"/>
      <c r="J362" s="448"/>
      <c r="L362" s="794" t="s">
        <v>2047</v>
      </c>
      <c r="M362" s="793"/>
      <c r="N362" s="793"/>
      <c r="O362" s="793"/>
    </row>
    <row r="363" spans="2:19" ht="12.75" customHeight="1" outlineLevel="2">
      <c r="B363" s="316" t="str">
        <f>HBL!$AA$1271</f>
        <v>Fuelrate main burner</v>
      </c>
      <c r="C363" s="309"/>
      <c r="D363" s="723" t="s">
        <v>302</v>
      </c>
      <c r="E363" s="752">
        <f>IF(FUELBZ1_R2="","",FUELBZ1_R2*E362)</f>
        <v>3.8</v>
      </c>
      <c r="F363" s="735"/>
      <c r="G363" s="318"/>
      <c r="H363" s="317"/>
      <c r="I363" s="317"/>
      <c r="J363" s="317"/>
      <c r="L363" s="794" t="s">
        <v>2048</v>
      </c>
      <c r="M363" s="793"/>
      <c r="N363" s="793"/>
      <c r="O363" s="793"/>
      <c r="Q363" s="36"/>
    </row>
    <row r="364" spans="2:19" ht="12.75" customHeight="1" outlineLevel="2">
      <c r="B364" s="46"/>
      <c r="D364" s="64"/>
      <c r="E364" s="753"/>
      <c r="F364" s="27"/>
      <c r="G364" s="56"/>
      <c r="H364" s="55"/>
      <c r="I364" s="55"/>
      <c r="J364" s="55"/>
      <c r="L364" s="793"/>
      <c r="M364" s="793"/>
      <c r="N364" s="793"/>
      <c r="O364" s="793"/>
      <c r="Q364" s="36"/>
    </row>
    <row r="365" spans="2:19" ht="12.75" customHeight="1" outlineLevel="2">
      <c r="B365" s="208" t="str">
        <f>$AA$1526</f>
        <v>SECONDARY FIRING</v>
      </c>
      <c r="D365" s="64" t="s">
        <v>2024</v>
      </c>
      <c r="E365" s="772"/>
      <c r="F365" s="27"/>
      <c r="G365" s="56"/>
      <c r="H365" s="55"/>
      <c r="I365" s="55"/>
      <c r="J365" s="55"/>
      <c r="Q365" s="36"/>
    </row>
    <row r="366" spans="2:19" ht="12.75" customHeight="1" outlineLevel="2">
      <c r="B366" s="298" t="s">
        <v>1764</v>
      </c>
      <c r="C366" s="315"/>
      <c r="D366" s="721" t="s">
        <v>302</v>
      </c>
      <c r="E366" s="750">
        <v>0</v>
      </c>
      <c r="F366" s="765">
        <v>0</v>
      </c>
      <c r="G366" s="737">
        <v>0</v>
      </c>
      <c r="H366" s="446"/>
      <c r="I366" s="769"/>
      <c r="J366" s="446"/>
      <c r="L366" s="17"/>
      <c r="M366" s="182"/>
      <c r="Q366" s="36"/>
    </row>
    <row r="367" spans="2:19" ht="12.75" customHeight="1" outlineLevel="2">
      <c r="B367" s="308" t="str">
        <f>HBL!$AA$1447</f>
        <v>Correction factor</v>
      </c>
      <c r="C367" s="309"/>
      <c r="D367" s="722" t="s">
        <v>341</v>
      </c>
      <c r="E367" s="751">
        <v>1</v>
      </c>
      <c r="F367" s="736">
        <v>1</v>
      </c>
      <c r="G367" s="450">
        <v>1</v>
      </c>
      <c r="H367" s="448"/>
      <c r="I367" s="448"/>
      <c r="J367" s="448"/>
      <c r="N367" s="787"/>
      <c r="Q367" s="36"/>
    </row>
    <row r="368" spans="2:19" ht="12.75" customHeight="1" outlineLevel="2">
      <c r="B368" s="303" t="s">
        <v>1764</v>
      </c>
      <c r="C368" s="309"/>
      <c r="D368" s="723" t="s">
        <v>302</v>
      </c>
      <c r="E368" s="754">
        <f>IF(FUELSF1_R2="","",FUELSF1_R2*E367)</f>
        <v>0</v>
      </c>
      <c r="F368" s="754">
        <f>IF(FUELSF1_R2="","",FUELSF2_R2*F367)</f>
        <v>0</v>
      </c>
      <c r="G368" s="754">
        <f>IF(FUELSF3_R2="","",FUELSF3_R2*G367)</f>
        <v>0</v>
      </c>
      <c r="H368" s="319"/>
      <c r="I368" s="319"/>
      <c r="J368" s="319"/>
      <c r="N368" s="786"/>
      <c r="Q368" s="36"/>
      <c r="S368" s="36"/>
    </row>
    <row r="369" spans="2:14" ht="12.75" customHeight="1" outlineLevel="2">
      <c r="B369" s="46"/>
      <c r="D369" s="64"/>
      <c r="E369" s="753"/>
      <c r="F369" s="104"/>
      <c r="G369" s="56"/>
      <c r="H369" s="55"/>
      <c r="I369" s="55"/>
      <c r="J369" s="55"/>
      <c r="N369" s="5"/>
    </row>
    <row r="370" spans="2:14" ht="12.75" customHeight="1" outlineLevel="2">
      <c r="B370" s="57" t="str">
        <f>HBL!$AA$1420</f>
        <v>CALCINER</v>
      </c>
      <c r="C370" s="771"/>
      <c r="D370" s="64" t="s">
        <v>2025</v>
      </c>
      <c r="E370" s="753"/>
      <c r="F370" s="104"/>
      <c r="G370" s="56"/>
      <c r="H370" s="55"/>
      <c r="I370" s="55"/>
      <c r="J370" s="55"/>
    </row>
    <row r="371" spans="2:14" ht="12.75" customHeight="1" outlineLevel="2">
      <c r="B371" s="313" t="str">
        <f>HBL!$AA$1273</f>
        <v>Fuelrate calciner</v>
      </c>
      <c r="C371" s="315"/>
      <c r="D371" s="721" t="s">
        <v>302</v>
      </c>
      <c r="E371" s="750">
        <v>7.4349999999999996</v>
      </c>
      <c r="F371" s="737">
        <v>0</v>
      </c>
      <c r="G371" s="447">
        <v>0</v>
      </c>
      <c r="H371" s="446"/>
      <c r="I371" s="446"/>
      <c r="J371" s="446"/>
      <c r="L371" s="17"/>
    </row>
    <row r="372" spans="2:14" ht="12.75" customHeight="1" outlineLevel="2">
      <c r="B372" s="308" t="str">
        <f>HBL!$AA$1447</f>
        <v>Correction factor</v>
      </c>
      <c r="C372" s="309"/>
      <c r="D372" s="722" t="s">
        <v>341</v>
      </c>
      <c r="E372" s="755">
        <v>1</v>
      </c>
      <c r="F372" s="738">
        <v>1</v>
      </c>
      <c r="G372" s="452">
        <v>1</v>
      </c>
      <c r="H372" s="451"/>
      <c r="I372" s="451"/>
      <c r="J372" s="451"/>
    </row>
    <row r="373" spans="2:14" ht="12.75" customHeight="1" outlineLevel="2">
      <c r="B373" s="308" t="str">
        <f>HBL!$AA$1273</f>
        <v>Fuelrate calciner</v>
      </c>
      <c r="C373" s="309"/>
      <c r="D373" s="723" t="s">
        <v>302</v>
      </c>
      <c r="E373" s="752">
        <f>IF(FUELCZ1_R2="","",FUELCZ1_R2*E372)</f>
        <v>7.4349999999999996</v>
      </c>
      <c r="F373" s="752">
        <f>IF(FUELCZ1_R2="","",FUELCZ2_R2*F372)</f>
        <v>0</v>
      </c>
      <c r="G373" s="752">
        <f>IF(FUELCZ1_R2="","",FUELCZ3_R2*G372)</f>
        <v>0</v>
      </c>
      <c r="H373" s="317"/>
      <c r="I373" s="317"/>
      <c r="J373" s="317"/>
    </row>
    <row r="374" spans="2:14" ht="12.75" customHeight="1" outlineLevel="2" thickBot="1">
      <c r="B374" s="46"/>
      <c r="D374" s="64"/>
      <c r="E374" s="756"/>
      <c r="F374" s="27"/>
      <c r="G374" s="56"/>
      <c r="H374" s="55"/>
      <c r="I374" s="55"/>
      <c r="J374" s="55"/>
    </row>
    <row r="375" spans="2:14" ht="12.75" customHeight="1" outlineLevel="2" thickTop="1">
      <c r="B375" s="8" t="str">
        <f>HBL!$AA$1277</f>
        <v>TOTAL FEEDRATE</v>
      </c>
      <c r="C375" s="7"/>
      <c r="D375" s="172" t="s">
        <v>302</v>
      </c>
      <c r="E375" s="740">
        <f>IF((SUM(MBZ_FUEL1,MSF_FUEL1,MCZ_FUEL1)=0),0, SUM(MBZ_FUEL1,MSF_FUEL1,MCZ_FUEL1))</f>
        <v>11.234999999999999</v>
      </c>
      <c r="F375" s="222">
        <f>IF((SUM(MBZ_FUEL2,MSF_FUEL2,MCZ_FUEL2)=0),0, SUM(MBZ_FUEL2,MSF_FUEL2,MCZ_FUEL2))</f>
        <v>0</v>
      </c>
      <c r="G375" s="221">
        <f>IF((SUM(MBZ_FUEL3,MSF_FUEL3,MCZ_FUEL3)=0),0, SUM(MBZ_FUEL3,MSF_FUEL3,MCZ_FUEL3))</f>
        <v>0</v>
      </c>
      <c r="H375" s="221">
        <f>IF((SUM(MBZ_FUEL4,MSF_FUEL4,MCZ_FUEL4)=0),0, SUM(MBZ_FUEL4,MSF_FUEL4,MCZ_FUEL4))</f>
        <v>0</v>
      </c>
      <c r="I375" s="221">
        <f>IF((SUM(MBZ_FUEL5,MSF_FUEL5,MCZ_FUEL5)=0),0, SUM(MBZ_FUEL5,MSF_FUEL5,MCZ_FUEL5))</f>
        <v>0</v>
      </c>
      <c r="J375" s="221">
        <f>IF((SUM(MBZ_FUEL6,MSF_FUEL6,MCZ_FUEL6)=0),0, SUM(MBZ_FUEL6,MSF_FUEL6,MCZ_FUEL6))</f>
        <v>0</v>
      </c>
      <c r="L375" s="17"/>
    </row>
    <row r="376" spans="2:14" ht="12.75" customHeight="1" outlineLevel="2">
      <c r="B376" s="1"/>
      <c r="D376" s="3"/>
      <c r="E376" s="27"/>
      <c r="F376" s="27"/>
      <c r="G376" s="27"/>
      <c r="H376" s="27"/>
      <c r="I376" s="27"/>
      <c r="J376" s="27"/>
    </row>
    <row r="377" spans="2:14" ht="12.75" customHeight="1" outlineLevel="2">
      <c r="B377" s="218" t="s">
        <v>233</v>
      </c>
      <c r="D377" s="3"/>
      <c r="E377" s="27"/>
      <c r="F377" s="27"/>
      <c r="G377" s="27"/>
      <c r="H377" s="27"/>
      <c r="I377" s="27"/>
      <c r="J377" s="27"/>
    </row>
    <row r="378" spans="2:14" ht="12.75" customHeight="1" outlineLevel="2">
      <c r="B378" s="1"/>
      <c r="D378" s="3"/>
      <c r="E378" s="26">
        <f>FUELCZ1_R2+FUELSF1_R2+FUELBZ1_R2</f>
        <v>11.234999999999999</v>
      </c>
      <c r="F378" s="26">
        <f>FUELCZ2_R2+FUELSF2_R2+FUELBZ2_R2</f>
        <v>0</v>
      </c>
      <c r="G378" s="26">
        <f>FUELCZ3_R2+FUELSF3_R2+FUELBZ3_R2</f>
        <v>0</v>
      </c>
      <c r="H378" s="26">
        <f>FUELCZ4_R2+FUELSF4_R2+FUELBZ4_R2</f>
        <v>0</v>
      </c>
      <c r="I378" s="26">
        <f>FUELCZ5_R2+FUELSF5_R2+FUELBZ5_R2</f>
        <v>0</v>
      </c>
      <c r="J378" s="26">
        <f>FUELCZ6_R2+FUELSF6_R2+FUELBZ6_R2</f>
        <v>0</v>
      </c>
    </row>
    <row r="379" spans="2:14" ht="12.75" customHeight="1" outlineLevel="2">
      <c r="B379" s="291" t="s">
        <v>928</v>
      </c>
      <c r="C379" s="214"/>
      <c r="D379" s="295"/>
      <c r="E379" s="290"/>
      <c r="F379" s="290"/>
      <c r="G379" s="290"/>
      <c r="H379" s="290"/>
      <c r="J379" s="27"/>
    </row>
    <row r="380" spans="2:14" ht="12.75" customHeight="1" outlineLevel="2">
      <c r="B380" s="325"/>
      <c r="C380" s="322"/>
      <c r="D380" s="323"/>
      <c r="E380" s="324"/>
      <c r="F380" s="361" t="s">
        <v>691</v>
      </c>
      <c r="G380" s="362" t="s">
        <v>350</v>
      </c>
      <c r="H380" s="362" t="s">
        <v>352</v>
      </c>
      <c r="I380" s="327" t="s">
        <v>532</v>
      </c>
      <c r="J380" s="272"/>
    </row>
    <row r="381" spans="2:14" ht="12.75" customHeight="1" outlineLevel="2">
      <c r="B381" s="326"/>
      <c r="C381" s="292"/>
      <c r="D381" s="293"/>
      <c r="E381" s="294"/>
      <c r="F381" s="363" t="s">
        <v>349</v>
      </c>
      <c r="G381" s="363" t="s">
        <v>351</v>
      </c>
      <c r="H381" s="363" t="s">
        <v>351</v>
      </c>
      <c r="I381" s="328" t="s">
        <v>531</v>
      </c>
      <c r="J381" s="275"/>
    </row>
    <row r="382" spans="2:14" ht="12.75" customHeight="1" outlineLevel="2">
      <c r="B382" s="329" t="s">
        <v>916</v>
      </c>
      <c r="C382" s="337" t="s">
        <v>1734</v>
      </c>
      <c r="D382" s="330"/>
      <c r="E382" s="331"/>
      <c r="F382" s="367" t="s">
        <v>1737</v>
      </c>
      <c r="G382" s="364">
        <v>0.26</v>
      </c>
      <c r="H382" s="364">
        <v>0.27</v>
      </c>
      <c r="I382" s="332">
        <v>6</v>
      </c>
      <c r="J382" s="271"/>
    </row>
    <row r="383" spans="2:14" ht="12.75" customHeight="1" outlineLevel="2">
      <c r="B383" s="333"/>
      <c r="C383" s="338" t="s">
        <v>1735</v>
      </c>
      <c r="D383" s="334"/>
      <c r="E383" s="335"/>
      <c r="F383" s="335" t="s">
        <v>1738</v>
      </c>
      <c r="G383" s="365">
        <v>0.26</v>
      </c>
      <c r="H383" s="365">
        <v>0.28000000000000003</v>
      </c>
      <c r="I383" s="336">
        <v>8</v>
      </c>
      <c r="J383" s="271"/>
    </row>
    <row r="384" spans="2:14" ht="12.75" customHeight="1" outlineLevel="2">
      <c r="B384" s="333"/>
      <c r="C384" s="338" t="s">
        <v>1736</v>
      </c>
      <c r="D384" s="334"/>
      <c r="E384" s="335"/>
      <c r="F384" s="335" t="s">
        <v>1739</v>
      </c>
      <c r="G384" s="365">
        <v>0.26</v>
      </c>
      <c r="H384" s="365">
        <v>0.28999999999999998</v>
      </c>
      <c r="I384" s="336">
        <v>11</v>
      </c>
      <c r="J384" s="271"/>
    </row>
    <row r="385" spans="2:10" ht="12.75" customHeight="1" outlineLevel="2">
      <c r="B385" s="333" t="s">
        <v>917</v>
      </c>
      <c r="C385" s="338" t="s">
        <v>924</v>
      </c>
      <c r="D385" s="334"/>
      <c r="E385" s="335"/>
      <c r="F385" s="335" t="s">
        <v>1741</v>
      </c>
      <c r="G385" s="365">
        <v>0.26</v>
      </c>
      <c r="H385" s="365">
        <v>0.28000000000000003</v>
      </c>
      <c r="I385" s="336">
        <v>12</v>
      </c>
      <c r="J385" s="271"/>
    </row>
    <row r="386" spans="2:10" ht="12.75" customHeight="1" outlineLevel="2">
      <c r="B386" s="333"/>
      <c r="C386" s="338" t="s">
        <v>925</v>
      </c>
      <c r="D386" s="334"/>
      <c r="E386" s="335"/>
      <c r="F386" s="335" t="s">
        <v>1740</v>
      </c>
      <c r="G386" s="365">
        <v>0.26</v>
      </c>
      <c r="H386" s="365">
        <v>0.28999999999999998</v>
      </c>
      <c r="I386" s="336">
        <v>13</v>
      </c>
      <c r="J386" s="271"/>
    </row>
    <row r="387" spans="2:10" ht="12.75" customHeight="1" outlineLevel="2">
      <c r="B387" s="333" t="s">
        <v>918</v>
      </c>
      <c r="C387" s="338" t="s">
        <v>926</v>
      </c>
      <c r="D387" s="334"/>
      <c r="E387" s="335"/>
      <c r="F387" s="335" t="s">
        <v>847</v>
      </c>
      <c r="G387" s="365">
        <v>0.27</v>
      </c>
      <c r="H387" s="365">
        <v>0.3</v>
      </c>
      <c r="I387" s="336">
        <v>20</v>
      </c>
      <c r="J387" s="271"/>
    </row>
    <row r="388" spans="2:10" ht="12.75" customHeight="1" outlineLevel="2">
      <c r="B388" s="333" t="s">
        <v>919</v>
      </c>
      <c r="C388" s="338" t="s">
        <v>927</v>
      </c>
      <c r="D388" s="334"/>
      <c r="E388" s="335"/>
      <c r="F388" s="335" t="s">
        <v>848</v>
      </c>
      <c r="G388" s="365">
        <v>0.26</v>
      </c>
      <c r="H388" s="365">
        <v>0.27</v>
      </c>
      <c r="I388" s="336">
        <v>8</v>
      </c>
      <c r="J388" s="271"/>
    </row>
    <row r="389" spans="2:10" ht="12.75" customHeight="1" outlineLevel="2">
      <c r="B389" s="333"/>
      <c r="C389" s="338" t="s">
        <v>1056</v>
      </c>
      <c r="D389" s="334"/>
      <c r="E389" s="335"/>
      <c r="F389" s="335" t="s">
        <v>1054</v>
      </c>
      <c r="G389" s="365">
        <v>0.26</v>
      </c>
      <c r="H389" s="365">
        <v>0.3</v>
      </c>
      <c r="I389" s="336">
        <v>11</v>
      </c>
      <c r="J389" s="271"/>
    </row>
    <row r="390" spans="2:10" ht="12.75" customHeight="1" outlineLevel="2">
      <c r="B390" s="326"/>
      <c r="C390" s="339" t="s">
        <v>1055</v>
      </c>
      <c r="D390" s="293"/>
      <c r="E390" s="294"/>
      <c r="F390" s="390" t="s">
        <v>846</v>
      </c>
      <c r="G390" s="366">
        <v>0.28000000000000003</v>
      </c>
      <c r="H390" s="366">
        <v>0.33</v>
      </c>
      <c r="I390" s="391">
        <v>20</v>
      </c>
      <c r="J390" s="271"/>
    </row>
    <row r="391" spans="2:10" ht="12.75" customHeight="1" outlineLevel="2">
      <c r="B391" s="1"/>
      <c r="D391" s="3"/>
      <c r="E391" s="27"/>
      <c r="F391" s="27"/>
      <c r="G391" s="27"/>
      <c r="H391" s="27"/>
      <c r="I391" s="27"/>
      <c r="J391" s="27"/>
    </row>
    <row r="392" spans="2:10" ht="12.75" customHeight="1" outlineLevel="2">
      <c r="B392" s="1"/>
      <c r="C392" s="218" t="s">
        <v>1827</v>
      </c>
      <c r="D392" s="3"/>
      <c r="E392" s="27"/>
      <c r="F392" s="27"/>
      <c r="G392" s="27"/>
      <c r="H392" s="27"/>
      <c r="I392" s="27"/>
      <c r="J392" s="27"/>
    </row>
    <row r="393" spans="2:10" ht="12.75" customHeight="1" outlineLevel="2">
      <c r="B393" s="1"/>
      <c r="C393" s="218" t="s">
        <v>1963</v>
      </c>
      <c r="D393" s="3"/>
      <c r="E393" s="27"/>
      <c r="F393" s="27"/>
      <c r="G393" s="27"/>
      <c r="H393" s="27"/>
      <c r="I393" s="27"/>
      <c r="J393" s="27"/>
    </row>
    <row r="394" spans="2:10" ht="12.75" customHeight="1" outlineLevel="2">
      <c r="B394" s="1"/>
      <c r="C394" s="218" t="s">
        <v>2005</v>
      </c>
      <c r="D394" s="3"/>
      <c r="E394" s="27"/>
      <c r="F394" s="27"/>
      <c r="G394" s="27"/>
      <c r="H394" s="27"/>
      <c r="I394" s="27"/>
      <c r="J394" s="27"/>
    </row>
    <row r="395" spans="2:10" ht="12.75" customHeight="1" outlineLevel="2">
      <c r="B395" s="1"/>
      <c r="C395" s="218" t="s">
        <v>2006</v>
      </c>
      <c r="D395" s="3"/>
      <c r="E395" s="27"/>
      <c r="F395" s="27"/>
      <c r="G395" s="27"/>
      <c r="H395" s="27"/>
      <c r="I395" s="27"/>
      <c r="J395" s="27"/>
    </row>
    <row r="396" spans="2:10" ht="12.75" customHeight="1" outlineLevel="2">
      <c r="B396" s="1"/>
      <c r="C396" s="218"/>
      <c r="D396" s="3"/>
      <c r="E396" s="27"/>
      <c r="F396" s="27"/>
      <c r="G396" s="27"/>
      <c r="H396" s="27"/>
      <c r="I396" s="27"/>
      <c r="J396" s="27"/>
    </row>
    <row r="397" spans="2:10" ht="12.75" customHeight="1" outlineLevel="2">
      <c r="B397" s="169"/>
      <c r="C397" s="11"/>
      <c r="D397" s="49"/>
      <c r="E397" s="170"/>
      <c r="F397" s="170"/>
      <c r="G397" s="171"/>
      <c r="H397" s="170"/>
      <c r="I397" s="170"/>
      <c r="J397" s="170"/>
    </row>
    <row r="398" spans="2:10" ht="12.75" customHeight="1" outlineLevel="2">
      <c r="B398" s="52" t="str">
        <f>HBL!$AA$1262</f>
        <v>Calculated value</v>
      </c>
      <c r="D398" s="13"/>
      <c r="E398" s="55"/>
      <c r="F398" s="55"/>
      <c r="G398" s="56"/>
      <c r="H398" s="55"/>
      <c r="I398" s="55"/>
      <c r="J398" s="55"/>
    </row>
    <row r="399" spans="2:10" ht="12.75" customHeight="1" outlineLevel="2">
      <c r="B399" s="298" t="str">
        <f>HBL!$AA$1390</f>
        <v>Main burner</v>
      </c>
      <c r="C399" s="299"/>
      <c r="D399" s="300" t="s">
        <v>356</v>
      </c>
      <c r="E399" s="368">
        <f>IF(MBZ_FUEL1="","",MBZ_FUEL1*1000*LHV_FUEL1/1000)</f>
        <v>85583.6</v>
      </c>
      <c r="F399" s="302" t="str">
        <f>IF(MBZ_FUEL2="","",MBZ_FUEL2*1000*LHV_FUEL2/1000)</f>
        <v/>
      </c>
      <c r="G399" s="301" t="str">
        <f>IF(MBZ_FUEL3="","",MBZ_FUEL3*1000*LHV_FUEL3/1000)</f>
        <v/>
      </c>
      <c r="H399" s="301" t="str">
        <f>IF(MBZ_FUEL4="","",MBZ_FUEL4*1000*LHV_FUEL4/1000)</f>
        <v/>
      </c>
      <c r="I399" s="301" t="str">
        <f>IF(MBZ_FUEL5="","",MBZ_FUEL5*1000*LHV_FUEL5/1000)</f>
        <v/>
      </c>
      <c r="J399" s="301" t="str">
        <f>IF(MBZ_FUEL6="","",MBZ_FUEL6*1000*LHV_FUEL6/1000)</f>
        <v/>
      </c>
    </row>
    <row r="400" spans="2:10" ht="12.75" customHeight="1" outlineLevel="2">
      <c r="B400" s="303" t="s">
        <v>1637</v>
      </c>
      <c r="C400" s="304"/>
      <c r="D400" s="283" t="s">
        <v>356</v>
      </c>
      <c r="E400" s="369">
        <f>IF(MSF_FUEL1="","",MSF_FUEL1*1000*LHV_FUEL1/1000)</f>
        <v>0</v>
      </c>
      <c r="F400" s="306">
        <f>IF(MSF_FUEL2="","",MSF_FUEL2*1000*LHV_FUEL2/1000)</f>
        <v>0</v>
      </c>
      <c r="G400" s="307">
        <f>IF(MSF_FUEL3="","",MSF_FUEL3*1000*LHV_FUEL3/1000)</f>
        <v>0</v>
      </c>
      <c r="H400" s="305" t="str">
        <f>IF(MSF_FUEL4="","",MSF_FUEL4*1000*LHV_FUEL4/1000)</f>
        <v/>
      </c>
      <c r="I400" s="305" t="str">
        <f>IF(MSF_FUEL5="","",MSF_FUEL5*1000*LHV_FUEL5/1000)</f>
        <v/>
      </c>
      <c r="J400" s="305" t="str">
        <f>IF(MSF_FUEL6="","",MSF_FUEL6*1000*LHV_FUEL6/1000)</f>
        <v/>
      </c>
    </row>
    <row r="401" spans="2:14" ht="12.75" customHeight="1" outlineLevel="2">
      <c r="B401" s="303" t="str">
        <f>HBL!$AA$1421</f>
        <v>Calciner</v>
      </c>
      <c r="C401" s="304"/>
      <c r="D401" s="283" t="s">
        <v>356</v>
      </c>
      <c r="E401" s="369">
        <f>IF(MCZ_FUEL1="","",MCZ_FUEL1*1000*LHV_FUEL1/1000)</f>
        <v>167451.07</v>
      </c>
      <c r="F401" s="306">
        <f>IF(MCZ_FUEL2="","",MCZ_FUEL2*1000*LHV_FUEL2/1000)</f>
        <v>0</v>
      </c>
      <c r="G401" s="307">
        <f>IF(MCZ_FUEL3="","",MCZ_FUEL3*1000*LHV_FUEL3/1000)</f>
        <v>0</v>
      </c>
      <c r="H401" s="305" t="str">
        <f>IF(MCZ_FUEL4="","",MCZ_FUEL4*1000*LHV_FUEL4/1000)</f>
        <v/>
      </c>
      <c r="I401" s="305" t="str">
        <f>IF(MCZ_FUEL5="","",MCZ_FUEL5*1000*LHV_FUEL5/1000)</f>
        <v/>
      </c>
      <c r="J401" s="305" t="str">
        <f>IF(MCZ_FUEL6="","",MCZ_FUEL6*1000*LHV_FUEL6/1000)</f>
        <v/>
      </c>
    </row>
    <row r="402" spans="2:14" ht="12.75" customHeight="1" outlineLevel="2">
      <c r="B402" s="308" t="str">
        <f>HBL!$AA$1241</f>
        <v>Ash input</v>
      </c>
      <c r="C402" s="309"/>
      <c r="D402" s="283" t="s">
        <v>302</v>
      </c>
      <c r="E402" s="396">
        <f>IF(M_FUEL1=0,"",M_FUEL1*E356/100)</f>
        <v>2.3593500000000001</v>
      </c>
      <c r="F402" s="397" t="str">
        <f>IF(M_FUEL2=0,"",M_FUEL2*F356/100)</f>
        <v/>
      </c>
      <c r="G402" s="398" t="str">
        <f>IF(M_FUEL3=0,"",M_FUEL3*G356/100)</f>
        <v/>
      </c>
      <c r="H402" s="399" t="str">
        <f>IF(M_FUEL4=0,"",M_FUEL4*H356/100)</f>
        <v/>
      </c>
      <c r="I402" s="399" t="str">
        <f>IF(M_FUEL5=0,"",M_FUEL5*I356/100)</f>
        <v/>
      </c>
      <c r="J402" s="399" t="str">
        <f>IF(M_FUEL6=0,"",M_FUEL6*J356/100)</f>
        <v/>
      </c>
    </row>
    <row r="403" spans="2:14" ht="12.75" customHeight="1" outlineLevel="2">
      <c r="B403" s="310" t="str">
        <f>HBL!$AA$1650</f>
        <v>Water input kiln</v>
      </c>
      <c r="C403" s="309"/>
      <c r="D403" s="283" t="s">
        <v>302</v>
      </c>
      <c r="E403" s="370">
        <f>IF(MBZ_FUEL1="","",MBZ_FUEL1*H2O_FUEL1/100)</f>
        <v>3.7999999999999999E-2</v>
      </c>
      <c r="F403" s="306" t="str">
        <f>IF(MBZ_FUEL2="","",MBZ_FUEL2*H2O_FUEL2/100)</f>
        <v/>
      </c>
      <c r="G403" s="307" t="str">
        <f>IF(MBZ_FUEL3="","",MBZ_FUEL3*H2O_FUEL3/100)</f>
        <v/>
      </c>
      <c r="H403" s="305" t="str">
        <f>IF(MBZ_FUEL4="","",MBZ_FUEL4*H2O_FUEL4/100)</f>
        <v/>
      </c>
      <c r="I403" s="305" t="str">
        <f>IF(MBZ_FUEL5="","",MBZ_FUEL5*H2O_FUEL5/100)</f>
        <v/>
      </c>
      <c r="J403" s="305" t="str">
        <f>IF(MBZ_FUEL6="","",MBZ_FUEL6*H2O_FUEL6/100)</f>
        <v/>
      </c>
    </row>
    <row r="404" spans="2:14" ht="12.75" customHeight="1" outlineLevel="2">
      <c r="B404" s="310" t="str">
        <f>HBL!$AA$1651</f>
        <v>Water input calciner</v>
      </c>
      <c r="C404" s="309"/>
      <c r="D404" s="283" t="s">
        <v>302</v>
      </c>
      <c r="E404" s="370">
        <f>IF(MCZ_FUEL1="","",MCZ_FUEL1*H2O_FUEL1/100)</f>
        <v>7.4349999999999999E-2</v>
      </c>
      <c r="F404" s="306">
        <f>IF(MCZ_FUEL2="","",MCZ_FUEL2*H2O_FUEL2/100)</f>
        <v>0</v>
      </c>
      <c r="G404" s="307">
        <f>IF(MCZ_FUEL3="","",MCZ_FUEL3*H2O_FUEL3/100)</f>
        <v>0</v>
      </c>
      <c r="H404" s="305" t="str">
        <f>IF(MCZ_FUEL4="","",MCZ_FUEL4*H2O_FUEL4/100)</f>
        <v/>
      </c>
      <c r="I404" s="305" t="str">
        <f>IF(MCZ_FUEL5="","",MCZ_FUEL5*H2O_FUEL5/100)</f>
        <v/>
      </c>
      <c r="J404" s="305" t="str">
        <f>IF(MCZ_FUEL6="","",MCZ_FUEL6*H2O_FUEL6/100)</f>
        <v/>
      </c>
    </row>
    <row r="405" spans="2:14" ht="12.75" customHeight="1" outlineLevel="2">
      <c r="B405" s="310" t="str">
        <f>HBL!$AA$1601</f>
        <v>Combust. air kiln</v>
      </c>
      <c r="C405" s="309"/>
      <c r="D405" s="311" t="s">
        <v>345</v>
      </c>
      <c r="E405" s="370">
        <f>IF(MBZ_FUEL1="","", MBZ_FUEL1*1000*LHV_FUEL1*Amin_FUEL1/1000)</f>
        <v>22251.736000000001</v>
      </c>
      <c r="F405" s="306" t="str">
        <f>IF(MBZ_FUEL2="","",MBZ_FUEL2*1000*LHV_FUEL2*Amin_FUEL2/1000)</f>
        <v/>
      </c>
      <c r="G405" s="307" t="str">
        <f>IF(MBZ_FUEL3="","",MBZ_FUEL3*1000*LHV_FUEL3*Amin_FUEL3/1000)</f>
        <v/>
      </c>
      <c r="H405" s="305" t="str">
        <f>IF(MBZ_FUEL4="","",MBZ_FUEL4*1000*LHV_FUEL4*Amin_FUEL4/1000)</f>
        <v/>
      </c>
      <c r="I405" s="305" t="str">
        <f>IF(MBZ_FUEL5="","",MBZ_FUEL5*1000*LHV_FUEL5*Amin_FUEL5/1000)</f>
        <v/>
      </c>
      <c r="J405" s="305" t="str">
        <f>IF(MBZ_FUEL6="","",MBZ_FUEL6*1000*LHV_FUEL6*Amin_FUEL6/1000)</f>
        <v/>
      </c>
      <c r="M405" s="5"/>
    </row>
    <row r="406" spans="2:14" ht="12.75" customHeight="1" outlineLevel="2">
      <c r="B406" s="310" t="s">
        <v>1763</v>
      </c>
      <c r="C406" s="309"/>
      <c r="D406" s="311" t="s">
        <v>345</v>
      </c>
      <c r="E406" s="370">
        <f>IF(MSF_FUEL1="","", MSF_FUEL1*1000*LHV_FUEL1*Amin_FUEL1/1000)</f>
        <v>0</v>
      </c>
      <c r="F406" s="306">
        <f>IF(MSF_FUEL2="","", MSF_FUEL2*1000*LHV_FUEL2*Amin_FUEL1/1000)</f>
        <v>0</v>
      </c>
      <c r="G406" s="307">
        <f>IF(MSF_FUEL3="","", MSF_FUEL3*1000*LHV_FUEL3*Amin_FUEL3/1000)</f>
        <v>0</v>
      </c>
      <c r="H406" s="305" t="str">
        <f>IF(MSF_FUEL4="","", MSF_FUEL4*1000*LHV_FUEL4*Amin_FUEL4/1000)</f>
        <v/>
      </c>
      <c r="I406" s="305" t="str">
        <f>IF(MSF_FUEL5="","", MSF_FUEL5*1000*LHV_FUEL5*Amin_FUEL5/1000)</f>
        <v/>
      </c>
      <c r="J406" s="305" t="str">
        <f>IF(MSF_FUEL6="","", MSF_FUEL6*1000*LHV_FUEL6*Amin_FUEL6/1000)</f>
        <v/>
      </c>
    </row>
    <row r="407" spans="2:14" ht="12.75" customHeight="1" outlineLevel="2">
      <c r="B407" s="310" t="str">
        <f>HBL!$AA$1602</f>
        <v>Combust. air calciner</v>
      </c>
      <c r="C407" s="309"/>
      <c r="D407" s="283" t="s">
        <v>345</v>
      </c>
      <c r="E407" s="370">
        <f>IF(MCZ_FUEL1="","",MCZ_FUEL1*1000*LHV_FUEL1*Amin_FUEL1/1000)</f>
        <v>43537.278200000001</v>
      </c>
      <c r="F407" s="306">
        <f>IF(MCZ_FUEL2="","",MCZ_FUEL2*1000*LHV_FUEL2*Amin_FUEL2/1000)</f>
        <v>0</v>
      </c>
      <c r="G407" s="305">
        <f>IF(MCZ_FUEL3="","",MCZ_FUEL3*1000*LHV_FUEL3*Amin_FUEL3/1000)</f>
        <v>0</v>
      </c>
      <c r="H407" s="305" t="str">
        <f>IF(MCZ_FUEL4="","",MCZ_FUEL4*1000*LHV_FUEL4*Amin_FUEL4/1000)</f>
        <v/>
      </c>
      <c r="I407" s="305" t="str">
        <f>IF(MCZ_FUEL5="","",MCZ_FUEL5*1000*LHV_FUEL5*Amin_FUEL5/1000)</f>
        <v/>
      </c>
      <c r="J407" s="305" t="str">
        <f>IF(MCZ_FUEL6="","",MCZ_FUEL6*1000*LHV_FUEL6*Amin_FUEL6/1000)</f>
        <v/>
      </c>
    </row>
    <row r="408" spans="2:14" ht="12.75" customHeight="1" outlineLevel="2">
      <c r="B408" s="310" t="str">
        <f>HBL!$AA$1603</f>
        <v>Combust. gas kiln</v>
      </c>
      <c r="C408" s="309"/>
      <c r="D408" s="283" t="s">
        <v>345</v>
      </c>
      <c r="E408" s="370">
        <f>IF(MBZ_FUEL1="","",MBZ_FUEL1*1000*LHV_FUEL1*Vmin_FUEL1/1000)</f>
        <v>23963.408000000003</v>
      </c>
      <c r="F408" s="305" t="str">
        <f>IF(MBZ_FUEL2="","",MBZ_FUEL2*1000*LHV_FUEL2*Vmin_FUEL2/1000)</f>
        <v/>
      </c>
      <c r="G408" s="312" t="str">
        <f>IF(MBZ_FUEL3="","",MBZ_FUEL3*1000*LHV_FUEL3*Vmin_FUEL3/1000)</f>
        <v/>
      </c>
      <c r="H408" s="305" t="str">
        <f>IF(MBZ_FUEL4="","",MBZ_FUEL4*1000*LHV_FUEL4*Vmin_FUEL4/1000)</f>
        <v/>
      </c>
      <c r="I408" s="305" t="str">
        <f>IF(MBZ_FUEL5="","",MBZ_FUEL5*1000*LHV_FUEL5*Vmin_FUEL5/1000)</f>
        <v/>
      </c>
      <c r="J408" s="305" t="str">
        <f>IF(MBZ_FUEL6="","",MBZ_FUEL6*1000*LHV_FUEL6*Vmin_FUEL6/1000)</f>
        <v/>
      </c>
    </row>
    <row r="409" spans="2:14" ht="12.75" customHeight="1" outlineLevel="2">
      <c r="B409" s="310"/>
      <c r="C409" s="304" t="str">
        <f>HBL!$AA$1581</f>
        <v>dry</v>
      </c>
      <c r="D409" s="283" t="s">
        <v>345</v>
      </c>
      <c r="E409" s="370">
        <f>IF(MBZ_FUEL1="","",MBZ_FUEL1*1000*LHV_FUEL1*Vmin_FUEL1*(1-H2O_Vmin1/100)/1000)</f>
        <v>23723.773920000003</v>
      </c>
      <c r="F409" s="305" t="str">
        <f>IF(MBZ_FUEL2="","",MBZ_FUEL2*1000*LHV_FUEL2*Vmin_FUEL2*(1-H2O_Vmin2/100)/1000)</f>
        <v/>
      </c>
      <c r="G409" s="312" t="str">
        <f>IF(MBZ_FUEL3="","",MBZ_FUEL3*1000*LHV_FUEL3*Vmin_FUEL3*(1-H2O_Vmin3/100)/1000)</f>
        <v/>
      </c>
      <c r="H409" s="305" t="str">
        <f>IF(MBZ_FUEL4="","",MBZ_FUEL4*1000*LHV_FUEL4*Vmin_FUEL4*(1-H2O_Vmin4/100)/1000)</f>
        <v/>
      </c>
      <c r="I409" s="305" t="str">
        <f>IF(MBZ_FUEL5="","",MBZ_FUEL5*1000*LHV_FUEL5*Vmin_FUEL5*(1-H2O_Vmin5/100)/1000)</f>
        <v/>
      </c>
      <c r="J409" s="305" t="str">
        <f>IF(MBZ_FUEL6="","",MBZ_FUEL6*1000*LHV_FUEL6*Vmin_FUEL6*(1-H2O_Vmin6/100)/1000)</f>
        <v/>
      </c>
      <c r="N409" s="786">
        <f>E408+F412</f>
        <v>23963.408000000003</v>
      </c>
    </row>
    <row r="410" spans="2:14" ht="12.75" customHeight="1" outlineLevel="2">
      <c r="B410" s="310" t="s">
        <v>1763</v>
      </c>
      <c r="C410" s="304"/>
      <c r="D410" s="283" t="s">
        <v>345</v>
      </c>
      <c r="E410" s="370">
        <f>IF(MSF_FUEL1="","",MSF_FUEL1*1000*LHV_FUEL1*Vmin_FUEL1/1000)</f>
        <v>0</v>
      </c>
      <c r="F410" s="306">
        <f>IF(MSF_FUEL2="","",MSF_FUEL2*1000*LHV_FUEL2*Vmin_FUEL2/1000)</f>
        <v>0</v>
      </c>
      <c r="G410" s="307">
        <f>IF(MSF_FUEL3="","",MSF_FUEL3*1000*LHV_FUEL3*Vmin_FUEL3/1000)</f>
        <v>0</v>
      </c>
      <c r="H410" s="305" t="str">
        <f>IF(MSF_FUEL4="","",MSF_FUEL4*1000*LHV_FUEL4*Vmin_FUEL4/1000)</f>
        <v/>
      </c>
      <c r="I410" s="305" t="str">
        <f>IF(MSF_FUEL5="","",MSF_FUEL5*1000*LHV_FUEL5*Vmin_FUEL5/1000)</f>
        <v/>
      </c>
      <c r="J410" s="305" t="str">
        <f>IF(MSF_FUEL6="","",MSF_FUEL6*1000*LHV_FUEL6*Vmin_FUEL6/1000)</f>
        <v/>
      </c>
      <c r="N410" s="786">
        <f>E412</f>
        <v>46886.299599999991</v>
      </c>
    </row>
    <row r="411" spans="2:14" ht="12.75" customHeight="1" outlineLevel="2">
      <c r="B411" s="310"/>
      <c r="C411" s="304" t="str">
        <f>HBL!$AA$1581</f>
        <v>dry</v>
      </c>
      <c r="D411" s="283" t="s">
        <v>345</v>
      </c>
      <c r="E411" s="370">
        <f>IF(MSF_FUEL1="","",MSF_FUEL1*1000*LHV_FUEL1*Vmin_FUEL1*(1-H2O_Vmin1/100)/1000)</f>
        <v>0</v>
      </c>
      <c r="F411" s="306">
        <f>IF(MSF_FUEL2="","",MSF_FUEL2*1000*LHV_FUEL2*Vmin_FUEL2*(1-H2O_Vmin2/100)/1000)</f>
        <v>0</v>
      </c>
      <c r="G411" s="307">
        <f>IF(MSF_FUEL3="","",MSF_FUEL3*1000*LHV_FUEL3*Vmin_FUEL3*(1-H2O_Vmin3/100)/1000)</f>
        <v>0</v>
      </c>
      <c r="H411" s="305" t="str">
        <f>IF(MSF_FUEL4="","",MSF_FUEL4*1000*LHV_FUEL4*Vmin_FUEL4*(1-H2O_Vmin4/100)/1000)</f>
        <v/>
      </c>
      <c r="I411" s="305" t="str">
        <f>IF(MSF_FUEL5="","",MSF_FUEL5*1000*LHV_FUEL5*Vmin_FUEL5*(1-H2O_Vmin5/100)/1000)</f>
        <v/>
      </c>
      <c r="J411" s="305" t="str">
        <f>IF(MSF_FUEL6="","",MSF_FUEL6*1000*LHV_FUEL6*Vmin_FUEL6*(1-H2O_Vmin6/100)/1000)</f>
        <v/>
      </c>
    </row>
    <row r="412" spans="2:14" ht="12.75" customHeight="1" outlineLevel="2">
      <c r="B412" s="310" t="str">
        <f>HBL!$AA$1604</f>
        <v>Combust. gas calciner</v>
      </c>
      <c r="C412" s="309"/>
      <c r="D412" s="283" t="s">
        <v>345</v>
      </c>
      <c r="E412" s="370">
        <f>IF(MCZ_FUEL1="","",Vmin_FUEL1*MCZ_FUEL1*1000*LHV_FUEL1/1000)</f>
        <v>46886.299599999991</v>
      </c>
      <c r="F412" s="305">
        <f>IF(MCZ_FUEL2="","",Vmin_FUEL2*MCZ_FUEL2*1000*LHV_FUEL2/1000)</f>
        <v>0</v>
      </c>
      <c r="G412" s="312">
        <f>IF(MCZ_FUEL3="","",Vmin_FUEL3*MCZ_FUEL3*1000*LHV_FUEL3/1000)</f>
        <v>0</v>
      </c>
      <c r="H412" s="305" t="str">
        <f>IF(MCZ_FUEL4="","",Vmin_FUEL4*MCZ_FUEL4*1000*LHV_FUEL4/1000)</f>
        <v/>
      </c>
      <c r="I412" s="305" t="str">
        <f>IF(MCZ_FUEL5="","",Vmin_FUEL5*MCZ_FUEL5*1000*LHV_FUEL5/1000)</f>
        <v/>
      </c>
      <c r="J412" s="305" t="str">
        <f>IF(MCZ_FUEL6="","",Vmin_FUEL6*MCZ_FUEL6*1000*LHV_FUEL6/1000)</f>
        <v/>
      </c>
    </row>
    <row r="413" spans="2:14" ht="12.75" customHeight="1" outlineLevel="2">
      <c r="B413" s="310"/>
      <c r="C413" s="304" t="str">
        <f>HBL!$AA$1581</f>
        <v>dry</v>
      </c>
      <c r="D413" s="283" t="s">
        <v>345</v>
      </c>
      <c r="E413" s="370">
        <f>IF(MCZ_FUEL1="","",Vmin_FUEL1*(1-H2O_Vmin1/100)*MCZ_FUEL1*1000*LHV_FUEL1/1000)</f>
        <v>46417.436604000002</v>
      </c>
      <c r="F413" s="305">
        <f>IF(MCZ_FUEL2="","",Vmin_FUEL2*(1-H2O_Vmin2/100)*MCZ_FUEL2*1000*LHV_FUEL2/1000)</f>
        <v>0</v>
      </c>
      <c r="G413" s="312">
        <f>IF(MCZ_FUEL3="","",Vmin_FUEL3*(1-H2O_Vmin3/100)*MCZ_FUEL3*1000*LHV_FUEL3/1000)</f>
        <v>0</v>
      </c>
      <c r="H413" s="305" t="str">
        <f>IF(MCZ_FUEL4="","",Vmin_FUEL4*(1-H2O_Vmin4/100)*MCZ_FUEL4*1000*LHV_FUEL4/1000)</f>
        <v/>
      </c>
      <c r="I413" s="305" t="str">
        <f>IF(MCZ_FUEL5="","",Vmin_FUEL5*(1-H2O_Vmin5/100)*MCZ_FUEL5*1000*LHV_FUEL5/1000)</f>
        <v/>
      </c>
      <c r="J413" s="305" t="str">
        <f>IF(MCZ_FUEL6="","",Vmin_FUEL6*(1-H2O_Vmin6/100)*MCZ_FUEL6*1000*LHV_FUEL6/1000)</f>
        <v/>
      </c>
    </row>
    <row r="414" spans="2:14" ht="12.75" customHeight="1" outlineLevel="2">
      <c r="B414" s="310" t="str">
        <f>HBL!$AA$1599</f>
        <v>Combustion gas (wet)</v>
      </c>
      <c r="C414" s="309"/>
      <c r="D414" s="283" t="s">
        <v>345</v>
      </c>
      <c r="E414" s="370">
        <f>IF(M_FUEL1=0,"",Vmin_FUEL1*M_FUEL1*1000*LHV_FUEL1/1000)</f>
        <v>70849.707599999994</v>
      </c>
      <c r="F414" s="305" t="str">
        <f>IF(M_FUEL2=0,"",Vmin_FUEL2*M_FUEL2*1000*LHV_FUEL2/1000)</f>
        <v/>
      </c>
      <c r="G414" s="312" t="str">
        <f>IF(M_FUEL3=0,"",Vmin_FUEL3*M_FUEL3*1000*LHV_FUEL3/1000)</f>
        <v/>
      </c>
      <c r="H414" s="305" t="str">
        <f>IF(M_FUEL4=0,"",Vmin_FUEL4*M_FUEL4*1000*LHV_FUEL4/1000)</f>
        <v/>
      </c>
      <c r="I414" s="305" t="str">
        <f>IF(M_FUEL5=0,"",Vmin_FUEL5*M_FUEL5*1000*LHV_FUEL5/1000)</f>
        <v/>
      </c>
      <c r="J414" s="305" t="str">
        <f>IF(M_FUEL6=0,"",Vmin_FUEL6*M_FUEL6*1000*LHV_FUEL6/1000)</f>
        <v/>
      </c>
    </row>
    <row r="415" spans="2:14" ht="12.75" customHeight="1" outlineLevel="2">
      <c r="B415" s="58"/>
      <c r="C415" s="199" t="str">
        <f>HBL!$AA$1581</f>
        <v>dry</v>
      </c>
      <c r="D415" s="15" t="s">
        <v>345</v>
      </c>
      <c r="E415" s="371">
        <f>IF(M_FUEL1=0,"",Vmin_FUEL1*(1-H2O_Vmin1/100)*M_FUEL1*1000*LHV_FUEL1/1000)</f>
        <v>70141.210523999995</v>
      </c>
      <c r="F415" s="205" t="str">
        <f>IF(M_FUEL2=0,"",Vmin_FUEL2*(1-H2O_Vmin2/100)*M_FUEL2*1000*LHV_FUEL2/1000)</f>
        <v/>
      </c>
      <c r="G415" s="206" t="str">
        <f>IF(M_FUEL3=0,"",Vmin_FUEL3*(1-H2O_Vmin3/100)*M_FUEL3*1000*LHV_FUEL3/1000)</f>
        <v/>
      </c>
      <c r="H415" s="112" t="str">
        <f>IF(M_FUEL4=0,"",Vmin_FUEL4*(1-H2O_Vmin4/100)*M_FUEL4*1000*LHV_FUEL4/1000)</f>
        <v/>
      </c>
      <c r="I415" s="112" t="str">
        <f>IF(M_FUEL5=0,"",Vmin_FUEL5*(1-H2O_Vmin5/100)*M_FUEL5*1000*LHV_FUEL5/1000)</f>
        <v/>
      </c>
      <c r="J415" s="112" t="str">
        <f>IF(M_FUEL6=0,"",Vmin_FUEL6*(1-H2O_Vmin6/100)*M_FUEL6*1000*LHV_FUEL6/1000)</f>
        <v/>
      </c>
    </row>
    <row r="416" spans="2:14" ht="12.75" customHeight="1" outlineLevel="2"/>
    <row r="417" spans="1:13" ht="12.75" customHeight="1" outlineLevel="2" thickBot="1">
      <c r="E417" s="5"/>
    </row>
    <row r="418" spans="1:13" ht="12.75" customHeight="1" outlineLevel="2">
      <c r="B418" t="str">
        <f>HBL!$AA$1373</f>
        <v>Total heat input</v>
      </c>
      <c r="D418" t="str">
        <f>HBL!$AA$1390</f>
        <v>Main burner</v>
      </c>
      <c r="F418" s="552">
        <f>IF(SUM($E$399:$J$399)=0,"",SUM($E$399:$J$399)/M_CLI)</f>
        <v>1122.4078688524592</v>
      </c>
      <c r="G418" s="2" t="s">
        <v>315</v>
      </c>
      <c r="I418" s="555">
        <f>IF(Q_BZ="","",Q_BZ/SUM(Q_BZ:Q_CZ)*100)</f>
        <v>33.822874944370277</v>
      </c>
      <c r="J418" t="s">
        <v>305</v>
      </c>
    </row>
    <row r="419" spans="1:13" ht="12.75" customHeight="1" outlineLevel="2">
      <c r="D419" t="s">
        <v>1637</v>
      </c>
      <c r="F419" s="553">
        <f>IF(SUM($E$400:$J$400)=0,0,SUM($E$400:$J$400)/M_CLI)</f>
        <v>0</v>
      </c>
      <c r="G419" s="2" t="s">
        <v>315</v>
      </c>
      <c r="I419" s="556">
        <f>IF(Q_SF="","",Q_SF/SUM(Q_BZ:Q_CZ)*100)</f>
        <v>0</v>
      </c>
      <c r="J419" t="s">
        <v>305</v>
      </c>
    </row>
    <row r="420" spans="1:13" ht="12.75" customHeight="1" outlineLevel="2" thickBot="1">
      <c r="D420" t="str">
        <f>HBL!$AA$1421</f>
        <v>Calciner</v>
      </c>
      <c r="F420" s="554">
        <f>IF(SUM(E401:J401)=0,"",SUM(E401:J401)/M_CLI)</f>
        <v>2196.0796065573772</v>
      </c>
      <c r="G420" s="2" t="s">
        <v>315</v>
      </c>
      <c r="I420" s="557">
        <f>IF(Q_CZ="","",Q_CZ/SUM(Q_BZ:Q_CZ)*100)</f>
        <v>66.17712505562973</v>
      </c>
      <c r="J420" s="5" t="s">
        <v>305</v>
      </c>
    </row>
    <row r="421" spans="1:13" ht="12.75" customHeight="1" outlineLevel="2" thickBot="1"/>
    <row r="422" spans="1:13" ht="12.75" customHeight="1" outlineLevel="2" thickBot="1">
      <c r="F422" t="str">
        <f>HBL!$AA$1359</f>
        <v>Kiln heat balance error</v>
      </c>
      <c r="I422" s="551">
        <f>IF(KILNHBL_ERROR="","",KILNHBL_ERROR)</f>
        <v>-0.75409871994534727</v>
      </c>
      <c r="J422" t="s">
        <v>305</v>
      </c>
    </row>
    <row r="423" spans="1:13" ht="12.75" customHeight="1" outlineLevel="2"/>
    <row r="424" spans="1:13" ht="12.75" customHeight="1" outlineLevel="1" thickBot="1"/>
    <row r="425" spans="1:13" ht="12.75" customHeight="1" outlineLevel="1" thickBot="1">
      <c r="A425" s="628">
        <v>16</v>
      </c>
      <c r="B425" s="492" t="str">
        <f>HBL!$AA$1524</f>
        <v>GRATE COOLER AIR BALANCE</v>
      </c>
      <c r="C425" s="494"/>
      <c r="D425" s="491"/>
      <c r="E425" s="491"/>
      <c r="F425" t="str">
        <f>HBL!$AA$1356</f>
        <v>Cooler air balance error</v>
      </c>
      <c r="I425" s="551">
        <f>IF(AIRBAL_ERROR="","",AIRBAL_ERROR)</f>
        <v>-0.17877271896440444</v>
      </c>
      <c r="J425" t="s">
        <v>305</v>
      </c>
    </row>
    <row r="426" spans="1:13" ht="12.75" customHeight="1" outlineLevel="2">
      <c r="M426" s="2"/>
    </row>
    <row r="427" spans="1:13" ht="12.75" customHeight="1" outlineLevel="2">
      <c r="B427" t="str">
        <f>HBL!$AA$1464</f>
        <v>Minimum air for main firing</v>
      </c>
      <c r="F427" s="30"/>
      <c r="H427" s="3"/>
      <c r="I427" s="285">
        <f>IF(SUM(E405:J405)=0,"",SUM(E405:J405))</f>
        <v>22251.736000000001</v>
      </c>
      <c r="J427" t="s">
        <v>330</v>
      </c>
    </row>
    <row r="428" spans="1:13" ht="12.75" customHeight="1" outlineLevel="2">
      <c r="B428" t="s">
        <v>839</v>
      </c>
      <c r="F428" s="30"/>
      <c r="H428" s="3"/>
      <c r="I428" s="285">
        <f>IF(SUM(E406:J406)=0,,SUM(E406:J406))</f>
        <v>0</v>
      </c>
      <c r="J428" t="s">
        <v>330</v>
      </c>
    </row>
    <row r="429" spans="1:13" ht="12.75" customHeight="1" outlineLevel="2">
      <c r="B429" t="str">
        <f>HBL!$AA$1585</f>
        <v>Excess air kiln inlet</v>
      </c>
      <c r="E429" s="116"/>
      <c r="F429">
        <f>IF(O2_KILNINLET="","",O2_KILNINLET)</f>
        <v>2.4</v>
      </c>
      <c r="G429" s="41" t="str">
        <f>HBL!$AA$1681</f>
        <v>% O2 dry</v>
      </c>
      <c r="I429" s="285">
        <f>IF(Q_BZ="","", (0.27*(1-CALCINATION/100)+(SUM($E$409:$J$409)+SUM(E411:J411))/M_CLI/1000)*O2_KILNINLET/(21-O2_KILNINLET)*M_CLI*1000)</f>
        <v>3220.5192154838705</v>
      </c>
      <c r="J429" t="s">
        <v>330</v>
      </c>
      <c r="K429" s="261"/>
      <c r="L429" s="2"/>
      <c r="M429" s="2"/>
    </row>
    <row r="430" spans="1:13" ht="12.75" customHeight="1" outlineLevel="2" thickBot="1">
      <c r="B430" t="str">
        <f>HBL!$AA$1502</f>
        <v>Primary air main burner</v>
      </c>
      <c r="F430" s="20">
        <f>IF(I427="","",I430/I427*100)</f>
        <v>17.841304606525981</v>
      </c>
      <c r="G430" t="s">
        <v>297</v>
      </c>
      <c r="I430" s="285">
        <f>IF(VN_PRIMAIR="","",VN_PRIMAIR)</f>
        <v>3970</v>
      </c>
      <c r="J430" t="s">
        <v>330</v>
      </c>
    </row>
    <row r="431" spans="1:13" ht="12.75" customHeight="1" outlineLevel="2" thickTop="1" thickBot="1">
      <c r="B431" t="str">
        <f>HBL!$AA$1355</f>
        <v>False air kiln hood</v>
      </c>
      <c r="F431" s="36">
        <f>IF(I431="","",I431/(M_CLI*1000))</f>
        <v>1.8570491803278688E-2</v>
      </c>
      <c r="G431" t="s">
        <v>332</v>
      </c>
      <c r="I431" s="710">
        <v>1416</v>
      </c>
      <c r="J431" t="s">
        <v>330</v>
      </c>
      <c r="M431" s="2"/>
    </row>
    <row r="432" spans="1:13" ht="12.75" customHeight="1" outlineLevel="2" thickTop="1">
      <c r="B432" s="218" t="s">
        <v>423</v>
      </c>
      <c r="C432" s="228" t="s">
        <v>1228</v>
      </c>
      <c r="D432" s="218"/>
      <c r="E432" s="218"/>
      <c r="F432" s="224" t="s">
        <v>43</v>
      </c>
      <c r="G432" s="218" t="s">
        <v>332</v>
      </c>
      <c r="I432" s="286"/>
      <c r="M432" s="18"/>
    </row>
    <row r="433" spans="2:23" ht="12.75" customHeight="1" outlineLevel="2" thickBot="1">
      <c r="F433" s="36"/>
      <c r="I433" s="286"/>
      <c r="M433" s="18"/>
    </row>
    <row r="434" spans="2:23" ht="12.75" customHeight="1" outlineLevel="2" thickTop="1" thickBot="1">
      <c r="B434" t="str">
        <f>HBL!$AA$1321</f>
        <v>Calcination degree of the hot meal</v>
      </c>
      <c r="D434" s="17"/>
      <c r="E434" s="18"/>
      <c r="I434" s="710">
        <v>94</v>
      </c>
      <c r="J434" t="s">
        <v>297</v>
      </c>
      <c r="K434" s="182" t="s">
        <v>2037</v>
      </c>
      <c r="L434" s="804">
        <v>0.91600000000000004</v>
      </c>
      <c r="W434"/>
    </row>
    <row r="435" spans="2:23" ht="12.75" customHeight="1" outlineLevel="2" thickTop="1" thickBot="1">
      <c r="B435" t="str">
        <f>HBL!$AA$1478</f>
        <v>O2 after calciner</v>
      </c>
      <c r="E435" s="614" t="str">
        <f>IF(F48=4,"After bottom stage cyclone in case of OLC","")</f>
        <v/>
      </c>
      <c r="I435" s="712">
        <v>3</v>
      </c>
      <c r="J435" t="s">
        <v>297</v>
      </c>
      <c r="K435" s="182" t="s">
        <v>2038</v>
      </c>
      <c r="L435" s="804">
        <v>0.91100000000000003</v>
      </c>
    </row>
    <row r="436" spans="2:23" ht="12.75" customHeight="1" outlineLevel="2" thickTop="1">
      <c r="B436" t="str">
        <f>HBL!$AA$1465</f>
        <v>Minimum air for calciner firing</v>
      </c>
      <c r="I436" s="285">
        <f>IF(SUM(E407:J407)=0,"",SUM(E407:J407))</f>
        <v>43537.278200000001</v>
      </c>
      <c r="J436" t="s">
        <v>330</v>
      </c>
      <c r="K436" s="182" t="s">
        <v>2024</v>
      </c>
      <c r="L436" s="804">
        <v>0.91900000000000004</v>
      </c>
    </row>
    <row r="437" spans="2:23" ht="12.75" customHeight="1" outlineLevel="2">
      <c r="B437" t="str">
        <f>HBL!$AA$1586</f>
        <v>Excess air after calciner</v>
      </c>
      <c r="F437">
        <f>IF(O2_PRECALEXIT="","",O2_PRECALEXIT)</f>
        <v>3</v>
      </c>
      <c r="G437" s="41" t="str">
        <f>HBL!$AA$1681</f>
        <v>% O2 dry</v>
      </c>
      <c r="I437" s="285">
        <f>IF(VN_EXHAUSTCOMBCO2="","",   IF(PRECAL&lt;3,"",IF(OR(PRECAL=3, PRECAL=4),(VN_EXHAUSTCOMBCO2-0.25*Q_ORGMATTER/1000*M_CLI*1000)*O2_PRECALEXIT/(21-O2_PRECALEXIT),(VN_EXHAUSTCOMBCO2CALCINER-M_CLI*Q_ORGMATTER*0.28*FEED_CALCINER/100)*O2_PRECALEXIT/(21-O2_PRECALEXIT)))   )</f>
        <v>15248.535087333332</v>
      </c>
      <c r="J437" t="s">
        <v>330</v>
      </c>
      <c r="K437" s="1" t="s">
        <v>2039</v>
      </c>
      <c r="L437" s="805">
        <f>AVERAGE(L434:L436)</f>
        <v>0.91533333333333333</v>
      </c>
    </row>
    <row r="438" spans="2:23" ht="12.75" customHeight="1" outlineLevel="2" thickBot="1">
      <c r="B438" t="str">
        <f>HBL!$AA$1504</f>
        <v>Primary air calciner</v>
      </c>
      <c r="F438" s="20">
        <f>IF(I436="","",IF(VN_PRIMAIRCAL="","",VN_PRIMAIRCAL/I436*100))</f>
        <v>8.0620565756910363</v>
      </c>
      <c r="G438" t="s">
        <v>297</v>
      </c>
      <c r="I438" s="285">
        <f>IF(AND(VN_PRIMAIRCAL="", PRECAL&lt;3),"", IF(AND(VN_PRIMAIRCAL="", PRECAL&gt;2),0,VN_PRIMAIRCAL))</f>
        <v>3510</v>
      </c>
      <c r="J438" t="s">
        <v>330</v>
      </c>
    </row>
    <row r="439" spans="2:23" ht="12.75" customHeight="1" outlineLevel="2" thickTop="1" thickBot="1">
      <c r="B439" t="str">
        <f>IF(OR(PRECAL=3, PRECAL=4), HBL!AA1354,HBL!AA1451)</f>
        <v>False air kiln inlet seal</v>
      </c>
      <c r="F439" s="17">
        <f>IF(I439="","",I439/(M_CLI*1000))</f>
        <v>1.8570491803278688E-2</v>
      </c>
      <c r="G439" t="s">
        <v>332</v>
      </c>
      <c r="I439" s="710">
        <v>1416</v>
      </c>
      <c r="J439" t="s">
        <v>330</v>
      </c>
    </row>
    <row r="440" spans="2:23" ht="12.75" customHeight="1" outlineLevel="2" thickTop="1" thickBot="1">
      <c r="B440" s="227" t="s">
        <v>423</v>
      </c>
      <c r="C440" s="228" t="s">
        <v>908</v>
      </c>
      <c r="D440" s="218"/>
      <c r="E440" s="218"/>
      <c r="F440" s="297" t="s">
        <v>44</v>
      </c>
      <c r="G440" s="218" t="s">
        <v>332</v>
      </c>
      <c r="I440">
        <v>4280</v>
      </c>
    </row>
    <row r="441" spans="2:23" ht="12.75" customHeight="1" outlineLevel="2" thickTop="1" thickBot="1">
      <c r="B441" t="str">
        <f>IF(Cooler=1, HBL!$AA$1352, HBL!$AA$1451)</f>
        <v>False air cooler</v>
      </c>
      <c r="F441" s="17">
        <f>IF(I441="","",I441/(M_CLI*1000))</f>
        <v>0</v>
      </c>
      <c r="G441" t="s">
        <v>332</v>
      </c>
      <c r="I441" s="710">
        <v>0</v>
      </c>
      <c r="J441" t="s">
        <v>330</v>
      </c>
      <c r="K441" s="218"/>
    </row>
    <row r="442" spans="2:23" ht="12.75" customHeight="1" outlineLevel="2" thickTop="1">
      <c r="B442" s="227" t="s">
        <v>423</v>
      </c>
      <c r="C442" s="393" t="s">
        <v>920</v>
      </c>
      <c r="D442" s="218"/>
      <c r="E442" s="218"/>
      <c r="F442" s="394" t="s">
        <v>921</v>
      </c>
      <c r="G442" s="218" t="s">
        <v>332</v>
      </c>
      <c r="I442" s="286"/>
    </row>
    <row r="443" spans="2:23" ht="12.75" customHeight="1" outlineLevel="2">
      <c r="E443" s="20"/>
      <c r="F443" s="36"/>
      <c r="I443" s="286"/>
    </row>
    <row r="444" spans="2:23" ht="12.75" customHeight="1" outlineLevel="2">
      <c r="B444" t="str">
        <f>HBL!$AA$1539</f>
        <v>Secondary air</v>
      </c>
      <c r="F444" s="36">
        <f>IF(I444="","",I444/(M_CLI*1000))</f>
        <v>0.27205824422228264</v>
      </c>
      <c r="G444" s="2" t="s">
        <v>332</v>
      </c>
      <c r="I444" s="285">
        <f>IF(M_CLI="", "", IF(AND(Cooler=2, ISNUMBER(M_H2OCOOLER)),((I427+I428+I429)-SUM(I430:I431))*(1+ABSHUM)+M_H2OCOOLER*1.24, ((I427+I428+I429)-SUM(I430:I431))*(1+ABSHUM)))</f>
        <v>20744.44112194905</v>
      </c>
      <c r="J444" t="s">
        <v>330</v>
      </c>
      <c r="K444" s="261"/>
    </row>
    <row r="445" spans="2:23" ht="12.75" customHeight="1" outlineLevel="2">
      <c r="B445" t="str">
        <f>HBL!$AA$1353</f>
        <v>False air tertiary air duct</v>
      </c>
      <c r="F445" s="36"/>
      <c r="G445" s="2"/>
      <c r="I445" s="458"/>
      <c r="J445" t="s">
        <v>330</v>
      </c>
    </row>
    <row r="446" spans="2:23" ht="12.75" customHeight="1" outlineLevel="2">
      <c r="B446" t="str">
        <f>HBL!$AA$1576</f>
        <v>Tertiary air (incl dust)</v>
      </c>
      <c r="F446" s="36">
        <f>IF(I446="","",I446/(M_CLI*1000))</f>
        <v>0.68588381886251615</v>
      </c>
      <c r="G446" s="2" t="s">
        <v>332</v>
      </c>
      <c r="I446" s="285">
        <f>IF(PRECAL&lt;3, 0, IF(OR(PRECAL=3, PRECAL=4), (SUM(I436:I437)-I429-SUM(I438:I439)-I445)*(1+ABSHUM), (SUM(I436:I437)-I438-I445)*(1+ABSHUM)))</f>
        <v>52298.641188266854</v>
      </c>
      <c r="J446" t="s">
        <v>330</v>
      </c>
    </row>
    <row r="447" spans="2:23" ht="12.75" customHeight="1" outlineLevel="2"/>
    <row r="448" spans="2:23" ht="12.75" customHeight="1" outlineLevel="1" thickBot="1"/>
    <row r="449" spans="1:16" ht="12.75" customHeight="1" outlineLevel="1" thickBot="1">
      <c r="A449" s="628">
        <v>17</v>
      </c>
      <c r="B449" s="492" t="str">
        <f>HBL!$AA$1618</f>
        <v>HEAT BALANCE CLINKER COOLER</v>
      </c>
      <c r="C449" s="494"/>
      <c r="D449" s="491"/>
      <c r="E449" s="491"/>
      <c r="F449" t="str">
        <f>HBL!$AA$1357</f>
        <v>Cooler heat balance error</v>
      </c>
      <c r="I449" s="551">
        <f>IF(COOLHBL_ERROR="","",COOLHBL_ERROR)</f>
        <v>-0.74397160297227694</v>
      </c>
      <c r="J449" t="s">
        <v>305</v>
      </c>
    </row>
    <row r="450" spans="1:16" ht="12.75" customHeight="1" outlineLevel="2" thickBot="1"/>
    <row r="451" spans="1:16" ht="12.75" customHeight="1" outlineLevel="2" thickTop="1" thickBot="1">
      <c r="B451" t="str">
        <f>HBL!$AA$1433</f>
        <v>Clinker temperature at kiln discharge</v>
      </c>
      <c r="I451" s="710">
        <v>1450</v>
      </c>
      <c r="J451" t="s">
        <v>299</v>
      </c>
    </row>
    <row r="452" spans="1:16" ht="12.75" customHeight="1" outlineLevel="2" thickTop="1">
      <c r="D452" s="218" t="s">
        <v>423</v>
      </c>
      <c r="E452" s="223" t="s">
        <v>424</v>
      </c>
      <c r="F452" s="218"/>
      <c r="G452" s="218"/>
      <c r="H452" s="218"/>
      <c r="I452" s="218">
        <v>1450</v>
      </c>
      <c r="J452" s="218" t="s">
        <v>299</v>
      </c>
    </row>
    <row r="453" spans="1:16" ht="12.75" customHeight="1" outlineLevel="2">
      <c r="D453" s="218"/>
      <c r="E453" s="223" t="s">
        <v>425</v>
      </c>
      <c r="F453" s="218"/>
      <c r="G453" s="218"/>
      <c r="H453" s="218"/>
      <c r="I453" s="218">
        <v>1400</v>
      </c>
      <c r="J453" s="218" t="s">
        <v>299</v>
      </c>
    </row>
    <row r="454" spans="1:16" ht="12.75" customHeight="1" outlineLevel="2">
      <c r="D454" s="218"/>
      <c r="E454" s="218" t="s">
        <v>426</v>
      </c>
      <c r="F454" s="218"/>
      <c r="G454" s="218"/>
      <c r="H454" s="218"/>
      <c r="I454" s="218">
        <v>1200</v>
      </c>
      <c r="J454" s="218" t="s">
        <v>299</v>
      </c>
    </row>
    <row r="455" spans="1:16" ht="12.75" customHeight="1" outlineLevel="2">
      <c r="D455" s="218"/>
      <c r="E455" s="218" t="s">
        <v>427</v>
      </c>
      <c r="F455" s="218"/>
      <c r="G455" s="218"/>
      <c r="H455" s="218"/>
      <c r="I455" s="224" t="s">
        <v>428</v>
      </c>
      <c r="J455" s="218" t="s">
        <v>299</v>
      </c>
    </row>
    <row r="456" spans="1:16" ht="12.75" customHeight="1" outlineLevel="2" thickBot="1">
      <c r="E456" s="214"/>
      <c r="F456" s="214"/>
      <c r="G456" s="214"/>
      <c r="H456" s="214"/>
      <c r="I456" s="214"/>
      <c r="J456" s="215"/>
      <c r="K456" s="214"/>
    </row>
    <row r="457" spans="1:16" ht="12.75" customHeight="1" outlineLevel="2" thickTop="1" thickBot="1">
      <c r="B457" t="str">
        <f>HBL!$AA$1439</f>
        <v>Clinker dust recirculation at the kiln discharge</v>
      </c>
      <c r="G457" s="5">
        <f>IF(CLI_DUST="","",CLI_DUST*10/(IF(F546="",0,F546)+IF(F548="",0,F548)))</f>
        <v>10.439044682720839</v>
      </c>
      <c r="H457" t="s">
        <v>762</v>
      </c>
      <c r="I457" s="716">
        <v>1</v>
      </c>
      <c r="J457" t="s">
        <v>297</v>
      </c>
    </row>
    <row r="458" spans="1:16" ht="12.75" customHeight="1" outlineLevel="2" thickTop="1">
      <c r="D458" s="218" t="s">
        <v>423</v>
      </c>
      <c r="E458" s="246" t="s">
        <v>912</v>
      </c>
      <c r="F458" s="225"/>
      <c r="G458" s="223" t="s">
        <v>910</v>
      </c>
      <c r="H458" s="217"/>
    </row>
    <row r="459" spans="1:16" ht="12.75" customHeight="1" outlineLevel="2">
      <c r="D459" s="218"/>
      <c r="E459" s="246" t="s">
        <v>909</v>
      </c>
      <c r="F459" s="225"/>
      <c r="G459" s="223" t="s">
        <v>911</v>
      </c>
      <c r="H459" s="217"/>
    </row>
    <row r="460" spans="1:16" ht="12.75" customHeight="1" outlineLevel="2" thickBot="1">
      <c r="E460" s="214"/>
      <c r="F460" s="214"/>
      <c r="G460" s="216"/>
      <c r="H460" s="214"/>
    </row>
    <row r="461" spans="1:16" ht="12.75" customHeight="1" outlineLevel="2" thickTop="1" thickBot="1">
      <c r="B461" t="str">
        <f>HBL!$AA$1578</f>
        <v>Tertiary air temperature</v>
      </c>
      <c r="E461" s="218" t="s">
        <v>840</v>
      </c>
      <c r="I461" s="767">
        <v>874</v>
      </c>
      <c r="J461" t="s">
        <v>299</v>
      </c>
      <c r="O461">
        <v>977</v>
      </c>
      <c r="P461" s="182" t="s">
        <v>2029</v>
      </c>
    </row>
    <row r="462" spans="1:16" ht="12.75" customHeight="1" outlineLevel="2" thickTop="1" thickBot="1">
      <c r="B462" t="str">
        <f>HBL!$AA$1540</f>
        <v>Secondary air temperature</v>
      </c>
      <c r="E462" s="218" t="s">
        <v>841</v>
      </c>
      <c r="I462" s="710">
        <v>1020</v>
      </c>
      <c r="J462" t="s">
        <v>299</v>
      </c>
      <c r="L462" s="182" t="s">
        <v>2045</v>
      </c>
      <c r="O462">
        <v>833</v>
      </c>
      <c r="P462" s="182" t="s">
        <v>2030</v>
      </c>
    </row>
    <row r="463" spans="1:16" ht="12.75" customHeight="1" outlineLevel="2" thickTop="1">
      <c r="E463" s="218" t="s">
        <v>842</v>
      </c>
      <c r="L463" s="948" t="s">
        <v>2046</v>
      </c>
      <c r="M463" s="948"/>
      <c r="N463" s="20"/>
      <c r="O463" s="803">
        <f>AVERAGE(O461:O462)</f>
        <v>905</v>
      </c>
    </row>
    <row r="464" spans="1:16" ht="12.75" customHeight="1" outlineLevel="2" thickBot="1">
      <c r="B464" s="259"/>
      <c r="C464" s="261"/>
      <c r="D464" s="261"/>
      <c r="E464" s="261"/>
      <c r="F464" s="261"/>
      <c r="G464" s="261"/>
      <c r="H464" s="259"/>
      <c r="I464" s="340"/>
      <c r="J464" s="262"/>
    </row>
    <row r="465" spans="2:11" ht="12.75" customHeight="1" outlineLevel="2" thickBot="1">
      <c r="B465" s="18" t="s">
        <v>843</v>
      </c>
      <c r="H465" s="2"/>
      <c r="I465" s="551">
        <f>I1133</f>
        <v>73.882799633200619</v>
      </c>
      <c r="J465" s="2" t="s">
        <v>305</v>
      </c>
    </row>
    <row r="466" spans="2:11" ht="12.75" customHeight="1" outlineLevel="1">
      <c r="B466" s="59"/>
      <c r="I466" s="22"/>
    </row>
    <row r="467" spans="2:11" ht="12.75" customHeight="1">
      <c r="B467" s="59"/>
      <c r="I467" s="22"/>
    </row>
    <row r="468" spans="2:11" ht="12.75" customHeight="1">
      <c r="B468" s="59"/>
      <c r="I468" s="22"/>
    </row>
    <row r="469" spans="2:11" ht="12.75" customHeight="1">
      <c r="B469" s="59"/>
      <c r="I469" s="22"/>
    </row>
    <row r="470" spans="2:11" ht="18.75" customHeight="1">
      <c r="B470" s="498" t="str">
        <f>HBL!$AA$1667</f>
        <v>SUMMARIES</v>
      </c>
      <c r="C470" s="497"/>
      <c r="D470" s="497"/>
      <c r="E470" s="497"/>
      <c r="F470" s="497"/>
      <c r="G470" s="497"/>
      <c r="H470" s="497"/>
      <c r="I470" s="497"/>
      <c r="J470" s="497"/>
      <c r="K470" s="586"/>
    </row>
    <row r="471" spans="2:11" ht="12.75" customHeight="1" outlineLevel="1">
      <c r="B471" s="59"/>
      <c r="I471" s="22"/>
      <c r="K471" s="587"/>
    </row>
    <row r="472" spans="2:11" ht="12.75" customHeight="1" outlineLevel="1">
      <c r="B472" s="59"/>
      <c r="I472" s="22"/>
      <c r="K472" s="587"/>
    </row>
    <row r="473" spans="2:11" ht="12.75" customHeight="1" outlineLevel="1">
      <c r="B473" s="59"/>
      <c r="I473" s="22"/>
      <c r="K473" s="587"/>
    </row>
    <row r="474" spans="2:11" ht="18.75" customHeight="1" outlineLevel="1">
      <c r="B474" s="499" t="str">
        <f>HBL!$AA$1668</f>
        <v>SUMMARY MASS BALANCE</v>
      </c>
      <c r="C474" s="499"/>
      <c r="D474" s="499"/>
      <c r="E474" s="499"/>
      <c r="F474" s="499"/>
      <c r="G474" s="499"/>
      <c r="H474" s="499"/>
      <c r="I474" s="499"/>
      <c r="J474" s="499"/>
      <c r="K474" s="588"/>
    </row>
    <row r="475" spans="2:11" ht="12.75" customHeight="1" outlineLevel="1">
      <c r="B475" s="59"/>
      <c r="I475" s="22"/>
      <c r="K475" s="587"/>
    </row>
    <row r="476" spans="2:11" ht="12.75" customHeight="1" outlineLevel="2">
      <c r="B476" s="59"/>
      <c r="I476" s="22"/>
      <c r="K476" s="587"/>
    </row>
    <row r="477" spans="2:11" ht="12.75" customHeight="1" outlineLevel="2">
      <c r="B477" s="492" t="str">
        <f>HBL!$AA$1459</f>
        <v>MASS BALANCE OF KILN SYSTEM</v>
      </c>
      <c r="C477" s="493"/>
      <c r="D477" s="493"/>
      <c r="E477" s="493"/>
      <c r="F477" s="493"/>
      <c r="G477" s="493"/>
      <c r="H477" s="493"/>
      <c r="I477" s="493"/>
      <c r="J477" s="493"/>
      <c r="K477" s="589"/>
    </row>
    <row r="478" spans="2:11" ht="12.75" customHeight="1" outlineLevel="2">
      <c r="F478" s="22"/>
      <c r="K478" s="587"/>
    </row>
    <row r="479" spans="2:11" ht="12.75" customHeight="1" outlineLevel="2">
      <c r="K479" s="587"/>
    </row>
    <row r="480" spans="2:11" ht="12.75" customHeight="1" outlineLevel="2">
      <c r="B480" s="563"/>
      <c r="C480" s="564"/>
      <c r="D480" s="564"/>
      <c r="E480" s="565" t="str">
        <f>HBL!$AA$1245</f>
        <v>Feedrate</v>
      </c>
      <c r="F480" s="565" t="s">
        <v>365</v>
      </c>
      <c r="G480" s="565" t="str">
        <f>HBL!$AA$1245</f>
        <v>Feedrate</v>
      </c>
      <c r="H480" s="565" t="str">
        <f>HBL!$AA$1379</f>
        <v>LOI</v>
      </c>
      <c r="I480" s="565" t="str">
        <f>HBL!$AA$1242</f>
        <v>Ash</v>
      </c>
      <c r="J480" s="565" t="str">
        <f>HBL!$AA$1460</f>
        <v>Mass-</v>
      </c>
      <c r="K480" s="590"/>
    </row>
    <row r="481" spans="1:29" ht="12.75" customHeight="1" outlineLevel="2">
      <c r="B481" s="566" t="s">
        <v>366</v>
      </c>
      <c r="C481" s="567">
        <f>IF(M_CLI="","",G484/G488)</f>
        <v>1.5928</v>
      </c>
      <c r="D481" s="490" t="s">
        <v>367</v>
      </c>
      <c r="E481" s="537" t="str">
        <f>HBL!$AA$1360</f>
        <v>wet</v>
      </c>
      <c r="F481" s="568"/>
      <c r="G481" s="537" t="str">
        <f>HBL!$AA$1581</f>
        <v>dry</v>
      </c>
      <c r="H481" s="537" t="str">
        <f>HBL!$AA$1674</f>
        <v xml:space="preserve"> </v>
      </c>
      <c r="I481" s="537" t="str">
        <f>HBL!$AA$1369</f>
        <v>content</v>
      </c>
      <c r="J481" s="537" t="str">
        <f>HBL!$AA$1364</f>
        <v>flow</v>
      </c>
      <c r="K481" s="591"/>
    </row>
    <row r="482" spans="1:29" ht="12.75" customHeight="1" outlineLevel="2">
      <c r="B482" s="569"/>
      <c r="C482" s="570"/>
      <c r="D482" s="571"/>
      <c r="E482" s="572" t="s">
        <v>302</v>
      </c>
      <c r="F482" s="572" t="s">
        <v>312</v>
      </c>
      <c r="G482" s="572" t="s">
        <v>302</v>
      </c>
      <c r="H482" s="573" t="s">
        <v>312</v>
      </c>
      <c r="I482" s="574" t="s">
        <v>312</v>
      </c>
      <c r="J482" s="572" t="s">
        <v>302</v>
      </c>
      <c r="K482" s="592"/>
    </row>
    <row r="483" spans="1:29" ht="12.75" customHeight="1" outlineLevel="2">
      <c r="B483" s="57" t="str">
        <f>HBL!$AA$1318</f>
        <v>INPUT</v>
      </c>
      <c r="E483" s="12"/>
      <c r="F483" s="92"/>
      <c r="G483" s="13"/>
      <c r="H483" s="93"/>
      <c r="I483" s="13"/>
      <c r="J483" s="12"/>
      <c r="K483" s="593">
        <v>71</v>
      </c>
    </row>
    <row r="484" spans="1:29" ht="12.75" customHeight="1" outlineLevel="2">
      <c r="B484" s="94" t="str">
        <f>HBL!$AA$1486</f>
        <v>Kiln feed</v>
      </c>
      <c r="E484" s="276">
        <f>M_FEED</f>
        <v>122</v>
      </c>
      <c r="F484" s="276">
        <f>IF(H2O_FEED="","",H2O_FEED)</f>
        <v>0.45</v>
      </c>
      <c r="G484" s="276">
        <f>IF(M_FEED="","",E484*(1-F484/100))</f>
        <v>121.45100000000001</v>
      </c>
      <c r="H484" s="276">
        <f>IF(LOI_FEED="","",LOI_FEED)</f>
        <v>36</v>
      </c>
      <c r="I484" s="277" t="s">
        <v>368</v>
      </c>
      <c r="J484" s="276">
        <f>IF(M_FEED="","",G484*(1-H484/100))</f>
        <v>77.728640000000013</v>
      </c>
      <c r="K484" s="593"/>
    </row>
    <row r="485" spans="1:29" ht="12.75" customHeight="1" outlineLevel="2">
      <c r="B485" s="94" t="str">
        <f>HBL!$AA$1241</f>
        <v>Ash input</v>
      </c>
      <c r="E485" s="278"/>
      <c r="F485" s="279"/>
      <c r="G485" s="278" t="s">
        <v>368</v>
      </c>
      <c r="H485" s="279" t="s">
        <v>368</v>
      </c>
      <c r="I485" s="280" t="s">
        <v>368</v>
      </c>
      <c r="J485" s="281">
        <f>IF(SUM(E402:J402)=0,"",SUM(E402:J402))</f>
        <v>2.3593500000000001</v>
      </c>
      <c r="K485" s="593"/>
    </row>
    <row r="486" spans="1:29" s="576" customFormat="1" ht="20.149999999999999" customHeight="1" outlineLevel="2">
      <c r="A486" s="633"/>
      <c r="B486" s="582" t="str">
        <f>HBL!$AA$1564</f>
        <v>TOTAL OF INPUTS</v>
      </c>
      <c r="C486" s="506"/>
      <c r="D486" s="506"/>
      <c r="E486" s="506"/>
      <c r="F486" s="506"/>
      <c r="G486" s="506"/>
      <c r="H486" s="506"/>
      <c r="I486" s="506"/>
      <c r="J486" s="584">
        <f>IF(SUM(J484:J485)=0,"",SUM(J484:J485))</f>
        <v>80.087990000000019</v>
      </c>
      <c r="K486" s="594"/>
      <c r="W486" s="577"/>
    </row>
    <row r="487" spans="1:29" ht="12.75" customHeight="1" outlineLevel="2">
      <c r="B487" s="57" t="str">
        <f>HBL!$AA$1248</f>
        <v>OUTPUT</v>
      </c>
      <c r="E487" s="12"/>
      <c r="F487" s="12"/>
      <c r="G487" s="12"/>
      <c r="H487" s="12"/>
      <c r="I487" s="12"/>
      <c r="J487" s="95"/>
      <c r="K487" s="593"/>
    </row>
    <row r="488" spans="1:29" ht="12.75" customHeight="1" outlineLevel="2">
      <c r="B488" s="94" t="str">
        <f>HBL!$AA$1428</f>
        <v>Clinker</v>
      </c>
      <c r="E488" s="276" t="s">
        <v>368</v>
      </c>
      <c r="F488" s="276" t="s">
        <v>368</v>
      </c>
      <c r="G488" s="276">
        <f>M_CLI</f>
        <v>76.25</v>
      </c>
      <c r="H488" s="276">
        <f>IF(LOI_CLI="","",LOI_CLI)</f>
        <v>0</v>
      </c>
      <c r="I488" s="69" t="s">
        <v>368</v>
      </c>
      <c r="J488" s="276">
        <f>IF(M_CLI="","",G488*(1-H488/100))</f>
        <v>76.25</v>
      </c>
      <c r="K488" s="593"/>
      <c r="AC488" s="576">
        <f>J488*24</f>
        <v>1830</v>
      </c>
    </row>
    <row r="489" spans="1:29" ht="12.75" customHeight="1" outlineLevel="2">
      <c r="B489" s="94" t="str">
        <f>HBL!$AA$1632</f>
        <v>Preheater exhaust gas dust loss</v>
      </c>
      <c r="E489" s="281">
        <f>M_DUSTFILTER</f>
        <v>7.1</v>
      </c>
      <c r="F489" s="281">
        <f>IF(H2O_DUSTFILTER="","",H2O_DUSTFILTER)</f>
        <v>0.1</v>
      </c>
      <c r="G489" s="281">
        <f>IF(M_DUSTFILTER="","",M_DUSTFILTER*(1-H2O_DUSTFILTER/100))</f>
        <v>7.0928999999999993</v>
      </c>
      <c r="H489" s="281">
        <f>IF(LOI_DUSTFILTER="","",LOI_DUSTFILTER)</f>
        <v>36</v>
      </c>
      <c r="I489" s="282" t="s">
        <v>368</v>
      </c>
      <c r="J489" s="281">
        <f>IF(M_DUSTFILTER="","",G489*(1-H489/100))</f>
        <v>4.5394559999999995</v>
      </c>
      <c r="K489" s="593"/>
    </row>
    <row r="490" spans="1:29" ht="12.75" customHeight="1" outlineLevel="2">
      <c r="B490" s="94" t="str">
        <f>HBL!$AA$1283</f>
        <v>Bypass dust</v>
      </c>
      <c r="E490" s="281">
        <f>M_BYPASS</f>
        <v>0</v>
      </c>
      <c r="F490" s="281" t="str">
        <f>IF(H2O_BYPASS="","",H2O_BYPASS)</f>
        <v/>
      </c>
      <c r="G490" s="281" t="str">
        <f>IF(M_BYPASS="","",M_BYPASS*(1-H2O_BYPASS/100))</f>
        <v/>
      </c>
      <c r="H490" s="281" t="str">
        <f>IF(LOI_BYPASS="","",LOI_BYPASS)</f>
        <v/>
      </c>
      <c r="I490" s="283" t="s">
        <v>368</v>
      </c>
      <c r="J490" s="281" t="str">
        <f>IF(M_BYPASS="","",G490*(1-H490/100))</f>
        <v/>
      </c>
      <c r="K490" s="593"/>
    </row>
    <row r="491" spans="1:29" ht="12.75" customHeight="1" outlineLevel="2">
      <c r="B491" s="43" t="str">
        <f>HBL!$AA$1521</f>
        <v>Error</v>
      </c>
      <c r="C491" s="87">
        <f>IF(J493="","",J491/J493*100)</f>
        <v>-0.87586915341486526</v>
      </c>
      <c r="D491" s="2" t="s">
        <v>297</v>
      </c>
      <c r="E491" s="283" t="s">
        <v>368</v>
      </c>
      <c r="F491" s="283" t="s">
        <v>368</v>
      </c>
      <c r="G491" s="283" t="s">
        <v>368</v>
      </c>
      <c r="H491" s="283" t="s">
        <v>368</v>
      </c>
      <c r="I491" s="283" t="s">
        <v>368</v>
      </c>
      <c r="J491" s="281">
        <f>IF(J493="","",J493-SUM(J488:J490))</f>
        <v>-0.70146599999998216</v>
      </c>
      <c r="K491" s="595">
        <v>72</v>
      </c>
    </row>
    <row r="492" spans="1:29" ht="12.75" customHeight="1" outlineLevel="2">
      <c r="B492" s="607" t="s">
        <v>69</v>
      </c>
      <c r="C492" s="14"/>
      <c r="D492" s="14"/>
      <c r="E492" s="16"/>
      <c r="F492" s="16"/>
      <c r="G492" s="16"/>
      <c r="H492" s="16"/>
      <c r="I492" s="16"/>
      <c r="J492" s="96"/>
      <c r="K492" s="593"/>
    </row>
    <row r="493" spans="1:29" s="576" customFormat="1" ht="20.149999999999999" customHeight="1" outlineLevel="2">
      <c r="A493" s="633"/>
      <c r="B493" s="582" t="str">
        <f>HBL!$AA$1563</f>
        <v>TOTAL OF OUTPUTS</v>
      </c>
      <c r="C493" s="506"/>
      <c r="D493" s="506"/>
      <c r="E493" s="506"/>
      <c r="F493" s="506"/>
      <c r="G493" s="506"/>
      <c r="H493" s="506"/>
      <c r="I493" s="583"/>
      <c r="J493" s="584">
        <f>J486</f>
        <v>80.087990000000019</v>
      </c>
      <c r="K493" s="596"/>
      <c r="W493" s="577"/>
      <c r="AC493" s="576">
        <f>J493*24</f>
        <v>1922.1117600000005</v>
      </c>
    </row>
    <row r="494" spans="1:29" ht="12.75" customHeight="1" outlineLevel="2">
      <c r="I494" s="22"/>
      <c r="J494" s="34"/>
      <c r="K494" s="587"/>
    </row>
    <row r="495" spans="1:29" ht="12.75" customHeight="1" outlineLevel="2">
      <c r="B495" t="s">
        <v>844</v>
      </c>
      <c r="I495" s="22"/>
      <c r="K495" s="587"/>
    </row>
    <row r="496" spans="1:29" ht="12.75" customHeight="1" outlineLevel="2">
      <c r="B496" s="59"/>
      <c r="I496" s="22"/>
      <c r="K496" s="587"/>
    </row>
    <row r="497" spans="1:23" ht="12.75" customHeight="1" outlineLevel="2">
      <c r="B497" s="59"/>
      <c r="I497" s="22"/>
      <c r="K497" s="587"/>
    </row>
    <row r="498" spans="1:23" ht="12.75" customHeight="1" outlineLevel="2">
      <c r="B498" s="492" t="s">
        <v>1217</v>
      </c>
      <c r="C498" s="493"/>
      <c r="D498" s="493"/>
      <c r="E498" s="493"/>
      <c r="F498" s="493"/>
      <c r="G498" s="493"/>
      <c r="H498" s="493"/>
      <c r="I498" s="493"/>
      <c r="J498" s="493"/>
      <c r="K498" s="589"/>
    </row>
    <row r="499" spans="1:23" ht="12.75" customHeight="1" outlineLevel="2">
      <c r="B499" s="59"/>
      <c r="I499" s="22"/>
      <c r="K499" s="587"/>
    </row>
    <row r="500" spans="1:23" ht="12.75" customHeight="1" outlineLevel="2">
      <c r="A500" s="634"/>
      <c r="B500" s="540"/>
      <c r="C500" s="541"/>
      <c r="D500" s="541"/>
      <c r="E500" s="541"/>
      <c r="F500" s="541"/>
      <c r="G500" s="542"/>
      <c r="H500" s="543"/>
      <c r="K500" s="597">
        <v>41</v>
      </c>
    </row>
    <row r="501" spans="1:23" ht="12.75" customHeight="1" outlineLevel="2">
      <c r="B501" s="544" t="str">
        <f>HBL!$AA$1413</f>
        <v>COOLER AIR BALANCE</v>
      </c>
      <c r="C501" s="530"/>
      <c r="D501" s="530"/>
      <c r="E501" s="530"/>
      <c r="F501" s="545"/>
      <c r="G501" s="526" t="s">
        <v>345</v>
      </c>
      <c r="H501" s="546" t="s">
        <v>845</v>
      </c>
      <c r="K501" s="597"/>
    </row>
    <row r="502" spans="1:23" ht="12.75" customHeight="1" outlineLevel="2">
      <c r="B502" s="544" t="str">
        <f>HBL!$AA$1494</f>
        <v>without water injection</v>
      </c>
      <c r="C502" s="547"/>
      <c r="D502" s="547"/>
      <c r="E502" s="548"/>
      <c r="F502" s="547"/>
      <c r="G502" s="549"/>
      <c r="H502" s="550"/>
      <c r="K502" s="597"/>
    </row>
    <row r="503" spans="1:23" ht="12.75" customHeight="1" outlineLevel="2">
      <c r="B503" s="52" t="str">
        <f>HBL!$AA$1318</f>
        <v>INPUT</v>
      </c>
      <c r="G503" s="13"/>
      <c r="H503" s="71"/>
      <c r="K503" s="597"/>
    </row>
    <row r="504" spans="1:23" ht="12.75" customHeight="1" outlineLevel="2">
      <c r="B504" s="43" t="str">
        <f>HBL!$AA$1412</f>
        <v>Cooling air</v>
      </c>
      <c r="G504" s="166">
        <f>VN_COOLAIR</f>
        <v>158804.18375309129</v>
      </c>
      <c r="H504" s="153">
        <f>VNSP_COOLAIR</f>
        <v>2.0826778197126727</v>
      </c>
      <c r="K504" s="597"/>
    </row>
    <row r="505" spans="1:23" ht="12.75" customHeight="1" outlineLevel="2">
      <c r="B505" s="43" t="str">
        <f>HBL!$AA$1352</f>
        <v>False air cooler</v>
      </c>
      <c r="G505" s="166">
        <f>IF(VN_FALSECOOLER="","",VN_FALSECOOLER)</f>
        <v>0</v>
      </c>
      <c r="H505" s="154">
        <f>IF(VNSP_FALSECOOLER="","",VNSP_FALSECOOLER)</f>
        <v>0</v>
      </c>
      <c r="K505" s="597"/>
    </row>
    <row r="506" spans="1:23" s="576" customFormat="1" ht="20.149999999999999" customHeight="1" outlineLevel="2">
      <c r="A506" s="633"/>
      <c r="B506" s="505" t="str">
        <f>HBL!$AA$1564</f>
        <v>TOTAL OF INPUTS</v>
      </c>
      <c r="C506" s="506"/>
      <c r="D506" s="506"/>
      <c r="E506" s="506"/>
      <c r="F506" s="506"/>
      <c r="G506" s="580">
        <f>IF(SUM(G504:G505)=0,"",SUM(G504:G505))</f>
        <v>158804.18375309129</v>
      </c>
      <c r="H506" s="581">
        <f>IF(G506="","",G506/(M_CLI*1000))</f>
        <v>2.0826778197126727</v>
      </c>
      <c r="K506" s="598"/>
      <c r="W506" s="577"/>
    </row>
    <row r="507" spans="1:23" ht="12.75" customHeight="1" outlineLevel="2">
      <c r="B507" s="52" t="str">
        <f>HBL!$AA$1248</f>
        <v>OUTPUT</v>
      </c>
      <c r="G507" s="167"/>
      <c r="H507" s="155"/>
      <c r="K507" s="597"/>
    </row>
    <row r="508" spans="1:23" ht="12.75" customHeight="1" outlineLevel="2">
      <c r="B508" s="46" t="str">
        <f>HBL!$AA$1539</f>
        <v>Secondary air</v>
      </c>
      <c r="G508" s="167">
        <f>IF(VN_SECONDAIR="","", IF(AND(Cooler=2, M_H2OCOOLER&gt;0), VN_SECONDAIR-1.24*M_H2OCOOLER, VN_SECONDAIR))</f>
        <v>20744.44112194905</v>
      </c>
      <c r="H508" s="154">
        <f>IF(VNSP_SECONDAIR="","", IF(AND(Cooler=2, M_H2OCOOLER&gt;0), VNSP_SECONDAIR-1.24*M_H2OCOOLER/M_CLI/1000, VNSP_SECONDAIR))</f>
        <v>0.27205824422228264</v>
      </c>
      <c r="K508" s="597"/>
    </row>
    <row r="509" spans="1:23" ht="12.75" customHeight="1" outlineLevel="2">
      <c r="B509" s="43" t="str">
        <f>HBL!$AA$1576</f>
        <v>Tertiary air (incl dust)</v>
      </c>
      <c r="F509" s="66"/>
      <c r="G509" s="168">
        <f>IF(VN_TERTAIR="","",VN_TERTAIR)</f>
        <v>52298.641188266854</v>
      </c>
      <c r="H509" s="230">
        <f>IF(VN_TERTAIR="","",VNSP_TERTAIR)</f>
        <v>0.68588381886251615</v>
      </c>
      <c r="K509" s="597"/>
    </row>
    <row r="510" spans="1:23" ht="12.75" customHeight="1" outlineLevel="2">
      <c r="B510" s="43" t="str">
        <f>HBL!$AA$1415</f>
        <v>Cooler middle air</v>
      </c>
      <c r="G510" s="166">
        <f>IF(VN_MIDDLE="","",VN_MIDDLE)</f>
        <v>0</v>
      </c>
      <c r="H510" s="153">
        <f>IF(VN_MIDDLE="","",VNSP_MIDDLE)</f>
        <v>0</v>
      </c>
      <c r="K510" s="597"/>
    </row>
    <row r="511" spans="1:23" ht="12.75" customHeight="1" outlineLevel="2">
      <c r="B511" s="43" t="str">
        <f>HBL!$AA$1409</f>
        <v>Cooler waste air</v>
      </c>
      <c r="G511" s="166">
        <f>IF(VN_WASTE="","", VN_WASTE)</f>
        <v>86045</v>
      </c>
      <c r="H511" s="153">
        <f>IF(VNSP_WASTE="", "", VNSP_WASTE)</f>
        <v>1.1284590163934427</v>
      </c>
      <c r="K511" s="597"/>
      <c r="U511" s="261"/>
    </row>
    <row r="512" spans="1:23" ht="12.75" customHeight="1" outlineLevel="2">
      <c r="B512" s="43" t="str">
        <f>HBL!$AA$1521</f>
        <v>Error</v>
      </c>
      <c r="C512" s="87">
        <f>IF(G506="","",G512/G506*100)</f>
        <v>-0.17877271896440444</v>
      </c>
      <c r="D512" s="2" t="s">
        <v>297</v>
      </c>
      <c r="G512" s="166">
        <f>IF(G514="","",G514-SUM(G508:G511))</f>
        <v>-283.89855712463032</v>
      </c>
      <c r="H512" s="153">
        <f>IF(G512="","",G512/(M_CLI*1000))</f>
        <v>-3.7232597655689221E-3</v>
      </c>
      <c r="K512" s="597"/>
    </row>
    <row r="513" spans="1:23" ht="12.75" customHeight="1" outlineLevel="2">
      <c r="B513" s="607" t="s">
        <v>69</v>
      </c>
      <c r="G513" s="167"/>
      <c r="H513" s="155"/>
      <c r="K513" s="597"/>
    </row>
    <row r="514" spans="1:23" s="576" customFormat="1" ht="20.149999999999999" customHeight="1" outlineLevel="2">
      <c r="A514" s="633"/>
      <c r="B514" s="505" t="str">
        <f>HBL!$AA$1563</f>
        <v>TOTAL OF OUTPUTS</v>
      </c>
      <c r="C514" s="506"/>
      <c r="D514" s="506"/>
      <c r="E514" s="506"/>
      <c r="F514" s="506"/>
      <c r="G514" s="580">
        <f>G506</f>
        <v>158804.18375309129</v>
      </c>
      <c r="H514" s="581">
        <f>H506</f>
        <v>2.0826778197126727</v>
      </c>
      <c r="K514" s="598"/>
      <c r="W514" s="577"/>
    </row>
    <row r="515" spans="1:23" ht="12.75" customHeight="1" outlineLevel="2">
      <c r="K515" s="597"/>
    </row>
    <row r="516" spans="1:23" ht="12.75" customHeight="1" outlineLevel="2">
      <c r="B516" s="606" t="s">
        <v>922</v>
      </c>
      <c r="C516" s="218"/>
      <c r="K516" s="597"/>
    </row>
    <row r="517" spans="1:23" ht="12.75" customHeight="1" outlineLevel="2">
      <c r="B517" s="606" t="s">
        <v>923</v>
      </c>
      <c r="K517" s="597"/>
    </row>
    <row r="518" spans="1:23" ht="12.75" customHeight="1" outlineLevel="2">
      <c r="K518" s="597"/>
    </row>
    <row r="519" spans="1:23" ht="12.75" customHeight="1" outlineLevel="2">
      <c r="K519" s="597"/>
    </row>
    <row r="520" spans="1:23" ht="12.75" customHeight="1" outlineLevel="1">
      <c r="B520" s="59"/>
      <c r="I520" s="22"/>
      <c r="K520" s="587"/>
    </row>
    <row r="521" spans="1:23" ht="18.75" customHeight="1" outlineLevel="1">
      <c r="B521" s="499" t="s">
        <v>535</v>
      </c>
      <c r="C521" s="499"/>
      <c r="D521" s="499"/>
      <c r="E521" s="499"/>
      <c r="F521" s="499"/>
      <c r="G521" s="499"/>
      <c r="H521" s="499"/>
      <c r="I521" s="499"/>
      <c r="J521" s="499"/>
      <c r="K521" s="588"/>
    </row>
    <row r="522" spans="1:23" ht="12.75" customHeight="1" outlineLevel="1">
      <c r="B522" s="59"/>
      <c r="I522" s="22"/>
      <c r="K522" s="587"/>
    </row>
    <row r="523" spans="1:23" ht="12.75" customHeight="1" outlineLevel="2">
      <c r="B523" s="59"/>
      <c r="I523" s="22"/>
      <c r="K523" s="587"/>
    </row>
    <row r="524" spans="1:23" ht="12.75" customHeight="1" outlineLevel="2">
      <c r="B524" s="492" t="str">
        <f>HBL!$AA$1406</f>
        <v>COOLER HEAT BALANCE</v>
      </c>
      <c r="C524" s="493"/>
      <c r="D524" s="493"/>
      <c r="E524" s="493"/>
      <c r="F524" s="493"/>
      <c r="G524" s="493"/>
      <c r="H524" s="493"/>
      <c r="I524" s="493"/>
      <c r="J524" s="493"/>
      <c r="K524" s="589"/>
    </row>
    <row r="525" spans="1:23" ht="12.75" customHeight="1" outlineLevel="2">
      <c r="I525" s="501" t="str">
        <f>HBL!$AA$1658</f>
        <v>Plant</v>
      </c>
      <c r="J525" s="501" t="str">
        <f>IF(PLANT_NAME="","",PLANT_NAME)</f>
        <v>Lake Cement</v>
      </c>
      <c r="K525" s="597"/>
    </row>
    <row r="526" spans="1:23" ht="12.75" customHeight="1" outlineLevel="2">
      <c r="I526" s="1" t="str">
        <f>HBL!$AA$1482</f>
        <v>Kiln No.</v>
      </c>
      <c r="J526" s="60" t="str">
        <f>IF(KILN_NO="","",KILN_NO)</f>
        <v/>
      </c>
      <c r="K526" s="597"/>
    </row>
    <row r="527" spans="1:23" ht="12.75" customHeight="1" outlineLevel="2">
      <c r="B527" t="str">
        <f>HBL!$AA$1520</f>
        <v>Reference temperature</v>
      </c>
      <c r="D527" s="1">
        <f>IF(M_CLI="","",20)</f>
        <v>20</v>
      </c>
      <c r="E527" s="2" t="s">
        <v>299</v>
      </c>
      <c r="I527" s="1" t="str">
        <f>HBL!$AA$1309</f>
        <v>Date</v>
      </c>
      <c r="J527" s="62">
        <f>IF(M_CLI="","",DATE1)</f>
        <v>46021</v>
      </c>
      <c r="K527" s="597"/>
    </row>
    <row r="528" spans="1:23" ht="12.75" customHeight="1" outlineLevel="2">
      <c r="B528" t="str">
        <f>HBL!$AA$1589</f>
        <v>Ambient temperature</v>
      </c>
      <c r="D528" s="1">
        <f>IF(TAMB="","",TAMB)</f>
        <v>32</v>
      </c>
      <c r="E528" s="2" t="s">
        <v>299</v>
      </c>
      <c r="K528" s="597"/>
    </row>
    <row r="529" spans="1:29" ht="12.75" customHeight="1" outlineLevel="2">
      <c r="B529" t="s">
        <v>284</v>
      </c>
      <c r="D529" s="384">
        <f>IF(PAMB="","",PAMB)</f>
        <v>974</v>
      </c>
      <c r="E529" s="2" t="s">
        <v>298</v>
      </c>
      <c r="K529" s="597"/>
    </row>
    <row r="530" spans="1:29" ht="12.75" customHeight="1" outlineLevel="2">
      <c r="B530" t="str">
        <f>HBL!$AA$1509</f>
        <v>Production rate</v>
      </c>
      <c r="D530" s="385">
        <f>IF(M_CLI="","",M_CLI*24)</f>
        <v>1830</v>
      </c>
      <c r="E530" s="2" t="s">
        <v>363</v>
      </c>
      <c r="F530" s="519"/>
      <c r="G530" s="520"/>
      <c r="H530" s="521"/>
      <c r="I530" s="519"/>
      <c r="J530" s="521"/>
      <c r="K530" s="590"/>
    </row>
    <row r="531" spans="1:29" ht="12.75" customHeight="1" outlineLevel="2">
      <c r="B531" t="str">
        <f>HBL!$AA$1272</f>
        <v>Fuel input main burner</v>
      </c>
      <c r="D531" s="894">
        <f>QP_BZ</f>
        <v>33.822874944370277</v>
      </c>
      <c r="E531" t="s">
        <v>297</v>
      </c>
      <c r="F531" s="523" t="str">
        <f>HBL!$AA$1543</f>
        <v>SPECIFICATION</v>
      </c>
      <c r="G531" s="524"/>
      <c r="H531" s="525"/>
      <c r="I531" s="523" t="str">
        <f>HBL!$AA$1320</f>
        <v>ENERGY</v>
      </c>
      <c r="J531" s="525"/>
      <c r="K531" s="591"/>
    </row>
    <row r="532" spans="1:29" ht="12.75" customHeight="1" outlineLevel="2">
      <c r="B532" t="str">
        <f>HBL!$AA$1477</f>
        <v>O2 kiln inlet</v>
      </c>
      <c r="D532" s="144">
        <f>IF(O2_KILNINLET="","",O2_KILNINLET)</f>
        <v>2.4</v>
      </c>
      <c r="E532" t="s">
        <v>297</v>
      </c>
      <c r="F532" s="527"/>
      <c r="G532" s="528"/>
      <c r="H532" s="529"/>
      <c r="I532" s="530"/>
      <c r="J532" s="529"/>
      <c r="K532" s="599"/>
    </row>
    <row r="533" spans="1:29" ht="12.75" customHeight="1" outlineLevel="2">
      <c r="B533" t="str">
        <f>HBL!$AA$1502</f>
        <v>Primary air main burner</v>
      </c>
      <c r="D533" s="384">
        <f>VN_PRIMCOMB</f>
        <v>3970</v>
      </c>
      <c r="E533" t="s">
        <v>330</v>
      </c>
      <c r="F533" s="535" t="s">
        <v>1128</v>
      </c>
      <c r="G533" s="523" t="str">
        <f>HBL!$AA$1391</f>
        <v>NCV</v>
      </c>
      <c r="H533" s="525"/>
      <c r="I533" s="522"/>
      <c r="J533" s="532"/>
      <c r="K533" s="592"/>
    </row>
    <row r="534" spans="1:29" ht="12.75" customHeight="1" outlineLevel="2">
      <c r="B534" t="str">
        <f>HBL!$AA$1545</f>
        <v>Specific heat cons-</v>
      </c>
      <c r="D534" s="385">
        <f>Q_FUEL</f>
        <v>3318.4874754098364</v>
      </c>
      <c r="E534" s="2" t="s">
        <v>314</v>
      </c>
      <c r="F534" s="538" t="s">
        <v>357</v>
      </c>
      <c r="G534" s="535" t="s">
        <v>358</v>
      </c>
      <c r="H534" s="526" t="s">
        <v>359</v>
      </c>
      <c r="I534" s="526" t="s">
        <v>360</v>
      </c>
      <c r="J534" s="539" t="s">
        <v>361</v>
      </c>
      <c r="K534" s="592"/>
      <c r="AC534">
        <f>D534/4.186</f>
        <v>792.75859422117446</v>
      </c>
    </row>
    <row r="535" spans="1:29" ht="12.75" customHeight="1" outlineLevel="2">
      <c r="B535" t="str">
        <f>HBL!$AA$1597</f>
        <v>sumption</v>
      </c>
      <c r="F535" s="538" t="s">
        <v>364</v>
      </c>
      <c r="G535" s="538" t="s">
        <v>349</v>
      </c>
      <c r="H535" s="526" t="s">
        <v>344</v>
      </c>
      <c r="I535" s="533"/>
      <c r="J535" s="526"/>
      <c r="K535" s="592"/>
    </row>
    <row r="536" spans="1:29" ht="12.75" customHeight="1" outlineLevel="2">
      <c r="B536" s="169" t="str">
        <f>HBL!$AA$1318</f>
        <v>INPUT</v>
      </c>
      <c r="C536" s="11"/>
      <c r="D536" s="11"/>
      <c r="E536" s="11"/>
      <c r="F536" s="10"/>
      <c r="G536" s="512"/>
      <c r="H536" s="49"/>
      <c r="I536" s="513"/>
      <c r="J536" s="49"/>
      <c r="K536" s="600"/>
    </row>
    <row r="537" spans="1:29" ht="12.75" customHeight="1" outlineLevel="2">
      <c r="B537" s="43" t="str">
        <f>HBL!$AA$1430</f>
        <v>Clinker from the kiln</v>
      </c>
      <c r="D537" s="6" t="str">
        <f>HBL!$AA$1324</f>
        <v>Sensible heat</v>
      </c>
      <c r="E537" s="85"/>
      <c r="F537" s="153">
        <f>IF(M_CLI="","",IF(CLI_DUST="",1,1+CLI_DUST/100))</f>
        <v>1.01</v>
      </c>
      <c r="G537" s="153">
        <f>CP_CLIHOT</f>
        <v>1.1113541512</v>
      </c>
      <c r="H537" s="377">
        <f>IF(T_CLIHOT="","",T_CLIHOT)</f>
        <v>1450</v>
      </c>
      <c r="I537" s="378">
        <f>SHIN_CLIHOT</f>
        <v>1605.1288005781603</v>
      </c>
      <c r="J537" s="375">
        <f t="shared" ref="J537:J542" si="4">IF(I537="","",I537/4.1868)</f>
        <v>383.37842757670785</v>
      </c>
      <c r="K537" s="601">
        <v>51</v>
      </c>
    </row>
    <row r="538" spans="1:29" ht="12.75" customHeight="1" outlineLevel="2">
      <c r="B538" s="43" t="str">
        <f>HBL!$AA$1412</f>
        <v>Cooling air</v>
      </c>
      <c r="C538" s="2"/>
      <c r="D538" s="6" t="str">
        <f>HBL!$AA$1324</f>
        <v>Sensible heat</v>
      </c>
      <c r="E538" s="85"/>
      <c r="F538" s="194">
        <f>VNSP_COOLAIR</f>
        <v>2.0826778197126727</v>
      </c>
      <c r="G538" s="192">
        <f>IF(SHIN_COOLAIR="","",1.3)</f>
        <v>1.3</v>
      </c>
      <c r="H538" s="69">
        <f>IF(SHIN_COOLAIR="","",IF(Cooler=1, AVERAGE($G$293:$G$309), TAMB))</f>
        <v>40</v>
      </c>
      <c r="I538" s="140">
        <f>SHIN_COOLAIR</f>
        <v>54.177624832508421</v>
      </c>
      <c r="J538" s="141">
        <f t="shared" si="4"/>
        <v>12.940103380268564</v>
      </c>
      <c r="K538" s="602">
        <v>52</v>
      </c>
    </row>
    <row r="539" spans="1:29" ht="12.75" customHeight="1" outlineLevel="2">
      <c r="B539" s="43" t="str">
        <f>HBL!$AA$1352</f>
        <v>False air cooler</v>
      </c>
      <c r="D539" s="6" t="str">
        <f>HBL!$AA$1324</f>
        <v>Sensible heat</v>
      </c>
      <c r="E539" s="6"/>
      <c r="F539" s="154">
        <f>IF(VN_FALSECOOLER="","",VNSP_FALSECOOLER)</f>
        <v>0</v>
      </c>
      <c r="G539" s="154">
        <f>IF(F539="","",CP_FALSEAIR)</f>
        <v>1.3001542406272002</v>
      </c>
      <c r="H539" s="76">
        <f>IF(F539="","",TAMB)</f>
        <v>32</v>
      </c>
      <c r="I539" s="141">
        <f>IF(SHIN_FALSEAIR="","",SHIN_FALSEAIR)</f>
        <v>0</v>
      </c>
      <c r="J539" s="141">
        <f t="shared" si="4"/>
        <v>0</v>
      </c>
      <c r="K539" s="595">
        <v>53</v>
      </c>
    </row>
    <row r="540" spans="1:29" ht="12.75" customHeight="1" outlineLevel="2">
      <c r="B540" s="43" t="str">
        <f>HBL!$AA$1649</f>
        <v>Water input</v>
      </c>
      <c r="D540" s="6" t="str">
        <f>HBL!$AA$1324</f>
        <v>Sensible heat</v>
      </c>
      <c r="E540" s="6"/>
      <c r="F540" s="230">
        <f>IF(ISERR(M_H2OCOOLER/(M_CLI*1000)),"",M_H2OCOOLER/(M_CLI*1000))</f>
        <v>0</v>
      </c>
      <c r="G540" s="231" t="str">
        <f>IF(CP_H2OCOOLER="","",CP_H2OCOOLER)</f>
        <v/>
      </c>
      <c r="H540" s="232" t="str">
        <f>IF(T_H2OCOOLER="","",T_H2OCOOLER)</f>
        <v/>
      </c>
      <c r="I540" s="189" t="str">
        <f>SHIN_H2OCOOLER</f>
        <v/>
      </c>
      <c r="J540" s="141" t="str">
        <f t="shared" si="4"/>
        <v/>
      </c>
      <c r="K540" s="595"/>
    </row>
    <row r="541" spans="1:29" ht="12.75" customHeight="1" outlineLevel="2">
      <c r="B541" s="43" t="str">
        <f>HBL!$AA$1657</f>
        <v>Other heat input</v>
      </c>
      <c r="F541" s="146"/>
      <c r="G541" s="234"/>
      <c r="H541" s="150"/>
      <c r="I541" s="147" t="str">
        <f>IF(QIN_OTHERCOOLER="","",QIN_OTHERCOOLER)</f>
        <v/>
      </c>
      <c r="J541" s="67" t="str">
        <f t="shared" si="4"/>
        <v/>
      </c>
      <c r="K541" s="595">
        <v>54</v>
      </c>
    </row>
    <row r="542" spans="1:29" ht="12.75" customHeight="1" outlineLevel="2">
      <c r="B542" s="21" t="str">
        <f>IF(P_mechconsidered=1,"Mechanical energy","")</f>
        <v>Mechanical energy</v>
      </c>
      <c r="C542" s="14"/>
      <c r="D542" s="14"/>
      <c r="E542" s="14"/>
      <c r="F542" s="89"/>
      <c r="G542" s="72"/>
      <c r="H542" s="516"/>
      <c r="I542" s="517">
        <f>IF(B542="",,H63+H64)</f>
        <v>29.0660931147541</v>
      </c>
      <c r="J542" s="515">
        <f t="shared" si="4"/>
        <v>6.942317071451729</v>
      </c>
      <c r="K542" s="603"/>
    </row>
    <row r="543" spans="1:29" s="576" customFormat="1" ht="20.149999999999999" customHeight="1" outlineLevel="2">
      <c r="A543" s="633"/>
      <c r="B543" s="505" t="str">
        <f>HBL!$AA$1564</f>
        <v>TOTAL OF INPUTS</v>
      </c>
      <c r="C543" s="506"/>
      <c r="D543" s="506"/>
      <c r="E543" s="506"/>
      <c r="F543" s="505"/>
      <c r="G543" s="510"/>
      <c r="H543" s="575"/>
      <c r="I543" s="509">
        <f>IF(SUM(I537:I542)=0,"",SUM(I537:I542))</f>
        <v>1688.3725185254227</v>
      </c>
      <c r="J543" s="509">
        <f>IF(I543="","",I543/4.1868)</f>
        <v>403.26084802842809</v>
      </c>
      <c r="K543" s="604"/>
      <c r="W543" s="577"/>
    </row>
    <row r="544" spans="1:29" ht="12.75" customHeight="1" outlineLevel="2">
      <c r="B544" s="52" t="str">
        <f>HBL!$AA$1248</f>
        <v>OUTPUT</v>
      </c>
      <c r="F544" s="52"/>
      <c r="G544" s="32"/>
      <c r="H544" s="70"/>
      <c r="I544" s="148"/>
      <c r="J544" s="229"/>
      <c r="K544" s="595"/>
    </row>
    <row r="545" spans="1:23" ht="12.75" customHeight="1" outlineLevel="2">
      <c r="B545" s="43" t="str">
        <f>HBL!$AA$1428</f>
        <v>Clinker</v>
      </c>
      <c r="D545" s="6" t="str">
        <f>HBL!$AA$1324</f>
        <v>Sensible heat</v>
      </c>
      <c r="E545" s="6"/>
      <c r="F545" s="79">
        <f>IF(M_CLI="","",1)</f>
        <v>1</v>
      </c>
      <c r="G545" s="154">
        <f>CP_CLI</f>
        <v>0.80356174298439997</v>
      </c>
      <c r="H545" s="83">
        <f>IF(T_CLI="","",T_CLI)</f>
        <v>121</v>
      </c>
      <c r="I545" s="374">
        <f>SHOUT_CLINKER</f>
        <v>81.159736041424395</v>
      </c>
      <c r="J545" s="380">
        <f t="shared" ref="J545:J552" si="5">IF(I545="","",I545/4.1868)</f>
        <v>19.384669924864909</v>
      </c>
      <c r="K545" s="595">
        <v>61</v>
      </c>
    </row>
    <row r="546" spans="1:23" ht="12.75" customHeight="1" outlineLevel="2">
      <c r="B546" s="180" t="str">
        <f>HBL!$AA$1537</f>
        <v>Secondary air incl. dust</v>
      </c>
      <c r="D546" s="6" t="str">
        <f>HBL!$AA$1324</f>
        <v>Sensible heat</v>
      </c>
      <c r="E546" s="6"/>
      <c r="F546" s="192">
        <f>IF(VNSP_SECONDAIR="","",VNSP_SECONDAIR)</f>
        <v>0.27205824422228264</v>
      </c>
      <c r="G546" s="154">
        <f>CP_SECONDAIR</f>
        <v>1.4113751647999999</v>
      </c>
      <c r="H546" s="83">
        <f>IF(T_SECONDAIR="","",T_SECONDAIR)</f>
        <v>1020</v>
      </c>
      <c r="I546" s="374">
        <f>SHOUT_SECONDAIR</f>
        <v>386.83029092726116</v>
      </c>
      <c r="J546" s="380">
        <f t="shared" si="5"/>
        <v>92.392827679196799</v>
      </c>
      <c r="K546" s="595">
        <v>62</v>
      </c>
    </row>
    <row r="547" spans="1:23" ht="12.75" customHeight="1" outlineLevel="2">
      <c r="B547" s="180" t="str">
        <f>HBL!$AA$1538</f>
        <v>and water vapor</v>
      </c>
      <c r="D547" s="6"/>
      <c r="E547" s="6"/>
      <c r="F547" s="193"/>
      <c r="G547" s="213"/>
      <c r="H547" s="150"/>
      <c r="I547" s="379"/>
      <c r="J547" s="381"/>
      <c r="K547" s="595"/>
    </row>
    <row r="548" spans="1:23" ht="12.75" customHeight="1" outlineLevel="2">
      <c r="B548" s="43" t="str">
        <f>HBL!$AA$1576</f>
        <v>Tertiary air (incl dust)</v>
      </c>
      <c r="D548" s="6" t="str">
        <f>HBL!$AA$1324</f>
        <v>Sensible heat</v>
      </c>
      <c r="E548" s="6"/>
      <c r="F548" s="233">
        <f>IF(ISERROR(VN_TERTAIR),"",VNSP_TERTAIR)</f>
        <v>0.68588381886251615</v>
      </c>
      <c r="G548" s="230">
        <f>IF(ISERROR(VN_TERTAIR),"",CP_TERTAIR)</f>
        <v>1.3918732191216001</v>
      </c>
      <c r="H548" s="190">
        <f>IF(ISERROR(VN_TERTAIR),"",T_TERTAIR)</f>
        <v>874</v>
      </c>
      <c r="I548" s="382">
        <f>IF(ISERROR(VN_TERTAIR),"",SHOUT_TERTAIR)</f>
        <v>821.42726149601106</v>
      </c>
      <c r="J548" s="383">
        <f t="shared" si="5"/>
        <v>196.19453078628334</v>
      </c>
      <c r="K548" s="601">
        <v>63</v>
      </c>
      <c r="M548" s="20"/>
    </row>
    <row r="549" spans="1:23" ht="12.75" customHeight="1" outlineLevel="2">
      <c r="B549" s="180" t="str">
        <f>HBL!$AA$1415</f>
        <v>Cooler middle air</v>
      </c>
      <c r="D549" s="6" t="str">
        <f>HBL!$AA$1324</f>
        <v>Sensible heat</v>
      </c>
      <c r="E549" s="6"/>
      <c r="F549" s="192">
        <f>IF(VN_MIDDLE="","",VNSP_MIDDLE)</f>
        <v>0</v>
      </c>
      <c r="G549" s="154" t="str">
        <f>IF(VN_MIDDLE="","",CP_MIDDLE)</f>
        <v/>
      </c>
      <c r="H549" s="83">
        <f>IF(VN_MIDDLE="","",T_MIDDLE)</f>
        <v>0</v>
      </c>
      <c r="I549" s="374">
        <v>0</v>
      </c>
      <c r="J549" s="380">
        <f t="shared" si="5"/>
        <v>0</v>
      </c>
      <c r="K549" s="595">
        <v>64</v>
      </c>
    </row>
    <row r="550" spans="1:23" ht="12.75" customHeight="1" outlineLevel="2">
      <c r="B550" s="180" t="str">
        <f>HBL!$AA$1409</f>
        <v>Cooler waste air</v>
      </c>
      <c r="D550" s="6" t="str">
        <f>HBL!$AA$1324</f>
        <v>Sensible heat</v>
      </c>
      <c r="E550" s="6"/>
      <c r="F550" s="192">
        <f>IF(VNSP_WASTE="","", IF(M_H2OCOOLER="", VNSP_WASTE, VNSP_WASTE+M_H2OCOOLER*1.24/M_CLI/1000))</f>
        <v>1.1284590163934427</v>
      </c>
      <c r="G550" s="154">
        <f>CP_WASTE</f>
        <v>1.3204737814953997</v>
      </c>
      <c r="H550" s="83">
        <f>IF(T_WASTE="","",T_WASTE)</f>
        <v>281</v>
      </c>
      <c r="I550" s="374">
        <f>SHOUT_WASTEandH2O</f>
        <v>388.91624215094311</v>
      </c>
      <c r="J550" s="380">
        <f t="shared" si="5"/>
        <v>92.891048569538341</v>
      </c>
      <c r="K550" s="595">
        <v>65</v>
      </c>
    </row>
    <row r="551" spans="1:23" ht="12.75" customHeight="1" outlineLevel="2">
      <c r="B551" s="201" t="str">
        <f>HBL!$AA$1538</f>
        <v>and water vapor</v>
      </c>
      <c r="D551" s="6"/>
      <c r="E551" s="6"/>
      <c r="F551" s="192"/>
      <c r="G551" s="154"/>
      <c r="H551" s="83"/>
      <c r="I551" s="374"/>
      <c r="J551" s="376"/>
      <c r="K551" s="595"/>
      <c r="M551" s="786">
        <f>J550+J545</f>
        <v>112.27571849440325</v>
      </c>
    </row>
    <row r="552" spans="1:23" ht="12.75" customHeight="1" outlineLevel="2">
      <c r="B552" s="43" t="str">
        <f>HBL!$AA$1636</f>
        <v>Water evaporation</v>
      </c>
      <c r="D552" s="6"/>
      <c r="E552" s="6"/>
      <c r="F552" s="68">
        <f>IF(OR(M_H2OCOOLER="",M_CLI=0),"",M_H2OCOOLER/(M_CLI*1000))</f>
        <v>0</v>
      </c>
      <c r="G552" s="235">
        <f>IF(M_H2OCOOLER="","",2450)</f>
        <v>2450</v>
      </c>
      <c r="H552" s="75"/>
      <c r="I552" s="374">
        <f>IF(ISERROR(QOUT_H2OCOOLER),"",QOUT_H2OCOOLER)</f>
        <v>0</v>
      </c>
      <c r="J552" s="380">
        <f t="shared" si="5"/>
        <v>0</v>
      </c>
      <c r="K552" s="595"/>
    </row>
    <row r="553" spans="1:23" ht="12.75" customHeight="1" outlineLevel="2">
      <c r="B553" s="43" t="str">
        <f>HBL!$AA$1562</f>
        <v>Radiation losses</v>
      </c>
      <c r="F553" s="146"/>
      <c r="G553" s="149"/>
      <c r="H553" s="150"/>
      <c r="I553" s="374">
        <f>IF(QOUT_COOLRAD="","",QOUT_COOLRAD)</f>
        <v>22.6</v>
      </c>
      <c r="J553" s="380">
        <f>IF(I553="","",I553/4.1868)</f>
        <v>5.3979172637814088</v>
      </c>
      <c r="K553" s="595">
        <v>66</v>
      </c>
    </row>
    <row r="554" spans="1:23" ht="12.75" customHeight="1" outlineLevel="2">
      <c r="B554" s="43" t="str">
        <f>HBL!$AA$1655</f>
        <v>Other heat output</v>
      </c>
      <c r="F554" s="146"/>
      <c r="G554" s="149"/>
      <c r="H554" s="150"/>
      <c r="I554" s="67" t="str">
        <f>IF(QOUT_OTHERCOOLER="","",QOUT_OTHERCOOLER)</f>
        <v/>
      </c>
      <c r="J554" s="82"/>
      <c r="K554" s="601">
        <v>67</v>
      </c>
    </row>
    <row r="555" spans="1:23" ht="12.75" customHeight="1" outlineLevel="2">
      <c r="B555" s="43" t="str">
        <f>HBL!$AA$1521</f>
        <v>Error</v>
      </c>
      <c r="C555" s="87">
        <f>IF(I557="","",100*I555/I557)</f>
        <v>-0.74397160297227694</v>
      </c>
      <c r="D555" s="2" t="s">
        <v>297</v>
      </c>
      <c r="F555" s="52"/>
      <c r="G555" s="65"/>
      <c r="H555" s="151"/>
      <c r="I555" s="141">
        <f>IF(I557="","",I557-SUM(I545:I554))</f>
        <v>-12.561012090216991</v>
      </c>
      <c r="J555" s="142">
        <f>IF(I555="","",I555/4.1868)</f>
        <v>-3.0001461952366943</v>
      </c>
      <c r="K555" s="601">
        <v>69</v>
      </c>
    </row>
    <row r="556" spans="1:23" ht="12.75" customHeight="1" outlineLevel="2">
      <c r="B556" s="226" t="s">
        <v>68</v>
      </c>
      <c r="C556" s="14"/>
      <c r="D556" s="14"/>
      <c r="E556" s="14"/>
      <c r="F556" s="52"/>
      <c r="G556" s="32"/>
      <c r="H556" s="70"/>
      <c r="I556" s="152"/>
      <c r="J556" s="152"/>
      <c r="K556" s="595"/>
    </row>
    <row r="557" spans="1:23" s="576" customFormat="1" ht="20.149999999999999" customHeight="1" outlineLevel="2">
      <c r="A557" s="633"/>
      <c r="B557" s="578" t="str">
        <f>HBL!$AA$1563</f>
        <v>TOTAL OF OUTPUTS</v>
      </c>
      <c r="C557" s="579"/>
      <c r="D557" s="579"/>
      <c r="E557" s="579"/>
      <c r="F557" s="505"/>
      <c r="G557" s="510"/>
      <c r="H557" s="575"/>
      <c r="I557" s="509">
        <f>I543</f>
        <v>1688.3725185254227</v>
      </c>
      <c r="J557" s="509">
        <f>IF(I557="","",I557/4.1868)</f>
        <v>403.26084802842809</v>
      </c>
      <c r="K557" s="604"/>
      <c r="W557" s="577"/>
    </row>
    <row r="558" spans="1:23" ht="12.75" customHeight="1" outlineLevel="2">
      <c r="B558" s="4"/>
      <c r="K558" s="597"/>
    </row>
    <row r="559" spans="1:23" ht="12.75" customHeight="1" outlineLevel="2">
      <c r="B559" s="608" t="s">
        <v>913</v>
      </c>
      <c r="C559" s="223" t="s">
        <v>915</v>
      </c>
      <c r="K559" s="597"/>
    </row>
    <row r="560" spans="1:23" ht="12.75" customHeight="1" outlineLevel="2">
      <c r="B560" s="608" t="s">
        <v>913</v>
      </c>
      <c r="C560" s="218" t="s">
        <v>915</v>
      </c>
      <c r="K560" s="597"/>
    </row>
    <row r="561" spans="1:11" ht="12.75" customHeight="1" outlineLevel="2">
      <c r="B561" s="218"/>
      <c r="C561" s="218"/>
      <c r="K561" s="597"/>
    </row>
    <row r="562" spans="1:11" ht="12.75" customHeight="1" outlineLevel="2" thickBot="1">
      <c r="B562" s="296" t="s">
        <v>1242</v>
      </c>
      <c r="C562" s="218"/>
      <c r="H562" t="str">
        <f>"@ " &amp; CLI_DUST &amp;" % dust recirculation"</f>
        <v>@ 1 % dust recirculation</v>
      </c>
      <c r="K562" s="597"/>
    </row>
    <row r="563" spans="1:11" ht="12.75" customHeight="1" outlineLevel="2">
      <c r="B563" t="s">
        <v>1733</v>
      </c>
      <c r="H563" s="502">
        <f>I1133</f>
        <v>73.882799633200619</v>
      </c>
      <c r="I563" t="s">
        <v>305</v>
      </c>
      <c r="K563" s="597"/>
    </row>
    <row r="564" spans="1:11" ht="12.75" customHeight="1" outlineLevel="2" thickBot="1">
      <c r="B564" t="s">
        <v>1127</v>
      </c>
      <c r="H564" s="503">
        <f>IF(H563="","",H563*((1-EXP(-0.8/0.77*(1+0.8/2.57)))/(1-EXP(-(F546+F548)/0.77*(1+(F546+F548)/2.57))))  )</f>
        <v>67.133906630353437</v>
      </c>
      <c r="I564" t="s">
        <v>305</v>
      </c>
      <c r="K564" s="597"/>
    </row>
    <row r="565" spans="1:11" ht="12.75" customHeight="1" outlineLevel="2">
      <c r="K565" s="597"/>
    </row>
    <row r="566" spans="1:11" ht="12.75" customHeight="1" outlineLevel="2">
      <c r="B566" s="608" t="s">
        <v>913</v>
      </c>
      <c r="C566" s="218" t="s">
        <v>534</v>
      </c>
      <c r="D566" s="218"/>
      <c r="H566" s="609" t="s">
        <v>1765</v>
      </c>
      <c r="I566" s="608" t="s">
        <v>1767</v>
      </c>
      <c r="K566" s="597"/>
    </row>
    <row r="567" spans="1:11" ht="12.75" customHeight="1" outlineLevel="2">
      <c r="B567" s="218"/>
      <c r="C567" s="218"/>
      <c r="D567" s="218"/>
      <c r="H567" s="609" t="s">
        <v>1766</v>
      </c>
      <c r="I567" s="608" t="s">
        <v>1768</v>
      </c>
      <c r="K567" s="587"/>
    </row>
    <row r="568" spans="1:11" ht="12.75" customHeight="1" outlineLevel="2">
      <c r="B568" s="2"/>
      <c r="E568" s="270"/>
      <c r="F568" s="18"/>
      <c r="I568" s="22"/>
      <c r="K568" s="587"/>
    </row>
    <row r="569" spans="1:11" ht="12.75" customHeight="1" outlineLevel="1">
      <c r="B569" s="59"/>
      <c r="I569" s="22"/>
      <c r="K569" s="587"/>
    </row>
    <row r="570" spans="1:11" ht="18.75" customHeight="1" outlineLevel="1">
      <c r="B570" s="499" t="s">
        <v>535</v>
      </c>
      <c r="C570" s="499"/>
      <c r="D570" s="499"/>
      <c r="E570" s="499"/>
      <c r="F570" s="499"/>
      <c r="G570" s="499"/>
      <c r="H570" s="499"/>
      <c r="I570" s="499"/>
      <c r="J570" s="499"/>
      <c r="K570" s="588"/>
    </row>
    <row r="571" spans="1:11" ht="12.75" customHeight="1" outlineLevel="1">
      <c r="B571" s="59"/>
      <c r="I571" s="22"/>
      <c r="K571" s="587"/>
    </row>
    <row r="572" spans="1:11" ht="12.75" customHeight="1" outlineLevel="2">
      <c r="B572" s="59"/>
      <c r="I572" s="22"/>
      <c r="K572" s="587"/>
    </row>
    <row r="573" spans="1:11" ht="12.75" customHeight="1" outlineLevel="2">
      <c r="A573" s="635"/>
      <c r="B573" s="492" t="str">
        <f>HBL!$AA$1616&amp;" "&amp;HBL!$AA$1671</f>
        <v>HEAT BALANCE OF A PREHEATER KILN</v>
      </c>
      <c r="C573" s="493"/>
      <c r="D573" s="493"/>
      <c r="E573" s="493"/>
      <c r="F573" s="493"/>
      <c r="G573" s="493"/>
      <c r="H573" s="493"/>
      <c r="I573" s="493"/>
      <c r="J573" s="493"/>
      <c r="K573" s="589"/>
    </row>
    <row r="574" spans="1:11" ht="12.75" customHeight="1" outlineLevel="2">
      <c r="A574" s="635"/>
      <c r="B574" s="238"/>
      <c r="C574" s="4"/>
      <c r="D574" s="4"/>
      <c r="E574" s="4"/>
      <c r="F574" s="4"/>
      <c r="G574" s="3"/>
      <c r="I574" s="1" t="str">
        <f>HBL!$AA$1658</f>
        <v>Plant</v>
      </c>
      <c r="J574" s="60" t="str">
        <f>IF(PLANT_NAME="","",PLANT_NAME)</f>
        <v>Lake Cement</v>
      </c>
      <c r="K574" s="597"/>
    </row>
    <row r="575" spans="1:11" ht="12.75" customHeight="1" outlineLevel="2">
      <c r="A575" s="635"/>
      <c r="B575" s="238"/>
      <c r="G575" s="3"/>
      <c r="I575" s="1" t="str">
        <f>HBL!$AA$1482</f>
        <v>Kiln No.</v>
      </c>
      <c r="J575" s="60" t="str">
        <f>IF(KILN_NO="","",KILN_NO)</f>
        <v/>
      </c>
      <c r="K575" s="597"/>
    </row>
    <row r="576" spans="1:11" ht="12.75" customHeight="1" outlineLevel="2">
      <c r="I576" s="1" t="str">
        <f>HBL!$AA$1309</f>
        <v>Date</v>
      </c>
      <c r="J576" s="62">
        <f>IF(M_CLI="","",DATE1)</f>
        <v>46021</v>
      </c>
      <c r="K576" s="597"/>
    </row>
    <row r="577" spans="2:14" ht="12.75" customHeight="1" outlineLevel="2">
      <c r="B577" t="str">
        <f>HBL!$AA$1520</f>
        <v>Reference temperature</v>
      </c>
      <c r="D577" s="1">
        <f>IF(M_CLI="","",20)</f>
        <v>20</v>
      </c>
      <c r="E577" s="2" t="s">
        <v>299</v>
      </c>
      <c r="G577" s="3"/>
      <c r="H577" s="3"/>
      <c r="J577" s="3"/>
      <c r="K577" s="597"/>
    </row>
    <row r="578" spans="2:14" ht="12.75" customHeight="1" outlineLevel="2">
      <c r="B578" t="str">
        <f>HBL!$AA$1589</f>
        <v>Ambient temperature</v>
      </c>
      <c r="D578" s="1">
        <f>IF(TAMB="","",TAMB)</f>
        <v>32</v>
      </c>
      <c r="E578" s="2" t="s">
        <v>299</v>
      </c>
      <c r="F578" s="519"/>
      <c r="G578" s="520"/>
      <c r="H578" s="521"/>
      <c r="I578" s="519"/>
      <c r="J578" s="521"/>
      <c r="K578" s="590"/>
    </row>
    <row r="579" spans="2:14" ht="12.75" customHeight="1" outlineLevel="2">
      <c r="B579" t="s">
        <v>284</v>
      </c>
      <c r="D579" s="63">
        <f>IF(PAMB="","",PAMB)</f>
        <v>974</v>
      </c>
      <c r="E579" s="2" t="s">
        <v>298</v>
      </c>
      <c r="F579" s="523" t="str">
        <f>HBL!$AA$1543</f>
        <v>SPECIFICATION</v>
      </c>
      <c r="G579" s="524"/>
      <c r="H579" s="525"/>
      <c r="I579" s="523" t="str">
        <f>HBL!$AA$1320</f>
        <v>ENERGY</v>
      </c>
      <c r="J579" s="525"/>
      <c r="K579" s="591"/>
    </row>
    <row r="580" spans="2:14" ht="12.75" customHeight="1" outlineLevel="2">
      <c r="B580" t="str">
        <f>HBL!$AA$1509</f>
        <v>Production rate</v>
      </c>
      <c r="D580" s="63">
        <f>IF(M_CLI="","",M_CLI*24)</f>
        <v>1830</v>
      </c>
      <c r="E580" s="2" t="str">
        <f>HBL!$AA$1566</f>
        <v>t/d</v>
      </c>
      <c r="F580" s="527"/>
      <c r="G580" s="528"/>
      <c r="H580" s="529"/>
      <c r="I580" s="530"/>
      <c r="J580" s="529"/>
      <c r="K580" s="599"/>
    </row>
    <row r="581" spans="2:14" ht="12.75" customHeight="1" outlineLevel="2">
      <c r="B581" t="str">
        <f>HBL!$AA$1545</f>
        <v>Specific heat cons-</v>
      </c>
      <c r="D581" s="63">
        <f>Q_FUEL</f>
        <v>3318.4874754098364</v>
      </c>
      <c r="E581" s="2" t="s">
        <v>1370</v>
      </c>
      <c r="F581" s="531" t="s">
        <v>1953</v>
      </c>
      <c r="G581" s="523" t="str">
        <f>HBL!$AA$1391</f>
        <v>NCV</v>
      </c>
      <c r="H581" s="525"/>
      <c r="I581" s="522"/>
      <c r="J581" s="532"/>
      <c r="K581" s="592"/>
    </row>
    <row r="582" spans="2:14" ht="19.5" customHeight="1" outlineLevel="2">
      <c r="B582" t="str">
        <f>HBL!$AA$1597</f>
        <v>sumption</v>
      </c>
      <c r="D582" s="20">
        <f>D581/4.1867</f>
        <v>792.62604805929163</v>
      </c>
      <c r="F582" s="534" t="s">
        <v>1952</v>
      </c>
      <c r="G582" s="535" t="s">
        <v>358</v>
      </c>
      <c r="H582" s="526" t="s">
        <v>359</v>
      </c>
      <c r="I582" s="536" t="s">
        <v>1954</v>
      </c>
      <c r="J582" s="537" t="s">
        <v>1955</v>
      </c>
      <c r="K582" s="591"/>
      <c r="M582" s="20"/>
    </row>
    <row r="583" spans="2:14" ht="12.75" customHeight="1" outlineLevel="2">
      <c r="F583" s="538" t="s">
        <v>362</v>
      </c>
      <c r="G583" s="538" t="s">
        <v>349</v>
      </c>
      <c r="H583" s="526" t="s">
        <v>344</v>
      </c>
      <c r="I583" s="533"/>
      <c r="J583" s="526"/>
      <c r="K583" s="592"/>
      <c r="M583" s="20">
        <f>J622</f>
        <v>-6.2717848162823326</v>
      </c>
    </row>
    <row r="584" spans="2:14" ht="12.75" customHeight="1" outlineLevel="2">
      <c r="B584" s="511" t="str">
        <f>HBL!$AA$1318</f>
        <v>INPUT</v>
      </c>
      <c r="C584" s="11"/>
      <c r="D584" s="11"/>
      <c r="E584" s="11"/>
      <c r="F584" s="10"/>
      <c r="G584" s="512"/>
      <c r="H584" s="49"/>
      <c r="I584" s="513"/>
      <c r="J584" s="49"/>
      <c r="K584" s="600"/>
    </row>
    <row r="585" spans="2:14" ht="12.75" customHeight="1" outlineLevel="2">
      <c r="B585" s="43" t="str">
        <f>HBL!$AA$1270</f>
        <v>Fuel</v>
      </c>
      <c r="D585" s="2" t="str">
        <f>HBL!$AA$1442</f>
        <v>Conventional</v>
      </c>
      <c r="E585" s="66"/>
      <c r="G585" s="12"/>
      <c r="I585" s="373">
        <f>D581</f>
        <v>3318.4874754098364</v>
      </c>
      <c r="J585" s="806">
        <f>IF(I585="","",I585/4.1868)</f>
        <v>792.60711651137774</v>
      </c>
      <c r="K585" s="602">
        <v>21</v>
      </c>
      <c r="M585" s="597" t="s">
        <v>2052</v>
      </c>
      <c r="N585" s="20">
        <f>J603+J605+J604</f>
        <v>224.0551680278295</v>
      </c>
    </row>
    <row r="586" spans="2:14" ht="12.75" customHeight="1" outlineLevel="2">
      <c r="B586" s="43"/>
      <c r="D586" s="19" t="str">
        <f>HBL!$AA$1236</f>
        <v>Alternative</v>
      </c>
      <c r="E586" s="66"/>
      <c r="F586" s="211"/>
      <c r="G586" s="401"/>
      <c r="H586" s="211"/>
      <c r="I586" s="402" t="str">
        <f>Q_FUELALT</f>
        <v/>
      </c>
      <c r="J586" s="402" t="str">
        <f t="shared" ref="J586:J595" si="6">IF(I586="","",I586/4.1868)</f>
        <v/>
      </c>
      <c r="K586" s="595"/>
      <c r="M586" s="597" t="s">
        <v>2053</v>
      </c>
      <c r="N586" s="20">
        <f>SUM(J609,J612)</f>
        <v>112.27571849440325</v>
      </c>
    </row>
    <row r="587" spans="2:14" ht="12.75" customHeight="1" outlineLevel="2">
      <c r="B587" s="43"/>
      <c r="D587" t="str">
        <f>HBL!$AA$1324</f>
        <v>Sensible heat</v>
      </c>
      <c r="E587" s="66"/>
      <c r="G587" s="12"/>
      <c r="I587" s="141">
        <f>SHIN_FUEL</f>
        <v>7.7797770491803293</v>
      </c>
      <c r="J587" s="141">
        <f t="shared" si="6"/>
        <v>1.8581678248734903</v>
      </c>
      <c r="K587" s="595"/>
      <c r="M587" s="182" t="s">
        <v>2054</v>
      </c>
      <c r="N587" s="20">
        <f>J617+J618+J619+J620</f>
        <v>75.140919079010217</v>
      </c>
    </row>
    <row r="588" spans="2:14" ht="12.75" customHeight="1" outlineLevel="2">
      <c r="B588" s="43" t="str">
        <f>HBL!$AA$1486</f>
        <v>Kiln feed</v>
      </c>
      <c r="C588" s="18"/>
      <c r="D588" t="str">
        <f>HBL!$AA$1324</f>
        <v>Sensible heat</v>
      </c>
      <c r="E588" s="66"/>
      <c r="F588" s="192">
        <f>IF(M_FEED="","",M_FEED/M_CLI)</f>
        <v>1.6</v>
      </c>
      <c r="G588" s="192">
        <f>CP_MEALDRY</f>
        <v>0.86198502510800012</v>
      </c>
      <c r="H588" s="69">
        <f>IF(T_FEED="","",T_FEED)</f>
        <v>69</v>
      </c>
      <c r="I588" s="141">
        <f>SHIN_FEED</f>
        <v>68.750786131609118</v>
      </c>
      <c r="J588" s="141">
        <f t="shared" si="6"/>
        <v>16.420843157449394</v>
      </c>
      <c r="K588" s="595">
        <v>22</v>
      </c>
    </row>
    <row r="589" spans="2:14" ht="12.75" customHeight="1" outlineLevel="2">
      <c r="B589" s="43"/>
      <c r="D589" t="str">
        <f>HBL!$AA$1268</f>
        <v>Combustible matter</v>
      </c>
      <c r="F589" s="192" t="str">
        <f>IF(ORG_MATTER&gt;0,CLI_FACTOR*ORG_MATTER/100, IF(PYRITE&gt;0, CLI_FACTOR*PYRITE/100, ""))</f>
        <v/>
      </c>
      <c r="G589" s="400" t="str">
        <f>IF(ORG_MATTER&gt;0,LHV_ORGMATTER, IF(PYRITE&gt;0, LHV_PYRITE, ""))</f>
        <v/>
      </c>
      <c r="H589" s="236"/>
      <c r="I589" s="141" t="str">
        <f>IF(Q_ORGMATTER=0,"",Q_ORGMATTER)</f>
        <v/>
      </c>
      <c r="J589" s="141" t="str">
        <f t="shared" si="6"/>
        <v/>
      </c>
      <c r="K589" s="601"/>
    </row>
    <row r="590" spans="2:14" ht="12.75" customHeight="1" outlineLevel="2">
      <c r="B590" s="43" t="str">
        <f>HBL!$AA$1500</f>
        <v>Primary air</v>
      </c>
      <c r="D590" t="str">
        <f>HBL!$AA$1324</f>
        <v>Sensible heat</v>
      </c>
      <c r="E590" s="66"/>
      <c r="F590" s="192">
        <f>IF(VN_PRIMCOMB="","",VN_PRIMCOMB/(M_CLI*1000))</f>
        <v>5.2065573770491806E-2</v>
      </c>
      <c r="G590" s="192">
        <f>IF(H2OVAPOR_COALMILL="",CP_PRIMAIR,(CP_PRIMAIR*(VN_PRIMCOMB)+CPH2O_PRIMAIR*H2OVAPOR_COALMILL)/VN_PRIMAIR)</f>
        <v>1.3012547041283724</v>
      </c>
      <c r="H590" s="76">
        <f>IF(T_PRIMAIR="","",T_PRIMAIR)</f>
        <v>48.819899244332497</v>
      </c>
      <c r="I590" s="141">
        <f>SHIN_PRIMAIR</f>
        <v>3.8696904845845506</v>
      </c>
      <c r="J590" s="141">
        <f t="shared" si="6"/>
        <v>0.92425969346148629</v>
      </c>
      <c r="K590" s="595">
        <v>23</v>
      </c>
    </row>
    <row r="591" spans="2:14" ht="12.75" customHeight="1" outlineLevel="2">
      <c r="B591" s="43" t="str">
        <f>HBL!$AA$1403</f>
        <v>Cooler</v>
      </c>
      <c r="D591" t="str">
        <f>HBL!$AA$1332</f>
        <v>Sensible heat air</v>
      </c>
      <c r="E591" s="66"/>
      <c r="F591" s="192">
        <f>VNSP_COOLAIR</f>
        <v>2.0826778197126727</v>
      </c>
      <c r="G591" s="192">
        <f>IF(SHIN_COOLAIR="","",1.3)</f>
        <v>1.3</v>
      </c>
      <c r="H591" s="69">
        <f>IF(SHIN_COOLAIR="","",IF(Cooler=1, AVERAGE($G$293:$G$309), TAMB))</f>
        <v>40</v>
      </c>
      <c r="I591" s="141">
        <f>SHIN_COOLAIR</f>
        <v>54.177624832508421</v>
      </c>
      <c r="J591" s="141">
        <f t="shared" si="6"/>
        <v>12.940103380268564</v>
      </c>
      <c r="K591" s="595">
        <v>24</v>
      </c>
    </row>
    <row r="592" spans="2:14" ht="12.75" customHeight="1" outlineLevel="2">
      <c r="B592" s="43"/>
      <c r="D592" t="str">
        <f>IF(M_H2OCOOLER="","",HBL!$AA$1331)</f>
        <v>Sensible heat water</v>
      </c>
      <c r="F592" s="145">
        <f>IF(ISERR(M_H2OCOOLER/(M_CLI*1000)),"",M_H2OCOOLER/(M_CLI*1000))</f>
        <v>0</v>
      </c>
      <c r="G592" s="80" t="str">
        <f>IF(CP_H2OCOOLER="","",CP_H2OCOOLER)</f>
        <v/>
      </c>
      <c r="H592" s="81" t="str">
        <f>IF(T_H2OCOOLER="","",T_H2OCOOLER)</f>
        <v/>
      </c>
      <c r="I592" s="189" t="str">
        <f>SHIN_H2OCOOLER</f>
        <v/>
      </c>
      <c r="J592" s="141" t="str">
        <f t="shared" si="6"/>
        <v/>
      </c>
      <c r="K592" s="595"/>
    </row>
    <row r="593" spans="2:26" ht="12.75" customHeight="1" outlineLevel="2">
      <c r="B593" s="43" t="s">
        <v>943</v>
      </c>
      <c r="D593" t="str">
        <f>IF(H2O_PREHEATER="","",HBL!$AA$1331)</f>
        <v>Sensible heat water</v>
      </c>
      <c r="F593" s="145">
        <f>IF(ISERR(H2O_PREHEATER*1000/(M_CLI*1000)),"",H2O_PREHEATER*1000/(M_CLI*1000))</f>
        <v>0</v>
      </c>
      <c r="G593" s="80" t="str">
        <f>IF(D209="","",D209)</f>
        <v/>
      </c>
      <c r="H593" s="81" t="str">
        <f>IF(D208="","",D208)</f>
        <v/>
      </c>
      <c r="I593" s="189" t="str">
        <f>SHIN_H2OPREHEAT</f>
        <v/>
      </c>
      <c r="J593" s="141" t="str">
        <f t="shared" si="6"/>
        <v/>
      </c>
      <c r="K593" s="595"/>
    </row>
    <row r="594" spans="2:26" ht="12.75" customHeight="1" outlineLevel="2">
      <c r="B594" s="43" t="str">
        <f>IF(QIN_OTHER="","",HBL!$AA$1649)</f>
        <v/>
      </c>
      <c r="F594" s="69"/>
      <c r="G594" s="69"/>
      <c r="H594" s="69"/>
      <c r="I594" s="141" t="str">
        <f>IF(QIN_OTHER=0,"",QIN_OTHER)</f>
        <v/>
      </c>
      <c r="J594" s="141" t="str">
        <f t="shared" si="6"/>
        <v/>
      </c>
      <c r="K594" s="595">
        <v>25</v>
      </c>
    </row>
    <row r="595" spans="2:26" ht="12.75" customHeight="1" outlineLevel="2">
      <c r="B595" s="21" t="str">
        <f>IF(P_mechconsidered=1,"Mechanical energy","")</f>
        <v>Mechanical energy</v>
      </c>
      <c r="C595" s="14"/>
      <c r="D595" s="14"/>
      <c r="E595" s="61"/>
      <c r="F595" s="21"/>
      <c r="G595" s="514"/>
      <c r="H595" s="15"/>
      <c r="I595" s="515">
        <f>IF(B595="","",H63+H64)</f>
        <v>29.0660931147541</v>
      </c>
      <c r="J595" s="515">
        <f t="shared" si="6"/>
        <v>6.942317071451729</v>
      </c>
      <c r="K595" s="603"/>
    </row>
    <row r="596" spans="2:26" ht="20.149999999999999" customHeight="1" outlineLevel="2">
      <c r="B596" s="505" t="str">
        <f>HBL!$AA$1564</f>
        <v>TOTAL OF INPUTS</v>
      </c>
      <c r="C596" s="506"/>
      <c r="D596" s="506"/>
      <c r="E596" s="506"/>
      <c r="F596" s="506"/>
      <c r="G596" s="507"/>
      <c r="H596" s="508"/>
      <c r="I596" s="509">
        <f>IF(SUM(I585:I595)=0,"",SUM(I585:I595))</f>
        <v>3482.1314470224729</v>
      </c>
      <c r="J596" s="509">
        <f>IF(I596="","",I596/4.1868)</f>
        <v>831.69280763888241</v>
      </c>
      <c r="K596" s="604"/>
    </row>
    <row r="597" spans="2:26" ht="12.75" customHeight="1" outlineLevel="2">
      <c r="B597" s="504" t="str">
        <f>HBL!$AA$1248</f>
        <v>OUTPUT</v>
      </c>
      <c r="E597" s="66"/>
      <c r="F597" s="43"/>
      <c r="G597" s="64"/>
      <c r="H597" s="13"/>
      <c r="I597" s="95"/>
      <c r="J597" s="73"/>
      <c r="K597" s="595"/>
    </row>
    <row r="598" spans="2:26" ht="12.75" customHeight="1" outlineLevel="2">
      <c r="B598" s="43" t="str">
        <f>HBL!$AA$1436</f>
        <v>Heat of formation</v>
      </c>
      <c r="E598" s="66"/>
      <c r="F598" s="64"/>
      <c r="G598" s="73"/>
      <c r="H598" s="74"/>
      <c r="I598" s="374">
        <f>IF(QOUT_CLIFORM="","",QOUT_CLIFORM)</f>
        <v>1768</v>
      </c>
      <c r="J598" s="374">
        <f t="shared" ref="J598:J616" si="7">IF(I598="","",I598/4.1868)</f>
        <v>422.27954523741283</v>
      </c>
      <c r="K598" s="595">
        <v>31</v>
      </c>
    </row>
    <row r="599" spans="2:26" ht="12.75" customHeight="1" outlineLevel="2">
      <c r="B599" s="610"/>
      <c r="C599" s="217"/>
      <c r="D599" s="218"/>
      <c r="E599" s="264"/>
      <c r="F599" s="265"/>
      <c r="G599" s="266"/>
      <c r="H599" s="267"/>
      <c r="I599" s="268"/>
      <c r="J599" s="269"/>
      <c r="K599" s="605" t="s">
        <v>1380</v>
      </c>
    </row>
    <row r="600" spans="2:26" ht="12.75" customHeight="1" outlineLevel="2">
      <c r="B600" s="43" t="str">
        <f>HBL!$AA$1636</f>
        <v>Water evaporation</v>
      </c>
      <c r="D600" t="str">
        <f>HBL!$AA$1486</f>
        <v>Kiln feed</v>
      </c>
      <c r="E600" s="66"/>
      <c r="F600" s="192">
        <f>IF(H2O_FEED=0,"",M_FEED*H2O_FEED/100/M_CLI)</f>
        <v>7.1999999999999989E-3</v>
      </c>
      <c r="G600" s="410">
        <f>IF(H2O_FEED=0,"",2450)</f>
        <v>2450</v>
      </c>
      <c r="H600" s="75"/>
      <c r="I600" s="141">
        <f>IF(QOUT_H2OFEED="","",QOUT_H2OFEED)</f>
        <v>17.639999999999997</v>
      </c>
      <c r="J600" s="141">
        <f t="shared" si="7"/>
        <v>4.2132416165090278</v>
      </c>
      <c r="K600" s="595">
        <v>32</v>
      </c>
      <c r="U600">
        <f>122.8+73.8</f>
        <v>196.6</v>
      </c>
    </row>
    <row r="601" spans="2:26" ht="12.75" customHeight="1" outlineLevel="2">
      <c r="B601" s="43"/>
      <c r="D601" t="s">
        <v>943</v>
      </c>
      <c r="E601" s="66"/>
      <c r="F601" s="192">
        <f>IF(H2O_PREHEATER="","",H2O_PREHEATER/M_CLI)</f>
        <v>0</v>
      </c>
      <c r="G601" s="410">
        <f>IF(H2O_PREHEATER="","",2450)</f>
        <v>2450</v>
      </c>
      <c r="H601" s="75"/>
      <c r="I601" s="141">
        <f>IF(QOUT_H2OPREHEAT="","",QOUT_H2OPREHEAT)</f>
        <v>0</v>
      </c>
      <c r="J601" s="141">
        <f t="shared" si="7"/>
        <v>0</v>
      </c>
      <c r="K601" s="595"/>
    </row>
    <row r="602" spans="2:26" ht="12.75" customHeight="1" outlineLevel="2">
      <c r="B602" s="43"/>
      <c r="D602" t="str">
        <f>HBL!$AA$1403</f>
        <v>Cooler</v>
      </c>
      <c r="E602" s="66"/>
      <c r="F602" s="192">
        <f>IF(OR(M_H2OCOOLER="",M_CLI=0),"",M_H2OCOOLER/(M_CLI*1000))</f>
        <v>0</v>
      </c>
      <c r="G602" s="235">
        <f>IF(M_H2OCOOLER="","",2450)</f>
        <v>2450</v>
      </c>
      <c r="H602" s="75"/>
      <c r="I602" s="141">
        <f>IF(ISERROR(QOUT_H2OCOOLER),"",QOUT_H2OCOOLER)</f>
        <v>0</v>
      </c>
      <c r="J602" s="141">
        <f t="shared" si="7"/>
        <v>0</v>
      </c>
      <c r="K602" s="595"/>
    </row>
    <row r="603" spans="2:26" ht="12.75" customHeight="1" outlineLevel="2">
      <c r="B603" s="43" t="str">
        <f>HBL!$AA$1485</f>
        <v>Kiln exhaust gas</v>
      </c>
      <c r="D603" t="str">
        <f>HBL!$AA$1324</f>
        <v>Sensible heat</v>
      </c>
      <c r="E603" s="66"/>
      <c r="F603" s="192">
        <f>VNSP_EXHAUSTWET</f>
        <v>1.9</v>
      </c>
      <c r="G603" s="154">
        <f>IF(CP_EXHAUSTman="","",CP_EXHAUSTman)</f>
        <v>1.4995476880469631</v>
      </c>
      <c r="H603" s="83">
        <f>IF(T_EXHAUST="","",T_EXHAUST)</f>
        <v>332</v>
      </c>
      <c r="I603" s="141">
        <f>F603*G603*(339-D577)</f>
        <v>908.87585372526428</v>
      </c>
      <c r="J603" s="141">
        <f t="shared" si="7"/>
        <v>217.08126820609161</v>
      </c>
      <c r="K603" s="595">
        <v>33</v>
      </c>
      <c r="U603">
        <f>122.8+0.2+7.8+73.8+4.7</f>
        <v>209.3</v>
      </c>
      <c r="Z603">
        <f>122.8</f>
        <v>122.8</v>
      </c>
    </row>
    <row r="604" spans="2:26" ht="12.75" customHeight="1" outlineLevel="2">
      <c r="B604" s="43"/>
      <c r="C604" s="77"/>
      <c r="D604" s="19" t="str">
        <f>HBL!$AA$1291</f>
        <v>CO</v>
      </c>
      <c r="E604" s="66"/>
      <c r="F604" s="78">
        <f>IF(CO_EXHAUST="","",CO_EXHAUST)</f>
        <v>250</v>
      </c>
      <c r="G604" s="410">
        <v>12640</v>
      </c>
      <c r="H604" s="75"/>
      <c r="I604" s="141">
        <v>0</v>
      </c>
      <c r="J604" s="141">
        <f t="shared" si="7"/>
        <v>0</v>
      </c>
      <c r="K604" s="595"/>
    </row>
    <row r="605" spans="2:26" ht="12.75" customHeight="1" outlineLevel="2">
      <c r="B605" s="46"/>
      <c r="C605" s="77" t="str">
        <f>HBL!$AA$1552</f>
        <v>dust</v>
      </c>
      <c r="D605" t="str">
        <f>HBL!$AA$1324</f>
        <v>Sensible heat</v>
      </c>
      <c r="E605" s="66"/>
      <c r="F605" s="192">
        <f>IF(M_DUSTFILTER="","",IF(PRECAL&lt;5, M_DUSTFILTER/M_CLI, M_DUSTFILTER*(100-FEED_CALCINER)/100/M_CLI))</f>
        <v>9.3114754098360647E-2</v>
      </c>
      <c r="G605" s="154">
        <f>CP_DUSTEXHAUST</f>
        <v>1.0050434216959998</v>
      </c>
      <c r="H605" s="83">
        <f>IF(T_EXHAUST="","",T_EXHAUST)</f>
        <v>332</v>
      </c>
      <c r="I605" s="141">
        <f>SHOUT_DUST</f>
        <v>29.198323773652177</v>
      </c>
      <c r="J605" s="141">
        <f t="shared" si="7"/>
        <v>6.9738998217378851</v>
      </c>
      <c r="K605" s="595"/>
    </row>
    <row r="606" spans="2:26" ht="12.75" customHeight="1" outlineLevel="2">
      <c r="B606" s="43" t="str">
        <f>IF(PRECAL&lt;5,"",HBL!$AA$1422)</f>
        <v/>
      </c>
      <c r="D606" t="str">
        <f>IF(PRECAL&lt;5,"",HBL!$AA$1324)</f>
        <v/>
      </c>
      <c r="E606" s="66"/>
      <c r="F606" s="68" t="str">
        <f>VNSP_EXHAUSTWETCALCINER</f>
        <v/>
      </c>
      <c r="G606" s="145" t="str">
        <f>IF(PRECAL&lt;5,"",CP_EXHAUSTCALCINERman)</f>
        <v/>
      </c>
      <c r="H606" s="83" t="str">
        <f>IF(T_EXHAUSTCALCINER="","",T_EXHAUSTCALCINER)</f>
        <v/>
      </c>
      <c r="I606" s="141" t="str">
        <f>SHOUT_EXHAUSTCALCINER</f>
        <v/>
      </c>
      <c r="J606" s="141" t="str">
        <f t="shared" si="7"/>
        <v/>
      </c>
      <c r="K606" s="595">
        <v>33</v>
      </c>
      <c r="N606" s="809"/>
    </row>
    <row r="607" spans="2:26" ht="12.75" customHeight="1" outlineLevel="2">
      <c r="B607" s="43"/>
      <c r="C607" s="77"/>
      <c r="D607" s="19" t="str">
        <f>IF(PRECAL&lt;5,"",HBL!$AA$1291)</f>
        <v/>
      </c>
      <c r="E607" s="66"/>
      <c r="F607" s="78" t="str">
        <f>IF(CO_EXHAUSTCALCINER="","",CO_EXHAUSTCALCINER)</f>
        <v/>
      </c>
      <c r="G607" s="235" t="str">
        <f>IF(F607="","",LHV_CO)</f>
        <v/>
      </c>
      <c r="H607" s="75"/>
      <c r="I607" s="141" t="str">
        <f>IF(QOUT_COCALCINER="","",QOUT_COCALCINER)</f>
        <v/>
      </c>
      <c r="J607" s="141" t="str">
        <f t="shared" si="7"/>
        <v/>
      </c>
      <c r="K607" s="595"/>
    </row>
    <row r="608" spans="2:26" ht="12.75" customHeight="1" outlineLevel="2">
      <c r="B608" s="43"/>
      <c r="C608" s="108" t="str">
        <f>IF(PRECAL&lt;5,"",HBL!$AA$1552)</f>
        <v/>
      </c>
      <c r="D608" t="str">
        <f>IF(PRECAL&lt;5,"",HBL!$AA$1324)</f>
        <v/>
      </c>
      <c r="E608" s="66"/>
      <c r="F608" s="192">
        <f>IF(M_DUSTFILTER="","",IF(PRECAL=5, M_DUSTFILTER/M_CLI, M_DUSTFILTER*(FEED_CALCINER)/100/M_CLI))</f>
        <v>0</v>
      </c>
      <c r="G608" s="235" t="str">
        <f>IF(F608=0,"",CP_DUSTEXHAUST)</f>
        <v/>
      </c>
      <c r="H608" s="75" t="str">
        <f>IF(T_EXHAUSTCALCINER="","",T_EXHAUSTCALCINER)</f>
        <v/>
      </c>
      <c r="I608" s="141" t="str">
        <f>IF(PRECAL=5,I848,"")</f>
        <v/>
      </c>
      <c r="J608" s="141" t="str">
        <f t="shared" si="7"/>
        <v/>
      </c>
      <c r="K608" s="595"/>
      <c r="P608">
        <f>0.92+0.74</f>
        <v>1.6600000000000001</v>
      </c>
    </row>
    <row r="609" spans="2:16" ht="12.75" customHeight="1" outlineLevel="2">
      <c r="B609" s="43" t="str">
        <f>HBL!$AA$1403</f>
        <v>Cooler</v>
      </c>
      <c r="C609" s="77" t="str">
        <f>IF(Cooler=2,"",HBL!$AA$1231)</f>
        <v>Waste air</v>
      </c>
      <c r="D609" t="str">
        <f>IF(Cooler=2,"",HBL!$AA$1324)</f>
        <v>Sensible heat</v>
      </c>
      <c r="E609" s="66"/>
      <c r="F609" s="192">
        <f>IF(VNSP_WASTE="","", VNSP_WASTE)</f>
        <v>1.1284590163934427</v>
      </c>
      <c r="G609" s="154">
        <f>CP_WASTE</f>
        <v>1.3204737814953997</v>
      </c>
      <c r="H609" s="409">
        <f>IF(T_WASTE="","",T_WASTE)</f>
        <v>281</v>
      </c>
      <c r="I609" s="141">
        <f>SHOUT_WASTE</f>
        <v>388.91624215094311</v>
      </c>
      <c r="J609" s="141">
        <f t="shared" si="7"/>
        <v>92.891048569538341</v>
      </c>
      <c r="K609" s="595">
        <v>34</v>
      </c>
    </row>
    <row r="610" spans="2:16" ht="12.75" customHeight="1" outlineLevel="2">
      <c r="B610" s="43"/>
      <c r="C610" s="77" t="str">
        <f>IF(Cooler=2,"",HBL!$AA$1634)</f>
        <v>Water vapor</v>
      </c>
      <c r="D610" t="str">
        <f>IF(Cooler=2,"",HBL!$AA$1324)</f>
        <v>Sensible heat</v>
      </c>
      <c r="E610" s="66"/>
      <c r="F610" s="192">
        <f>IF(OR($G$896="",M_CLI=0), "", $G$896/(M_CLI*1000))</f>
        <v>0</v>
      </c>
      <c r="G610" s="154">
        <f>IF(M_CLI=0,"",$G$898)</f>
        <v>1.5416749999999999</v>
      </c>
      <c r="H610" s="409">
        <f>$G$897</f>
        <v>281</v>
      </c>
      <c r="I610" s="141">
        <f>IF(ISERROR($I$900),,I900)</f>
        <v>0</v>
      </c>
      <c r="J610" s="141">
        <f t="shared" si="7"/>
        <v>0</v>
      </c>
      <c r="K610" s="595"/>
      <c r="P610">
        <f>0.92/1.66</f>
        <v>0.55421686746987953</v>
      </c>
    </row>
    <row r="611" spans="2:16" ht="12.75" customHeight="1" outlineLevel="2">
      <c r="B611" s="43"/>
      <c r="C611" s="77" t="str">
        <f>IF(Cooler=2,"",HBL!$AA$1466)</f>
        <v>Middle air</v>
      </c>
      <c r="D611" t="str">
        <f>IF(Cooler=2,"",HBL!$AA$1324)</f>
        <v>Sensible heat</v>
      </c>
      <c r="E611" s="66"/>
      <c r="F611" s="68">
        <f>IF(VN_MIDDLE="","",VN_MIDDLE/(M_CLI*1000))</f>
        <v>0</v>
      </c>
      <c r="G611" s="145" t="str">
        <f>IF(VN_MIDDLE="","",CP_MIDDLE)</f>
        <v/>
      </c>
      <c r="H611" s="81">
        <f>IF(VN_MIDDLE="","",T_MIDDLE)</f>
        <v>0</v>
      </c>
      <c r="I611" s="141">
        <v>0</v>
      </c>
      <c r="J611" s="141">
        <f t="shared" si="7"/>
        <v>0</v>
      </c>
      <c r="K611" s="595"/>
      <c r="P611">
        <f>P610*388+(1-P610)*300</f>
        <v>348.77108433734941</v>
      </c>
    </row>
    <row r="612" spans="2:16" ht="12.75" customHeight="1" outlineLevel="2">
      <c r="B612" s="43"/>
      <c r="C612" s="77" t="str">
        <f>HBL!$AA$1431</f>
        <v>Clinker exit</v>
      </c>
      <c r="D612" t="str">
        <f>HBL!$AA$1324</f>
        <v>Sensible heat</v>
      </c>
      <c r="E612" s="66"/>
      <c r="F612" s="79">
        <f>IF(M_CLI="","",1)</f>
        <v>1</v>
      </c>
      <c r="G612" s="154">
        <f>CP_CLI</f>
        <v>0.80356174298439997</v>
      </c>
      <c r="H612" s="83">
        <f>IF(T_CLI="","",T_CLI)</f>
        <v>121</v>
      </c>
      <c r="I612" s="141">
        <f>SHOUT_CLINKER</f>
        <v>81.159736041424395</v>
      </c>
      <c r="J612" s="141">
        <f t="shared" si="7"/>
        <v>19.384669924864909</v>
      </c>
      <c r="K612" s="595"/>
    </row>
    <row r="613" spans="2:16" ht="12.75" customHeight="1" outlineLevel="2">
      <c r="B613" s="43" t="str">
        <f>IF(VN_BYPASS="","",HBL!$AA$1281)</f>
        <v/>
      </c>
      <c r="D613" t="str">
        <f>IF(VN_BYPASS="","",HBL!$AA$1324)</f>
        <v/>
      </c>
      <c r="E613" s="66"/>
      <c r="F613" s="153" t="str">
        <f>IF(VN_BYPASS="","",VN_BYPASS/(M_CLI*1000))</f>
        <v/>
      </c>
      <c r="G613" s="154" t="str">
        <f>IF(CP_BYPASSEXTRAC=0,"",CP_BYPASSEXTRAC)</f>
        <v/>
      </c>
      <c r="H613" s="377" t="str">
        <f>IF(T_BYPASSEXTRAC=0,"",T_BYPASSEXTRAC)</f>
        <v/>
      </c>
      <c r="I613" s="142" t="str">
        <f>IF(SHOUT_BYPASSGAS=0,"",SHOUT_BYPASSGAS)</f>
        <v/>
      </c>
      <c r="J613" s="141" t="str">
        <f t="shared" si="7"/>
        <v/>
      </c>
      <c r="K613" s="601">
        <v>35</v>
      </c>
    </row>
    <row r="614" spans="2:16" ht="12.75" customHeight="1" outlineLevel="2">
      <c r="B614" s="43"/>
      <c r="D614" s="2" t="str">
        <f>IF(VN_BYPASS="","",HBL!$AA$1291)</f>
        <v/>
      </c>
      <c r="E614" s="66"/>
      <c r="F614" s="83" t="str">
        <f>IF(CO_BYPASSEXTRAC=0,"",CO_BYPASSEXTRAC)</f>
        <v/>
      </c>
      <c r="G614" s="410" t="str">
        <f>IF(F614="","",LHV_CO)</f>
        <v/>
      </c>
      <c r="H614" s="75"/>
      <c r="I614" s="143" t="str">
        <f>IF(QOUT_COBYPASS=0,"",QOUT_COBYPASS)</f>
        <v/>
      </c>
      <c r="J614" s="141" t="str">
        <f t="shared" si="7"/>
        <v/>
      </c>
      <c r="K614" s="601"/>
    </row>
    <row r="615" spans="2:16" ht="12.75" customHeight="1" outlineLevel="2">
      <c r="B615" s="43"/>
      <c r="C615" s="77" t="str">
        <f>IF(VN_BYPASS="","",HBL!$AA$1552)</f>
        <v/>
      </c>
      <c r="D615" t="str">
        <f>IF(VN_BYPASS="","",HBL!$AA$1324)</f>
        <v/>
      </c>
      <c r="E615" s="66"/>
      <c r="F615" s="153" t="str">
        <f>IF(M_BYPASS="","",M_BYPASS/M_CLI)</f>
        <v/>
      </c>
      <c r="G615" s="154" t="str">
        <f>IF(F615="","",CP_BYDUSTEXTRAC)</f>
        <v/>
      </c>
      <c r="H615" s="377" t="str">
        <f>IF(F615="","",T_BYPASSEXTRAC)</f>
        <v/>
      </c>
      <c r="I615" s="143" t="str">
        <f>IF(SHOUT_BYPASSDUST="","",SHOUT_BYPASSDUST)</f>
        <v/>
      </c>
      <c r="J615" s="141" t="str">
        <f t="shared" si="7"/>
        <v/>
      </c>
      <c r="K615" s="601"/>
      <c r="O615">
        <f>G609/4.186</f>
        <v>0.31545001946856183</v>
      </c>
    </row>
    <row r="616" spans="2:16" ht="12.75" customHeight="1" outlineLevel="2">
      <c r="B616" s="43"/>
      <c r="D616" t="str">
        <f>IF(VN_BYPASS="","",HBL!$AA$1287)</f>
        <v/>
      </c>
      <c r="E616" s="66"/>
      <c r="F616" s="153" t="str">
        <f>IF(CaOnc_BYPASS="","",CaOnc_BYPASS*M_BYPASS/M_CLI)</f>
        <v/>
      </c>
      <c r="G616" s="410" t="str">
        <f>IF(F616="","",3150)</f>
        <v/>
      </c>
      <c r="H616" s="75"/>
      <c r="I616" s="143" t="str">
        <f>IF(QOUT_CaOBYPASS=0,"",QOUT_CaOBYPASS)</f>
        <v/>
      </c>
      <c r="J616" s="141" t="str">
        <f t="shared" si="7"/>
        <v/>
      </c>
      <c r="K616" s="601"/>
    </row>
    <row r="617" spans="2:16" ht="12.75" customHeight="1" outlineLevel="2">
      <c r="B617" s="43" t="str">
        <f>HBL!$AA$1561</f>
        <v>Radiation &amp;</v>
      </c>
      <c r="D617" t="str">
        <f>HBL!$AA$1631</f>
        <v>Preheater tower</v>
      </c>
      <c r="E617" s="66"/>
      <c r="F617" s="66"/>
      <c r="G617" s="12"/>
      <c r="H617" s="66"/>
      <c r="I617" s="143">
        <f>IF(QOUT_PREHEATER="","",QOUT_PREHEATER)</f>
        <v>198</v>
      </c>
      <c r="J617" s="141">
        <f t="shared" ref="J617:J622" si="8">IF(I617="","",I617/4.1868)</f>
        <v>47.291487532244197</v>
      </c>
      <c r="K617" s="601">
        <v>36</v>
      </c>
    </row>
    <row r="618" spans="2:16" ht="12.75" customHeight="1" outlineLevel="2">
      <c r="B618" s="46" t="str">
        <f>HBL!$AA$1441</f>
        <v>Convection</v>
      </c>
      <c r="D618" t="str">
        <f>HBL!$AA$1481</f>
        <v>Kiln shell</v>
      </c>
      <c r="E618" s="66"/>
      <c r="F618" s="84"/>
      <c r="G618" s="84"/>
      <c r="H618" s="85"/>
      <c r="I618" s="141">
        <f>IF(QOUT_KILNRAD="","",QOUT_KILNRAD)</f>
        <v>94</v>
      </c>
      <c r="J618" s="141">
        <f>IF(I618="","",I618/4.1868)</f>
        <v>22.451514282984618</v>
      </c>
      <c r="K618" s="595"/>
    </row>
    <row r="619" spans="2:16" ht="12.75" customHeight="1" outlineLevel="2">
      <c r="B619" s="43"/>
      <c r="D619" t="str">
        <f>HBL!$AA$1405</f>
        <v>Cooler and kiln hood</v>
      </c>
      <c r="E619" s="66"/>
      <c r="F619" s="84"/>
      <c r="G619" s="84"/>
      <c r="H619" s="85"/>
      <c r="I619" s="141">
        <f>IF(QOUT_COOLRAD="","",QOUT_COOLRAD)</f>
        <v>22.6</v>
      </c>
      <c r="J619" s="141">
        <f t="shared" si="8"/>
        <v>5.3979172637814088</v>
      </c>
      <c r="K619" s="595"/>
    </row>
    <row r="620" spans="2:16" ht="12.75" customHeight="1" outlineLevel="2">
      <c r="B620" s="43"/>
      <c r="D620" t="str">
        <f>IF(PRECAL&lt;3,"",HBL!$AA$1577)</f>
        <v>Tertiary air duct</v>
      </c>
      <c r="E620" s="66"/>
      <c r="F620" s="66"/>
      <c r="G620" s="66"/>
      <c r="H620" s="66"/>
      <c r="I620" s="143">
        <f>IF(QOUT_TERTIARYDUCT="","",QOUT_TERTIARYDUCT)</f>
        <v>0</v>
      </c>
      <c r="J620" s="141">
        <f t="shared" si="8"/>
        <v>0</v>
      </c>
      <c r="K620" s="601"/>
    </row>
    <row r="621" spans="2:16" ht="12.75" customHeight="1" outlineLevel="2">
      <c r="B621" s="43" t="str">
        <f>IF(QOUT_OTHER="","",HBL!$AA$1655)</f>
        <v/>
      </c>
      <c r="E621" s="66"/>
      <c r="F621" s="86"/>
      <c r="G621" s="84"/>
      <c r="H621" s="178"/>
      <c r="I621" s="141" t="str">
        <f>IF(QOUT_OTHER="","",QOUT_OTHER)</f>
        <v/>
      </c>
      <c r="J621" s="141" t="str">
        <f t="shared" si="8"/>
        <v/>
      </c>
      <c r="K621" s="595">
        <v>37</v>
      </c>
    </row>
    <row r="622" spans="2:16" ht="12.75" customHeight="1" outlineLevel="2">
      <c r="B622" s="43" t="str">
        <f>HBL!$AA$1521</f>
        <v>Error</v>
      </c>
      <c r="C622" s="895">
        <f>IF(I624="","",100*I622/I624)</f>
        <v>-0.75409871994534727</v>
      </c>
      <c r="D622" t="s">
        <v>297</v>
      </c>
      <c r="E622" s="66"/>
      <c r="F622" s="66"/>
      <c r="G622" s="66"/>
      <c r="H622" s="66"/>
      <c r="I622" s="142">
        <f>IF(I624="","",I624-SUM(I600:I621)-I598)</f>
        <v>-26.258708668810868</v>
      </c>
      <c r="J622" s="141">
        <f t="shared" si="8"/>
        <v>-6.2717848162823326</v>
      </c>
      <c r="K622" s="601">
        <v>38</v>
      </c>
    </row>
    <row r="623" spans="2:16" ht="12.75" customHeight="1" outlineLevel="2">
      <c r="B623" s="610" t="s">
        <v>68</v>
      </c>
      <c r="E623" s="66"/>
      <c r="F623" s="43"/>
      <c r="G623" s="64"/>
      <c r="H623" s="13"/>
      <c r="I623" s="138"/>
      <c r="J623" s="138"/>
      <c r="K623" s="595"/>
    </row>
    <row r="624" spans="2:16" ht="20.149999999999999" customHeight="1" outlineLevel="2">
      <c r="B624" s="505" t="str">
        <f>HBL!$AA$1563</f>
        <v>TOTAL OF OUTPUTS</v>
      </c>
      <c r="C624" s="506"/>
      <c r="D624" s="506"/>
      <c r="E624" s="506"/>
      <c r="F624" s="506"/>
      <c r="G624" s="507"/>
      <c r="H624" s="508"/>
      <c r="I624" s="509">
        <f>IF(I596="","",I596)</f>
        <v>3482.1314470224729</v>
      </c>
      <c r="J624" s="509">
        <f>IF(I624="","",I624/4.1868)</f>
        <v>831.69280763888241</v>
      </c>
      <c r="K624" s="604"/>
    </row>
    <row r="625" spans="1:11" ht="12.75" customHeight="1" outlineLevel="2">
      <c r="A625" s="632"/>
      <c r="K625" s="585"/>
    </row>
    <row r="626" spans="1:11" ht="12.75" customHeight="1" outlineLevel="2">
      <c r="A626" s="632"/>
      <c r="B626" s="611" t="s">
        <v>517</v>
      </c>
      <c r="C626" s="587"/>
      <c r="D626" s="587"/>
      <c r="E626" s="587"/>
      <c r="F626" s="587"/>
      <c r="G626" s="587"/>
      <c r="H626" s="587"/>
      <c r="I626" s="587"/>
      <c r="J626" s="587"/>
      <c r="K626" s="587"/>
    </row>
    <row r="627" spans="1:11" ht="12.75" customHeight="1" outlineLevel="2">
      <c r="A627" s="632"/>
      <c r="B627" s="587"/>
      <c r="C627" s="587"/>
      <c r="D627" s="587"/>
      <c r="E627" s="587"/>
      <c r="F627" s="587"/>
      <c r="G627" s="587"/>
      <c r="H627" s="587"/>
      <c r="I627" s="587"/>
      <c r="J627" s="587"/>
      <c r="K627" s="587"/>
    </row>
    <row r="628" spans="1:11" ht="12.75" customHeight="1" outlineLevel="2">
      <c r="A628" s="632"/>
      <c r="B628" s="608" t="s">
        <v>523</v>
      </c>
      <c r="C628" s="587"/>
      <c r="D628" s="608"/>
      <c r="E628" s="608"/>
      <c r="F628" s="608"/>
      <c r="G628" s="587"/>
      <c r="H628" s="587"/>
      <c r="I628" s="612" t="s">
        <v>520</v>
      </c>
      <c r="J628" s="608" t="s">
        <v>524</v>
      </c>
      <c r="K628" s="587"/>
    </row>
    <row r="629" spans="1:11" ht="12.75" customHeight="1" outlineLevel="2">
      <c r="A629" s="632"/>
      <c r="B629" s="608" t="s">
        <v>514</v>
      </c>
      <c r="C629" s="587"/>
      <c r="D629" s="608"/>
      <c r="E629" s="608"/>
      <c r="F629" s="608"/>
      <c r="G629" s="587"/>
      <c r="H629" s="587"/>
      <c r="I629" s="612" t="s">
        <v>521</v>
      </c>
      <c r="J629" s="608" t="s">
        <v>525</v>
      </c>
      <c r="K629" s="587"/>
    </row>
    <row r="630" spans="1:11" ht="12.75" customHeight="1" outlineLevel="2">
      <c r="B630" s="613"/>
      <c r="C630" s="608"/>
      <c r="D630" s="608"/>
      <c r="E630" s="608"/>
      <c r="F630" s="608"/>
      <c r="G630" s="587"/>
      <c r="H630" s="587"/>
      <c r="I630" s="612" t="s">
        <v>522</v>
      </c>
      <c r="J630" s="608" t="s">
        <v>526</v>
      </c>
      <c r="K630" s="587"/>
    </row>
    <row r="631" spans="1:11" ht="12.75" customHeight="1" outlineLevel="2">
      <c r="B631" s="613"/>
      <c r="C631" s="608"/>
      <c r="D631" s="608"/>
      <c r="E631" s="608"/>
      <c r="F631" s="608"/>
      <c r="G631" s="587"/>
      <c r="H631" s="587"/>
      <c r="I631" s="612"/>
      <c r="J631" s="608"/>
      <c r="K631" s="587"/>
    </row>
    <row r="632" spans="1:11" ht="12.75" customHeight="1" outlineLevel="2">
      <c r="B632" s="608" t="s">
        <v>515</v>
      </c>
      <c r="C632" s="587"/>
      <c r="D632" s="608"/>
      <c r="E632" s="608"/>
      <c r="F632" s="608"/>
      <c r="G632" s="608"/>
      <c r="H632" s="608"/>
      <c r="I632" s="612" t="s">
        <v>678</v>
      </c>
      <c r="J632" s="608" t="s">
        <v>527</v>
      </c>
      <c r="K632" s="587"/>
    </row>
    <row r="633" spans="1:11" ht="12.75" customHeight="1" outlineLevel="2">
      <c r="B633" s="608" t="s">
        <v>516</v>
      </c>
      <c r="C633" s="587"/>
      <c r="D633" s="608"/>
      <c r="E633" s="608"/>
      <c r="F633" s="608"/>
      <c r="G633" s="587"/>
      <c r="H633" s="587"/>
      <c r="I633" s="612" t="s">
        <v>679</v>
      </c>
      <c r="J633" s="608" t="s">
        <v>528</v>
      </c>
      <c r="K633" s="587"/>
    </row>
    <row r="634" spans="1:11" ht="12.75" customHeight="1" outlineLevel="2">
      <c r="B634" s="608"/>
      <c r="C634" s="587"/>
      <c r="D634" s="608"/>
      <c r="E634" s="608"/>
      <c r="F634" s="608"/>
      <c r="G634" s="587"/>
      <c r="H634" s="587"/>
      <c r="I634" s="612" t="s">
        <v>680</v>
      </c>
      <c r="J634" s="608" t="s">
        <v>529</v>
      </c>
      <c r="K634" s="587"/>
    </row>
    <row r="635" spans="1:11" ht="12.75" customHeight="1" outlineLevel="2">
      <c r="B635" s="608"/>
      <c r="C635" s="587"/>
      <c r="D635" s="608"/>
      <c r="E635" s="608"/>
      <c r="F635" s="608"/>
      <c r="G635" s="587"/>
      <c r="H635" s="587"/>
      <c r="I635" s="612"/>
      <c r="J635" s="608"/>
      <c r="K635" s="587"/>
    </row>
    <row r="636" spans="1:11" ht="12.75" customHeight="1" outlineLevel="2">
      <c r="B636" s="608" t="s">
        <v>518</v>
      </c>
      <c r="C636" s="587"/>
      <c r="D636" s="587"/>
      <c r="E636" s="587"/>
      <c r="F636" s="587"/>
      <c r="G636" s="587"/>
      <c r="H636" s="587"/>
      <c r="I636" s="608"/>
      <c r="J636" s="608"/>
      <c r="K636" s="587"/>
    </row>
    <row r="637" spans="1:11" ht="12.75" customHeight="1" outlineLevel="2">
      <c r="B637" s="608"/>
      <c r="C637" s="587"/>
      <c r="D637" s="587"/>
      <c r="E637" s="587"/>
      <c r="F637" s="587"/>
      <c r="G637" s="587"/>
      <c r="H637" s="587"/>
      <c r="I637" s="608"/>
      <c r="J637" s="608"/>
      <c r="K637" s="587"/>
    </row>
    <row r="638" spans="1:11" ht="12.75" customHeight="1" outlineLevel="2">
      <c r="B638" s="608" t="s">
        <v>104</v>
      </c>
      <c r="C638" s="587"/>
      <c r="D638" s="608"/>
      <c r="E638" s="608"/>
      <c r="F638" s="608"/>
      <c r="G638" s="587"/>
      <c r="H638" s="587"/>
      <c r="I638" s="608"/>
      <c r="J638" s="608"/>
      <c r="K638" s="587"/>
    </row>
    <row r="639" spans="1:11" ht="12.75" customHeight="1" outlineLevel="2">
      <c r="B639" s="608"/>
      <c r="C639" s="587"/>
      <c r="D639" s="608"/>
      <c r="E639" s="608"/>
      <c r="F639" s="608"/>
      <c r="G639" s="587"/>
      <c r="H639" s="587"/>
      <c r="I639" s="608"/>
      <c r="J639" s="608"/>
      <c r="K639" s="587"/>
    </row>
    <row r="640" spans="1:11" ht="12.75" customHeight="1" outlineLevel="2">
      <c r="B640" s="608" t="s">
        <v>991</v>
      </c>
      <c r="C640" s="587"/>
      <c r="D640" s="608"/>
      <c r="E640" s="608"/>
      <c r="F640" s="608"/>
      <c r="G640" s="587"/>
      <c r="H640" s="587"/>
      <c r="I640" s="608"/>
      <c r="J640" s="608"/>
      <c r="K640" s="587"/>
    </row>
    <row r="641" spans="1:11" ht="12.75" customHeight="1" outlineLevel="2">
      <c r="B641" s="608"/>
      <c r="C641" s="587"/>
      <c r="D641" s="608"/>
      <c r="E641" s="608"/>
      <c r="F641" s="608"/>
      <c r="G641" s="587"/>
      <c r="H641" s="587"/>
      <c r="I641" s="608"/>
      <c r="J641" s="608"/>
      <c r="K641" s="587"/>
    </row>
    <row r="642" spans="1:11" ht="12.75" customHeight="1" outlineLevel="2">
      <c r="B642" s="608" t="s">
        <v>519</v>
      </c>
      <c r="C642" s="587"/>
      <c r="D642" s="608"/>
      <c r="E642" s="608"/>
      <c r="F642" s="608"/>
      <c r="G642" s="587"/>
      <c r="H642" s="587"/>
      <c r="I642" s="608"/>
      <c r="J642" s="608"/>
      <c r="K642" s="587"/>
    </row>
    <row r="643" spans="1:11" ht="12.75" customHeight="1" outlineLevel="2">
      <c r="B643" s="608"/>
      <c r="C643" s="587"/>
      <c r="D643" s="608"/>
      <c r="E643" s="608"/>
      <c r="F643" s="608"/>
      <c r="G643" s="587"/>
      <c r="H643" s="587"/>
      <c r="I643" s="608"/>
      <c r="J643" s="608"/>
      <c r="K643" s="587"/>
    </row>
    <row r="644" spans="1:11" ht="12.75" customHeight="1" outlineLevel="2">
      <c r="B644" s="608" t="s">
        <v>681</v>
      </c>
      <c r="C644" s="587"/>
      <c r="D644" s="608"/>
      <c r="E644" s="587"/>
      <c r="F644" s="608"/>
      <c r="G644" s="587"/>
      <c r="H644" s="587"/>
      <c r="I644" s="587"/>
      <c r="J644" s="587"/>
      <c r="K644" s="587"/>
    </row>
    <row r="645" spans="1:11" ht="12.75" customHeight="1" outlineLevel="2">
      <c r="B645" s="608" t="s">
        <v>105</v>
      </c>
      <c r="C645" s="587"/>
      <c r="D645" s="608"/>
      <c r="E645" s="587"/>
      <c r="F645" s="608"/>
      <c r="G645" s="587"/>
      <c r="H645" s="587"/>
      <c r="I645" s="587"/>
      <c r="J645" s="587"/>
      <c r="K645" s="587"/>
    </row>
    <row r="646" spans="1:11" ht="12.75" customHeight="1" outlineLevel="2">
      <c r="B646" s="608"/>
      <c r="C646" s="587"/>
      <c r="D646" s="608"/>
      <c r="E646" s="587"/>
      <c r="F646" s="608"/>
      <c r="G646" s="587"/>
      <c r="H646" s="587"/>
      <c r="I646" s="587"/>
      <c r="J646" s="587"/>
      <c r="K646" s="587"/>
    </row>
    <row r="647" spans="1:11" ht="12.75" customHeight="1" outlineLevel="2">
      <c r="B647" s="608" t="s">
        <v>530</v>
      </c>
      <c r="C647" s="587"/>
      <c r="D647" s="587"/>
      <c r="E647" s="587"/>
      <c r="F647" s="587"/>
      <c r="G647" s="587"/>
      <c r="H647" s="587"/>
      <c r="I647" s="587"/>
      <c r="J647" s="587"/>
      <c r="K647" s="587"/>
    </row>
    <row r="648" spans="1:11" ht="12.75" customHeight="1" outlineLevel="1">
      <c r="B648" s="243"/>
      <c r="D648" s="218"/>
      <c r="G648" s="218"/>
      <c r="K648" s="585"/>
    </row>
    <row r="649" spans="1:11" ht="12.75" customHeight="1" outlineLevel="1">
      <c r="I649" s="22"/>
      <c r="K649" s="585"/>
    </row>
    <row r="650" spans="1:11" ht="12.75" customHeight="1">
      <c r="A650" s="632"/>
      <c r="K650" s="35"/>
    </row>
    <row r="651" spans="1:11" ht="12.75" customHeight="1"/>
    <row r="652" spans="1:11" ht="12.75" customHeight="1"/>
    <row r="653" spans="1:11" ht="12.75" customHeight="1" collapsed="1">
      <c r="B653" s="59"/>
      <c r="I653" s="22"/>
    </row>
    <row r="654" spans="1:11" ht="18.75" customHeight="1">
      <c r="B654" s="498" t="str">
        <f>HBL!$AA$1615</f>
        <v>KILN SYSTEM HEAT BALANCE</v>
      </c>
      <c r="C654" s="498"/>
      <c r="D654" s="498"/>
      <c r="E654" s="498"/>
      <c r="F654" s="498"/>
      <c r="G654" s="498"/>
      <c r="H654" s="498"/>
      <c r="I654" s="498"/>
      <c r="J654" s="498"/>
      <c r="K654" s="498"/>
    </row>
    <row r="655" spans="1:11" ht="12.75" customHeight="1" outlineLevel="1">
      <c r="B655" s="97"/>
      <c r="C655" s="97"/>
      <c r="D655" s="97"/>
      <c r="E655" s="97"/>
      <c r="H655" s="97"/>
      <c r="I655" s="97"/>
    </row>
    <row r="656" spans="1:11" ht="12.75" customHeight="1" outlineLevel="1">
      <c r="B656" s="97"/>
      <c r="C656" s="97"/>
      <c r="D656" s="97"/>
      <c r="E656" s="97"/>
      <c r="H656" s="97"/>
      <c r="I656" s="97"/>
    </row>
    <row r="657" spans="1:11" ht="12.75" customHeight="1" outlineLevel="1">
      <c r="B657" s="499" t="str">
        <f>HBL!$AA$1620</f>
        <v>HEAT INPUT</v>
      </c>
      <c r="C657" s="499"/>
      <c r="D657" s="499"/>
      <c r="E657" s="499"/>
      <c r="F657" s="499"/>
      <c r="G657" s="499"/>
      <c r="H657" s="499"/>
      <c r="I657" s="499"/>
      <c r="J657" s="499"/>
      <c r="K657" s="588"/>
    </row>
    <row r="658" spans="1:11" ht="12.75" customHeight="1" outlineLevel="2">
      <c r="B658" s="98"/>
      <c r="C658" s="97"/>
      <c r="D658" s="97"/>
      <c r="E658" s="97"/>
      <c r="H658" s="97"/>
      <c r="I658" s="97"/>
    </row>
    <row r="659" spans="1:11" ht="12.75" customHeight="1" outlineLevel="2">
      <c r="B659" s="1"/>
      <c r="C659" s="97"/>
      <c r="D659" s="97"/>
      <c r="E659" s="97"/>
      <c r="F659" s="99"/>
      <c r="G659" s="97"/>
      <c r="H659" s="97"/>
      <c r="I659" s="97"/>
    </row>
    <row r="660" spans="1:11" ht="12.75" customHeight="1" outlineLevel="2">
      <c r="A660" s="628">
        <v>21</v>
      </c>
      <c r="B660" s="626" t="str">
        <f>HBL!$AA$1276</f>
        <v>FUEL INPUT</v>
      </c>
      <c r="C660" s="493"/>
      <c r="D660" s="493"/>
      <c r="E660" s="493"/>
      <c r="F660" s="627"/>
      <c r="H660" s="97"/>
      <c r="I660" s="97"/>
    </row>
    <row r="661" spans="1:11" ht="12.75" customHeight="1" outlineLevel="3">
      <c r="B661" s="1"/>
      <c r="C661" s="97"/>
      <c r="D661" s="97"/>
      <c r="E661" s="97"/>
      <c r="F661" s="99"/>
      <c r="G661" s="97"/>
      <c r="H661" s="97"/>
      <c r="I661" s="97"/>
    </row>
    <row r="662" spans="1:11" ht="12.75" customHeight="1" outlineLevel="3">
      <c r="B662" s="519"/>
      <c r="C662" s="541"/>
      <c r="D662" s="543"/>
      <c r="E662" s="541"/>
      <c r="F662" s="541"/>
      <c r="G662" s="641"/>
      <c r="H662" s="541"/>
      <c r="I662" s="541"/>
      <c r="J662" s="543"/>
    </row>
    <row r="663" spans="1:11" ht="12.75" customHeight="1" outlineLevel="3">
      <c r="B663" s="544"/>
      <c r="C663" s="646"/>
      <c r="D663" s="647"/>
      <c r="E663" s="524" t="str">
        <f>HBL!$AA$1443</f>
        <v>CONVENTIONAL</v>
      </c>
      <c r="F663" s="642"/>
      <c r="G663" s="643" t="str">
        <f>HBL!$AA$1235</f>
        <v>ALTERNATIVE FUELS</v>
      </c>
      <c r="H663" s="642"/>
      <c r="I663" s="642"/>
      <c r="J663" s="644"/>
    </row>
    <row r="664" spans="1:11" ht="12.75" customHeight="1" outlineLevel="3">
      <c r="B664" s="648"/>
      <c r="C664" s="646"/>
      <c r="D664" s="647"/>
      <c r="E664" s="524" t="str">
        <f>HBL!$AA$1269</f>
        <v>FUEL</v>
      </c>
      <c r="F664" s="642"/>
      <c r="G664" s="645"/>
      <c r="H664" s="646"/>
      <c r="I664" s="646"/>
      <c r="J664" s="647"/>
    </row>
    <row r="665" spans="1:11" ht="12.75" customHeight="1" outlineLevel="3">
      <c r="B665" s="648"/>
      <c r="C665" s="646"/>
      <c r="D665" s="649" t="str">
        <f>HBL!$AA$1316</f>
        <v>Unit</v>
      </c>
      <c r="E665" s="532" t="str">
        <f>IF(FUEL1="","",FUEL1)</f>
        <v/>
      </c>
      <c r="F665" s="532" t="str">
        <f>IF(F342="","",F342)</f>
        <v/>
      </c>
      <c r="G665" s="653" t="str">
        <f>IF(FUEL3="","",FUEL3)</f>
        <v/>
      </c>
      <c r="H665" s="532" t="str">
        <f>IF(FUEL4="","",FUEL4)</f>
        <v/>
      </c>
      <c r="I665" s="532" t="str">
        <f>IF(FUEL5="","",FUEL5)</f>
        <v/>
      </c>
      <c r="J665" s="532" t="str">
        <f>IF(FUEL6="","",FUEL6)</f>
        <v/>
      </c>
    </row>
    <row r="666" spans="1:11" ht="12.75" customHeight="1" outlineLevel="3">
      <c r="B666" s="650"/>
      <c r="C666" s="651"/>
      <c r="D666" s="654"/>
      <c r="E666" s="526" t="str">
        <f>IF(E343="","",E343)</f>
        <v/>
      </c>
      <c r="F666" s="526" t="str">
        <f>IF(F343="","",F343)</f>
        <v/>
      </c>
      <c r="G666" s="655" t="str">
        <f>IF(G343="","",G343)</f>
        <v/>
      </c>
      <c r="H666" s="526" t="str">
        <f>IF(H343="","",H343)</f>
        <v/>
      </c>
      <c r="I666" s="526" t="str">
        <f>IF(I343="","",I343)</f>
        <v/>
      </c>
      <c r="J666" s="526" t="str">
        <f>IF(J343="","",J343)</f>
        <v/>
      </c>
    </row>
    <row r="667" spans="1:11" ht="12.75" customHeight="1" outlineLevel="3">
      <c r="B667" s="43"/>
      <c r="C667" s="97"/>
      <c r="D667" s="64"/>
      <c r="E667" s="414"/>
      <c r="F667" s="419"/>
      <c r="G667" s="422"/>
      <c r="H667" s="417"/>
      <c r="I667" s="416"/>
      <c r="J667" s="418"/>
    </row>
    <row r="668" spans="1:11" ht="12.75" customHeight="1" outlineLevel="3">
      <c r="B668" s="52" t="str">
        <f>HBL!$AA$1279</f>
        <v>COMBUSTION OF FUELS</v>
      </c>
      <c r="C668" s="97"/>
      <c r="D668" s="64"/>
      <c r="E668" s="412"/>
      <c r="F668" s="420"/>
      <c r="G668" s="101"/>
      <c r="H668" s="97"/>
      <c r="I668" s="100"/>
      <c r="J668" s="66"/>
    </row>
    <row r="669" spans="1:11" ht="12.75" customHeight="1" outlineLevel="3">
      <c r="B669" s="43" t="str">
        <f>HBL!$AA$1278</f>
        <v>Total feedrate</v>
      </c>
      <c r="C669" s="97"/>
      <c r="D669" s="173" t="s">
        <v>355</v>
      </c>
      <c r="E669" s="415">
        <f>IF(M_FUEL1=0,"",M_FUEL1*1000)</f>
        <v>11235</v>
      </c>
      <c r="F669" s="415" t="str">
        <f>IF(M_FUEL2=0,"",M_FUEL2*1000)</f>
        <v/>
      </c>
      <c r="G669" s="56" t="str">
        <f>IF(M_FUEL3=0,"",M_FUEL3*1000)</f>
        <v/>
      </c>
      <c r="H669" s="27" t="str">
        <f>IF(M_FUEL4=0,"",M_FUEL4*1000)</f>
        <v/>
      </c>
      <c r="I669" s="55" t="str">
        <f>IF(M_FUEL5=0,"",M_FUEL5*1000)</f>
        <v/>
      </c>
      <c r="J669" s="104" t="str">
        <f>IF(M_FUEL6=0,"",M_FUEL6*1000)</f>
        <v/>
      </c>
    </row>
    <row r="670" spans="1:11" ht="12.75" customHeight="1" outlineLevel="3">
      <c r="B670" s="46" t="str">
        <f>HBL!$AA$1392</f>
        <v>NCV as fired</v>
      </c>
      <c r="C670" s="97"/>
      <c r="D670" s="173" t="s">
        <v>348</v>
      </c>
      <c r="E670" s="415">
        <f>IF(LHV_FUEL1="","",LHV_FUEL1)</f>
        <v>22522</v>
      </c>
      <c r="F670" s="415">
        <f>IF(LHV_FUEL2="","",LHV_FUEL2)</f>
        <v>0</v>
      </c>
      <c r="G670" s="56" t="str">
        <f>IF(LHV_FUEL3="","",LHV_FUEL3)</f>
        <v/>
      </c>
      <c r="H670" s="27" t="str">
        <f>IF(LHV_FUEL4="","",LHV_FUEL4)</f>
        <v/>
      </c>
      <c r="I670" s="55" t="str">
        <f>IF(LHV_FUEL5="","",LHV_FUEL5)</f>
        <v/>
      </c>
      <c r="J670" s="104" t="str">
        <f>IF(LHV_FUEL6="","",LHV_FUEL6)</f>
        <v/>
      </c>
    </row>
    <row r="671" spans="1:11" ht="12.75" customHeight="1" outlineLevel="3">
      <c r="B671" s="43" t="str">
        <f>HBL!$AA$1627</f>
        <v>Heat input from</v>
      </c>
      <c r="C671" s="97"/>
      <c r="D671" s="64" t="s">
        <v>356</v>
      </c>
      <c r="E671" s="415">
        <f t="shared" ref="E671:J671" si="9">IF(E670="","",E669*E670/1000)</f>
        <v>253034.67</v>
      </c>
      <c r="F671" s="415">
        <v>0</v>
      </c>
      <c r="G671" s="56" t="str">
        <f>IF(G670="","",G669*G670/1000)</f>
        <v/>
      </c>
      <c r="H671" s="27" t="str">
        <f t="shared" si="9"/>
        <v/>
      </c>
      <c r="I671" s="55" t="str">
        <f t="shared" si="9"/>
        <v/>
      </c>
      <c r="J671" s="104" t="str">
        <f t="shared" si="9"/>
        <v/>
      </c>
    </row>
    <row r="672" spans="1:11" ht="12.75" customHeight="1" outlineLevel="3">
      <c r="B672" s="43" t="str">
        <f>HBL!$AA$1598</f>
        <v>combustion</v>
      </c>
      <c r="C672" s="97"/>
      <c r="D672" s="64" t="s">
        <v>356</v>
      </c>
      <c r="E672" s="102">
        <f>IF(SUM(E671:F671)=0,"",SUM(E671:F671))</f>
        <v>253034.67</v>
      </c>
      <c r="F672" s="544"/>
      <c r="G672" s="423" t="str">
        <f>IF(SUM(G671:J671)=0,"",SUM(G671:J671))</f>
        <v/>
      </c>
      <c r="H672" s="530"/>
      <c r="I672" s="533"/>
      <c r="J672" s="705"/>
    </row>
    <row r="673" spans="2:10" ht="12.75" customHeight="1" outlineLevel="3">
      <c r="B673" s="43" t="str">
        <f>HBL!$AA$1544</f>
        <v>Specific heat</v>
      </c>
      <c r="C673" s="97"/>
      <c r="D673" s="173" t="s">
        <v>369</v>
      </c>
      <c r="E673" s="102">
        <f>IF(E672="","",E672/M_CLI)</f>
        <v>3318.4874754098364</v>
      </c>
      <c r="F673" s="544"/>
      <c r="G673" s="423" t="str">
        <f>IF(G672="","",G672/M_CLI)</f>
        <v/>
      </c>
      <c r="H673" s="530"/>
      <c r="I673" s="533"/>
      <c r="J673" s="705"/>
    </row>
    <row r="674" spans="2:10" ht="12.75" customHeight="1" outlineLevel="3">
      <c r="B674" s="43"/>
      <c r="C674" s="97"/>
      <c r="D674" s="173" t="s">
        <v>312</v>
      </c>
      <c r="E674" s="102">
        <f>IF(Q_FUELCON="","",100*Q_FUELCON/(SUM(Q_FUELCON:Q_FUELALT)))</f>
        <v>100</v>
      </c>
      <c r="F674" s="544"/>
      <c r="G674" s="423" t="str">
        <f>IF(Q_FUELALT="","",100*Q_FUELALT/(SUM(Q_FUELCON:Q_FUELALT)))</f>
        <v/>
      </c>
      <c r="H674" s="530"/>
      <c r="I674" s="533"/>
      <c r="J674" s="705"/>
    </row>
    <row r="675" spans="2:10" ht="12.75" customHeight="1" outlineLevel="3">
      <c r="B675" s="43"/>
      <c r="C675" s="97"/>
      <c r="D675" s="173"/>
      <c r="E675" s="412"/>
      <c r="F675" s="420"/>
      <c r="G675" s="101"/>
      <c r="H675" s="97"/>
      <c r="I675" s="100"/>
      <c r="J675" s="66"/>
    </row>
    <row r="676" spans="2:10" ht="12.75" customHeight="1" outlineLevel="3">
      <c r="B676" s="52" t="str">
        <f>HBL!$AA$1323</f>
        <v>SENSIBLE HEAT</v>
      </c>
      <c r="C676" s="97"/>
      <c r="D676" s="412"/>
      <c r="E676" s="412"/>
      <c r="F676" s="420"/>
      <c r="G676" s="101"/>
      <c r="H676" s="97"/>
      <c r="I676" s="100"/>
      <c r="J676" s="66"/>
    </row>
    <row r="677" spans="2:10" ht="12.75" customHeight="1" outlineLevel="3">
      <c r="B677" s="43" t="str">
        <f>HBL!$AA$1567</f>
        <v>Temp. at burner</v>
      </c>
      <c r="C677" s="97"/>
      <c r="D677" s="64" t="s">
        <v>344</v>
      </c>
      <c r="E677" s="64">
        <f t="shared" ref="E677:J678" si="10">IF(E347="","",E347)</f>
        <v>68</v>
      </c>
      <c r="F677" s="64">
        <f t="shared" si="10"/>
        <v>0</v>
      </c>
      <c r="G677" s="103" t="str">
        <f>IF(G347="","",G347)</f>
        <v/>
      </c>
      <c r="H677" s="3" t="str">
        <f t="shared" si="10"/>
        <v/>
      </c>
      <c r="I677" s="13" t="str">
        <f t="shared" si="10"/>
        <v/>
      </c>
      <c r="J677" s="71" t="str">
        <f t="shared" si="10"/>
        <v/>
      </c>
    </row>
    <row r="678" spans="2:10" ht="12.75" customHeight="1" outlineLevel="3">
      <c r="B678" s="43" t="str">
        <f>HBL!$AA$1296</f>
        <v>cp fuel</v>
      </c>
      <c r="C678" s="97"/>
      <c r="D678" s="173" t="s">
        <v>349</v>
      </c>
      <c r="E678" s="64">
        <f t="shared" si="10"/>
        <v>1.1000000000000001</v>
      </c>
      <c r="F678" s="64">
        <f t="shared" si="10"/>
        <v>1.1000000000000001</v>
      </c>
      <c r="G678" s="103">
        <f t="shared" si="10"/>
        <v>0</v>
      </c>
      <c r="H678" s="3" t="str">
        <f t="shared" si="10"/>
        <v/>
      </c>
      <c r="I678" s="13" t="str">
        <f t="shared" si="10"/>
        <v/>
      </c>
      <c r="J678" s="71" t="str">
        <f t="shared" si="10"/>
        <v/>
      </c>
    </row>
    <row r="679" spans="2:10" ht="12.75" customHeight="1" outlineLevel="3">
      <c r="B679" s="43" t="str">
        <f>HBL!$AA$1619</f>
        <v>Heat input</v>
      </c>
      <c r="C679" s="97"/>
      <c r="D679" s="64" t="s">
        <v>370</v>
      </c>
      <c r="E679" s="415">
        <f t="shared" ref="E679:J679" si="11">IF(E669="","",E669*E678*(E677-20)/1000)</f>
        <v>593.20800000000008</v>
      </c>
      <c r="F679" s="415" t="str">
        <f t="shared" si="11"/>
        <v/>
      </c>
      <c r="G679" s="56" t="str">
        <f>IF(G669="","",G669*G678*(G677-20)/1000)</f>
        <v/>
      </c>
      <c r="H679" s="27" t="str">
        <f t="shared" si="11"/>
        <v/>
      </c>
      <c r="I679" s="55" t="str">
        <f t="shared" si="11"/>
        <v/>
      </c>
      <c r="J679" s="104" t="str">
        <f t="shared" si="11"/>
        <v/>
      </c>
    </row>
    <row r="680" spans="2:10" ht="12.75" customHeight="1" outlineLevel="3">
      <c r="B680" s="43" t="str">
        <f>HBL!$AA$1544</f>
        <v>Specific heat</v>
      </c>
      <c r="C680" s="97"/>
      <c r="D680" s="64" t="s">
        <v>360</v>
      </c>
      <c r="E680" s="102">
        <f>IF(SUM(E679:F679)=0,"",SUM(E679:F679)/M_CLI)</f>
        <v>7.7797770491803293</v>
      </c>
      <c r="F680" s="544"/>
      <c r="G680" s="423" t="str">
        <f>IF(SUM(G679:J679)=0,"",SUM(G679:J679)/M_CLI)</f>
        <v/>
      </c>
      <c r="H680" s="530"/>
      <c r="I680" s="533"/>
      <c r="J680" s="705"/>
    </row>
    <row r="681" spans="2:10" ht="12.75" customHeight="1" outlineLevel="3">
      <c r="B681" s="21"/>
      <c r="C681" s="105"/>
      <c r="D681" s="413"/>
      <c r="E681" s="413"/>
      <c r="F681" s="421"/>
      <c r="G681" s="424"/>
      <c r="H681" s="105"/>
      <c r="I681" s="106"/>
      <c r="J681" s="61"/>
    </row>
    <row r="682" spans="2:10" ht="12.75" customHeight="1" outlineLevel="3" thickBot="1">
      <c r="B682" s="2"/>
      <c r="C682" s="97"/>
      <c r="D682" s="97"/>
      <c r="E682" s="97"/>
      <c r="F682" s="99"/>
      <c r="G682" s="97"/>
      <c r="H682" s="97"/>
      <c r="I682" s="97"/>
    </row>
    <row r="683" spans="2:10" ht="12.75" customHeight="1" outlineLevel="3">
      <c r="B683" s="2" t="str">
        <f>HBL!$AA$1619</f>
        <v>Heat input</v>
      </c>
      <c r="C683" s="97"/>
      <c r="D683" s="97"/>
      <c r="E683" t="str">
        <f>HBL!$AA$1444</f>
        <v>Conventional fuel</v>
      </c>
      <c r="F683" s="99"/>
      <c r="G683" s="5">
        <f>E674</f>
        <v>100</v>
      </c>
      <c r="H683" s="2" t="s">
        <v>297</v>
      </c>
      <c r="I683" s="615">
        <f>Q_FUELCON</f>
        <v>3318.4874754098364</v>
      </c>
      <c r="J683" s="2" t="s">
        <v>315</v>
      </c>
    </row>
    <row r="684" spans="2:10" ht="12.75" customHeight="1" outlineLevel="3">
      <c r="C684" s="97"/>
      <c r="D684" s="97"/>
      <c r="E684" t="str">
        <f>HBL!$AA$1237</f>
        <v>Alternative fuels</v>
      </c>
      <c r="F684" s="99"/>
      <c r="G684" s="5" t="str">
        <f>G674</f>
        <v/>
      </c>
      <c r="H684" s="2" t="s">
        <v>297</v>
      </c>
      <c r="I684" s="616" t="str">
        <f>Q_FUELALT</f>
        <v/>
      </c>
      <c r="J684" s="2" t="s">
        <v>315</v>
      </c>
    </row>
    <row r="685" spans="2:10" ht="12.75" customHeight="1" outlineLevel="3" thickBot="1">
      <c r="B685" s="2" t="str">
        <f>HBL!$AA$1374</f>
        <v>Total heat input from fuel combustion</v>
      </c>
      <c r="C685" s="97"/>
      <c r="D685" s="97"/>
      <c r="F685" s="99"/>
      <c r="G685" s="97"/>
      <c r="H685" s="97"/>
      <c r="I685" s="557">
        <f>IF(SUM(I683:I684)=0,"",SUM(I683:I684))</f>
        <v>3318.4874754098364</v>
      </c>
      <c r="J685" s="2" t="s">
        <v>315</v>
      </c>
    </row>
    <row r="686" spans="2:10" ht="12.75" customHeight="1" outlineLevel="3" thickBot="1">
      <c r="C686" s="97"/>
      <c r="D686" s="97"/>
      <c r="F686" s="99"/>
      <c r="G686" s="97"/>
      <c r="H686" s="97"/>
      <c r="I686" s="20"/>
      <c r="J686" s="2"/>
    </row>
    <row r="687" spans="2:10" ht="12.75" customHeight="1" outlineLevel="3" thickBot="1">
      <c r="B687" t="str">
        <f>HBL!$AA$1325</f>
        <v>Sensible heat from fuel(s)</v>
      </c>
      <c r="C687" s="97"/>
      <c r="D687" s="97"/>
      <c r="F687" s="99"/>
      <c r="G687" s="97"/>
      <c r="H687" s="97"/>
      <c r="I687" s="551">
        <f>IF(SUM(E680:J680)=0,"",SUM(E680:J680))</f>
        <v>7.7797770491803293</v>
      </c>
      <c r="J687" s="2" t="s">
        <v>315</v>
      </c>
    </row>
    <row r="688" spans="2:10" ht="12.75" customHeight="1" outlineLevel="3">
      <c r="C688" s="97"/>
      <c r="D688" s="97"/>
      <c r="E688" s="97"/>
      <c r="F688" s="99"/>
      <c r="G688" s="97"/>
      <c r="H688" s="97"/>
      <c r="I688" s="97"/>
    </row>
    <row r="689" spans="1:10" ht="12.75" customHeight="1" outlineLevel="2"/>
    <row r="690" spans="1:10" ht="12.75" customHeight="1" outlineLevel="2">
      <c r="A690" s="628">
        <v>22</v>
      </c>
      <c r="B690" s="626" t="str">
        <f>HBL!$AA$1487</f>
        <v>KILN FEED</v>
      </c>
      <c r="C690" s="493"/>
      <c r="D690" s="493"/>
      <c r="E690" s="493"/>
      <c r="F690" s="627"/>
    </row>
    <row r="691" spans="1:10" ht="12.75" customHeight="1" outlineLevel="3">
      <c r="G691" s="107"/>
    </row>
    <row r="692" spans="1:10" ht="12.75" customHeight="1" outlineLevel="3">
      <c r="B692" s="9" t="str">
        <f>HBL!$AA$1323</f>
        <v>SENSIBLE HEAT</v>
      </c>
      <c r="G692" s="107"/>
    </row>
    <row r="693" spans="1:10" ht="12.75" customHeight="1" outlineLevel="3">
      <c r="B693" t="str">
        <f>HBL!$AA$1461</f>
        <v>Massflow</v>
      </c>
      <c r="F693" s="108"/>
      <c r="G693" s="25">
        <f>IF(M_FEED="","",M_FEED)</f>
        <v>122</v>
      </c>
      <c r="H693" s="2" t="s">
        <v>363</v>
      </c>
    </row>
    <row r="694" spans="1:10" ht="12.75" customHeight="1" outlineLevel="3">
      <c r="B694" s="2" t="str">
        <f>HBL!$AA$1361</f>
        <v>Moisture content</v>
      </c>
      <c r="F694" s="108"/>
      <c r="G694" s="20">
        <f>IF(H2O_FEED="","",H2O_FEED)</f>
        <v>0.45</v>
      </c>
      <c r="H694" s="2" t="s">
        <v>297</v>
      </c>
    </row>
    <row r="695" spans="1:10" ht="12.75" customHeight="1" outlineLevel="3">
      <c r="B695" t="str">
        <f>HBL!$AA$1568</f>
        <v>Temperature</v>
      </c>
      <c r="F695" s="108"/>
      <c r="G695">
        <f>IF(T_FEED="","",T_FEED)</f>
        <v>69</v>
      </c>
      <c r="H695" s="2" t="s">
        <v>299</v>
      </c>
    </row>
    <row r="696" spans="1:10" ht="12.75" customHeight="1" outlineLevel="3">
      <c r="B696" s="2" t="str">
        <f>HBL!$AA$1303</f>
        <v>cp feed (dry)</v>
      </c>
      <c r="F696" s="108"/>
      <c r="G696" s="109">
        <f>IF(CP_MEALDRY="","",CP_MEALDRY)</f>
        <v>0.86198502510800012</v>
      </c>
      <c r="H696" s="2" t="s">
        <v>303</v>
      </c>
    </row>
    <row r="697" spans="1:10" ht="12.75" customHeight="1" outlineLevel="3">
      <c r="B697" s="18" t="str">
        <f>HBL!$AA$1630</f>
        <v>Heat input raw meal dry</v>
      </c>
      <c r="G697" s="5">
        <f>IF(M_FEED="","",M_FEED*(1-H2O_FEED/100)*CP_MEALDRY*(T_FEED-20))</f>
        <v>5129.7582209351949</v>
      </c>
      <c r="H697" s="2" t="s">
        <v>371</v>
      </c>
      <c r="I697" s="20">
        <f>IF(G697="","",G697/M_CLI)</f>
        <v>67.275517651609107</v>
      </c>
      <c r="J697" s="2" t="s">
        <v>314</v>
      </c>
    </row>
    <row r="698" spans="1:10" ht="12.75" customHeight="1" outlineLevel="3"/>
    <row r="699" spans="1:10" ht="12.75" customHeight="1" outlineLevel="3">
      <c r="B699" s="2" t="str">
        <f>HBL!$AA$1305</f>
        <v>cp water</v>
      </c>
      <c r="F699" s="108"/>
      <c r="G699" s="109">
        <f>IF(CP_WATER="","",CP_WATER)</f>
        <v>4.1816000000000004</v>
      </c>
      <c r="H699" s="2" t="s">
        <v>303</v>
      </c>
    </row>
    <row r="700" spans="1:10" ht="12.75" customHeight="1" outlineLevel="3">
      <c r="B700" t="str">
        <f>HBL!$AA$1625</f>
        <v>Heat input from moisture content in raw meal</v>
      </c>
      <c r="G700" s="5">
        <f>IF(M_FEED="","",M_FEED*H2O_FEED/100*CP_WATER*(T_FEED-20))</f>
        <v>112.48922160000001</v>
      </c>
      <c r="H700" s="2" t="s">
        <v>371</v>
      </c>
      <c r="I700" s="20">
        <f>IF(G700="","",G700/M_CLI)</f>
        <v>1.47526848</v>
      </c>
      <c r="J700" s="2" t="s">
        <v>314</v>
      </c>
    </row>
    <row r="701" spans="1:10" ht="12.75" customHeight="1" outlineLevel="3" thickBot="1">
      <c r="F701" s="108"/>
      <c r="H701" s="2"/>
    </row>
    <row r="702" spans="1:10" ht="12.75" customHeight="1" outlineLevel="3" thickBot="1">
      <c r="B702" s="2" t="str">
        <f>HBL!$AA$1629</f>
        <v>Heat input via kiln feed</v>
      </c>
      <c r="G702" s="110">
        <f>IF(M_FEED="","",G697+G700)</f>
        <v>5242.2474425351948</v>
      </c>
      <c r="H702" s="2" t="s">
        <v>371</v>
      </c>
      <c r="I702" s="551">
        <f>IF(G702="","",G702/M_CLI)</f>
        <v>68.750786131609118</v>
      </c>
      <c r="J702" s="2" t="s">
        <v>315</v>
      </c>
    </row>
    <row r="703" spans="1:10" ht="12.75" customHeight="1" outlineLevel="3" thickTop="1">
      <c r="B703" s="2"/>
      <c r="G703" s="5"/>
      <c r="H703" s="2"/>
    </row>
    <row r="704" spans="1:10" ht="12.75" customHeight="1" outlineLevel="3">
      <c r="B704" s="1" t="str">
        <f>HBL!$AA$1267</f>
        <v>COMBUSTIBLE MATTER IN KILN FEED</v>
      </c>
      <c r="G704" s="5"/>
      <c r="H704" s="2"/>
    </row>
    <row r="705" spans="1:10" ht="12.75" customHeight="1" outlineLevel="3">
      <c r="B705" t="str">
        <f>HBL!$AA$1496</f>
        <v>Organic carbon weight fraction in kiln feed</v>
      </c>
      <c r="G705" s="36">
        <f>IF(ORG_MATTER="","",ORG_MATTER)</f>
        <v>0</v>
      </c>
      <c r="H705" s="2" t="s">
        <v>297</v>
      </c>
      <c r="I705" s="20"/>
    </row>
    <row r="706" spans="1:10" ht="12.75" customHeight="1" outlineLevel="3">
      <c r="B706" t="str">
        <f>HBL!$AA$1592</f>
        <v>Low heat value LHV</v>
      </c>
      <c r="G706" s="5">
        <f>IF(ORG_MATTER="","",LHV_ORGMATTER)</f>
        <v>0</v>
      </c>
      <c r="H706" s="2" t="s">
        <v>304</v>
      </c>
      <c r="I706" s="20"/>
    </row>
    <row r="707" spans="1:10" ht="12.75" customHeight="1" outlineLevel="3">
      <c r="B707" t="str">
        <f>HBL!$AA$1511</f>
        <v>Pyrite content in the kiln feed</v>
      </c>
      <c r="G707" s="36" t="str">
        <f>IF(PYRITE="","",PYRITE)</f>
        <v/>
      </c>
      <c r="H707" s="2" t="s">
        <v>297</v>
      </c>
      <c r="I707" s="20"/>
    </row>
    <row r="708" spans="1:10" ht="12.75" customHeight="1" outlineLevel="3">
      <c r="B708" t="str">
        <f>HBL!$AA$1592</f>
        <v>Low heat value LHV</v>
      </c>
      <c r="G708" s="5" t="str">
        <f>IF(PYRITE="","",LHV_PYRITE)</f>
        <v/>
      </c>
      <c r="H708" s="2" t="s">
        <v>304</v>
      </c>
      <c r="I708" s="20"/>
    </row>
    <row r="709" spans="1:10" ht="12.75" customHeight="1" outlineLevel="3">
      <c r="B709" s="2" t="str">
        <f>HBL!$AA$1523</f>
        <v>Kiln feed - Clinker factor</v>
      </c>
      <c r="G709" s="109">
        <f>IF(AND(ORG_MATTER="",PYRITE=""),"",CLI_FACTOR)</f>
        <v>1.5928</v>
      </c>
      <c r="H709" s="18"/>
      <c r="I709" s="20"/>
    </row>
    <row r="710" spans="1:10" ht="12.75" customHeight="1" outlineLevel="3" thickBot="1">
      <c r="G710" s="5"/>
      <c r="H710" s="2"/>
      <c r="I710" s="20"/>
    </row>
    <row r="711" spans="1:10" ht="12.75" customHeight="1" outlineLevel="3" thickBot="1">
      <c r="B711" t="str">
        <f>HBL!$AA$1626</f>
        <v>Heat input from combustible matter in kiln feed</v>
      </c>
      <c r="G711" s="110">
        <f>IF(AND(ORG_MATTER="",PYRITE=""),"",CLI_FACTOR*M_CLI*ORG_MATTER/100*LHV_ORGMATTER+CLI_FACTOR*M_CLI*PYRITE/100*LHV_PYRITE)</f>
        <v>0</v>
      </c>
      <c r="H711" s="2" t="s">
        <v>371</v>
      </c>
      <c r="I711" s="551">
        <f>IF(M_CLI="","",IF(G711="",0,G711/M_CLI))</f>
        <v>0</v>
      </c>
      <c r="J711" s="2" t="s">
        <v>315</v>
      </c>
    </row>
    <row r="712" spans="1:10" ht="12.75" customHeight="1" outlineLevel="3" thickTop="1">
      <c r="B712" s="2"/>
      <c r="G712" s="5"/>
      <c r="H712" s="2"/>
    </row>
    <row r="713" spans="1:10" ht="12.75" customHeight="1" outlineLevel="2"/>
    <row r="714" spans="1:10" ht="12.75" customHeight="1" outlineLevel="2">
      <c r="A714" s="628">
        <v>23</v>
      </c>
      <c r="B714" s="626" t="str">
        <f>HBL!$AA$1499</f>
        <v>PRIMARY AIR</v>
      </c>
      <c r="C714" s="493"/>
      <c r="D714" s="493"/>
      <c r="E714" s="493"/>
      <c r="F714" s="627"/>
    </row>
    <row r="715" spans="1:10" ht="12.75" customHeight="1" outlineLevel="3"/>
    <row r="716" spans="1:10" ht="12.75" customHeight="1" outlineLevel="3">
      <c r="B716" s="9" t="str">
        <f>HBL!$AA$1501</f>
        <v>PRIMARY AIR MAIN BURNER</v>
      </c>
    </row>
    <row r="717" spans="1:10" ht="12.75" customHeight="1" outlineLevel="3">
      <c r="B717" s="18" t="str">
        <f>HBL!$AA$1606</f>
        <v>Flowrate air</v>
      </c>
      <c r="F717" s="22"/>
      <c r="G717" s="162">
        <f>VN_PRIMCOMB</f>
        <v>3970</v>
      </c>
      <c r="H717" s="2" t="s">
        <v>330</v>
      </c>
    </row>
    <row r="718" spans="1:10" ht="12.75" customHeight="1" outlineLevel="3">
      <c r="B718" s="18" t="str">
        <f>HBL!$AA$1568</f>
        <v>Temperature</v>
      </c>
      <c r="F718" s="22"/>
      <c r="G718" s="5">
        <f>IF(T_PRIMAIR="","",T_PRIMAIR)</f>
        <v>48.819899244332497</v>
      </c>
      <c r="H718" s="2" t="s">
        <v>299</v>
      </c>
    </row>
    <row r="719" spans="1:10" ht="12.75" customHeight="1" outlineLevel="3">
      <c r="B719" s="2" t="str">
        <f>HBL!$AA$1301</f>
        <v>cp air</v>
      </c>
      <c r="F719" s="22"/>
      <c r="G719" s="109">
        <f>CP_PRIMAIR</f>
        <v>1.3012547041283724</v>
      </c>
      <c r="H719" s="2" t="s">
        <v>328</v>
      </c>
    </row>
    <row r="720" spans="1:10" ht="12.75" customHeight="1" outlineLevel="3">
      <c r="B720" s="2"/>
      <c r="F720" s="22"/>
      <c r="G720" s="5">
        <f>IF(VN_PRIMCOMB="","",VN_PRIMCOMB*CP_PRIMAIR*(T_PRIMAIR-20)/1000)</f>
        <v>148.88305697284773</v>
      </c>
      <c r="H720" s="2" t="s">
        <v>371</v>
      </c>
      <c r="I720" s="20">
        <f>IF(G720="","",G720/M_CLI)</f>
        <v>1.9525646816111177</v>
      </c>
      <c r="J720" s="2" t="s">
        <v>314</v>
      </c>
    </row>
    <row r="721" spans="2:10" ht="12.75" customHeight="1" outlineLevel="3">
      <c r="B721" s="2"/>
      <c r="F721" s="22"/>
      <c r="G721" s="5"/>
      <c r="H721" s="2"/>
      <c r="I721" s="20"/>
      <c r="J721" s="2"/>
    </row>
    <row r="722" spans="2:10" ht="12.75" customHeight="1" outlineLevel="3">
      <c r="B722" s="2" t="str">
        <f>HBL!$AA$1647</f>
        <v>Water vapor flowrate</v>
      </c>
      <c r="F722" s="22"/>
      <c r="G722" s="162" t="str">
        <f>IF(H2OVAPOR_COALMILL="","",H2OVAPOR_COALMILL)</f>
        <v/>
      </c>
      <c r="H722" s="2" t="s">
        <v>330</v>
      </c>
    </row>
    <row r="723" spans="2:10" ht="12.75" customHeight="1" outlineLevel="3">
      <c r="B723" s="18" t="str">
        <f>HBL!$AA$1568</f>
        <v>Temperature</v>
      </c>
      <c r="F723" s="22"/>
      <c r="G723" s="5" t="str">
        <f>IF(H2OVAPOR_COALMILL="","",T_PRIMAIR)</f>
        <v/>
      </c>
      <c r="H723" s="2" t="s">
        <v>299</v>
      </c>
    </row>
    <row r="724" spans="2:10" ht="12.75" customHeight="1" outlineLevel="3">
      <c r="B724" s="2" t="str">
        <f>HBL!$AA$1306</f>
        <v>cp water vapor</v>
      </c>
      <c r="F724" s="22"/>
      <c r="G724" s="109" t="str">
        <f>IF(H2OVAPOR_COALMILL="","",1.49+T_PRIMAIR/4700)</f>
        <v/>
      </c>
      <c r="H724" s="2" t="s">
        <v>328</v>
      </c>
    </row>
    <row r="725" spans="2:10" ht="12.75" customHeight="1" outlineLevel="3">
      <c r="B725" s="2"/>
      <c r="F725" s="22"/>
      <c r="G725" s="5" t="str">
        <f>IF(H2OVAPOR_COALMILL="","",H2OVAPOR_COALMILL*CPH2O_PRIMAIR*(T_PRIMAIR-20)/1000)</f>
        <v/>
      </c>
      <c r="H725" s="2" t="s">
        <v>371</v>
      </c>
      <c r="I725" s="20" t="str">
        <f>IF(G725="","",G725/M_CLI)</f>
        <v/>
      </c>
      <c r="J725" s="2" t="s">
        <v>314</v>
      </c>
    </row>
    <row r="726" spans="2:10" ht="12.75" customHeight="1" outlineLevel="3">
      <c r="B726" s="9" t="str">
        <f>HBL!$AA$1506</f>
        <v>PRIMARY AIR CALCINER OR SECONDARY FIRING</v>
      </c>
      <c r="F726" s="22"/>
      <c r="G726" s="17"/>
      <c r="H726" s="2"/>
    </row>
    <row r="727" spans="2:10" ht="12.75" customHeight="1" outlineLevel="3">
      <c r="B727" s="18" t="str">
        <f>HBL!$AA$1606</f>
        <v>Flowrate air</v>
      </c>
      <c r="F727" s="22"/>
      <c r="G727" s="162">
        <f>IF(VN_PRIMAIRCAL="","",VN_PRIMAIRCAL)</f>
        <v>3510</v>
      </c>
      <c r="H727" s="2" t="s">
        <v>330</v>
      </c>
      <c r="I727" s="20"/>
      <c r="J727" s="2"/>
    </row>
    <row r="728" spans="2:10" ht="12.75" customHeight="1" outlineLevel="3">
      <c r="B728" s="18" t="str">
        <f>HBL!$AA$1568</f>
        <v>Temperature</v>
      </c>
      <c r="F728" s="22"/>
      <c r="G728" s="5">
        <f>IF(T_PRIMAIRPRECAL="","",T_PRIMAIRPRECAL)</f>
        <v>52</v>
      </c>
      <c r="H728" s="2" t="s">
        <v>299</v>
      </c>
      <c r="I728" s="20"/>
      <c r="J728" s="2"/>
    </row>
    <row r="729" spans="2:10" ht="12.75" customHeight="1" outlineLevel="3">
      <c r="B729" s="2" t="str">
        <f>HBL!$AA$1301</f>
        <v>cp air</v>
      </c>
      <c r="F729" s="22"/>
      <c r="G729" s="109">
        <f>IF(CP_PRIMAIRCAL="","",CP_PRIMAIRCAL)</f>
        <v>1.3014676146432003</v>
      </c>
      <c r="H729" s="2" t="s">
        <v>328</v>
      </c>
      <c r="I729" s="20"/>
      <c r="J729" s="2"/>
    </row>
    <row r="730" spans="2:10" ht="12.75" customHeight="1" outlineLevel="3">
      <c r="B730" s="2"/>
      <c r="F730" s="22"/>
      <c r="G730" s="5">
        <f>IF(VN_PRIMAIRCAL="","",VN_PRIMAIRCAL*CP_PRIMAIRCAL*(T_PRIMAIRPRECAL-20)/1000)</f>
        <v>146.18084247672425</v>
      </c>
      <c r="H730" s="2" t="s">
        <v>371</v>
      </c>
      <c r="I730" s="20">
        <f>IF(G730="","",G730/M_CLI)</f>
        <v>1.9171258029734328</v>
      </c>
      <c r="J730" s="2" t="s">
        <v>314</v>
      </c>
    </row>
    <row r="731" spans="2:10" ht="12.75" customHeight="1" outlineLevel="3">
      <c r="B731" s="2"/>
      <c r="F731" s="22"/>
      <c r="G731" s="5"/>
      <c r="H731" s="2"/>
      <c r="I731" s="20"/>
      <c r="J731" s="2"/>
    </row>
    <row r="732" spans="2:10" ht="12.75" customHeight="1" outlineLevel="3">
      <c r="B732" s="2" t="str">
        <f>HBL!$AA$1647</f>
        <v>Water vapor flowrate</v>
      </c>
      <c r="F732" s="22"/>
      <c r="G732" s="162" t="str">
        <f>IF(H2OVAPOR_COALMILLCAL="","",H2OVAPOR_COALMILLCAL)</f>
        <v/>
      </c>
      <c r="H732" s="2" t="s">
        <v>330</v>
      </c>
    </row>
    <row r="733" spans="2:10" ht="12.75" customHeight="1" outlineLevel="3">
      <c r="B733" s="18" t="str">
        <f>HBL!$AA$1568</f>
        <v>Temperature</v>
      </c>
      <c r="F733" s="22"/>
      <c r="G733" s="5" t="str">
        <f>IF(H2OVAPOR_COALMILLCAL="","",T_PRIMAIRPRECAL)</f>
        <v/>
      </c>
      <c r="H733" s="2" t="s">
        <v>299</v>
      </c>
    </row>
    <row r="734" spans="2:10" ht="12.75" customHeight="1" outlineLevel="3">
      <c r="B734" s="2" t="str">
        <f>HBL!$AA$1306</f>
        <v>cp water vapor</v>
      </c>
      <c r="F734" s="22"/>
      <c r="G734" s="109" t="str">
        <f>IF(H2OVAPOR_COALMILLCAL="","",1.49+T_PRIMAIRPRECAL/4700)</f>
        <v/>
      </c>
      <c r="H734" s="2" t="s">
        <v>328</v>
      </c>
    </row>
    <row r="735" spans="2:10" ht="12.75" customHeight="1" outlineLevel="3">
      <c r="B735" s="2"/>
      <c r="F735" s="22"/>
      <c r="G735" s="5" t="str">
        <f>IF(H2OVAPOR_COALMILLCAL="","",H2OVAPOR_COALMILLCAL*CPH2O_PRIMAIRCAL*(T_PRIMAIRPRECAL-20)/1000)</f>
        <v/>
      </c>
      <c r="H735" s="2" t="s">
        <v>371</v>
      </c>
      <c r="I735" s="20" t="str">
        <f>IF(G735="","",G735/M_CLI)</f>
        <v/>
      </c>
      <c r="J735" s="2" t="s">
        <v>314</v>
      </c>
    </row>
    <row r="736" spans="2:10" ht="12.75" customHeight="1" outlineLevel="3" thickBot="1"/>
    <row r="737" spans="1:10" ht="12.75" customHeight="1" outlineLevel="3" thickBot="1">
      <c r="B737" s="18" t="str">
        <f>HBL!$AA$1624</f>
        <v>Heat input from primary air</v>
      </c>
      <c r="F737" s="22"/>
      <c r="G737" s="110">
        <f>IF(VN_PRIMCOMB="", "",SUM(G720,G725,G730,G735))</f>
        <v>295.06389944957198</v>
      </c>
      <c r="H737" s="2" t="s">
        <v>371</v>
      </c>
      <c r="I737" s="551">
        <f>IF(G737="","",G737/M_CLI)</f>
        <v>3.8696904845845506</v>
      </c>
      <c r="J737" s="2" t="s">
        <v>315</v>
      </c>
    </row>
    <row r="738" spans="1:10" ht="12.75" customHeight="1" outlineLevel="2" thickTop="1"/>
    <row r="739" spans="1:10" ht="12.75" customHeight="1" outlineLevel="2">
      <c r="B739" s="211" t="s">
        <v>944</v>
      </c>
    </row>
    <row r="740" spans="1:10" ht="12.75" customHeight="1" outlineLevel="3">
      <c r="B740" s="211"/>
    </row>
    <row r="741" spans="1:10" ht="12.75" customHeight="1" outlineLevel="3">
      <c r="B741" s="59" t="str">
        <f>HBL!$AA$1345</f>
        <v>SENSIBLE HEAT OF INJECTED WATER</v>
      </c>
      <c r="C741" s="182"/>
      <c r="D741" s="182"/>
      <c r="E741" s="182"/>
      <c r="F741" s="182"/>
      <c r="G741" s="182"/>
      <c r="H741" s="182"/>
      <c r="I741" s="182"/>
      <c r="J741" s="182"/>
    </row>
    <row r="742" spans="1:10" ht="12.75" customHeight="1" outlineLevel="3">
      <c r="B742" s="9"/>
      <c r="C742" s="182"/>
      <c r="D742" s="182"/>
      <c r="E742" s="182"/>
      <c r="F742" s="182"/>
      <c r="G742" s="182"/>
      <c r="H742" s="182"/>
      <c r="I742" s="182"/>
      <c r="J742" s="182"/>
    </row>
    <row r="743" spans="1:10" ht="12.75" customHeight="1" outlineLevel="3">
      <c r="B743" s="18" t="str">
        <f>HBL!$AA$1605</f>
        <v>Flowrate</v>
      </c>
      <c r="C743" s="182"/>
      <c r="D743" s="182"/>
      <c r="E743" s="182"/>
      <c r="F743" s="182"/>
      <c r="G743" s="212">
        <f>IF(H2O_PREHEATER="","",H2O_PREHEATER*1000)</f>
        <v>0</v>
      </c>
      <c r="H743" s="182" t="s">
        <v>372</v>
      </c>
      <c r="I743" s="182"/>
      <c r="J743" s="182"/>
    </row>
    <row r="744" spans="1:10" ht="12.75" customHeight="1" outlineLevel="3">
      <c r="B744" s="18" t="str">
        <f>HBL!$AA$1568</f>
        <v>Temperature</v>
      </c>
      <c r="C744" s="182"/>
      <c r="D744" s="182"/>
      <c r="E744" s="182"/>
      <c r="F744" s="182"/>
      <c r="G744" s="182" t="str">
        <f>IF(D208="","",D208)</f>
        <v/>
      </c>
      <c r="H744" s="182" t="s">
        <v>299</v>
      </c>
      <c r="I744" s="182"/>
      <c r="J744" s="182"/>
    </row>
    <row r="745" spans="1:10" ht="12.75" customHeight="1" outlineLevel="3">
      <c r="B745" s="18" t="str">
        <f>HBL!$AA$1546</f>
        <v>Specific heat capacity</v>
      </c>
      <c r="C745" s="182"/>
      <c r="D745" s="182"/>
      <c r="E745" s="182"/>
      <c r="F745" s="182"/>
      <c r="G745" s="187" t="str">
        <f>IF(D209="","",D209)</f>
        <v/>
      </c>
      <c r="H745" s="183" t="s">
        <v>303</v>
      </c>
      <c r="I745" s="182"/>
      <c r="J745" s="182"/>
    </row>
    <row r="746" spans="1:10" ht="12.75" customHeight="1" outlineLevel="3" thickBot="1">
      <c r="B746" s="182"/>
      <c r="C746" s="182"/>
      <c r="D746" s="182"/>
      <c r="E746" s="182"/>
      <c r="F746" s="182"/>
      <c r="G746" s="182"/>
      <c r="H746" s="182"/>
      <c r="I746" s="182"/>
      <c r="J746" s="182"/>
    </row>
    <row r="747" spans="1:10" ht="12.75" customHeight="1" outlineLevel="3" thickBot="1">
      <c r="B747" s="18" t="str">
        <f>HBL!$AA$1623</f>
        <v>Heat input from injected water</v>
      </c>
      <c r="C747" s="182"/>
      <c r="D747" s="182"/>
      <c r="E747" s="182"/>
      <c r="F747" s="182"/>
      <c r="G747" s="188" t="str">
        <f>IF(ISERR(H2O_PREHEATER*1000*D209*(D208-20)),"",H2O_PREHEATER*1000*D209*(D208-20)/1000)</f>
        <v/>
      </c>
      <c r="H747" s="183" t="s">
        <v>371</v>
      </c>
      <c r="I747" s="617" t="str">
        <f>IF(G747="","",G747/M_CLI)</f>
        <v/>
      </c>
      <c r="J747" s="183" t="s">
        <v>373</v>
      </c>
    </row>
    <row r="748" spans="1:10" ht="12.75" customHeight="1" outlineLevel="2" thickTop="1"/>
    <row r="749" spans="1:10" ht="12.75" customHeight="1" outlineLevel="2">
      <c r="A749" s="628">
        <v>24</v>
      </c>
      <c r="B749" s="626" t="str">
        <f>HBL!$AA$1402</f>
        <v>COOLER</v>
      </c>
      <c r="C749" s="493"/>
      <c r="D749" s="493"/>
      <c r="E749" s="493"/>
      <c r="F749" s="627"/>
    </row>
    <row r="750" spans="1:10" ht="12.75" customHeight="1" outlineLevel="3">
      <c r="B750" s="9"/>
    </row>
    <row r="751" spans="1:10" ht="12.75" customHeight="1" outlineLevel="3">
      <c r="B751" s="9" t="str">
        <f>HBL!$AA$1344</f>
        <v>SENSIBLE HEAT COOLING AIR</v>
      </c>
    </row>
    <row r="752" spans="1:10" ht="12.75" customHeight="1" outlineLevel="3"/>
    <row r="753" spans="2:23" ht="12.75" customHeight="1" outlineLevel="3">
      <c r="B753" s="656" t="str">
        <f>HBL!$AA$1595</f>
        <v>Fan</v>
      </c>
      <c r="C753" s="657">
        <v>1</v>
      </c>
      <c r="D753" s="657">
        <v>2</v>
      </c>
      <c r="E753" s="657">
        <v>3</v>
      </c>
      <c r="F753" s="657">
        <v>4</v>
      </c>
      <c r="G753" s="657">
        <v>5</v>
      </c>
      <c r="H753" s="657">
        <v>6</v>
      </c>
      <c r="I753" s="657">
        <v>7</v>
      </c>
      <c r="J753" s="657">
        <v>8</v>
      </c>
    </row>
    <row r="754" spans="2:23" ht="12.75" customHeight="1" outlineLevel="3">
      <c r="B754" s="43" t="s">
        <v>344</v>
      </c>
      <c r="C754" s="55">
        <f>IF(T_FAN1=0,"",T_FAN1)</f>
        <v>40</v>
      </c>
      <c r="D754" s="55">
        <f>IF(T_FAN2=0,"",T_FAN2)</f>
        <v>40</v>
      </c>
      <c r="E754" s="55">
        <f>IF(T_FAN3=0,"",T_FAN3)</f>
        <v>40</v>
      </c>
      <c r="F754" s="55">
        <f>IF(T_FAN4=0,"",T_FAN4)</f>
        <v>40</v>
      </c>
      <c r="G754" s="55">
        <f>IF(T_FAN5=0,"",T_FAN5)</f>
        <v>40</v>
      </c>
      <c r="H754" s="55">
        <f>IF(T_FAN6=0,"",T_FAN6)</f>
        <v>40</v>
      </c>
      <c r="I754" s="55" t="str">
        <f>IF(T_FAN7=0,"",T_FAN7)</f>
        <v/>
      </c>
      <c r="J754" s="55" t="str">
        <f>IF(T_FAN8=0,"",T_FAN8)</f>
        <v/>
      </c>
    </row>
    <row r="755" spans="2:23" ht="12.75" customHeight="1" outlineLevel="3">
      <c r="B755" s="43" t="s">
        <v>345</v>
      </c>
      <c r="C755" s="164">
        <f>IF(VN_FAN1="","",VN_FAN1)</f>
        <v>30841.882603864397</v>
      </c>
      <c r="D755" s="164">
        <f>IF(VN_FAN2="","",VN_FAN2)</f>
        <v>11320.816783586557</v>
      </c>
      <c r="E755" s="164">
        <f>IF(VN_FAN3="","",VN_FAN3)</f>
        <v>26646.659549761644</v>
      </c>
      <c r="F755" s="164">
        <f>IF(VN_FAN4="","",VN_FAN4)</f>
        <v>27920.544962691551</v>
      </c>
      <c r="G755" s="164">
        <f>IF(VN_FAN5="","",VN_FAN5)</f>
        <v>25229.271328652922</v>
      </c>
      <c r="H755" s="164">
        <f>IF(VN_FAN6="","",VN_FAN6)</f>
        <v>36845.008524534227</v>
      </c>
      <c r="I755" s="164" t="str">
        <f>IF(VN_FAN7="","",VN_FAN7)</f>
        <v/>
      </c>
      <c r="J755" s="164" t="str">
        <f>IF(VN_FAN8="","",VN_FAN8)</f>
        <v/>
      </c>
    </row>
    <row r="756" spans="2:23" ht="12.75" customHeight="1" outlineLevel="3">
      <c r="B756" s="43" t="s">
        <v>356</v>
      </c>
      <c r="C756" s="55">
        <f>IF(C755="","",IF(T_FAN1=20,1.2922*VN_FAN1*(T_FAN1-20)/1000,((1.297+0.0000575*T_FAN1+0.0000000806*T_FAN1^2-0.0000000000286*T_FAN1^3)*T_FAN1-(1.297+0.0000575*20+0.0000000806*20^2-0.0000000000286*20^3)*20)/(T_FAN1-20))*VN_FAN1*(T_FAN1-20)/1000)</f>
        <v>802.30361557840808</v>
      </c>
      <c r="D756" s="55">
        <f>IF(D755="","",IF(T_FAN2=20,1.2922*VN_FAN2*(T_FAN2-20)/1000,((1.297+0.0000575*T_FAN2+0.0000000806*T_FAN2^2-0.0000000000286*T_FAN2^3)*T_FAN2-(1.297+0.0000575*20+0.0000000806*20^2-0.0000000000286*20^3)*20)/(T_FAN2-20))*VN_FAN2*(T_FAN2-20)/1000)</f>
        <v>294.49344430207316</v>
      </c>
      <c r="E756" s="55">
        <f>IF(E755="","",IF(T_FAN3=20,1.2922*VN_FAN3*(T_FAN3-20)/1000,((1.297+0.0000575*T_FAN3+0.0000000806*T_FAN3^2-0.0000000000286*T_FAN3^3)*T_FAN3-(1.297+0.0000575*20+0.0000000806*20^2-0.0000000000286*20^3)*20)/(T_FAN3-20))*VN_FAN3*(T_FAN3-20)/1000)</f>
        <v>693.17141156558296</v>
      </c>
      <c r="F756" s="55">
        <f>IF(F755="","",IF(T_FAN4=20,1.2922*VN_FAN4*(T_FAN4-20)/1000,((1.297+0.0000575*T_FAN4+0.0000000806*T_FAN4^2-0.0000000000286*T_FAN4^3)*T_FAN4-(1.297+0.0000575*20+0.0000000806*20^2-0.0000000000286*20^3)*20)/(T_FAN4-20))*VN_FAN4*(T_FAN4-20)/1000)</f>
        <v>726.30955964018199</v>
      </c>
      <c r="G756" s="55">
        <f>IF(G755="","",IF(T_FAN5=20,1.2922*VN_FAN5*(T_FAN5-20)/1000,((1.297+0.0000575*T_FAN5+0.0000000806*T_FAN5^2-0.0000000000286*T_FAN5^3)*T_FAN5-(1.297+0.0000575*20+0.0000000806*20^2-0.0000000000286*20^3)*20)/(T_FAN5-20))*VN_FAN5*(T_FAN5-20)/1000)</f>
        <v>656.30026108881896</v>
      </c>
      <c r="H756" s="55">
        <f>IF(H755="","",IF(T_FAN6=20,1.2922*VN_FAN6*(T_FAN6-20)/1000,((1.297+0.0000575*T_FAN6+0.0000000806*T_FAN6^2-0.0000000000286*T_FAN6^3)*T_FAN6-(1.297+0.0000575*20+0.0000000806*20^2-0.0000000000286*20^3)*20)/(T_FAN6-20))*VN_FAN6*(T_FAN6-20)/1000)</f>
        <v>958.46560130370199</v>
      </c>
      <c r="I756" s="55" t="str">
        <f>IF(I755="","",IF(T_FAN7=20,1.2922*VN_FAN7*(T_FAN7-20)/1000,((1.297+0.0000575*T_FAN7+0.0000000806*T_FAN7^2-0.0000000000286*T_FAN7^3)*T_FAN7-(1.297+0.0000575*20+0.0000000806*20^2-0.0000000000286*20^3)*20)/(T_FAN7-20))*VN_FAN7*(T_FAN7-20)/1000)</f>
        <v/>
      </c>
      <c r="J756" s="55" t="str">
        <f>IF(J755="","",IF(T_FAN8=20,1.2922*VN_FAN8*(T_FAN8-20)/1000,((1.297+0.0000575*T_FAN8+0.0000000806*T_FAN8^2-0.0000000000286*T_FAN8^3)*T_FAN8-(1.297+0.0000575*20+0.0000000806*20^2-0.0000000000286*20^3)*20)/(T_FAN8-20))*VN_FAN8*(T_FAN8-20)/1000)</f>
        <v/>
      </c>
    </row>
    <row r="757" spans="2:23" ht="12.75" customHeight="1" outlineLevel="3">
      <c r="B757" s="656" t="str">
        <f>HBL!$AA$1595</f>
        <v>Fan</v>
      </c>
      <c r="C757" s="657">
        <v>9</v>
      </c>
      <c r="D757" s="657">
        <v>10</v>
      </c>
      <c r="E757" s="657">
        <v>11</v>
      </c>
      <c r="F757" s="657">
        <v>12</v>
      </c>
      <c r="G757" s="658">
        <v>13</v>
      </c>
      <c r="H757" s="659"/>
      <c r="I757" s="657"/>
      <c r="J757" s="657"/>
    </row>
    <row r="758" spans="2:23" ht="12.75" customHeight="1" outlineLevel="3">
      <c r="B758" s="43" t="s">
        <v>344</v>
      </c>
      <c r="C758" s="55" t="str">
        <f>IF(T_FAN9=0,"",T_FAN9)</f>
        <v/>
      </c>
      <c r="D758" s="55" t="str">
        <f>IF(T_FAN10=0,"",T_FAN10)</f>
        <v/>
      </c>
      <c r="E758" s="55" t="str">
        <f>IF(T_FAN11=0,"",T_FAN11)</f>
        <v/>
      </c>
      <c r="F758" s="55" t="str">
        <f>IF(T_FAN12=0,"",T_FAN12)</f>
        <v/>
      </c>
      <c r="G758" s="55" t="str">
        <f>IF(T_FAN13=0,"",T_FAN13)</f>
        <v/>
      </c>
      <c r="H758" s="111"/>
      <c r="I758" s="55"/>
      <c r="J758" s="55"/>
    </row>
    <row r="759" spans="2:23" ht="12.75" customHeight="1" outlineLevel="3">
      <c r="B759" s="43" t="s">
        <v>345</v>
      </c>
      <c r="C759" s="164" t="str">
        <f>IF(VN_FAN9="","",VN_FAN9)</f>
        <v/>
      </c>
      <c r="D759" s="164" t="str">
        <f>IF(VN_FAN10="","",VN_FAN10)</f>
        <v/>
      </c>
      <c r="E759" s="164" t="str">
        <f>IF(VN_FAN11="","",VN_FAN11)</f>
        <v/>
      </c>
      <c r="F759" s="164" t="str">
        <f>IF(VN_FAN12="","",VN_FAN12)</f>
        <v/>
      </c>
      <c r="G759" s="164" t="str">
        <f>IF(VN_FAN13="","",VN_FAN13)</f>
        <v/>
      </c>
      <c r="H759" s="165"/>
      <c r="I759" s="164"/>
      <c r="J759" s="164"/>
    </row>
    <row r="760" spans="2:23" ht="12.75" customHeight="1" outlineLevel="3">
      <c r="B760" s="21" t="s">
        <v>356</v>
      </c>
      <c r="C760" s="112" t="str">
        <f>IF(C759="","",IF(T_FAN9=20,1.2922*VN_FAN9*(T_FAN9-20)/1000,((1.297+0.0000575*T_FAN9+0.0000000806*T_FAN9^2-0.0000000000286*T_FAN9^3)*T_FAN9-(1.297+0.0000575*20+0.0000000806*20^2-0.0000000000286*20^3)*20)/(T_FAN9-20))*VN_FAN9*(T_FAN9-20)/1000)</f>
        <v/>
      </c>
      <c r="D760" s="112" t="str">
        <f>IF(D759="","",IF(T_FAN1=20,1.2922*VN_FAN10*(T_FAN10-20)/1000,((1.297+0.0000575*T_FAN10+0.0000000806*T_FAN10^2-0.0000000000286*T_FAN10^3)*T_FAN10-(1.297+0.0000575*20+0.0000000806*20^2-0.0000000000286*20^3)*20)/(T_FAN10-20))*VN_FAN10*(T_FAN10-20)/1000)</f>
        <v/>
      </c>
      <c r="E760" s="112" t="str">
        <f>IF(E759="","",IF(T_FAN1=20,1.2922*VN_FAN11*(T_FAN11-20)/1000,((1.297+0.0000575*T_FAN11+0.0000000806*T_FAN11^2-0.0000000000286*T_FAN11^3)*T_FAN11-(1.297+0.0000575*20+0.0000000806*20^2-0.0000000000286*20^3)*20)/(T_FAN11-20))*VN_FAN11*(T_FAN11-20)/1000)</f>
        <v/>
      </c>
      <c r="F760" s="112" t="str">
        <f>IF(F759="","",IF(T_FAN1=20,1.2922*VN_FAN12*(T_FAN12-20)/1000,((1.297+0.0000575*T_FAN12+0.0000000806*T_FAN12^2-0.0000000000286*T_FAN12^3)*T_FAN12-(1.297+0.0000575*20+0.0000000806*20^2-0.0000000000286*20^3)*20)/(T_FAN12-20))*VN_FAN12*(T_FAN12-20)/1000)</f>
        <v/>
      </c>
      <c r="G760" s="112" t="str">
        <f>IF(G759="","",IF(T_FAN1=20,1.2922*VN_FAN13*(T_FAN13-20)/1000,((1.297+0.0000575*T_FAN13+0.0000000806*T_FAN13^2-0.0000000000286*T_FAN13^3)*T_FAN13-(1.297+0.0000575*20+0.0000000806*20^2-0.0000000000286*20^3)*20)/(T_FAN13-20))*VN_FAN13*(T_FAN13-20)/1000)</f>
        <v/>
      </c>
      <c r="H760" s="113"/>
      <c r="I760" s="112"/>
      <c r="J760" s="112"/>
    </row>
    <row r="761" spans="2:23" ht="12.75" customHeight="1" outlineLevel="3">
      <c r="H761" s="2"/>
    </row>
    <row r="762" spans="2:23" ht="12.75" customHeight="1" outlineLevel="3" thickBot="1"/>
    <row r="763" spans="2:23" ht="12.75" customHeight="1" outlineLevel="3" thickBot="1">
      <c r="B763" t="str">
        <f>HBL!$AA$1622</f>
        <v>Heat input from cooling air</v>
      </c>
      <c r="G763" s="163">
        <f>IF(VN_COOLAIR="","",IF(Cooler=2,IF(TAMB=20,VN_COOLAIR*1.299,VN_COOLAIR*((1.297+0.0000575*TAMB+0.0000000806*TAMB^2-0.0000000000286*TAMB^3)*TAMB-(1.297+0.0000575*20+0.0000000806*20^2-0.0000000000286*20^3)*20)/(TAMB-20)*(TAMB-20)/1000),SUM(C756:J756)+SUM(C760:G760)))</f>
        <v>4131.0438934787671</v>
      </c>
      <c r="H763" s="2" t="s">
        <v>371</v>
      </c>
      <c r="I763" s="551">
        <f>IF(G763="","",G763/M_CLI)</f>
        <v>54.177624832508421</v>
      </c>
      <c r="J763" s="2" t="s">
        <v>315</v>
      </c>
    </row>
    <row r="764" spans="2:23" ht="12.75" customHeight="1" outlineLevel="3" thickTop="1">
      <c r="G764" s="5"/>
      <c r="H764" s="2"/>
      <c r="I764" s="20"/>
    </row>
    <row r="765" spans="2:23" ht="12.75" customHeight="1" outlineLevel="3">
      <c r="B765" s="59" t="str">
        <f>HBL!$AA$1345</f>
        <v>SENSIBLE HEAT OF INJECTED WATER</v>
      </c>
      <c r="C765" s="182"/>
      <c r="D765" s="182"/>
      <c r="E765" s="182"/>
      <c r="F765" s="182"/>
      <c r="G765" s="182"/>
      <c r="H765" s="182"/>
      <c r="I765" s="182"/>
      <c r="J765" s="182"/>
      <c r="W765" s="181"/>
    </row>
    <row r="766" spans="2:23" ht="12.75" customHeight="1" outlineLevel="3">
      <c r="B766" s="9"/>
      <c r="C766" s="182"/>
      <c r="D766" s="182"/>
      <c r="E766" s="182"/>
      <c r="F766" s="182"/>
      <c r="G766" s="182"/>
      <c r="H766" s="182"/>
      <c r="I766" s="182"/>
      <c r="J766" s="182"/>
      <c r="W766" s="181"/>
    </row>
    <row r="767" spans="2:23" ht="12.75" customHeight="1" outlineLevel="3">
      <c r="B767" s="18" t="str">
        <f>HBL!$AA$1605</f>
        <v>Flowrate</v>
      </c>
      <c r="C767" s="182"/>
      <c r="D767" s="182"/>
      <c r="E767" s="182"/>
      <c r="F767" s="182"/>
      <c r="G767" s="186">
        <f>IF(M_H2OCOOLER="","",M_H2OCOOLER)</f>
        <v>0</v>
      </c>
      <c r="H767" s="182" t="s">
        <v>372</v>
      </c>
      <c r="I767" s="182"/>
      <c r="J767" s="182"/>
      <c r="W767" s="181"/>
    </row>
    <row r="768" spans="2:23" ht="12.75" customHeight="1" outlineLevel="3">
      <c r="B768" s="18" t="str">
        <f>HBL!$AA$1568</f>
        <v>Temperature</v>
      </c>
      <c r="C768" s="182"/>
      <c r="D768" s="182"/>
      <c r="E768" s="182"/>
      <c r="F768" s="182"/>
      <c r="G768" s="182" t="str">
        <f>IF(T_H2OCOOLER="","",T_H2OCOOLER)</f>
        <v/>
      </c>
      <c r="H768" s="182" t="s">
        <v>299</v>
      </c>
      <c r="I768" s="182"/>
      <c r="J768" s="182"/>
      <c r="W768" s="181"/>
    </row>
    <row r="769" spans="1:23" ht="12.75" customHeight="1" outlineLevel="3">
      <c r="B769" s="18" t="str">
        <f>HBL!$AA$1546</f>
        <v>Specific heat capacity</v>
      </c>
      <c r="C769" s="182"/>
      <c r="D769" s="182"/>
      <c r="E769" s="182"/>
      <c r="F769" s="182"/>
      <c r="G769" s="187" t="str">
        <f>IF(CP_H2OCOOLER="","",CP_H2OCOOLER)</f>
        <v/>
      </c>
      <c r="H769" s="183" t="s">
        <v>303</v>
      </c>
      <c r="I769" s="182"/>
      <c r="J769" s="182"/>
      <c r="W769" s="181"/>
    </row>
    <row r="770" spans="1:23" ht="12.75" customHeight="1" outlineLevel="3" thickBot="1">
      <c r="B770" s="182"/>
      <c r="C770" s="182"/>
      <c r="D770" s="182"/>
      <c r="E770" s="182"/>
      <c r="F770" s="182"/>
      <c r="G770" s="182"/>
      <c r="H770" s="182"/>
      <c r="I770" s="182"/>
      <c r="J770" s="182"/>
      <c r="W770" s="181"/>
    </row>
    <row r="771" spans="1:23" ht="12.75" customHeight="1" outlineLevel="3" thickBot="1">
      <c r="B771" s="18" t="str">
        <f>HBL!$AA$1623</f>
        <v>Heat input from injected water</v>
      </c>
      <c r="C771" s="182"/>
      <c r="D771" s="182"/>
      <c r="E771" s="182"/>
      <c r="F771" s="182"/>
      <c r="G771" s="188" t="str">
        <f>IF(ISERR(M_H2OCOOLER*CP_H2OCOOLER*(T_H2OCOOLER-20)),"",M_H2OCOOLER*CP_H2OCOOLER*(T_H2OCOOLER-20)/1000)</f>
        <v/>
      </c>
      <c r="H771" s="183" t="s">
        <v>371</v>
      </c>
      <c r="I771" s="617" t="str">
        <f>IF(G771="","",G771/M_CLI)</f>
        <v/>
      </c>
      <c r="J771" s="183" t="s">
        <v>373</v>
      </c>
      <c r="W771" s="181"/>
    </row>
    <row r="772" spans="1:23" ht="12.75" customHeight="1" outlineLevel="3" thickTop="1">
      <c r="B772" s="182"/>
      <c r="C772" s="182"/>
      <c r="D772" s="182"/>
      <c r="E772" s="182"/>
      <c r="F772" s="182"/>
      <c r="G772" s="182"/>
      <c r="H772" s="182"/>
      <c r="I772" s="182"/>
      <c r="J772" s="182"/>
      <c r="W772" s="181"/>
    </row>
    <row r="773" spans="1:23" ht="12.75" customHeight="1" outlineLevel="2">
      <c r="G773" s="5"/>
      <c r="H773" s="2"/>
      <c r="I773" s="20"/>
    </row>
    <row r="774" spans="1:23" ht="12.75" customHeight="1" outlineLevel="2">
      <c r="A774" s="628">
        <v>25</v>
      </c>
      <c r="B774" s="626" t="str">
        <f>HBL!$AA$1656</f>
        <v>OTHER HEAT INPUT</v>
      </c>
      <c r="C774" s="493"/>
      <c r="D774" s="493"/>
      <c r="E774" s="493"/>
      <c r="F774" s="627"/>
      <c r="G774" s="5"/>
      <c r="H774" s="2"/>
      <c r="I774" s="20"/>
    </row>
    <row r="775" spans="1:23" ht="12.75" customHeight="1" outlineLevel="3">
      <c r="G775" s="5"/>
      <c r="H775" s="2"/>
      <c r="I775" s="20"/>
    </row>
    <row r="776" spans="1:23" ht="12.75" customHeight="1" outlineLevel="3">
      <c r="G776" s="5"/>
      <c r="H776" s="2"/>
      <c r="I776" s="20"/>
    </row>
    <row r="777" spans="1:23" ht="12.75" customHeight="1" outlineLevel="3">
      <c r="G777" s="5"/>
      <c r="H777" s="2"/>
      <c r="I777" s="20"/>
    </row>
    <row r="778" spans="1:23" ht="12.75" customHeight="1" outlineLevel="3" thickBot="1">
      <c r="G778" s="5"/>
      <c r="H778" s="2"/>
      <c r="I778" s="20"/>
    </row>
    <row r="779" spans="1:23" ht="12.75" customHeight="1" outlineLevel="3" thickBot="1">
      <c r="G779" s="110"/>
      <c r="H779" s="2" t="s">
        <v>371</v>
      </c>
      <c r="I779" s="551"/>
      <c r="J779" s="2" t="s">
        <v>315</v>
      </c>
    </row>
    <row r="780" spans="1:23" ht="12.75" customHeight="1" outlineLevel="2" thickTop="1">
      <c r="G780" s="5"/>
      <c r="H780" s="2"/>
      <c r="I780" s="20"/>
    </row>
    <row r="781" spans="1:23" ht="12.75" customHeight="1" outlineLevel="1">
      <c r="G781" s="5"/>
      <c r="H781" s="2"/>
      <c r="I781" s="20"/>
    </row>
    <row r="782" spans="1:23" ht="12.75" customHeight="1" outlineLevel="1">
      <c r="G782" s="5"/>
      <c r="H782" s="2"/>
      <c r="I782" s="20"/>
    </row>
    <row r="783" spans="1:23" ht="12.75" customHeight="1" outlineLevel="1" collapsed="1">
      <c r="G783" s="5"/>
      <c r="H783" s="2"/>
      <c r="I783" s="20"/>
    </row>
    <row r="784" spans="1:23" ht="12.75" customHeight="1" outlineLevel="1">
      <c r="B784" s="499" t="str">
        <f>HBL!$AA$1614</f>
        <v>HEAT OUTPUT</v>
      </c>
      <c r="C784" s="499"/>
      <c r="D784" s="499"/>
      <c r="E784" s="499"/>
      <c r="F784" s="499"/>
      <c r="G784" s="499"/>
      <c r="H784" s="499"/>
      <c r="I784" s="499"/>
      <c r="J784" s="499"/>
      <c r="K784" s="588"/>
    </row>
    <row r="785" spans="1:10" ht="12.75" customHeight="1" outlineLevel="2"/>
    <row r="786" spans="1:10" ht="12.75" customHeight="1" outlineLevel="2"/>
    <row r="787" spans="1:10" ht="12.75" customHeight="1" outlineLevel="2">
      <c r="A787" s="628">
        <v>31</v>
      </c>
      <c r="B787" s="626" t="str">
        <f>HBL!$AA$1437</f>
        <v>HEAT OF FORMATION</v>
      </c>
      <c r="C787" s="493"/>
      <c r="D787" s="493"/>
      <c r="E787" s="493"/>
      <c r="F787" s="627"/>
    </row>
    <row r="788" spans="1:10" ht="12.75" customHeight="1" outlineLevel="3" thickBot="1"/>
    <row r="789" spans="1:10" ht="12.75" customHeight="1" outlineLevel="3" thickBot="1">
      <c r="B789" s="18" t="str">
        <f>HBL!$AA$1436</f>
        <v>Heat of formation</v>
      </c>
      <c r="G789" s="163">
        <f>IF(QOUT_CLIFORM="","",QOUT_CLIFORM*M_CLI)</f>
        <v>134810</v>
      </c>
      <c r="H789" s="2" t="s">
        <v>371</v>
      </c>
      <c r="I789" s="551">
        <f>IF(QOUT_CLIFORM="","",QOUT_CLIFORM)</f>
        <v>1768</v>
      </c>
      <c r="J789" s="2" t="s">
        <v>315</v>
      </c>
    </row>
    <row r="790" spans="1:10" ht="12.75" customHeight="1" outlineLevel="3" thickTop="1">
      <c r="G790" s="99"/>
      <c r="H790" s="18"/>
      <c r="I790" s="97"/>
      <c r="J790" s="97"/>
    </row>
    <row r="791" spans="1:10" ht="12.75" customHeight="1" outlineLevel="2"/>
    <row r="792" spans="1:10" ht="12.75" customHeight="1" outlineLevel="2">
      <c r="A792" s="628">
        <v>32</v>
      </c>
      <c r="B792" s="626" t="str">
        <f>HBL!$AA$1653</f>
        <v>WATER EVAPORATION</v>
      </c>
      <c r="C792" s="493"/>
      <c r="D792" s="493"/>
      <c r="E792" s="493"/>
      <c r="F792" s="627"/>
    </row>
    <row r="793" spans="1:10" ht="12.75" customHeight="1" outlineLevel="3">
      <c r="B793" s="2"/>
    </row>
    <row r="794" spans="1:10" ht="12.75" customHeight="1" outlineLevel="3">
      <c r="B794" s="18" t="str">
        <f>HBL!$AA$1486</f>
        <v>Kiln feed</v>
      </c>
      <c r="E794" s="18" t="str">
        <f>HBL!$AA$1461</f>
        <v>Massflow</v>
      </c>
      <c r="G794" s="20">
        <f>M_FEED</f>
        <v>122</v>
      </c>
      <c r="H794" s="2" t="s">
        <v>363</v>
      </c>
    </row>
    <row r="795" spans="1:10" ht="12.75" customHeight="1" outlineLevel="3">
      <c r="E795" s="18" t="str">
        <f>HBL!$AA$1361</f>
        <v>Moisture content</v>
      </c>
      <c r="G795" s="14">
        <f>IF(H2O_FEED="","",H2O_FEED)</f>
        <v>0.45</v>
      </c>
      <c r="H795" s="2" t="s">
        <v>297</v>
      </c>
      <c r="I795" s="20">
        <f>IF(M_FEED="","",M_FEED*H2O_FEED/100)</f>
        <v>0.54899999999999993</v>
      </c>
      <c r="J795" s="2" t="s">
        <v>374</v>
      </c>
    </row>
    <row r="796" spans="1:10" ht="12.75" customHeight="1" outlineLevel="3" thickBot="1">
      <c r="D796" s="18"/>
      <c r="G796" s="18"/>
      <c r="H796" s="36"/>
      <c r="I796" s="2"/>
    </row>
    <row r="797" spans="1:10" ht="12.75" customHeight="1" outlineLevel="3" thickBot="1">
      <c r="B797" t="str">
        <f>HBL!$AA$1635</f>
        <v>Heat output from kiln feed water evaporation</v>
      </c>
      <c r="D797" s="18"/>
      <c r="G797" s="163">
        <f>IF(M_FEED="","",I795*2450)</f>
        <v>1345.0499999999997</v>
      </c>
      <c r="H797" s="2" t="s">
        <v>371</v>
      </c>
      <c r="I797" s="618">
        <f>IF(G797="","",G797/M_CLI)</f>
        <v>17.639999999999997</v>
      </c>
      <c r="J797" s="2" t="s">
        <v>315</v>
      </c>
    </row>
    <row r="798" spans="1:10" ht="12.75" customHeight="1" outlineLevel="3" thickTop="1">
      <c r="D798" s="18"/>
      <c r="G798" s="162"/>
      <c r="H798" s="2"/>
      <c r="I798" s="25"/>
      <c r="J798" s="2"/>
    </row>
    <row r="799" spans="1:10" ht="12.75" customHeight="1" outlineLevel="3" thickBot="1">
      <c r="B799" t="str">
        <f>AA1659</f>
        <v>Water injection into preheater tower</v>
      </c>
      <c r="D799" s="18"/>
      <c r="G799" s="20">
        <f>IF(H2O_PREHEATER="","",H2O_PREHEATER)</f>
        <v>0</v>
      </c>
      <c r="H799" s="18" t="s">
        <v>363</v>
      </c>
      <c r="I799" s="25"/>
      <c r="J799" s="2"/>
    </row>
    <row r="800" spans="1:10" ht="12.75" customHeight="1" outlineLevel="3" thickBot="1">
      <c r="B800" t="str">
        <f>AA1660</f>
        <v>Heat comsumption for water evaporation</v>
      </c>
      <c r="D800" s="18"/>
      <c r="G800" s="110">
        <f>IF(H2O_PREHEATER="","",H2O_PREHEATER*2450)</f>
        <v>0</v>
      </c>
      <c r="H800" s="18" t="s">
        <v>371</v>
      </c>
      <c r="I800" s="618">
        <f>IF(G800="","",G800/M_CLI)</f>
        <v>0</v>
      </c>
      <c r="J800" s="18" t="s">
        <v>314</v>
      </c>
    </row>
    <row r="801" spans="1:23" ht="12.75" customHeight="1" outlineLevel="3" thickTop="1">
      <c r="D801" s="18"/>
      <c r="G801" s="162"/>
      <c r="H801" s="2"/>
      <c r="I801" s="25"/>
      <c r="J801" s="2"/>
    </row>
    <row r="802" spans="1:23" ht="12.75" customHeight="1" outlineLevel="3" thickBot="1">
      <c r="B802" t="str">
        <f>HBL!$AA$1652</f>
        <v>Water injection into cooler</v>
      </c>
      <c r="D802" s="18"/>
      <c r="E802" s="18"/>
      <c r="G802" s="20">
        <f>IF(M_H2OCOOLER="","",M_H2OCOOLER/1000)</f>
        <v>0</v>
      </c>
      <c r="H802" s="36" t="s">
        <v>363</v>
      </c>
      <c r="I802" s="2"/>
      <c r="W802" s="181"/>
    </row>
    <row r="803" spans="1:23" ht="12.75" customHeight="1" outlineLevel="3" thickBot="1">
      <c r="B803" t="str">
        <f>HBL!$AA$1645</f>
        <v>Heat loss from water evaporation in cooler</v>
      </c>
      <c r="D803" s="18"/>
      <c r="E803" s="18"/>
      <c r="G803" s="110">
        <f>IF(M_H2OCOOLER="","",M_H2OCOOLER*2450/1000)</f>
        <v>0</v>
      </c>
      <c r="H803" s="2" t="s">
        <v>371</v>
      </c>
      <c r="I803" s="618">
        <f>IF(G803="","",G803/M_CLI)</f>
        <v>0</v>
      </c>
      <c r="J803" s="2" t="s">
        <v>315</v>
      </c>
      <c r="W803" s="181"/>
    </row>
    <row r="804" spans="1:23" ht="12.75" customHeight="1" outlineLevel="3" thickTop="1">
      <c r="D804" s="18"/>
      <c r="E804" s="18"/>
      <c r="G804" s="5"/>
      <c r="H804" s="2"/>
      <c r="I804" s="25"/>
      <c r="J804" s="2"/>
      <c r="W804" s="181"/>
    </row>
    <row r="805" spans="1:23" ht="12.75" customHeight="1" outlineLevel="2">
      <c r="D805" s="18"/>
      <c r="E805" s="18"/>
      <c r="G805" s="137"/>
      <c r="H805" s="2"/>
      <c r="I805" s="25"/>
      <c r="J805" s="2"/>
      <c r="W805" s="181"/>
    </row>
    <row r="806" spans="1:23" ht="12.75" customHeight="1" outlineLevel="2">
      <c r="A806" s="628">
        <v>33</v>
      </c>
      <c r="B806" s="626" t="str">
        <f>HBL!$AA$1484</f>
        <v>PREHEATER EXHAUST GASES (kiln string)</v>
      </c>
      <c r="C806" s="493"/>
      <c r="D806" s="493"/>
      <c r="E806" s="493"/>
      <c r="F806" s="627"/>
    </row>
    <row r="807" spans="1:23" ht="12.75" customHeight="1" outlineLevel="3">
      <c r="G807" s="137"/>
      <c r="I807" s="17"/>
    </row>
    <row r="808" spans="1:23" ht="12.75" customHeight="1" outlineLevel="3">
      <c r="B808" s="1" t="str">
        <f>HBL!$AA$1343</f>
        <v>SENSIBLE HEAT KILN EXHAUST GASES</v>
      </c>
      <c r="I808" s="17"/>
    </row>
    <row r="809" spans="1:23" ht="12.75" customHeight="1" outlineLevel="3">
      <c r="B809" s="41" t="str">
        <f>HBL!$AA$1599</f>
        <v>Combustion gas (wet)</v>
      </c>
      <c r="F809" s="114"/>
      <c r="G809" s="137">
        <f>IF(SUM(E414:J414)=0,"", IF(PRECAL&lt;5, SUM(SUM($E$414:$J$414),M_CLI*Q_ORGMATTER*0.28), SUM(SUM($E$408:$J$408),SUM(E410:J410),M_CLI*Q_ORGMATTER*0.28*(100-FEED_CALCINER)/100)))</f>
        <v>70849.707599999994</v>
      </c>
      <c r="H809" s="40" t="s">
        <v>330</v>
      </c>
      <c r="I809" s="810">
        <f t="shared" ref="I809:I816" si="12">IF(G809="","",G809/(M_CLI*1000))</f>
        <v>0.92917649311475403</v>
      </c>
      <c r="J809" s="40" t="s">
        <v>375</v>
      </c>
    </row>
    <row r="810" spans="1:23" ht="12.75" customHeight="1" outlineLevel="3">
      <c r="B810" s="40" t="str">
        <f>HBL!$AA$1368</f>
        <v>Gas from raw meal CO2 + H2Ohyd</v>
      </c>
      <c r="F810" s="115"/>
      <c r="G810" s="137">
        <f>IF(M_CLI="","",IF(PRECAL&lt;5, 0.28*M_CLI*1000, M_CLI*1000*((100-FEED_CALCINER)/100*0.01+0.1*0.27)))</f>
        <v>21350</v>
      </c>
      <c r="H810" s="40" t="s">
        <v>330</v>
      </c>
      <c r="I810" s="191">
        <f t="shared" si="12"/>
        <v>0.28000000000000003</v>
      </c>
      <c r="J810" s="40" t="s">
        <v>375</v>
      </c>
    </row>
    <row r="811" spans="1:23" ht="12.75" customHeight="1" outlineLevel="3">
      <c r="B811" s="40" t="str">
        <f>HBL!$AA$1384</f>
        <v>H2O kiln feed</v>
      </c>
      <c r="E811" s="20">
        <f>IF(M_H2OFEED="","",IF(PRECAL&lt;5, M_H2OFEED, M_H2OFEED*(100-FEED_CALCINER)/100))</f>
        <v>0.54899999999999993</v>
      </c>
      <c r="F811" s="2" t="s">
        <v>374</v>
      </c>
      <c r="G811" s="137">
        <f>IF(M_H2OFEED="","",IF(PRECAL&lt;5, M_H2OFEED*1000*1.24, M_H2OFEED*1000*(100-FEED_CALCINER)/100))</f>
        <v>680.75999999999988</v>
      </c>
      <c r="H811" s="40" t="s">
        <v>330</v>
      </c>
      <c r="I811" s="810">
        <f t="shared" si="12"/>
        <v>8.9279999999999984E-3</v>
      </c>
      <c r="J811" s="40" t="s">
        <v>375</v>
      </c>
    </row>
    <row r="812" spans="1:23" ht="12.75" customHeight="1" outlineLevel="3">
      <c r="B812" s="40" t="str">
        <f>HBL!$AA$1383</f>
        <v>H2O fuel/coal mill</v>
      </c>
      <c r="C812" s="137"/>
      <c r="D812" s="20">
        <f>IF(H2OVAPOR_COALMILL="",IF(SUM(E403:J403)=0,"",SUM(E403:J403)),SUM(E403:J403)+H2OVAPOR_COALMILL/(1000*1.24))</f>
        <v>3.7999999999999999E-2</v>
      </c>
      <c r="E812" s="20">
        <f>IF(M_CLI="", "", IF(AND(PRECAL&lt;5, H2OVAPOR_COALMILL=""), SUM(E403:J404), IF(AND(PRECAL=5, H2OVAPOR_COALMILL=""),SUM(E403:J403), IF(AND(PRECAL&lt;5, H2OVAPOR_COALMILL&gt;0), SUM(E403:J404)+H2OVAPOR_COALMILL/1000*1.24, SUM(E403:J403)+H2OVAPOR_COALMILL/(1000*1.24)))))</f>
        <v>0.11235000000000001</v>
      </c>
      <c r="F812" s="2" t="s">
        <v>374</v>
      </c>
      <c r="G812" s="137">
        <f>IF(M_H2OFUEL="","",M_H2OFUEL*1000*1.24)</f>
        <v>139.31400000000002</v>
      </c>
      <c r="H812" s="40" t="s">
        <v>330</v>
      </c>
      <c r="I812" s="810">
        <f t="shared" si="12"/>
        <v>1.8270688524590166E-3</v>
      </c>
      <c r="J812" s="40" t="s">
        <v>375</v>
      </c>
    </row>
    <row r="813" spans="1:23" ht="12.75" customHeight="1" outlineLevel="3">
      <c r="B813" s="40" t="str">
        <f>HBL!$AA$1385</f>
        <v>H2O air humidity</v>
      </c>
      <c r="E813" s="20">
        <f>IF(VN_H2OAIR="","",VN_H2OAIR/1.24/1000)</f>
        <v>0</v>
      </c>
      <c r="F813" s="2" t="s">
        <v>374</v>
      </c>
      <c r="G813" s="137">
        <v>0</v>
      </c>
      <c r="H813" s="40" t="s">
        <v>330</v>
      </c>
      <c r="I813" s="810">
        <f t="shared" si="12"/>
        <v>0</v>
      </c>
      <c r="J813" s="40" t="s">
        <v>375</v>
      </c>
    </row>
    <row r="814" spans="1:23" ht="12.75" customHeight="1" outlineLevel="3">
      <c r="B814" s="41" t="str">
        <f>HBL!$AA$1684</f>
        <v>Excess and false air (dry)</v>
      </c>
      <c r="C814" s="116"/>
      <c r="E814">
        <f>IF(O2_EXHAUST="","",O2_EXHAUST)</f>
        <v>5</v>
      </c>
      <c r="F814" s="41" t="str">
        <f>HBL!$AA$1681</f>
        <v>% O2 dry</v>
      </c>
      <c r="G814" s="137">
        <f>IF(Q_FUEL="","", VN_EXHAUSTCOMBCO2*O2_EXHAUST/(21-O2_EXHAUST))</f>
        <v>28591.003288749998</v>
      </c>
      <c r="H814" s="40" t="s">
        <v>330</v>
      </c>
      <c r="I814" s="191">
        <f t="shared" si="12"/>
        <v>0.37496397755737704</v>
      </c>
      <c r="J814" s="40" t="s">
        <v>375</v>
      </c>
    </row>
    <row r="815" spans="1:23" ht="12.75" customHeight="1" outlineLevel="3">
      <c r="B815" s="41" t="str">
        <f>HBL!$AA$1648</f>
        <v>Water vapor from cooler</v>
      </c>
      <c r="E815" s="20" t="str">
        <f>IF(AND(ISNUMBER(M_H2OCOOLER), Cooler=2), M_H2OCOOLER/1000,"")</f>
        <v/>
      </c>
      <c r="F815" s="2" t="s">
        <v>374</v>
      </c>
      <c r="G815" s="20">
        <f>IF(AND(ISNUMBER(M_H2OCOOLER), Cooler=2), M_H2OCOOLER*1.24,)</f>
        <v>0</v>
      </c>
      <c r="H815" s="40" t="s">
        <v>330</v>
      </c>
      <c r="I815" s="191" t="str">
        <f>IF(G815=0,"",G815/(M_CLI*1000))</f>
        <v/>
      </c>
      <c r="J815" s="40" t="s">
        <v>375</v>
      </c>
    </row>
    <row r="816" spans="1:23" ht="12.75" customHeight="1" outlineLevel="3">
      <c r="B816" s="41" t="s">
        <v>1028</v>
      </c>
      <c r="E816" s="20">
        <f>IF(H2O_PREHEATER="","",H2O_PREHEATER)</f>
        <v>0</v>
      </c>
      <c r="F816" s="18" t="s">
        <v>374</v>
      </c>
      <c r="G816" s="210">
        <f>IF(E816="","",E816*1000*1.24)</f>
        <v>0</v>
      </c>
      <c r="H816" s="41" t="s">
        <v>330</v>
      </c>
      <c r="I816" s="191">
        <f t="shared" si="12"/>
        <v>0</v>
      </c>
      <c r="J816" s="41" t="s">
        <v>375</v>
      </c>
    </row>
    <row r="817" spans="2:14" ht="12.75" customHeight="1" outlineLevel="3">
      <c r="B817" t="str">
        <f>HBL!$AA$1284</f>
        <v>Bypass flowrate (wet)</v>
      </c>
      <c r="E817" s="137"/>
      <c r="F817" s="2"/>
      <c r="G817" s="161" t="str">
        <f>IF(VN_BYPASS="","",-VN_BYPASS)</f>
        <v/>
      </c>
      <c r="H817" s="18" t="s">
        <v>330</v>
      </c>
      <c r="I817" s="191">
        <f>IF(M_CLI="","", IF(G817="", 0, G817/(M_CLI*1000)))</f>
        <v>0</v>
      </c>
      <c r="J817" s="40" t="s">
        <v>375</v>
      </c>
    </row>
    <row r="818" spans="2:14" ht="12.75" customHeight="1" outlineLevel="3">
      <c r="E818" s="137"/>
      <c r="N818" s="137"/>
    </row>
    <row r="819" spans="2:14" ht="12.75" customHeight="1" outlineLevel="3">
      <c r="B819" s="41" t="str">
        <f>HBL!$AA$1257</f>
        <v>Calculated total exhaust gas quantity (wet)</v>
      </c>
      <c r="F819" s="137"/>
      <c r="G819" s="137">
        <f>IF(SUM(VN_COMBUSTION:VN_H2OCOOLER)=0,"",SUM($G$809:$G$817))</f>
        <v>121610.78488874999</v>
      </c>
      <c r="H819" s="40" t="s">
        <v>330</v>
      </c>
      <c r="I819" s="191">
        <v>1.9</v>
      </c>
      <c r="J819" s="40" t="s">
        <v>346</v>
      </c>
    </row>
    <row r="820" spans="2:14" ht="12.75" customHeight="1" outlineLevel="3">
      <c r="B820" s="41" t="str">
        <f>HBL!$AA$1258</f>
        <v>Calculated total exhaust gas quantity (dry)</v>
      </c>
      <c r="F820" s="137"/>
      <c r="G820" s="137">
        <f>IF(OR($G$821="", $G$814=""),"", SUM($G$821,$G$814))</f>
        <v>120082.21381274999</v>
      </c>
      <c r="H820" s="41" t="s">
        <v>330</v>
      </c>
      <c r="I820" s="191">
        <f>IF(G820="","",G820/(M_CLI*1000))</f>
        <v>1.5748487057409835</v>
      </c>
      <c r="J820" s="40" t="s">
        <v>346</v>
      </c>
    </row>
    <row r="821" spans="2:14" ht="12.75" customHeight="1" outlineLevel="3">
      <c r="B821" s="41" t="str">
        <f>HBL!$AA$1582</f>
        <v>dry exhaust gas from combustion and raw meal</v>
      </c>
      <c r="F821" s="137"/>
      <c r="G821" s="137">
        <f>IF(SUM(E415:J415)=0,"",IF(PRECAL&lt;5,SUM(SUM($E$415:$J$415),M_CLI*Q_ORGMATTER*0.28,VN_RAWMEAL),SUM(SUM($E$409:$J$409),SUM(E411:J411),M_CLI*Q_ORGMATTER*0.28*(100-FEED_CALCINER)/100,VN_RAWMEAL)))</f>
        <v>91491.210523999995</v>
      </c>
      <c r="H821" s="41" t="s">
        <v>330</v>
      </c>
      <c r="I821" s="191">
        <f>IF(G821="","",G821/(M_CLI*1000))</f>
        <v>1.1998847281836065</v>
      </c>
      <c r="J821" s="40" t="s">
        <v>346</v>
      </c>
    </row>
    <row r="822" spans="2:14" ht="12.75" customHeight="1" outlineLevel="3">
      <c r="B822" s="41" t="str">
        <f>HBL!$AA$1568</f>
        <v>Temperature</v>
      </c>
      <c r="E822" s="137"/>
      <c r="F822" s="114"/>
      <c r="G822" s="5">
        <f>IF(T_EXHAUST="","",T_EXHAUST)</f>
        <v>332</v>
      </c>
      <c r="H822" s="40" t="s">
        <v>299</v>
      </c>
    </row>
    <row r="823" spans="2:14" ht="12.75" customHeight="1" outlineLevel="3">
      <c r="B823" t="str">
        <f>HBL!$AA$1299</f>
        <v>cp gas</v>
      </c>
      <c r="E823" s="137"/>
      <c r="F823" s="115"/>
      <c r="G823" s="109">
        <f>IF(CP_EXHAUSTman="","", CP_EXHAUSTman)</f>
        <v>1.4995476880469631</v>
      </c>
      <c r="H823" s="40" t="s">
        <v>328</v>
      </c>
    </row>
    <row r="824" spans="2:14" ht="12.75" customHeight="1" outlineLevel="3" thickBot="1"/>
    <row r="825" spans="2:14" ht="12.75" customHeight="1" outlineLevel="3" thickBot="1">
      <c r="B825" s="40" t="str">
        <f>HBL!$AA$1346</f>
        <v>Sensible heat kiln exhaust gases</v>
      </c>
      <c r="F825" s="117"/>
      <c r="G825" s="159">
        <f>IF(VN_EXHAUSTWET="","",VN_EXHAUSTWET*CP_EXHAUSTman*(T_EXHAUST-20)/1000)</f>
        <v>56896.685452308498</v>
      </c>
      <c r="H825" s="40" t="s">
        <v>371</v>
      </c>
      <c r="I825" s="618">
        <f>IF(G825="","",G825/M_CLI)</f>
        <v>746.18603871879998</v>
      </c>
      <c r="J825" s="40" t="s">
        <v>315</v>
      </c>
    </row>
    <row r="826" spans="2:14" ht="12.75" customHeight="1" outlineLevel="3" thickTop="1"/>
    <row r="827" spans="2:14" ht="12.75" customHeight="1" outlineLevel="3">
      <c r="B827" s="118" t="str">
        <f>HBL!$AA$1639</f>
        <v>HEAT LOSS DUE TO INCOMPLETE COMBUSTION</v>
      </c>
      <c r="F827" s="117"/>
    </row>
    <row r="828" spans="2:14" ht="12.75" customHeight="1" outlineLevel="3" thickBot="1">
      <c r="B828" s="41" t="str">
        <f>HBL!$AA$1294</f>
        <v>CO content in kiln exhaust gas</v>
      </c>
      <c r="F828" s="42"/>
      <c r="G828" s="162">
        <f>IF(CO_EXHAUST="","",CO_EXHAUST)</f>
        <v>250</v>
      </c>
      <c r="H828" s="40" t="s">
        <v>376</v>
      </c>
    </row>
    <row r="829" spans="2:14" ht="12.75" customHeight="1" outlineLevel="3" thickBot="1">
      <c r="B829" s="41" t="str">
        <f>HBL!$AA$1483</f>
        <v>Kiln exhaust gas flowrate (dry)</v>
      </c>
      <c r="F829" s="42"/>
      <c r="G829" s="5">
        <f>VN_EXHAUSTDRY</f>
        <v>120082.21381274999</v>
      </c>
      <c r="H829" s="40" t="s">
        <v>330</v>
      </c>
      <c r="I829" s="618">
        <f>IF(G820="","",G820/(M_CLI*1000))</f>
        <v>1.5748487057409835</v>
      </c>
      <c r="J829" s="2" t="s">
        <v>346</v>
      </c>
    </row>
    <row r="830" spans="2:14" ht="12.75" customHeight="1" outlineLevel="3">
      <c r="B830" s="41" t="str">
        <f>HBL!$AA$1295</f>
        <v>CO flowrate</v>
      </c>
      <c r="F830" s="42"/>
      <c r="G830" s="5">
        <f>IF(VN_EXHAUSTDRY="","",VN_EXHAUSTDRY*CO_EXHAUST/10^6)</f>
        <v>30.0205534531875</v>
      </c>
      <c r="H830" s="40" t="s">
        <v>330</v>
      </c>
    </row>
    <row r="831" spans="2:14" ht="12.75" customHeight="1" outlineLevel="3">
      <c r="B831" s="41" t="str">
        <f>HBL!$AA$1593</f>
        <v>Low heat value for CO</v>
      </c>
      <c r="F831" s="42"/>
      <c r="G831" s="119">
        <f>IF(VN_COEXHAUST="","",12640)</f>
        <v>12640</v>
      </c>
      <c r="H831" s="40" t="s">
        <v>377</v>
      </c>
    </row>
    <row r="832" spans="2:14" ht="12.75" customHeight="1" outlineLevel="3" thickBot="1">
      <c r="F832" s="117"/>
      <c r="G832" s="5"/>
    </row>
    <row r="833" spans="2:10" ht="12.75" customHeight="1" outlineLevel="3" thickBot="1">
      <c r="B833" s="41" t="str">
        <f>HBL!$AA$1643</f>
        <v>Heat loss from incomplete combustion</v>
      </c>
      <c r="F833" s="117"/>
      <c r="G833" s="159">
        <f>IF(VN_COEXHAUST="","",VN_COEXHAUST*LHV_CO/10^3)</f>
        <v>379.45979564829003</v>
      </c>
      <c r="H833" s="40" t="s">
        <v>371</v>
      </c>
      <c r="I833" s="618">
        <f>IF(G833="","",G833/M_CLI)</f>
        <v>4.9765219101415088</v>
      </c>
      <c r="J833" s="40" t="s">
        <v>315</v>
      </c>
    </row>
    <row r="834" spans="2:10" ht="12.75" customHeight="1" outlineLevel="3" thickTop="1">
      <c r="G834" s="137"/>
    </row>
    <row r="835" spans="2:10" ht="12.75" customHeight="1" outlineLevel="3">
      <c r="B835" s="120" t="str">
        <f>HBL!$AA$1333</f>
        <v>SENSIBLE HEAT OUTPUT VIA DUST</v>
      </c>
      <c r="F835" s="117"/>
    </row>
    <row r="836" spans="2:10" ht="12.75" customHeight="1" outlineLevel="3">
      <c r="B836" t="str">
        <f>HBL!$AA$1553</f>
        <v>Dust loss</v>
      </c>
      <c r="G836" s="20">
        <f>IF(M_DUSTFILTER="","",IF(PRECAL&lt;5, M_DUSTFILTER, M_DUSTFILTER*(100-FEED_CALCINER)/100))</f>
        <v>7.1</v>
      </c>
      <c r="H836" s="2" t="s">
        <v>363</v>
      </c>
    </row>
    <row r="837" spans="2:10" ht="12.75" customHeight="1" outlineLevel="3">
      <c r="B837" t="str">
        <f>HBL!$AA$1568</f>
        <v>Temperature</v>
      </c>
      <c r="G837" s="5">
        <f>IF(M_DUSTFILTER="","",T_EXHAUST)</f>
        <v>332</v>
      </c>
      <c r="H837" s="2" t="s">
        <v>299</v>
      </c>
    </row>
    <row r="838" spans="2:10" ht="12.75" customHeight="1" outlineLevel="3">
      <c r="B838" t="str">
        <f>HBL!$AA$1304</f>
        <v>cp dust</v>
      </c>
      <c r="G838" s="109">
        <f>IF(CP_DUSTEXHAUST="","",CP_DUSTEXHAUST)</f>
        <v>1.0050434216959998</v>
      </c>
      <c r="H838" s="2" t="s">
        <v>303</v>
      </c>
    </row>
    <row r="839" spans="2:10" ht="12.75" customHeight="1" outlineLevel="3" thickBot="1"/>
    <row r="840" spans="2:10" ht="12.75" customHeight="1" outlineLevel="3" thickBot="1">
      <c r="B840" s="40" t="str">
        <f>HBL!$AA$1334</f>
        <v>Heat output via dust loss</v>
      </c>
      <c r="F840" s="117"/>
      <c r="G840" s="159">
        <f>IF(M_DUSTFILTER="","",$G$836*CP_DUSTEXHAUST*(T_EXHAUST-20))</f>
        <v>2226.3721877409785</v>
      </c>
      <c r="H840" s="2" t="s">
        <v>371</v>
      </c>
      <c r="I840" s="551">
        <f>IF(G840="","",G840/M_CLI)</f>
        <v>29.198323773652177</v>
      </c>
      <c r="J840" s="40" t="s">
        <v>315</v>
      </c>
    </row>
    <row r="841" spans="2:10" ht="12.75" customHeight="1" outlineLevel="3" thickTop="1">
      <c r="B841" s="40"/>
      <c r="F841" s="117"/>
      <c r="G841" s="137"/>
      <c r="H841" s="2"/>
      <c r="I841" s="20"/>
      <c r="J841" s="40"/>
    </row>
    <row r="842" spans="2:10" ht="12.75" customHeight="1" outlineLevel="3">
      <c r="B842" s="40"/>
      <c r="F842" s="117"/>
      <c r="G842" s="137"/>
      <c r="H842" s="2"/>
      <c r="I842" s="20"/>
      <c r="J842" s="40"/>
    </row>
    <row r="843" spans="2:10" ht="12.75" customHeight="1" outlineLevel="3">
      <c r="B843" s="120" t="s">
        <v>849</v>
      </c>
      <c r="E843" t="s">
        <v>1254</v>
      </c>
      <c r="F843" s="117"/>
    </row>
    <row r="844" spans="2:10" ht="12.75" customHeight="1" outlineLevel="3">
      <c r="B844" t="s">
        <v>1697</v>
      </c>
      <c r="G844" s="20">
        <f>IF(M_DUSTFILTER="","",IF(PRECAL&lt;5, M_DUSTFILTER, M_DUSTFILTER*(FEED_CALCINER)/100))</f>
        <v>7.1</v>
      </c>
      <c r="H844" s="2" t="s">
        <v>363</v>
      </c>
    </row>
    <row r="845" spans="2:10" ht="12.75" customHeight="1" outlineLevel="3">
      <c r="B845" t="s">
        <v>1770</v>
      </c>
      <c r="G845" s="5" t="str">
        <f>IF(T_EXHAUSTCALCINER="","",T_EXHAUSTCALCINER)</f>
        <v/>
      </c>
      <c r="H845" s="2" t="s">
        <v>299</v>
      </c>
    </row>
    <row r="846" spans="2:10" ht="12.75" customHeight="1" outlineLevel="3">
      <c r="B846" t="s">
        <v>717</v>
      </c>
      <c r="G846" s="109">
        <f>IF(CP_DUSTEXHAUST="","",CP_DUSTEXHAUST)</f>
        <v>1.0050434216959998</v>
      </c>
      <c r="H846" s="2" t="s">
        <v>303</v>
      </c>
    </row>
    <row r="847" spans="2:10" ht="12.75" customHeight="1" outlineLevel="3"/>
    <row r="848" spans="2:10" ht="12.75" customHeight="1" outlineLevel="3" thickBot="1">
      <c r="B848" s="40" t="s">
        <v>853</v>
      </c>
      <c r="F848" s="117"/>
      <c r="G848" s="159">
        <f>IF(M_DUSTFILTER="","",$G$844*CP_DUSTEXHAUST*(T_EXHAUST-20))</f>
        <v>2226.3721877409785</v>
      </c>
      <c r="H848" s="2" t="s">
        <v>371</v>
      </c>
      <c r="I848" s="20">
        <f>IF(G848="","",G848/M_CLI)</f>
        <v>29.198323773652177</v>
      </c>
      <c r="J848" s="40" t="s">
        <v>315</v>
      </c>
    </row>
    <row r="849" spans="1:15" ht="12.75" customHeight="1" outlineLevel="3" thickTop="1">
      <c r="B849" s="40"/>
      <c r="F849" s="117"/>
      <c r="G849" s="137"/>
      <c r="H849" s="2"/>
      <c r="I849" s="20"/>
      <c r="J849" s="40"/>
    </row>
    <row r="850" spans="1:15" ht="12.75" customHeight="1" outlineLevel="3">
      <c r="B850" s="40"/>
      <c r="F850" s="117"/>
      <c r="G850" s="137"/>
      <c r="H850" s="2"/>
      <c r="I850" s="20"/>
      <c r="J850" s="40"/>
    </row>
    <row r="851" spans="1:15" ht="12.75" customHeight="1" outlineLevel="2"/>
    <row r="852" spans="1:15" ht="12.75" customHeight="1" outlineLevel="2">
      <c r="A852" s="628" t="s">
        <v>378</v>
      </c>
      <c r="B852" s="626" t="str">
        <f>HBL!$AA$1425</f>
        <v>CALCINER EXHAUST GASES</v>
      </c>
      <c r="C852" s="493"/>
      <c r="D852" s="493"/>
      <c r="E852" s="493"/>
      <c r="F852" s="627"/>
    </row>
    <row r="853" spans="1:15" ht="12.75" customHeight="1" outlineLevel="3">
      <c r="I853" s="17"/>
    </row>
    <row r="854" spans="1:15" ht="12.75" customHeight="1" outlineLevel="3">
      <c r="B854" s="1" t="str">
        <f>HBL!$AA$1347</f>
        <v>Sensible heat calciner exhaust gases</v>
      </c>
      <c r="I854" s="17"/>
    </row>
    <row r="855" spans="1:15" ht="12.75" customHeight="1" outlineLevel="3">
      <c r="B855" s="41" t="str">
        <f>HBL!$AA$1599</f>
        <v>Combustion gas (wet)</v>
      </c>
      <c r="F855" s="114"/>
      <c r="G855" s="137" t="str">
        <f>IF(OR(PRECAL&lt;5, SUM($E$412:$J$412)=0), "", SUM($E$412:$J$412)+M_CLI*Q_ORGMATTER*0.28*FEED_CALCINER/100)</f>
        <v/>
      </c>
      <c r="H855" s="40" t="s">
        <v>330</v>
      </c>
      <c r="I855" s="191" t="str">
        <f t="shared" ref="I855:I860" si="13">IF(G855="","",G855/(M_CLI*1000))</f>
        <v/>
      </c>
      <c r="J855" s="40" t="s">
        <v>375</v>
      </c>
      <c r="L855" s="182" t="s">
        <v>352</v>
      </c>
      <c r="M855" s="17" t="e">
        <f>I855+I809</f>
        <v>#VALUE!</v>
      </c>
    </row>
    <row r="856" spans="1:15" ht="12.75" customHeight="1" outlineLevel="3">
      <c r="B856" s="40" t="str">
        <f>HBL!$AA$1368</f>
        <v>Gas from raw meal CO2 + H2Ohyd</v>
      </c>
      <c r="F856" s="115"/>
      <c r="G856" s="137" t="str">
        <f>IF(OR(M_CLI=0, PRECAL&lt;5),"", M_CLI*1000*(FEED_CALCINER/100*0.01+0.9*0.27))</f>
        <v/>
      </c>
      <c r="H856" s="40" t="s">
        <v>330</v>
      </c>
      <c r="I856" s="191" t="str">
        <f t="shared" si="13"/>
        <v/>
      </c>
      <c r="J856" s="40" t="s">
        <v>375</v>
      </c>
      <c r="L856" s="182" t="s">
        <v>2055</v>
      </c>
      <c r="M856" s="36" t="e">
        <f>I856+I810</f>
        <v>#VALUE!</v>
      </c>
    </row>
    <row r="857" spans="1:15" ht="12.75" customHeight="1" outlineLevel="3">
      <c r="B857" s="40" t="str">
        <f>HBL!$AA$1384</f>
        <v>H2O kiln feed</v>
      </c>
      <c r="E857" s="20" t="str">
        <f>IF(PRECAL&lt;5,"",M_H2OFEED*FEED_CALCINER/100)</f>
        <v/>
      </c>
      <c r="F857" s="2" t="s">
        <v>374</v>
      </c>
      <c r="G857" s="137" t="str">
        <f>IF(PRECAL&lt;5,"",M_H2OFEED*1000*1.24*FEED_CALCINER/100)</f>
        <v/>
      </c>
      <c r="H857" s="40" t="s">
        <v>330</v>
      </c>
      <c r="I857" s="191" t="str">
        <f t="shared" si="13"/>
        <v/>
      </c>
      <c r="J857" s="40" t="s">
        <v>375</v>
      </c>
      <c r="L857" s="182" t="s">
        <v>2056</v>
      </c>
      <c r="M857" s="17" t="e">
        <f>I858+I812</f>
        <v>#VALUE!</v>
      </c>
    </row>
    <row r="858" spans="1:15" ht="12.75" customHeight="1" outlineLevel="3">
      <c r="B858" s="40" t="str">
        <f>HBL!$AA$1383</f>
        <v>H2O fuel/coal mill</v>
      </c>
      <c r="C858" s="137"/>
      <c r="D858" s="20" t="str">
        <f>IF(H2OVAPOR_COALMILL="",IF(SUM(D448:I448)=0,"",SUM(D448:I448)/1000),SUM(D448:I448)/1000+H2OVAPOR_COALMILL/(1000*1.24))</f>
        <v/>
      </c>
      <c r="E858" s="20" t="str">
        <f>IF(PRECAL&lt;5, "", IF(H2OVAPOR_COALMILLCAL="", SUM(E404:J404), SUM(E404:J404)+H2OVAPOR_COALMILLCAL/(1000*1.24)))</f>
        <v/>
      </c>
      <c r="F858" s="2" t="s">
        <v>374</v>
      </c>
      <c r="G858" s="137" t="str">
        <f>IF(M_H2OFUELCAL="","",M_H2OFUELCAL*1000*1.24)</f>
        <v/>
      </c>
      <c r="H858" s="40" t="s">
        <v>330</v>
      </c>
      <c r="I858" s="191" t="str">
        <f t="shared" si="13"/>
        <v/>
      </c>
      <c r="J858" s="40" t="s">
        <v>375</v>
      </c>
      <c r="L858" s="182" t="s">
        <v>2057</v>
      </c>
      <c r="M858" s="196" t="e">
        <f>I857+I811</f>
        <v>#VALUE!</v>
      </c>
    </row>
    <row r="859" spans="1:15" ht="12.75" customHeight="1" outlineLevel="3">
      <c r="B859" s="40" t="str">
        <f>HBL!$AA$1385</f>
        <v>H2O air humidity</v>
      </c>
      <c r="E859" s="20" t="str">
        <f>IF(PRECAL&lt;5,"",VN_H2OAIR/1.24/1000)</f>
        <v/>
      </c>
      <c r="F859" s="2" t="s">
        <v>374</v>
      </c>
      <c r="G859" s="137" t="str">
        <f>IF(PRECAL&lt;5,"", (SUM($E$407:$J$407)+M_CLI*Q_ORGMATTER*0.26*FEED_CALCINER/100+$G$860)*ABSHUM)</f>
        <v/>
      </c>
      <c r="H859" s="40" t="s">
        <v>330</v>
      </c>
      <c r="I859" s="191" t="str">
        <f t="shared" si="13"/>
        <v/>
      </c>
      <c r="J859" s="40" t="s">
        <v>375</v>
      </c>
      <c r="L859" s="182" t="s">
        <v>2058</v>
      </c>
      <c r="M859" s="36" t="e">
        <f>I860+I814</f>
        <v>#VALUE!</v>
      </c>
    </row>
    <row r="860" spans="1:15" ht="12.75" customHeight="1" outlineLevel="3">
      <c r="B860" s="41" t="str">
        <f>HBL!$AA$1684</f>
        <v>Excess and false air (dry)</v>
      </c>
      <c r="C860" s="116"/>
      <c r="E860" t="str">
        <f>IF(PRECAL&lt;5,"",O2_EXHAUSTCALCINER)</f>
        <v/>
      </c>
      <c r="F860" s="41" t="str">
        <f>HBL!$AA$1681</f>
        <v>% O2 dry</v>
      </c>
      <c r="G860" s="137" t="str">
        <f>IF(PRECAL&lt;5,"", VN_EXHAUSTCOMBCO2CALCINER*O2_EXHAUSTCALCINER/(21-O2_EXHAUSTCALCINER))</f>
        <v/>
      </c>
      <c r="H860" s="40" t="s">
        <v>330</v>
      </c>
      <c r="I860" s="191" t="str">
        <f t="shared" si="13"/>
        <v/>
      </c>
      <c r="J860" s="40" t="s">
        <v>375</v>
      </c>
      <c r="M860" s="17" t="e">
        <f>SUM(M855:M859)</f>
        <v>#VALUE!</v>
      </c>
    </row>
    <row r="861" spans="1:15" ht="12.75" customHeight="1" outlineLevel="3" thickBot="1">
      <c r="O861">
        <v>7.7</v>
      </c>
    </row>
    <row r="862" spans="1:15" ht="12.75" customHeight="1" outlineLevel="3" thickBot="1">
      <c r="B862" s="41" t="str">
        <f>HBL!$AA$1257</f>
        <v>Calculated total exhaust gas quantity (wet)</v>
      </c>
      <c r="F862" s="117"/>
      <c r="G862" s="137" t="str">
        <f>IF(SUM(G855:G860)=0,"",SUM(G855:G860))</f>
        <v/>
      </c>
      <c r="H862" s="40" t="s">
        <v>330</v>
      </c>
      <c r="I862" s="619" t="str">
        <f>IF(G862="","",G862/(M_CLI*1000))</f>
        <v/>
      </c>
      <c r="J862" s="40" t="s">
        <v>346</v>
      </c>
      <c r="O862">
        <v>5.7</v>
      </c>
    </row>
    <row r="863" spans="1:15" ht="12.75" customHeight="1" outlineLevel="3">
      <c r="B863" s="41" t="str">
        <f>HBL!$AA$1258</f>
        <v>Calculated total exhaust gas quantity (dry)</v>
      </c>
      <c r="F863" s="117"/>
      <c r="G863" s="137" t="str">
        <f>IF(OR($G$860="", $G$864=""),"", $G$860+$G$864)</f>
        <v/>
      </c>
      <c r="H863" s="40" t="s">
        <v>330</v>
      </c>
      <c r="I863" s="191"/>
      <c r="J863" s="40"/>
      <c r="O863">
        <v>137000</v>
      </c>
    </row>
    <row r="864" spans="1:15" ht="12.75" customHeight="1" outlineLevel="3">
      <c r="B864" s="41" t="str">
        <f>HBL!$AA$1582</f>
        <v>dry exhaust gas from combustion and raw meal</v>
      </c>
      <c r="F864" s="117"/>
      <c r="G864" s="137" t="str">
        <f>IF(PRECAL&lt;5,"", SUM($E$413:$J$413)+(0.27*0.9+0.25*Q_ORGMATTER/1000*FEED_CALCINER/100)*M_CLI*1000)</f>
        <v/>
      </c>
      <c r="H864" s="40" t="s">
        <v>330</v>
      </c>
      <c r="I864" s="191"/>
      <c r="J864" s="40"/>
      <c r="O864">
        <f>(O861-O862)/(21-O861)*100</f>
        <v>15.037593984962406</v>
      </c>
    </row>
    <row r="865" spans="2:16" ht="12.75" customHeight="1" outlineLevel="3">
      <c r="B865" s="41" t="str">
        <f>HBL!$AA$1568</f>
        <v>Temperature</v>
      </c>
      <c r="F865" s="114"/>
      <c r="G865" s="5" t="str">
        <f>IF(T_EXHAUSTCALCINER="","",T_EXHAUSTCALCINER)</f>
        <v/>
      </c>
      <c r="H865" s="40" t="s">
        <v>299</v>
      </c>
      <c r="O865">
        <f>O863*(1+O864/100)</f>
        <v>157601.5037593985</v>
      </c>
      <c r="P865" s="182" t="s">
        <v>2049</v>
      </c>
    </row>
    <row r="866" spans="2:16" ht="12.75" customHeight="1" outlineLevel="3">
      <c r="B866" t="str">
        <f>HBL!$AA$1299</f>
        <v>cp gas</v>
      </c>
      <c r="F866" s="115"/>
      <c r="G866" s="109" t="str">
        <f>IF(CP_EXHAUSTCALCINER="","", CP_EXHAUSTCALCINERman)</f>
        <v/>
      </c>
      <c r="H866" s="40" t="s">
        <v>328</v>
      </c>
      <c r="O866">
        <v>220</v>
      </c>
      <c r="P866" s="182" t="s">
        <v>2050</v>
      </c>
    </row>
    <row r="867" spans="2:16" ht="12.75" customHeight="1" outlineLevel="3" thickBot="1">
      <c r="O867">
        <v>-79.5</v>
      </c>
      <c r="P867" s="182" t="s">
        <v>298</v>
      </c>
    </row>
    <row r="868" spans="2:16" ht="12.75" customHeight="1" outlineLevel="3" thickBot="1">
      <c r="B868" s="40" t="str">
        <f>HBL!$AA$1347</f>
        <v>Sensible heat calciner exhaust gases</v>
      </c>
      <c r="F868" s="117"/>
      <c r="G868" s="159" t="str">
        <f>IF(VN_EXHAUSTWETCALCINER="","",VN_EXHAUSTWETCALCINER*CP_EXHAUSTCALCINERman*(T_EXHAUSTCALCINER-20)/1000)</f>
        <v/>
      </c>
      <c r="H868" s="40" t="s">
        <v>371</v>
      </c>
      <c r="I868" s="618" t="str">
        <f>IF(G868="","",G868/M_CLI)</f>
        <v/>
      </c>
      <c r="J868" s="40" t="s">
        <v>315</v>
      </c>
      <c r="O868">
        <v>974</v>
      </c>
    </row>
    <row r="869" spans="2:16" ht="12.75" customHeight="1" outlineLevel="3" thickTop="1">
      <c r="O869" s="5">
        <f>O865*1013/(O868+O867)/273*(273+O866)</f>
        <v>322309.96255496022</v>
      </c>
      <c r="P869" t="s">
        <v>2051</v>
      </c>
    </row>
    <row r="870" spans="2:16" ht="12.75" customHeight="1" outlineLevel="3">
      <c r="B870" s="118" t="str">
        <f>HBL!$AA$1639</f>
        <v>HEAT LOSS DUE TO INCOMPLETE COMBUSTION</v>
      </c>
      <c r="F870" s="117"/>
    </row>
    <row r="871" spans="2:16" ht="12.75" customHeight="1" outlineLevel="3" thickBot="1">
      <c r="B871" s="41" t="str">
        <f>HBL!$AA$1294</f>
        <v>CO content in kiln exhaust gas</v>
      </c>
      <c r="F871" s="42"/>
      <c r="G871" s="162" t="str">
        <f>IF(CO_EXHAUSTCALCINER="","",CO_EXHAUSTCALCINER)</f>
        <v/>
      </c>
      <c r="H871" s="40" t="s">
        <v>329</v>
      </c>
    </row>
    <row r="872" spans="2:16" ht="12.75" customHeight="1" outlineLevel="3" thickBot="1">
      <c r="B872" s="41" t="str">
        <f>HBL!$AA$1609</f>
        <v>Calciner exhaust gas flowrate (dry)</v>
      </c>
      <c r="F872" s="42"/>
      <c r="G872" t="str">
        <f>VN_EXHAUSTDRYCALCINER</f>
        <v/>
      </c>
      <c r="H872" s="40" t="s">
        <v>330</v>
      </c>
      <c r="I872" s="618" t="str">
        <f>IF(G863="","",G863/(M_CLI*1000))</f>
        <v/>
      </c>
      <c r="J872" s="2" t="s">
        <v>346</v>
      </c>
    </row>
    <row r="873" spans="2:16" ht="12.75" customHeight="1" outlineLevel="3">
      <c r="B873" s="41" t="str">
        <f>HBL!$AA$1295</f>
        <v>CO flowrate</v>
      </c>
      <c r="F873" s="42"/>
      <c r="G873" s="5" t="str">
        <f>IF(VN_EXHAUSTDRYCALCINER="","",VN_EXHAUSTDRYCALCINER*CO_EXHAUSTCALCINER/10^6)</f>
        <v/>
      </c>
      <c r="H873" s="40" t="s">
        <v>330</v>
      </c>
    </row>
    <row r="874" spans="2:16" ht="12.75" customHeight="1" outlineLevel="3">
      <c r="B874" s="41" t="str">
        <f>HBL!$AA$1593</f>
        <v>Low heat value for CO</v>
      </c>
      <c r="F874" s="42"/>
      <c r="G874" s="119" t="str">
        <f>IF(VN_COEXHAUSTCALCINER="","",12640)</f>
        <v/>
      </c>
      <c r="H874" s="40" t="s">
        <v>377</v>
      </c>
    </row>
    <row r="875" spans="2:16" ht="12.75" customHeight="1" outlineLevel="3" thickBot="1">
      <c r="F875" s="117"/>
      <c r="G875" s="5"/>
    </row>
    <row r="876" spans="2:16" ht="12.75" customHeight="1" outlineLevel="3" thickBot="1">
      <c r="B876" s="41" t="str">
        <f>HBL!$AA$1643</f>
        <v>Heat loss from incomplete combustion</v>
      </c>
      <c r="F876" s="117"/>
      <c r="G876" s="159" t="str">
        <f>IF(VN_COEXHAUSTCALCINER="","",VN_COEXHAUSTCALCINER*LHV_CO/10^3)</f>
        <v/>
      </c>
      <c r="H876" s="40" t="s">
        <v>371</v>
      </c>
      <c r="I876" s="618" t="str">
        <f>IF(G876="","",G876/M_CLI)</f>
        <v/>
      </c>
      <c r="J876" s="40" t="s">
        <v>315</v>
      </c>
    </row>
    <row r="877" spans="2:16" ht="12.75" customHeight="1" outlineLevel="3" thickTop="1">
      <c r="G877" s="137" t="str">
        <f>IF(PRECAL&lt;5, "", IF(Q_ORGMATTER="", (0.27+0.25*Q_CZ/1000)*(1+O2_EXHAUSTCALCINER/(21-O2_EXHAUSTCALCINER))*M_CLI*1000, (0.27+0.25*(Q_CZ+Q_ORGMATTER)/1000*FEED_CALCINER/100)*(1+O2_EXHAUSTCALCINER/(21-O2_EXHAUSTCALCINER))*M_CLI*1000))</f>
        <v/>
      </c>
    </row>
    <row r="878" spans="2:16" ht="12.75" customHeight="1" outlineLevel="3">
      <c r="B878" s="120" t="str">
        <f>HBL!$AA$1333</f>
        <v>SENSIBLE HEAT OUTPUT VIA DUST</v>
      </c>
      <c r="F878" s="117"/>
    </row>
    <row r="879" spans="2:16" ht="12.75" customHeight="1" outlineLevel="3">
      <c r="B879" t="str">
        <f>HBL!$AA$1553</f>
        <v>Dust loss</v>
      </c>
      <c r="G879" s="20" t="str">
        <f>IF(PRECAL&lt;5,"",M_DUSTFILTER*(FEED_CALCINER/100))</f>
        <v/>
      </c>
      <c r="H879" s="2" t="s">
        <v>363</v>
      </c>
    </row>
    <row r="880" spans="2:16" ht="12.75" customHeight="1" outlineLevel="3">
      <c r="B880" t="str">
        <f>HBL!$AA$1568</f>
        <v>Temperature</v>
      </c>
      <c r="G880" s="5" t="str">
        <f>IF(PRECAL&lt;5,"",T_EXHAUSTCALCINER)</f>
        <v/>
      </c>
      <c r="H880" s="2" t="s">
        <v>299</v>
      </c>
    </row>
    <row r="881" spans="1:12" ht="12.75" customHeight="1" outlineLevel="3">
      <c r="B881" t="str">
        <f>HBL!$AA$1304</f>
        <v>cp dust</v>
      </c>
      <c r="G881" s="109" t="str">
        <f>IF(PRECAL&lt;5,"",CP_EXHAUSTCALCINERman)</f>
        <v/>
      </c>
      <c r="H881" s="2" t="s">
        <v>303</v>
      </c>
    </row>
    <row r="882" spans="1:12" ht="12.75" customHeight="1" outlineLevel="3" thickBot="1"/>
    <row r="883" spans="1:12" ht="12.75" customHeight="1" outlineLevel="3" thickBot="1">
      <c r="B883" s="40" t="str">
        <f>HBL!$AA$1334</f>
        <v>Heat output via dust loss</v>
      </c>
      <c r="F883" s="117"/>
      <c r="G883" s="159" t="str">
        <f>IF(PRECAL&lt;5,"",$G$879*CP_DUSTEXHAUST*(T_EXHAUSTCALCINER-20))</f>
        <v/>
      </c>
      <c r="H883" s="2" t="s">
        <v>371</v>
      </c>
      <c r="I883" s="551" t="str">
        <f>IF(G883="","",G883/M_CLI)</f>
        <v/>
      </c>
      <c r="J883" s="40" t="s">
        <v>315</v>
      </c>
    </row>
    <row r="884" spans="1:12" ht="12.75" customHeight="1" outlineLevel="3" thickTop="1">
      <c r="B884" s="40"/>
    </row>
    <row r="885" spans="1:12" ht="12.75" customHeight="1" outlineLevel="2"/>
    <row r="886" spans="1:12" ht="12.75" customHeight="1" outlineLevel="2">
      <c r="A886" s="628">
        <v>34</v>
      </c>
      <c r="B886" s="626" t="str">
        <f>HBL!$AA$1402</f>
        <v>COOLER</v>
      </c>
      <c r="C886" s="493"/>
      <c r="D886" s="493"/>
      <c r="E886" s="493"/>
      <c r="F886" s="627"/>
    </row>
    <row r="887" spans="1:12" ht="12.75" customHeight="1" outlineLevel="3"/>
    <row r="888" spans="1:12" ht="12.75" customHeight="1" outlineLevel="3">
      <c r="B888" s="118" t="str">
        <f>HBL!$AA$1338</f>
        <v>SENSIBLE HEAT COOLER WASTE AIR</v>
      </c>
      <c r="F888" s="117"/>
    </row>
    <row r="889" spans="1:12" ht="12.75" customHeight="1" outlineLevel="3">
      <c r="B889" s="41" t="str">
        <f>HBL!$AA$1606</f>
        <v>Flowrate air</v>
      </c>
      <c r="F889" s="42"/>
      <c r="G889" s="137">
        <f>IF(VN_WASTE="","",VN_WASTE)</f>
        <v>86045</v>
      </c>
      <c r="H889" s="40" t="s">
        <v>330</v>
      </c>
      <c r="I889" s="41"/>
    </row>
    <row r="890" spans="1:12" ht="12.75" customHeight="1" outlineLevel="3">
      <c r="B890" t="str">
        <f>HBL!$AA$1568</f>
        <v>Temperature</v>
      </c>
      <c r="C890" s="117"/>
      <c r="F890" s="42"/>
      <c r="G890" s="5">
        <f>IF(T_WASTE="","",T_WASTE)</f>
        <v>281</v>
      </c>
      <c r="H890" s="40" t="s">
        <v>299</v>
      </c>
    </row>
    <row r="891" spans="1:12" ht="12.75" customHeight="1" outlineLevel="3">
      <c r="B891" t="str">
        <f>HBL!$AA$1301</f>
        <v>cp air</v>
      </c>
      <c r="F891" s="42"/>
      <c r="G891" s="109">
        <f>IF(CP_WASTE="","",CP_WASTE)</f>
        <v>1.3204737814953997</v>
      </c>
      <c r="H891" s="40" t="s">
        <v>328</v>
      </c>
    </row>
    <row r="892" spans="1:12" ht="12.75" customHeight="1" outlineLevel="3" thickBot="1">
      <c r="F892" s="117"/>
    </row>
    <row r="893" spans="1:12" ht="12.75" customHeight="1" outlineLevel="3" thickBot="1">
      <c r="B893" s="41" t="str">
        <f>HBL!$AA$1339</f>
        <v>Heat output through cooler waste air</v>
      </c>
      <c r="F893" s="117"/>
      <c r="G893" s="159">
        <f>IF(VN_WASTE="","",VN_WASTE*CP_WASTE*(T_WASTE-20)/10^3)</f>
        <v>29654.86346400941</v>
      </c>
      <c r="H893" s="40" t="s">
        <v>371</v>
      </c>
      <c r="I893" s="551">
        <f>IF(G893="","",G893/M_CLI)</f>
        <v>388.91624215094311</v>
      </c>
      <c r="J893" s="40" t="s">
        <v>315</v>
      </c>
    </row>
    <row r="894" spans="1:12" ht="12.75" customHeight="1" outlineLevel="3" thickTop="1"/>
    <row r="895" spans="1:12" ht="12.75" customHeight="1" outlineLevel="3">
      <c r="B895" s="118" t="str">
        <f>HBL!$AA$1342</f>
        <v>SENSIBLE HEAT OF WATER VAPOR IN WASTE AIR</v>
      </c>
      <c r="F895" s="117"/>
    </row>
    <row r="896" spans="1:12" ht="12.75" customHeight="1" outlineLevel="3">
      <c r="B896" s="18" t="str">
        <f>HBL!$AA$1605</f>
        <v>Flowrate</v>
      </c>
      <c r="F896" s="42"/>
      <c r="G896" s="186">
        <f>IF(AND(ISNUMBER(M_H2OCOOLER), Cooler=1),M_H2OCOOLER*1.24, "")</f>
        <v>0</v>
      </c>
      <c r="H896" s="40" t="s">
        <v>330</v>
      </c>
      <c r="I896" s="41"/>
      <c r="L896" s="186">
        <f>IF(M_H2OCOOLER="","",M_H2OCOOLER)</f>
        <v>0</v>
      </c>
    </row>
    <row r="897" spans="2:12" ht="12.75" customHeight="1" outlineLevel="3">
      <c r="B897" s="18" t="str">
        <f>HBL!$AA$1568</f>
        <v>Temperature</v>
      </c>
      <c r="C897" s="117"/>
      <c r="F897" s="42"/>
      <c r="G897" s="186">
        <f>IF(AND(ISNUMBER(M_H2OCOOLER), Cooler=1),T_WASTE, "")</f>
        <v>281</v>
      </c>
      <c r="H897" s="40" t="s">
        <v>299</v>
      </c>
      <c r="L897" s="182" t="str">
        <f>IF(T_H2OCOOLER="","",T_H2OCOOLER)</f>
        <v/>
      </c>
    </row>
    <row r="898" spans="2:12" ht="12.75" customHeight="1" outlineLevel="3">
      <c r="B898" s="18" t="str">
        <f>HBL!$AA$1546</f>
        <v>Specific heat capacity</v>
      </c>
      <c r="F898" s="42"/>
      <c r="G898" s="187">
        <f>IF(ISNUMBER($G$897), 1.51+(T_WASTE-100)*(1.545-1.51)/(300-100), "")</f>
        <v>1.5416749999999999</v>
      </c>
      <c r="H898" s="40" t="s">
        <v>328</v>
      </c>
    </row>
    <row r="899" spans="2:12" ht="12.75" customHeight="1" outlineLevel="3" thickBot="1">
      <c r="F899" s="117"/>
    </row>
    <row r="900" spans="2:12" ht="12.75" customHeight="1" outlineLevel="3" thickBot="1">
      <c r="B900" s="41" t="str">
        <f>HBL!$AA$1339</f>
        <v>Heat output through cooler waste air</v>
      </c>
      <c r="F900" s="117"/>
      <c r="G900" s="159">
        <f>IF($G$896="","",$G$896*$G$898*(T_WASTE-20)/10^3)</f>
        <v>0</v>
      </c>
      <c r="H900" s="40" t="s">
        <v>371</v>
      </c>
      <c r="I900" s="551">
        <f>IF(G900="","",G900/M_CLI)</f>
        <v>0</v>
      </c>
      <c r="J900" s="40" t="s">
        <v>315</v>
      </c>
    </row>
    <row r="901" spans="2:12" ht="12.75" customHeight="1" outlineLevel="3" thickTop="1"/>
    <row r="902" spans="2:12" ht="12.75" customHeight="1" outlineLevel="3">
      <c r="B902" s="118" t="str">
        <f>HBL!$AA$1340</f>
        <v>SENSIBLE HEAT COOLER MIDDLE AIR</v>
      </c>
      <c r="E902" s="117"/>
      <c r="F902" s="117"/>
    </row>
    <row r="903" spans="2:12" ht="12.75" customHeight="1" outlineLevel="3">
      <c r="B903" s="41" t="str">
        <f>HBL!$AA$1606</f>
        <v>Flowrate air</v>
      </c>
      <c r="F903" s="42"/>
      <c r="G903" s="137">
        <f>IF(VN_MIDDLE="","",VN_MIDDLE)</f>
        <v>0</v>
      </c>
      <c r="H903" s="40" t="s">
        <v>330</v>
      </c>
      <c r="I903" s="117"/>
    </row>
    <row r="904" spans="2:12" ht="12.75" customHeight="1" outlineLevel="3">
      <c r="B904" t="str">
        <f>HBL!$AA$1568</f>
        <v>Temperature</v>
      </c>
      <c r="C904" s="117"/>
      <c r="F904" s="42"/>
      <c r="G904" s="5">
        <f>IF(VN_MIDDLE="","",T_MIDDLE)</f>
        <v>0</v>
      </c>
      <c r="H904" s="40" t="s">
        <v>299</v>
      </c>
    </row>
    <row r="905" spans="2:12" ht="12.75" customHeight="1" outlineLevel="3">
      <c r="B905" t="str">
        <f>HBL!$AA$1301</f>
        <v>cp air</v>
      </c>
      <c r="F905" s="42"/>
      <c r="G905" s="109" t="str">
        <f>IF(CP_MIDDLE="","",CP_MIDDLE)</f>
        <v/>
      </c>
      <c r="H905" s="40" t="s">
        <v>328</v>
      </c>
    </row>
    <row r="906" spans="2:12" ht="12.75" customHeight="1" outlineLevel="3" thickBot="1">
      <c r="F906" s="117"/>
    </row>
    <row r="907" spans="2:12" ht="12.75" customHeight="1" outlineLevel="3" thickBot="1">
      <c r="B907" s="41" t="str">
        <f>HBL!$AA$1341</f>
        <v>Heat output through cooler middle air</v>
      </c>
      <c r="F907" s="117"/>
      <c r="G907" s="159" t="e">
        <f>IF(VN_MIDDLE="","",VN_MIDDLE*CP_MIDDLE*(T_MIDDLE-20)/10^3)</f>
        <v>#VALUE!</v>
      </c>
      <c r="H907" s="40" t="s">
        <v>371</v>
      </c>
      <c r="I907" s="551" t="e">
        <f>IF(G907="","",G907/M_CLI)</f>
        <v>#VALUE!</v>
      </c>
      <c r="J907" s="40" t="s">
        <v>315</v>
      </c>
    </row>
    <row r="908" spans="2:12" ht="12.75" customHeight="1" outlineLevel="3" thickTop="1"/>
    <row r="909" spans="2:12" ht="12.75" customHeight="1" outlineLevel="3">
      <c r="B909" s="1" t="str">
        <f>HBL!$AA$1328</f>
        <v>SENSIBLE HEAT OF CLINKER</v>
      </c>
    </row>
    <row r="910" spans="2:12" ht="12.75" customHeight="1" outlineLevel="3">
      <c r="B910" s="41" t="str">
        <f>HBL!$AA$1461</f>
        <v>Massflow</v>
      </c>
      <c r="G910" s="20">
        <f>IF(M_CLI="","",M_CLI)</f>
        <v>76.25</v>
      </c>
      <c r="H910" s="2" t="s">
        <v>363</v>
      </c>
    </row>
    <row r="911" spans="2:12" ht="12.75" customHeight="1" outlineLevel="3">
      <c r="B911" t="str">
        <f>HBL!$AA$1568</f>
        <v>Temperature</v>
      </c>
      <c r="G911" s="5">
        <f>IF(T_CLI="","",T_CLI)</f>
        <v>121</v>
      </c>
      <c r="H911" s="2" t="s">
        <v>299</v>
      </c>
    </row>
    <row r="912" spans="2:12" ht="12.75" customHeight="1" outlineLevel="3">
      <c r="B912" t="str">
        <f>HBL!$AA$1297</f>
        <v>cp clinker</v>
      </c>
      <c r="G912" s="109">
        <f>IF(CP_CLI="","",CP_CLI)</f>
        <v>0.80356174298439997</v>
      </c>
      <c r="H912" s="2" t="s">
        <v>303</v>
      </c>
    </row>
    <row r="913" spans="1:10" ht="12.75" customHeight="1" outlineLevel="3" thickBot="1"/>
    <row r="914" spans="1:10" ht="12.75" customHeight="1" outlineLevel="3" thickBot="1">
      <c r="B914" s="2" t="str">
        <f>HBL!$AA$1329</f>
        <v>Heat output via the clinker</v>
      </c>
      <c r="F914" s="22"/>
      <c r="G914" s="159">
        <f>IF(M_CLI="","",M_CLI*CP_CLI*(T_CLI-20))</f>
        <v>6188.4298731586105</v>
      </c>
      <c r="H914" s="2" t="s">
        <v>371</v>
      </c>
      <c r="I914" s="551">
        <f>IF(G914="","",G914/M_CLI)</f>
        <v>81.159736041424395</v>
      </c>
      <c r="J914" s="2" t="s">
        <v>379</v>
      </c>
    </row>
    <row r="915" spans="1:10" ht="12.75" customHeight="1" outlineLevel="3" thickTop="1"/>
    <row r="916" spans="1:10" ht="12.75" customHeight="1" outlineLevel="2"/>
    <row r="917" spans="1:10" ht="12.75" customHeight="1" outlineLevel="2">
      <c r="A917" s="628">
        <v>35</v>
      </c>
      <c r="B917" s="626" t="str">
        <f>HBL!$AA$1280</f>
        <v>BYPASS</v>
      </c>
      <c r="C917" s="493"/>
      <c r="D917" s="493"/>
      <c r="E917" s="493"/>
      <c r="F917" s="627"/>
    </row>
    <row r="918" spans="1:10" ht="12.75" customHeight="1" outlineLevel="3"/>
    <row r="919" spans="1:10" ht="12.75" customHeight="1" outlineLevel="3">
      <c r="B919" s="1" t="str">
        <f>HBL!$AA$1327</f>
        <v>SENSIBLE HEAT BYPASS FLOWRATE</v>
      </c>
    </row>
    <row r="920" spans="1:10" ht="12.75" customHeight="1" outlineLevel="3">
      <c r="B920" s="198" t="str">
        <f>HBL!$AA$1263</f>
        <v>Heat input due to condensation of circulating elements on the bypass dust:</v>
      </c>
    </row>
    <row r="921" spans="1:10" ht="12.75" customHeight="1" outlineLevel="3">
      <c r="B921" s="2" t="s">
        <v>323</v>
      </c>
      <c r="C921" s="197">
        <f>IF(M_BYPASS="",0,(Cl_BYPASS-Cl_HOTMEAL)/100*M_BYPASS/M_CLI*1000/35.5)</f>
        <v>0</v>
      </c>
      <c r="D921" t="s">
        <v>380</v>
      </c>
      <c r="E921" t="s">
        <v>381</v>
      </c>
      <c r="F921" s="196">
        <f>IF(K&gt;CL, CL*74.5, K*74.5)</f>
        <v>0</v>
      </c>
      <c r="G921" t="s">
        <v>316</v>
      </c>
      <c r="H921" s="2" t="s">
        <v>339</v>
      </c>
      <c r="I921" s="20">
        <f>F921*3.13</f>
        <v>0</v>
      </c>
      <c r="J921" t="s">
        <v>314</v>
      </c>
    </row>
    <row r="922" spans="1:10" ht="12.75" customHeight="1" outlineLevel="3">
      <c r="B922" s="18" t="s">
        <v>382</v>
      </c>
      <c r="C922" s="197">
        <f>IF(M_BYPASS="",0,(SO3_BYPASS-SO3_HOTMEAL)/100*M_BYPASS/M_CLI*1000/80)</f>
        <v>0</v>
      </c>
      <c r="D922" t="s">
        <v>380</v>
      </c>
      <c r="E922" t="s">
        <v>383</v>
      </c>
      <c r="F922" s="196">
        <f>IF(K&gt;CL, 0, IF(Na&gt;(CL-K), (CL-K)*58.5, Na*58.5))</f>
        <v>0</v>
      </c>
      <c r="G922" t="s">
        <v>316</v>
      </c>
      <c r="H922" s="2" t="s">
        <v>339</v>
      </c>
      <c r="I922" s="20">
        <f>F922*3.13</f>
        <v>0</v>
      </c>
      <c r="J922" t="s">
        <v>314</v>
      </c>
    </row>
    <row r="923" spans="1:10" ht="12.75" customHeight="1" outlineLevel="3">
      <c r="B923" s="18" t="s">
        <v>384</v>
      </c>
      <c r="C923" s="197">
        <f>IF(M_BYPASS="",0,(K2O_BYPASS-K2O_HOTMEAL)/100*M_BYPASS/M_CLI*1000*2/94)</f>
        <v>0</v>
      </c>
      <c r="D923" t="s">
        <v>380</v>
      </c>
      <c r="E923" t="s">
        <v>385</v>
      </c>
      <c r="F923" s="196">
        <f>IF(Na&gt;(CL-K), 0, (CL-(K+Na))*0.5*111)</f>
        <v>0</v>
      </c>
      <c r="G923" t="s">
        <v>316</v>
      </c>
      <c r="H923" s="2" t="s">
        <v>339</v>
      </c>
      <c r="I923" s="20">
        <f>F923*3.13</f>
        <v>0</v>
      </c>
      <c r="J923" t="s">
        <v>314</v>
      </c>
    </row>
    <row r="924" spans="1:10" ht="12.75" customHeight="1" outlineLevel="3">
      <c r="B924" s="18" t="s">
        <v>386</v>
      </c>
      <c r="C924" s="197">
        <f>IF(M_BYPASS="",0,(Na2O_BYPASS-Na2O_HOTMEAL)/100*M_BYPASS/M_CLI*1000*2/62)</f>
        <v>0</v>
      </c>
      <c r="D924" t="s">
        <v>380</v>
      </c>
      <c r="E924" t="s">
        <v>387</v>
      </c>
      <c r="F924" s="196">
        <f>IF(ABS($F$922)&gt;0, 0, IF((K-CL)&gt;2*S, S*174, (K-CL)*0.5*174))</f>
        <v>0</v>
      </c>
      <c r="G924" t="s">
        <v>316</v>
      </c>
      <c r="H924" s="2" t="s">
        <v>339</v>
      </c>
      <c r="I924" s="20">
        <f>F924*4.45</f>
        <v>0</v>
      </c>
      <c r="J924" t="s">
        <v>314</v>
      </c>
    </row>
    <row r="925" spans="1:10" ht="12.75" customHeight="1" outlineLevel="3">
      <c r="E925" t="s">
        <v>388</v>
      </c>
      <c r="F925" s="196">
        <f>IF(OR($F$923&gt;0, $F$924=S*174), 0, IF(AND($F$924&gt;0, (K-CL)&lt;2*S), IF(Na&gt;2*(S-(K-CL)*0.5), (S-(K-CL)*0.5)*142, Na*0.5*142), IF(Na-(CL-K)&gt;2*S, S*142, (Na-(CL-K))*0.5*142)))</f>
        <v>0</v>
      </c>
      <c r="G925" t="s">
        <v>316</v>
      </c>
      <c r="H925" s="2" t="s">
        <v>339</v>
      </c>
      <c r="I925" s="20">
        <f>F925*4.72</f>
        <v>0</v>
      </c>
      <c r="J925" t="s">
        <v>314</v>
      </c>
    </row>
    <row r="926" spans="1:10" ht="12.75" customHeight="1" outlineLevel="3">
      <c r="B926" s="1"/>
      <c r="E926" t="s">
        <v>389</v>
      </c>
      <c r="F926" s="196">
        <f>IF(F923&gt;0, S*136, IF(AND(F924&gt;0, (K-CL)&gt;2*S, Na&lt;2*(S-(K-CL)*0.5)), (S-(0.5*(K-CL+Na))), IF(OR((Na-(CL-K))&gt;2*S, Na&gt;2*(S-(K-CL)*0.5)), 0, (S-(Na-(CL-K))*0.5)*136)))</f>
        <v>0</v>
      </c>
      <c r="G926" t="s">
        <v>316</v>
      </c>
      <c r="H926" s="2" t="s">
        <v>339</v>
      </c>
      <c r="I926" s="122">
        <f>F926*3.62</f>
        <v>0</v>
      </c>
      <c r="J926" s="14" t="s">
        <v>314</v>
      </c>
    </row>
    <row r="927" spans="1:10" ht="12.75" customHeight="1" outlineLevel="3">
      <c r="B927" s="1"/>
      <c r="F927" s="41" t="str">
        <f>HBL!$AA$1375</f>
        <v>Total heat of condensation:</v>
      </c>
      <c r="H927" s="196"/>
      <c r="I927" s="202">
        <f>SUM(I921:I926)</f>
        <v>0</v>
      </c>
      <c r="J927" s="203" t="s">
        <v>314</v>
      </c>
    </row>
    <row r="928" spans="1:10" ht="12.75" customHeight="1" outlineLevel="3">
      <c r="B928" s="41" t="str">
        <f>HBL!$AA$1607</f>
        <v>Flowrate gas</v>
      </c>
      <c r="G928" s="5" t="str">
        <f>IF(VN_BYPASS=0,"",VN_BYPASS)</f>
        <v/>
      </c>
      <c r="H928" t="s">
        <v>330</v>
      </c>
    </row>
    <row r="929" spans="2:10" ht="12.75" customHeight="1" outlineLevel="3">
      <c r="B929" t="str">
        <f>HBL!$AA$1568</f>
        <v>Temperature</v>
      </c>
      <c r="G929" s="5" t="str">
        <f>IF(G928="","",T_BYPASSEXTRAC)</f>
        <v/>
      </c>
      <c r="H929" t="s">
        <v>299</v>
      </c>
    </row>
    <row r="930" spans="2:10" ht="12.75" customHeight="1" outlineLevel="3">
      <c r="B930" t="str">
        <f>HBL!$AA$1299</f>
        <v>cp gas</v>
      </c>
      <c r="G930" s="109" t="str">
        <f>IF(G928="","",CP_BYPASSEXTRAC)</f>
        <v/>
      </c>
      <c r="H930" t="s">
        <v>390</v>
      </c>
    </row>
    <row r="931" spans="2:10" ht="12.75" customHeight="1" outlineLevel="3" thickBot="1"/>
    <row r="932" spans="2:10" ht="12.75" customHeight="1" outlineLevel="3" thickBot="1">
      <c r="B932" s="41" t="str">
        <f>HBL!$AA$1326</f>
        <v>Heat output via bypass gasflow</v>
      </c>
      <c r="G932" s="159" t="str">
        <f>IF(VN_BYPASS="","",VN_BYPASS*CP_BYPASSEXTRAC*(T_BYPASSEXTRAC-20)/1000)</f>
        <v/>
      </c>
      <c r="H932" s="2" t="s">
        <v>371</v>
      </c>
      <c r="I932" s="551" t="str">
        <f>IF(G932="","",G932/M_CLI)</f>
        <v/>
      </c>
      <c r="J932" s="2" t="s">
        <v>379</v>
      </c>
    </row>
    <row r="933" spans="2:10" ht="12.75" customHeight="1" outlineLevel="3" thickTop="1"/>
    <row r="934" spans="2:10" ht="12.75" customHeight="1" outlineLevel="3">
      <c r="B934" s="118" t="str">
        <f>HBL!$AA$1639</f>
        <v>HEAT LOSS DUE TO INCOMPLETE COMBUSTION</v>
      </c>
    </row>
    <row r="935" spans="2:10" ht="12.75" customHeight="1" outlineLevel="3">
      <c r="B935" s="41" t="str">
        <f>HBL!$AA$1293</f>
        <v>CO content in bypass flowrate</v>
      </c>
      <c r="F935" s="42"/>
      <c r="G935" s="5" t="str">
        <f>IF(VN_BYPASS="","",CO_BYPASSEXTRAC)</f>
        <v/>
      </c>
      <c r="H935" s="40" t="s">
        <v>329</v>
      </c>
    </row>
    <row r="936" spans="2:10" ht="12.75" customHeight="1" outlineLevel="3">
      <c r="B936" s="41" t="str">
        <f>HBL!$AA$1285</f>
        <v>Bypass flowrate (dry)</v>
      </c>
      <c r="F936" s="42"/>
      <c r="G936" s="5" t="str">
        <f>IF(VN_BYPASS=0,"",VN_BYPASS*0.89)</f>
        <v/>
      </c>
      <c r="H936" s="40" t="s">
        <v>330</v>
      </c>
    </row>
    <row r="937" spans="2:10" ht="12.75" customHeight="1" outlineLevel="3">
      <c r="B937" s="41" t="str">
        <f>HBL!$AA$1295</f>
        <v>CO flowrate</v>
      </c>
      <c r="F937" s="42"/>
      <c r="G937" s="5" t="str">
        <f>IF(VN_BYPASS="","",VN_BYPASS*CO_BYPASSEXTRAC/10^6)</f>
        <v/>
      </c>
      <c r="H937" s="40" t="s">
        <v>330</v>
      </c>
    </row>
    <row r="938" spans="2:10" ht="12.75" customHeight="1" outlineLevel="3">
      <c r="B938" s="41" t="str">
        <f>HBL!$AA$1593</f>
        <v>Low heat value for CO</v>
      </c>
      <c r="F938" s="42"/>
      <c r="G938" s="119" t="str">
        <f>IF(VN_BYPASS="","",12640)</f>
        <v/>
      </c>
      <c r="H938" s="40" t="s">
        <v>377</v>
      </c>
      <c r="I938" s="121"/>
      <c r="J938" s="41"/>
    </row>
    <row r="939" spans="2:10" ht="12.75" customHeight="1" outlineLevel="3" thickBot="1">
      <c r="F939" s="117"/>
      <c r="G939" s="5"/>
    </row>
    <row r="940" spans="2:10" ht="12.75" customHeight="1" outlineLevel="3" thickBot="1">
      <c r="B940" s="41" t="str">
        <f>HBL!$AA$1643</f>
        <v>Heat loss from incomplete combustion</v>
      </c>
      <c r="F940" s="117"/>
      <c r="G940" s="159" t="str">
        <f>IF(VN_BYPASS="","",VNCO_BYPASS*LHV_CO/10^3)</f>
        <v/>
      </c>
      <c r="H940" s="40" t="s">
        <v>371</v>
      </c>
      <c r="I940" s="551" t="str">
        <f>IF(G940="","",G940/M_CLI)</f>
        <v/>
      </c>
      <c r="J940" s="2" t="s">
        <v>379</v>
      </c>
    </row>
    <row r="941" spans="2:10" ht="12.75" customHeight="1" outlineLevel="3" thickTop="1"/>
    <row r="942" spans="2:10" ht="12.75" customHeight="1" outlineLevel="3">
      <c r="B942" s="120" t="str">
        <f>HBL!$AA$1333</f>
        <v>SENSIBLE HEAT OUTPUT VIA DUST</v>
      </c>
      <c r="F942" s="117"/>
    </row>
    <row r="943" spans="2:10" ht="12.75" customHeight="1" outlineLevel="3">
      <c r="B943" t="str">
        <f>HBL!$AA$1553</f>
        <v>Dust loss</v>
      </c>
      <c r="G943" s="20" t="str">
        <f>IF(M_BYPASS="","",M_BYPASS)</f>
        <v/>
      </c>
      <c r="H943" s="2" t="s">
        <v>363</v>
      </c>
    </row>
    <row r="944" spans="2:10" ht="12.75" customHeight="1" outlineLevel="3">
      <c r="B944" t="str">
        <f>HBL!$AA$1568</f>
        <v>Temperature</v>
      </c>
      <c r="G944" s="5" t="str">
        <f>IF(T_BYPASSEXTRAC="","",T_BYPASSEXTRAC)</f>
        <v/>
      </c>
      <c r="H944" s="2" t="s">
        <v>299</v>
      </c>
    </row>
    <row r="945" spans="1:10" ht="12.75" customHeight="1" outlineLevel="3">
      <c r="B945" t="str">
        <f>HBL!$AA$1304</f>
        <v>cp dust</v>
      </c>
      <c r="G945" s="109" t="str">
        <f>IF(CP_BYPASSEXTRAC="","",CP_BYDUSTEXTRAC)</f>
        <v/>
      </c>
      <c r="H945" s="2" t="s">
        <v>303</v>
      </c>
    </row>
    <row r="946" spans="1:10" ht="12.75" customHeight="1" outlineLevel="3" thickBot="1"/>
    <row r="947" spans="1:10" ht="12.75" customHeight="1" outlineLevel="3" thickBot="1">
      <c r="B947" s="40" t="str">
        <f>HBL!$AA$1334</f>
        <v>Heat output via dust loss</v>
      </c>
      <c r="F947" s="117"/>
      <c r="G947" s="159" t="str">
        <f>IF(M_BYPASS="","",M_BYPASS*CP_BYDUSTEXTRAC*(T_BYPASSEXTRAC-20))</f>
        <v/>
      </c>
      <c r="H947" s="2" t="s">
        <v>371</v>
      </c>
      <c r="I947" s="551" t="str">
        <f>IF(G947="","",G947/M_CLI)</f>
        <v/>
      </c>
      <c r="J947" s="2" t="s">
        <v>379</v>
      </c>
    </row>
    <row r="948" spans="1:10" ht="12.75" customHeight="1" outlineLevel="3" thickTop="1">
      <c r="F948" s="117"/>
      <c r="G948" s="121"/>
      <c r="H948" s="41"/>
      <c r="I948" s="121"/>
      <c r="J948" s="41"/>
    </row>
    <row r="949" spans="1:10" ht="12.75" customHeight="1" outlineLevel="3">
      <c r="B949" s="120" t="str">
        <f>HBL!$AA$1641</f>
        <v>HEAT OUTPUT FROM CaO (NON CARBONATIC) IN BYPASS DUST</v>
      </c>
      <c r="F949" s="117"/>
      <c r="G949" s="121"/>
      <c r="H949" s="41"/>
      <c r="I949" s="121"/>
      <c r="J949" s="41"/>
    </row>
    <row r="950" spans="1:10" ht="12.75" customHeight="1" outlineLevel="3">
      <c r="B950" t="str">
        <f>HBL!$AA$1289</f>
        <v>CaO content in bypass dust</v>
      </c>
      <c r="G950" s="20" t="str">
        <f>IF(CaO_BYPASS="","",CaO_BYPASS)</f>
        <v/>
      </c>
      <c r="H950" s="2" t="s">
        <v>297</v>
      </c>
    </row>
    <row r="951" spans="1:10" ht="12.75" customHeight="1" outlineLevel="3">
      <c r="B951" t="str">
        <f>HBL!$AA$1380</f>
        <v>LOI of bypass dust</v>
      </c>
      <c r="G951" s="20" t="str">
        <f>IF(LOI_BYPASS="","",LOI_BYPASS)</f>
        <v/>
      </c>
      <c r="H951" s="2" t="s">
        <v>297</v>
      </c>
    </row>
    <row r="952" spans="1:10" ht="12.75" customHeight="1" outlineLevel="3">
      <c r="B952" s="2" t="str">
        <f>HBL!$AA$1287</f>
        <v>CaO (non carbonatic)</v>
      </c>
      <c r="G952" s="122" t="str">
        <f>IF(G951="","",CaO_BYPASS-56/44*LOI_BYPASS)</f>
        <v/>
      </c>
      <c r="H952" s="2" t="s">
        <v>297</v>
      </c>
    </row>
    <row r="953" spans="1:10" ht="12.75" customHeight="1" outlineLevel="3" thickBot="1">
      <c r="G953" s="20"/>
      <c r="H953" s="2"/>
    </row>
    <row r="954" spans="1:10" ht="12.75" customHeight="1" outlineLevel="3" thickBot="1">
      <c r="B954" t="str">
        <f>HBL!$AA$1640</f>
        <v>Heat loss from CaO (non carbonatic) in bypass dust</v>
      </c>
      <c r="F954" s="117"/>
      <c r="G954" s="159" t="str">
        <f>IF(CaOnc_BYPASS="","",M_BYPASS*CaOnc_BYPASS/100*3150)</f>
        <v/>
      </c>
      <c r="H954" s="2" t="s">
        <v>371</v>
      </c>
      <c r="I954" s="624" t="str">
        <f>IF(G954="","",G954/M_CLI)</f>
        <v/>
      </c>
      <c r="J954" s="40" t="s">
        <v>315</v>
      </c>
    </row>
    <row r="955" spans="1:10" ht="12.75" customHeight="1" outlineLevel="3" thickTop="1">
      <c r="F955" s="117"/>
      <c r="G955" s="121"/>
      <c r="H955" s="41"/>
      <c r="I955" s="31"/>
    </row>
    <row r="956" spans="1:10" ht="12.75" customHeight="1" outlineLevel="2"/>
    <row r="957" spans="1:10" ht="12.75" customHeight="1" outlineLevel="2">
      <c r="A957" s="628">
        <v>36</v>
      </c>
      <c r="B957" s="626" t="str">
        <f>HBL!$AA$1642</f>
        <v>HEAT LOSS FROM RADIATION &amp; CONVECTION</v>
      </c>
      <c r="C957" s="493"/>
      <c r="D957" s="493"/>
      <c r="E957" s="493"/>
      <c r="F957" s="627"/>
    </row>
    <row r="958" spans="1:10" ht="12.75" customHeight="1" outlineLevel="3" thickBot="1"/>
    <row r="959" spans="1:10" ht="12.75" customHeight="1" outlineLevel="3">
      <c r="B959" t="str">
        <f>HBL!$AA$1633</f>
        <v>Preheater tower incl. Calciner</v>
      </c>
      <c r="G959" s="137">
        <f>IF(QOUT_PREHEATER="","",QOUT_PREHEATER*M_CLI)</f>
        <v>15097.5</v>
      </c>
      <c r="H959" s="40" t="s">
        <v>371</v>
      </c>
      <c r="I959" s="620">
        <f>IF(QOUT_PREHEATER="","",QOUT_PREHEATER)</f>
        <v>198</v>
      </c>
      <c r="J959" s="40" t="s">
        <v>315</v>
      </c>
    </row>
    <row r="960" spans="1:10" ht="12.75" customHeight="1" outlineLevel="3">
      <c r="B960" s="41" t="str">
        <f>HBL!$AA$1491</f>
        <v>Kiln shell</v>
      </c>
      <c r="F960" s="31"/>
      <c r="G960" s="137">
        <f>IF(QOUT_KILNRAD="","",QOUT_KILNRAD*M_CLI)</f>
        <v>7167.5</v>
      </c>
      <c r="H960" s="40" t="s">
        <v>371</v>
      </c>
      <c r="I960" s="621">
        <f>IF(QOUT_KILNRAD="","",QOUT_KILNRAD)</f>
        <v>94</v>
      </c>
      <c r="J960" s="40" t="s">
        <v>315</v>
      </c>
    </row>
    <row r="961" spans="1:23" ht="12.75" customHeight="1" outlineLevel="3">
      <c r="B961" s="40" t="str">
        <f>HBL!$AA$1404</f>
        <v>Cooler and kiln hood</v>
      </c>
      <c r="E961" s="42"/>
      <c r="F961" s="31"/>
      <c r="G961" s="137">
        <f>IF(QOUT_COOLRAD="","",QOUT_COOLRAD*M_CLI)</f>
        <v>1723.25</v>
      </c>
      <c r="H961" s="40" t="s">
        <v>371</v>
      </c>
      <c r="I961" s="622">
        <f>IF(QOUT_COOLRAD="","",QOUT_COOLRAD)</f>
        <v>22.6</v>
      </c>
      <c r="J961" s="40" t="s">
        <v>315</v>
      </c>
    </row>
    <row r="962" spans="1:23" ht="12.75" customHeight="1" outlineLevel="3" thickBot="1">
      <c r="B962" s="41" t="str">
        <f>HBL!$AA$1577</f>
        <v>Tertiary air duct</v>
      </c>
      <c r="E962" s="42"/>
      <c r="F962" s="31"/>
      <c r="G962" s="137">
        <f>IF(QOUT_TERTIARYDUCT="","",QOUT_TERTIARYDUCT*M_CLI)</f>
        <v>0</v>
      </c>
      <c r="H962" s="40" t="s">
        <v>371</v>
      </c>
      <c r="I962" s="623">
        <f>IF(QOUT_TERTIARYDUCT="","",QOUT_TERTIARYDUCT)</f>
        <v>0</v>
      </c>
      <c r="J962" s="40" t="s">
        <v>315</v>
      </c>
    </row>
    <row r="963" spans="1:23" ht="12.75" customHeight="1" outlineLevel="3">
      <c r="B963" s="41"/>
      <c r="E963" s="42"/>
      <c r="F963" s="31"/>
      <c r="G963" s="5"/>
    </row>
    <row r="964" spans="1:23" ht="12.75" customHeight="1" outlineLevel="2"/>
    <row r="965" spans="1:23" ht="12.75" customHeight="1" outlineLevel="2">
      <c r="A965" s="628">
        <v>37</v>
      </c>
      <c r="B965" s="626" t="str">
        <f>HBL!$AA$1654</f>
        <v>OTHER HEAT OUTPUT</v>
      </c>
      <c r="C965" s="493"/>
      <c r="D965" s="493"/>
      <c r="E965" s="493"/>
      <c r="F965" s="627"/>
      <c r="G965" s="5"/>
      <c r="H965" s="40"/>
      <c r="I965" s="123"/>
      <c r="J965" s="40"/>
    </row>
    <row r="966" spans="1:23" ht="12.75" customHeight="1" outlineLevel="3">
      <c r="B966" s="41"/>
      <c r="E966" s="42"/>
      <c r="F966" s="117"/>
      <c r="G966" s="5"/>
      <c r="H966" s="40"/>
      <c r="I966" s="123"/>
      <c r="J966" s="40"/>
    </row>
    <row r="967" spans="1:23" ht="12.75" customHeight="1" outlineLevel="3">
      <c r="B967" s="41"/>
      <c r="E967" s="42"/>
      <c r="F967" s="117"/>
      <c r="G967" s="5"/>
      <c r="H967" s="40"/>
      <c r="I967" s="123"/>
      <c r="J967" s="40"/>
    </row>
    <row r="968" spans="1:23" ht="12.75" customHeight="1" outlineLevel="3">
      <c r="B968" s="41"/>
      <c r="E968" s="42"/>
      <c r="F968" s="117"/>
      <c r="G968" s="5"/>
      <c r="H968" s="40"/>
      <c r="I968" s="123"/>
      <c r="J968" s="40"/>
    </row>
    <row r="969" spans="1:23" ht="12.75" customHeight="1" outlineLevel="3" thickBot="1">
      <c r="B969" s="41"/>
      <c r="E969" s="42"/>
      <c r="F969" s="117"/>
      <c r="G969" s="5"/>
      <c r="H969" s="40"/>
      <c r="I969" s="123"/>
      <c r="J969" s="40"/>
    </row>
    <row r="970" spans="1:23" ht="12.75" customHeight="1" outlineLevel="3" thickBot="1">
      <c r="F970" s="117"/>
      <c r="G970" s="110"/>
      <c r="H970" s="40" t="s">
        <v>371</v>
      </c>
      <c r="I970" s="551" t="str">
        <f>IF(G970="","",G970/M_CLI)</f>
        <v/>
      </c>
      <c r="J970" s="40" t="s">
        <v>315</v>
      </c>
    </row>
    <row r="971" spans="1:23" ht="12.75" customHeight="1" outlineLevel="2" thickTop="1">
      <c r="F971" s="117"/>
      <c r="G971" s="5"/>
      <c r="H971" s="40"/>
      <c r="I971" s="20"/>
      <c r="J971" s="40"/>
    </row>
    <row r="972" spans="1:23" ht="12.75" customHeight="1" outlineLevel="1"/>
    <row r="973" spans="1:23" ht="12.75" customHeight="1">
      <c r="W973"/>
    </row>
    <row r="974" spans="1:23" ht="12.75" customHeight="1">
      <c r="W974"/>
    </row>
    <row r="975" spans="1:23" ht="18.75" customHeight="1">
      <c r="A975" s="628">
        <v>41</v>
      </c>
      <c r="B975" s="498" t="str">
        <f>HBL!$AA$1455</f>
        <v>AIR BALANCE GRATE COOLER</v>
      </c>
      <c r="C975" s="498"/>
      <c r="D975" s="498"/>
      <c r="E975" s="498"/>
      <c r="F975" s="498"/>
      <c r="G975" s="498"/>
      <c r="H975" s="498"/>
      <c r="I975" s="498"/>
      <c r="J975" s="498"/>
      <c r="K975" s="498"/>
      <c r="W975"/>
    </row>
    <row r="976" spans="1:23" ht="12.75" customHeight="1" outlineLevel="1">
      <c r="W976"/>
    </row>
    <row r="977" spans="2:23" ht="12.75" customHeight="1" outlineLevel="2">
      <c r="B977" s="2" t="str">
        <f>HBL!$AA$1502</f>
        <v>Primary air main burner</v>
      </c>
      <c r="G977" s="137">
        <f>VN_PRIMAIR</f>
        <v>3970</v>
      </c>
      <c r="H977" s="2" t="s">
        <v>330</v>
      </c>
      <c r="I977" s="36">
        <f>IF(G977="","",G977/(M_CLI*1000))</f>
        <v>5.2065573770491806E-2</v>
      </c>
      <c r="J977" s="2" t="s">
        <v>332</v>
      </c>
      <c r="W977"/>
    </row>
    <row r="978" spans="2:23" ht="12.75" customHeight="1" outlineLevel="2">
      <c r="B978" t="str">
        <f>HBL!$AA$1355</f>
        <v>False air kiln hood</v>
      </c>
      <c r="G978" s="137">
        <f>IF(VN_FALSEKILNHOOD="","",VN_FALSEKILNHOOD)</f>
        <v>1416</v>
      </c>
      <c r="H978" s="2" t="s">
        <v>330</v>
      </c>
      <c r="I978" s="36">
        <f>IF(G978="","",G978/(M_CLI*1000))</f>
        <v>1.8570491803278688E-2</v>
      </c>
      <c r="J978" s="2" t="s">
        <v>332</v>
      </c>
      <c r="W978"/>
    </row>
    <row r="979" spans="2:23" ht="12.75" customHeight="1" outlineLevel="2">
      <c r="B979" s="2" t="str">
        <f>HBL!$AA$1600</f>
        <v>Combustion air</v>
      </c>
      <c r="G979" s="137">
        <f>IF(VN_AminBZ="","",VN_AminBZ)</f>
        <v>22251.736000000001</v>
      </c>
      <c r="H979" s="2" t="s">
        <v>330</v>
      </c>
      <c r="I979" s="36">
        <f>IF(G979="","",G979/(M_CLI*1000))</f>
        <v>0.29182604590163935</v>
      </c>
      <c r="J979" s="2" t="s">
        <v>332</v>
      </c>
      <c r="W979"/>
    </row>
    <row r="980" spans="2:23" ht="12.75" customHeight="1" outlineLevel="2">
      <c r="B980" s="18" t="str">
        <f>HBL!$AA$1683</f>
        <v>Excess air</v>
      </c>
      <c r="D980" s="116">
        <f>IF(VN_EXCESSINLET="","",VN_EXCESSINLET/(VN_EXCESSINLET+VN_AminBZ))</f>
        <v>0.12643243357290984</v>
      </c>
      <c r="E980">
        <f>IF(O2_KILNINLET="","",O2_KILNINLET)</f>
        <v>2.4</v>
      </c>
      <c r="F980" s="41" t="str">
        <f>HBL!$AA$1681</f>
        <v>% O2 dry</v>
      </c>
      <c r="G980" s="137">
        <f>IF(VN_EXCESSINLET="","",VN_EXCESSINLET)</f>
        <v>3220.5192154838705</v>
      </c>
      <c r="H980" s="2" t="s">
        <v>330</v>
      </c>
      <c r="I980" s="36">
        <f>IF(G980="","",G980/(M_CLI*1000))</f>
        <v>4.2236317580116332E-2</v>
      </c>
      <c r="J980" s="2" t="s">
        <v>332</v>
      </c>
      <c r="W980"/>
    </row>
    <row r="981" spans="2:23" ht="12.75" customHeight="1" outlineLevel="2">
      <c r="B981" s="18" t="str">
        <f>HBL!$AA$1453</f>
        <v>at kiln inlet</v>
      </c>
      <c r="W981"/>
    </row>
    <row r="982" spans="2:23" ht="12.75" customHeight="1" outlineLevel="2">
      <c r="W982"/>
    </row>
    <row r="983" spans="2:23" ht="12.75" customHeight="1" outlineLevel="2">
      <c r="B983" s="540"/>
      <c r="C983" s="541"/>
      <c r="D983" s="541"/>
      <c r="E983" s="541"/>
      <c r="F983" s="541"/>
      <c r="G983" s="542"/>
      <c r="H983" s="543"/>
      <c r="I983" s="36"/>
      <c r="W983"/>
    </row>
    <row r="984" spans="2:23" ht="12.75" customHeight="1" outlineLevel="2">
      <c r="B984" s="544"/>
      <c r="C984" s="530"/>
      <c r="D984" s="530"/>
      <c r="E984" s="530"/>
      <c r="F984" s="545"/>
      <c r="G984" s="526" t="s">
        <v>345</v>
      </c>
      <c r="H984" s="546" t="s">
        <v>357</v>
      </c>
      <c r="I984" s="36"/>
      <c r="W984"/>
    </row>
    <row r="985" spans="2:23" ht="12.75" customHeight="1" outlineLevel="2">
      <c r="B985" s="527"/>
      <c r="C985" s="547"/>
      <c r="D985" s="547"/>
      <c r="E985" s="548"/>
      <c r="F985" s="547"/>
      <c r="G985" s="549"/>
      <c r="H985" s="550"/>
    </row>
    <row r="986" spans="2:23" ht="12.75" customHeight="1" outlineLevel="2">
      <c r="B986" s="10"/>
      <c r="C986" s="11"/>
      <c r="D986" s="11"/>
      <c r="E986" s="11"/>
      <c r="F986" s="11"/>
      <c r="G986" s="13"/>
      <c r="H986" s="71"/>
    </row>
    <row r="987" spans="2:23" ht="12.75" customHeight="1" outlineLevel="2">
      <c r="B987" s="52" t="str">
        <f>HBL!$AA$1318</f>
        <v>INPUT</v>
      </c>
      <c r="G987" s="13"/>
      <c r="H987" s="71"/>
    </row>
    <row r="988" spans="2:23" ht="12.75" customHeight="1" outlineLevel="2">
      <c r="B988" s="43" t="str">
        <f>HBL!$AA$1370</f>
        <v>Total cooling air</v>
      </c>
      <c r="G988" s="156">
        <f>VN_COOLAIR</f>
        <v>158804.18375309129</v>
      </c>
      <c r="H988" s="90">
        <f>VNSP_COOLAIR</f>
        <v>2.0826778197126727</v>
      </c>
    </row>
    <row r="989" spans="2:23" ht="12.75" customHeight="1" outlineLevel="2">
      <c r="B989" s="43" t="str">
        <f>HBL!$AA$1351</f>
        <v>False air</v>
      </c>
      <c r="G989" s="156">
        <f>IF(VNSP_FALSECOOLER="","",VNSP_FALSECOOLER*M_CLI*1000)</f>
        <v>0</v>
      </c>
      <c r="H989" s="139">
        <f>IF(VNSP_FALSECOOLER="","",VNSP_FALSECOOLER)</f>
        <v>0</v>
      </c>
    </row>
    <row r="990" spans="2:23" ht="12.75" customHeight="1" outlineLevel="2">
      <c r="B990" s="43"/>
      <c r="G990" s="156"/>
      <c r="H990" s="90"/>
    </row>
    <row r="991" spans="2:23" ht="12.75" customHeight="1" outlineLevel="2">
      <c r="B991" s="8" t="str">
        <f>HBL!$AA$1564</f>
        <v>TOTAL OF INPUTS</v>
      </c>
      <c r="C991" s="7"/>
      <c r="D991" s="7"/>
      <c r="E991" s="7"/>
      <c r="F991" s="7"/>
      <c r="G991" s="157">
        <f>IF(SUM(G988:G989)=0,"",SUM(G988:G989))</f>
        <v>158804.18375309129</v>
      </c>
      <c r="H991" s="91">
        <f>IF(G991="","",G991/(M_CLI*1000))</f>
        <v>2.0826778197126727</v>
      </c>
    </row>
    <row r="992" spans="2:23" ht="12.75" customHeight="1" outlineLevel="2">
      <c r="B992" s="43"/>
      <c r="G992" s="156"/>
      <c r="H992" s="90"/>
    </row>
    <row r="993" spans="2:23" ht="12.75" customHeight="1" outlineLevel="2">
      <c r="B993" s="52" t="str">
        <f>HBL!$AA$1248</f>
        <v>OUTPUT</v>
      </c>
      <c r="G993" s="156"/>
      <c r="H993" s="90"/>
    </row>
    <row r="994" spans="2:23" ht="12.75" customHeight="1" outlineLevel="2">
      <c r="B994" s="46" t="str">
        <f>HBL!$AA$1539</f>
        <v>Secondary air</v>
      </c>
      <c r="G994" s="156">
        <f>IF(VN_SECONDAIR="","",VN_SECONDAIR)</f>
        <v>20744.44112194905</v>
      </c>
      <c r="H994" s="90">
        <f>IF(VN_SECONDAIR="","",VN_SECONDAIR/(M_CLI*1000))</f>
        <v>0.27205824422228264</v>
      </c>
    </row>
    <row r="995" spans="2:23" ht="12.75" customHeight="1" outlineLevel="2">
      <c r="B995" s="43" t="str">
        <f>HBL!$AA$1576</f>
        <v>Tertiary air (incl dust)</v>
      </c>
      <c r="F995" s="66"/>
      <c r="G995" s="158">
        <f>IF(VN_TERTAIR="","",VN_TERTAIR)</f>
        <v>52298.641188266854</v>
      </c>
      <c r="H995" s="90">
        <f>IF(VN_TERTAIR="","",VN_TERTAIR/(M_CLI*1000))</f>
        <v>0.68588381886251615</v>
      </c>
    </row>
    <row r="996" spans="2:23" ht="12.75" customHeight="1" outlineLevel="2">
      <c r="B996" s="43" t="str">
        <f>HBL!$AA$1415</f>
        <v>Cooler middle air</v>
      </c>
      <c r="G996" s="156">
        <f>VN_MIDDLE</f>
        <v>0</v>
      </c>
      <c r="H996" s="90">
        <f>IF(VN_MIDDLE="","",VN_MIDDLE/(M_CLI*1000))</f>
        <v>0</v>
      </c>
    </row>
    <row r="997" spans="2:23" ht="12.75" customHeight="1" outlineLevel="2">
      <c r="B997" s="43" t="str">
        <f>HBL!$AA$1409</f>
        <v>Cooler waste air</v>
      </c>
      <c r="G997" s="156">
        <f>IF(VN_WASTE="","",VN_WASTE)</f>
        <v>86045</v>
      </c>
      <c r="H997" s="90">
        <f>IF(VNSP_WASTE="","",VNSP_WASTE)</f>
        <v>1.1284590163934427</v>
      </c>
    </row>
    <row r="998" spans="2:23" ht="12.75" customHeight="1" outlineLevel="2">
      <c r="B998" s="43" t="str">
        <f>HBL!$AA$1265</f>
        <v>Balance</v>
      </c>
      <c r="C998" s="88">
        <f>IF(G991="","",G998/G991*100)</f>
        <v>-0.17877271896440444</v>
      </c>
      <c r="D998" s="2" t="s">
        <v>297</v>
      </c>
      <c r="G998" s="156">
        <f>IF(G1000="","",G1000-SUM(G994:G997))</f>
        <v>-283.89855712463032</v>
      </c>
      <c r="H998" s="90">
        <f>IF(G998="","",G998/(M_CLI*1000))</f>
        <v>-3.7232597655689221E-3</v>
      </c>
    </row>
    <row r="999" spans="2:23" ht="12.75" customHeight="1" outlineLevel="2">
      <c r="B999" s="43"/>
      <c r="G999" s="156"/>
      <c r="H999" s="90"/>
    </row>
    <row r="1000" spans="2:23" ht="12.75" customHeight="1" outlineLevel="2">
      <c r="B1000" s="8" t="str">
        <f>HBL!$AA$1563</f>
        <v>TOTAL OF OUTPUTS</v>
      </c>
      <c r="C1000" s="7"/>
      <c r="D1000" s="7"/>
      <c r="E1000" s="7"/>
      <c r="F1000" s="7"/>
      <c r="G1000" s="157">
        <f>IF(G991="","",G991)</f>
        <v>158804.18375309129</v>
      </c>
      <c r="H1000" s="91">
        <f>IF(G1000="","",G1000/(M_CLI*1000))</f>
        <v>2.0826778197126727</v>
      </c>
    </row>
    <row r="1001" spans="2:23" ht="12.75" customHeight="1" outlineLevel="1">
      <c r="W1001"/>
    </row>
    <row r="1002" spans="2:23" ht="12.75" customHeight="1">
      <c r="W1002"/>
    </row>
    <row r="1003" spans="2:23" ht="12.75" customHeight="1">
      <c r="W1003"/>
    </row>
    <row r="1004" spans="2:23" ht="18.75" customHeight="1">
      <c r="B1004" s="498" t="str">
        <f>HBL!$AA$1618</f>
        <v>HEAT BALANCE CLINKER COOLER</v>
      </c>
      <c r="C1004" s="498"/>
      <c r="D1004" s="498"/>
      <c r="E1004" s="498"/>
      <c r="F1004" s="498"/>
      <c r="G1004" s="498"/>
      <c r="H1004" s="498"/>
      <c r="I1004" s="498"/>
      <c r="J1004" s="498"/>
      <c r="K1004" s="498"/>
      <c r="W1004"/>
    </row>
    <row r="1005" spans="2:23" ht="12.75" customHeight="1" outlineLevel="1">
      <c r="B1005" s="97"/>
      <c r="W1005"/>
    </row>
    <row r="1006" spans="2:23" ht="12.75" customHeight="1" outlineLevel="1">
      <c r="W1006"/>
    </row>
    <row r="1007" spans="2:23" ht="15.5" outlineLevel="1">
      <c r="B1007" s="499" t="str">
        <f>HBL!$AA$1620</f>
        <v>HEAT INPUT</v>
      </c>
      <c r="C1007" s="499"/>
      <c r="D1007" s="499"/>
      <c r="E1007" s="499"/>
      <c r="F1007" s="499"/>
      <c r="G1007" s="499"/>
      <c r="H1007" s="499"/>
      <c r="I1007" s="499"/>
      <c r="J1007" s="499"/>
      <c r="K1007" s="588"/>
      <c r="W1007"/>
    </row>
    <row r="1008" spans="2:23" ht="12.75" customHeight="1" outlineLevel="2">
      <c r="W1008"/>
    </row>
    <row r="1009" spans="1:23" ht="12.75" customHeight="1" outlineLevel="2">
      <c r="W1009"/>
    </row>
    <row r="1010" spans="1:23" ht="12.75" customHeight="1" outlineLevel="2">
      <c r="A1010" s="628">
        <v>51</v>
      </c>
      <c r="B1010" s="626" t="str">
        <f>HBL!$AA$1429</f>
        <v>CLINKER</v>
      </c>
      <c r="C1010" s="493"/>
      <c r="D1010" s="493"/>
      <c r="E1010" s="493"/>
      <c r="F1010" s="627"/>
      <c r="W1010"/>
    </row>
    <row r="1011" spans="1:23" ht="12.75" customHeight="1" outlineLevel="3">
      <c r="F1011" s="117"/>
      <c r="W1011"/>
    </row>
    <row r="1012" spans="1:23" ht="12.75" customHeight="1" outlineLevel="3">
      <c r="B1012" s="41" t="str">
        <f>HBL!$AA$1438</f>
        <v>Clinker production rate</v>
      </c>
      <c r="F1012" s="42"/>
      <c r="G1012" s="20">
        <f>M_CLI</f>
        <v>76.25</v>
      </c>
      <c r="H1012" s="40" t="s">
        <v>363</v>
      </c>
      <c r="W1012"/>
    </row>
    <row r="1013" spans="1:23" ht="12.75" customHeight="1" outlineLevel="3">
      <c r="B1013" s="41" t="str">
        <f>HBL!$AA$1439</f>
        <v>Clinker dust recirculation at the kiln discharge</v>
      </c>
      <c r="F1013" s="42"/>
      <c r="G1013" s="20">
        <f>IF(M_CLI="","",IF(CLI_DUST="",,CLI_DUST))</f>
        <v>1</v>
      </c>
      <c r="H1013" s="41" t="s">
        <v>297</v>
      </c>
      <c r="W1013"/>
    </row>
    <row r="1014" spans="1:23" ht="12.75" customHeight="1" outlineLevel="3">
      <c r="B1014" s="41" t="str">
        <f>HBL!$AA$1433</f>
        <v>Clinker temperature at kiln discharge</v>
      </c>
      <c r="F1014" s="42"/>
      <c r="G1014">
        <f>IF(T_CLIHOT="","",T_CLIHOT)</f>
        <v>1450</v>
      </c>
      <c r="H1014" s="40" t="s">
        <v>299</v>
      </c>
      <c r="W1014"/>
    </row>
    <row r="1015" spans="1:23" ht="12.75" customHeight="1" outlineLevel="3">
      <c r="B1015" t="str">
        <f>HBL!$AA$1297</f>
        <v>cp clinker</v>
      </c>
      <c r="F1015" s="42"/>
      <c r="G1015" s="17">
        <f>IF(T_CLIHOT="","",((0.729+5.921*10^-4*T_CLIHOT-5.369*10^-7*T_CLIHOT^2+2.124*10^-10*T_CLIHOT^3)*T_CLIHOT-(0.729+5.921*10^-4*20-5.369*10^-7*20^2+2.124*10^-10*20^3)*20)/(T_CLIHOT-20))</f>
        <v>1.1113541512</v>
      </c>
      <c r="H1015" s="40" t="s">
        <v>303</v>
      </c>
      <c r="W1015"/>
    </row>
    <row r="1016" spans="1:23" ht="12.75" customHeight="1" outlineLevel="3" thickBot="1">
      <c r="F1016" s="117"/>
      <c r="W1016"/>
    </row>
    <row r="1017" spans="1:23" ht="12.75" customHeight="1" outlineLevel="3" thickBot="1">
      <c r="B1017" s="41" t="str">
        <f>HBL!$AA$1621</f>
        <v>Heat input from hot clinker</v>
      </c>
      <c r="F1017" s="117"/>
      <c r="G1017" s="159">
        <f>IF(M_CLI="","",M_CLI*(1+CLI_DUST/100)*CP_CLIHOT*(T_CLIHOT-20))</f>
        <v>122391.07104408472</v>
      </c>
      <c r="H1017" s="2" t="s">
        <v>371</v>
      </c>
      <c r="I1017" s="551">
        <f>IF(G1017="","",G1017/M_CLI)</f>
        <v>1605.1288005781603</v>
      </c>
      <c r="J1017" s="40" t="s">
        <v>315</v>
      </c>
      <c r="W1017"/>
    </row>
    <row r="1018" spans="1:23" ht="12.75" customHeight="1" outlineLevel="3" thickTop="1">
      <c r="W1018"/>
    </row>
    <row r="1019" spans="1:23" ht="12.75" customHeight="1" outlineLevel="2">
      <c r="F1019" s="117"/>
      <c r="G1019" s="121"/>
      <c r="H1019" s="41"/>
      <c r="I1019" s="121"/>
      <c r="J1019" s="41"/>
      <c r="W1019"/>
    </row>
    <row r="1020" spans="1:23" ht="12.75" customHeight="1" outlineLevel="2">
      <c r="A1020" s="628">
        <v>52</v>
      </c>
      <c r="B1020" s="626" t="str">
        <f>HBL!$AA$1411</f>
        <v>COOLING AIR</v>
      </c>
      <c r="C1020" s="493"/>
      <c r="D1020" s="493"/>
      <c r="E1020" s="493"/>
      <c r="F1020" s="627"/>
      <c r="W1020"/>
    </row>
    <row r="1021" spans="1:23" ht="12.75" customHeight="1" outlineLevel="3">
      <c r="B1021" s="9"/>
    </row>
    <row r="1022" spans="1:23" ht="12.75" customHeight="1" outlineLevel="3"/>
    <row r="1023" spans="1:23" ht="12.75" customHeight="1" outlineLevel="3">
      <c r="B1023" s="656" t="str">
        <f>HBL!$AA$1595</f>
        <v>Fan</v>
      </c>
      <c r="C1023" s="657">
        <v>1</v>
      </c>
      <c r="D1023" s="657">
        <v>2</v>
      </c>
      <c r="E1023" s="657">
        <v>3</v>
      </c>
      <c r="F1023" s="657">
        <v>4</v>
      </c>
      <c r="G1023" s="657">
        <v>5</v>
      </c>
      <c r="H1023" s="657">
        <v>6</v>
      </c>
      <c r="I1023" s="657">
        <v>7</v>
      </c>
      <c r="J1023" s="657">
        <v>8</v>
      </c>
    </row>
    <row r="1024" spans="1:23" ht="12.75" customHeight="1" outlineLevel="3">
      <c r="B1024" s="43" t="s">
        <v>344</v>
      </c>
      <c r="C1024" s="55">
        <f>IF(T_FAN1=0,"",T_FAN1)</f>
        <v>40</v>
      </c>
      <c r="D1024" s="55">
        <f>IF(T_FAN2=0,"",T_FAN2)</f>
        <v>40</v>
      </c>
      <c r="E1024" s="55">
        <f>IF(T_FAN3=0,"",T_FAN3)</f>
        <v>40</v>
      </c>
      <c r="F1024" s="55">
        <f>IF(T_FAN4=0,"",T_FAN4)</f>
        <v>40</v>
      </c>
      <c r="G1024" s="55">
        <f>IF(T_FAN5=0,"",T_FAN5)</f>
        <v>40</v>
      </c>
      <c r="H1024" s="55">
        <f>IF(T_FAN6=0,"",T_FAN6)</f>
        <v>40</v>
      </c>
      <c r="I1024" s="55" t="str">
        <f>IF(T_FAN7=0,"",T_FAN7)</f>
        <v/>
      </c>
      <c r="J1024" s="55" t="str">
        <f>IF(T_FAN8=0,"",T_FAN8)</f>
        <v/>
      </c>
    </row>
    <row r="1025" spans="1:10" ht="12.75" customHeight="1" outlineLevel="3">
      <c r="B1025" s="43" t="s">
        <v>345</v>
      </c>
      <c r="C1025" s="164">
        <f>IF(VN_FAN1="","",VN_FAN1)</f>
        <v>30841.882603864397</v>
      </c>
      <c r="D1025" s="164">
        <f>IF(VN_FAN2="","",VN_FAN2)</f>
        <v>11320.816783586557</v>
      </c>
      <c r="E1025" s="164">
        <f>IF(VN_FAN3="","",VN_FAN3)</f>
        <v>26646.659549761644</v>
      </c>
      <c r="F1025" s="164">
        <f>IF(VN_FAN4="","",VN_FAN4)</f>
        <v>27920.544962691551</v>
      </c>
      <c r="G1025" s="164">
        <f>IF(VN_FAN5="","",VN_FAN5)</f>
        <v>25229.271328652922</v>
      </c>
      <c r="H1025" s="164">
        <f>IF(VN_FAN6="","",VN_FAN6)</f>
        <v>36845.008524534227</v>
      </c>
      <c r="I1025" s="164" t="str">
        <f>IF(VN_FAN7="","",VN_FAN7)</f>
        <v/>
      </c>
      <c r="J1025" s="164" t="str">
        <f>IF(VN_FAN8="","",VN_FAN8)</f>
        <v/>
      </c>
    </row>
    <row r="1026" spans="1:10" ht="12.75" customHeight="1" outlineLevel="3">
      <c r="B1026" s="43" t="s">
        <v>356</v>
      </c>
      <c r="C1026" s="55">
        <f>IF(C1025="","",C756)</f>
        <v>802.30361557840808</v>
      </c>
      <c r="D1026" s="55">
        <f t="shared" ref="D1026:J1026" si="14">IF(D1025="","",D756)</f>
        <v>294.49344430207316</v>
      </c>
      <c r="E1026" s="55">
        <f t="shared" si="14"/>
        <v>693.17141156558296</v>
      </c>
      <c r="F1026" s="55">
        <f t="shared" si="14"/>
        <v>726.30955964018199</v>
      </c>
      <c r="G1026" s="55">
        <f t="shared" si="14"/>
        <v>656.30026108881896</v>
      </c>
      <c r="H1026" s="55">
        <f t="shared" si="14"/>
        <v>958.46560130370199</v>
      </c>
      <c r="I1026" s="55" t="str">
        <f t="shared" si="14"/>
        <v/>
      </c>
      <c r="J1026" s="55" t="str">
        <f t="shared" si="14"/>
        <v/>
      </c>
    </row>
    <row r="1027" spans="1:10" ht="12.75" customHeight="1" outlineLevel="3">
      <c r="B1027" s="656" t="str">
        <f>HBL!$AA$1595</f>
        <v>Fan</v>
      </c>
      <c r="C1027" s="657">
        <v>9</v>
      </c>
      <c r="D1027" s="657">
        <v>10</v>
      </c>
      <c r="E1027" s="657">
        <v>11</v>
      </c>
      <c r="F1027" s="657">
        <v>12</v>
      </c>
      <c r="G1027" s="658">
        <v>13</v>
      </c>
      <c r="H1027" s="659"/>
      <c r="I1027" s="657"/>
      <c r="J1027" s="657"/>
    </row>
    <row r="1028" spans="1:10" ht="12.75" customHeight="1" outlineLevel="3">
      <c r="B1028" s="43" t="s">
        <v>344</v>
      </c>
      <c r="C1028" s="55" t="str">
        <f>IF(T_FAN9=0,"",T_FAN9)</f>
        <v/>
      </c>
      <c r="D1028" s="55" t="str">
        <f>IF(T_FAN10=0,"",T_FAN10)</f>
        <v/>
      </c>
      <c r="E1028" s="55" t="str">
        <f>IF(T_FAN11=0,"",T_FAN11)</f>
        <v/>
      </c>
      <c r="F1028" s="55" t="str">
        <f>IF(T_FAN12=0,"",T_FAN12)</f>
        <v/>
      </c>
      <c r="G1028" s="55" t="str">
        <f>IF(T_FAN13=0,"",T_FAN13)</f>
        <v/>
      </c>
      <c r="H1028" s="111"/>
      <c r="I1028" s="55"/>
      <c r="J1028" s="55"/>
    </row>
    <row r="1029" spans="1:10" ht="12.75" customHeight="1" outlineLevel="3">
      <c r="B1029" s="43" t="s">
        <v>345</v>
      </c>
      <c r="C1029" s="164" t="str">
        <f>IF(VN_FAN9="","",VN_FAN9)</f>
        <v/>
      </c>
      <c r="D1029" s="164" t="str">
        <f>IF(VN_FAN10="","",VN_FAN10)</f>
        <v/>
      </c>
      <c r="E1029" s="164" t="str">
        <f>IF(VN_FAN11="","",VN_FAN11)</f>
        <v/>
      </c>
      <c r="F1029" s="164" t="str">
        <f>IF(VN_FAN12="","",VN_FAN12)</f>
        <v/>
      </c>
      <c r="G1029" s="164" t="str">
        <f>IF(VN_FAN13="","",VN_FAN13)</f>
        <v/>
      </c>
      <c r="H1029" s="165"/>
      <c r="I1029" s="164"/>
      <c r="J1029" s="164"/>
    </row>
    <row r="1030" spans="1:10" ht="12.75" customHeight="1" outlineLevel="3">
      <c r="B1030" s="21" t="s">
        <v>356</v>
      </c>
      <c r="C1030" s="112" t="str">
        <f>IF(C1029="","",(((1.297+0.0000575*T_FAN9+0.0000000806*T_FAN9^2-0.0000000000286*T_FAN9^3)*T_FAN9-(1.297+0.0000575*20+0.0000000806*20^2-0.0000000000286*20^3)*20)/(T_FAN9-20)))</f>
        <v/>
      </c>
      <c r="D1030" s="112" t="str">
        <f>IF(D1029="","",(((1.297+0.0000575*T_FAN10+0.0000000806*T_FAN10^2-0.0000000000286*T_FAN10^3)*T_FAN10-(1.297+0.0000575*20+0.0000000806*20^2-0.0000000000286*20^3)*20)/(T_FAN10-20)))</f>
        <v/>
      </c>
      <c r="E1030" s="112" t="str">
        <f>IF(E1029="","",(((1.297+0.0000575*T_FAN11+0.0000000806*T_FAN11^2-0.0000000000286*T_FAN11^3)*T_FAN11-(1.297+0.0000575*20+0.0000000806*20^2-0.0000000000286*20^3)*20)/(T_FAN11-20)))</f>
        <v/>
      </c>
      <c r="F1030" s="112" t="str">
        <f>IF(F1029="","",(((1.297+0.0000575*T_FAN12+0.0000000806*T_FAN12^2-0.0000000000286*T_FAN12^3)*T_FAN12-(1.297+0.0000575*20+0.0000000806*20^2-0.0000000000286*20^3)*20)/(T_FAN12-20)))</f>
        <v/>
      </c>
      <c r="G1030" s="112" t="str">
        <f>IF(G1029="","",(((1.297+0.0000575*T_FAN13+0.0000000806*T_FAN13^2-0.0000000000286*T_FAN13^3)*T_FAN13-(1.297+0.0000575*20+0.0000000806*20^2-0.0000000000286*20^3)*20)/(T_FAN13-20)))</f>
        <v/>
      </c>
      <c r="H1030" s="113"/>
      <c r="I1030" s="112"/>
      <c r="J1030" s="112"/>
    </row>
    <row r="1031" spans="1:10" ht="12.75" customHeight="1" outlineLevel="3">
      <c r="H1031" s="2"/>
    </row>
    <row r="1032" spans="1:10" ht="12.75" customHeight="1" outlineLevel="3" thickBot="1"/>
    <row r="1033" spans="1:10" ht="12.75" customHeight="1" outlineLevel="3" thickBot="1">
      <c r="B1033" t="str">
        <f>HBL!$AA$1622</f>
        <v>Heat input from cooling air</v>
      </c>
      <c r="G1033" s="163">
        <f>G763</f>
        <v>4131.0438934787671</v>
      </c>
      <c r="H1033" s="2" t="s">
        <v>371</v>
      </c>
      <c r="I1033" s="551">
        <f>IF(G1033="","",G1033/M_CLI)</f>
        <v>54.177624832508421</v>
      </c>
      <c r="J1033" s="2" t="s">
        <v>315</v>
      </c>
    </row>
    <row r="1034" spans="1:10" ht="12.75" customHeight="1" outlineLevel="3" thickTop="1"/>
    <row r="1035" spans="1:10" ht="12.75" customHeight="1" outlineLevel="2">
      <c r="F1035" s="117"/>
      <c r="G1035" s="121"/>
      <c r="H1035" s="41"/>
    </row>
    <row r="1036" spans="1:10" ht="12.75" customHeight="1" outlineLevel="2">
      <c r="A1036" s="628">
        <v>53</v>
      </c>
      <c r="B1036" s="626" t="str">
        <f>HBL!$AA$1350</f>
        <v>FALSE AIR</v>
      </c>
      <c r="C1036" s="493"/>
      <c r="D1036" s="493"/>
      <c r="E1036" s="493"/>
      <c r="F1036" s="627"/>
      <c r="G1036" s="121"/>
      <c r="H1036" s="41"/>
    </row>
    <row r="1037" spans="1:10" ht="12.75" customHeight="1" outlineLevel="3">
      <c r="F1037" s="117"/>
      <c r="G1037" s="121"/>
      <c r="H1037" s="41"/>
    </row>
    <row r="1038" spans="1:10" ht="12.75" customHeight="1" outlineLevel="3">
      <c r="B1038" t="str">
        <f>HBL!$AA$1606</f>
        <v>Flowrate air</v>
      </c>
      <c r="F1038" s="117"/>
      <c r="G1038" s="137">
        <f>IF(VN_FALSECOOLER="","",VN_FALSECOOLER)</f>
        <v>0</v>
      </c>
      <c r="H1038" s="40" t="s">
        <v>330</v>
      </c>
    </row>
    <row r="1039" spans="1:10" ht="12.75" customHeight="1" outlineLevel="3">
      <c r="B1039" t="str">
        <f>HBL!$AA$1568</f>
        <v>Temperature</v>
      </c>
      <c r="F1039" s="117"/>
      <c r="G1039" s="5">
        <f>IF(VN_FALSECOOLER="","",TAMB)</f>
        <v>32</v>
      </c>
      <c r="H1039" s="40" t="s">
        <v>299</v>
      </c>
    </row>
    <row r="1040" spans="1:10" ht="12.75" customHeight="1" outlineLevel="3">
      <c r="B1040" t="str">
        <f>HBL!$AA$1301</f>
        <v>cp air</v>
      </c>
      <c r="F1040" s="117"/>
      <c r="G1040" s="109">
        <f>IF(VN_FALSECOOLER="","",IF(VN_FALSECOOLER=20,1.29,((1.297+0.0000575*TAMB+0.0000000806*TAMB^2-0.0000000000286*TAMB^3)*TAMB-(1.297+0.0000575*20+0.0000000806*20^2-0.0000000000286*20^3)*20)/(TAMB-20)))</f>
        <v>1.3001542406272002</v>
      </c>
      <c r="H1040" s="40" t="s">
        <v>328</v>
      </c>
    </row>
    <row r="1041" spans="1:11" ht="12.75" customHeight="1" outlineLevel="3" thickBot="1">
      <c r="F1041" s="117"/>
      <c r="G1041" s="121"/>
      <c r="H1041" s="41"/>
    </row>
    <row r="1042" spans="1:11" ht="12.75" customHeight="1" outlineLevel="3" thickBot="1">
      <c r="B1042" s="40" t="str">
        <f>HBL!$AA$1335</f>
        <v>Heat input via false air</v>
      </c>
      <c r="F1042" s="117"/>
      <c r="G1042" s="110">
        <f>IF(VN_FALSECOOLER="","",VN_FALSECOOLER*CP_FALSEAIR*(TAMB-20)/1000)</f>
        <v>0</v>
      </c>
      <c r="H1042" s="40" t="s">
        <v>371</v>
      </c>
      <c r="I1042" s="551">
        <f>IF(VN_FALSECOOLER="","",G1042/M_CLI)</f>
        <v>0</v>
      </c>
      <c r="J1042" s="2" t="s">
        <v>315</v>
      </c>
    </row>
    <row r="1043" spans="1:11" ht="12.75" customHeight="1" outlineLevel="3" thickTop="1">
      <c r="F1043" s="117"/>
      <c r="G1043" s="121"/>
      <c r="H1043" s="41"/>
    </row>
    <row r="1044" spans="1:11" ht="12.75" customHeight="1" outlineLevel="2">
      <c r="F1044" s="117"/>
      <c r="G1044" s="121"/>
      <c r="H1044" s="41"/>
    </row>
    <row r="1045" spans="1:11" ht="12.75" customHeight="1" outlineLevel="2">
      <c r="A1045" s="628">
        <v>54</v>
      </c>
      <c r="B1045" s="626" t="str">
        <f>HBL!$AA$1656</f>
        <v>OTHER HEAT INPUT</v>
      </c>
      <c r="C1045" s="493"/>
      <c r="D1045" s="493"/>
      <c r="E1045" s="493"/>
      <c r="F1045" s="627"/>
      <c r="G1045" s="5"/>
      <c r="H1045" s="2"/>
      <c r="I1045" s="20"/>
    </row>
    <row r="1046" spans="1:11" ht="12.75" customHeight="1" outlineLevel="3">
      <c r="G1046" s="5"/>
      <c r="H1046" s="2"/>
      <c r="I1046" s="20"/>
    </row>
    <row r="1047" spans="1:11" ht="12.75" customHeight="1" outlineLevel="3" thickBot="1">
      <c r="B1047" s="124"/>
      <c r="C1047" s="124"/>
      <c r="D1047" s="124"/>
      <c r="E1047" s="124"/>
      <c r="F1047" s="124"/>
      <c r="G1047" s="125"/>
      <c r="H1047" s="126"/>
      <c r="I1047" s="127"/>
      <c r="J1047" s="124"/>
    </row>
    <row r="1048" spans="1:11" ht="12.75" customHeight="1" outlineLevel="3" thickBot="1">
      <c r="B1048" s="124"/>
      <c r="C1048" s="124"/>
      <c r="D1048" s="124"/>
      <c r="E1048" s="124"/>
      <c r="F1048" s="124"/>
      <c r="G1048" s="128"/>
      <c r="H1048" s="126" t="s">
        <v>371</v>
      </c>
      <c r="I1048" s="625" t="str">
        <f>IF(G1048="","",G1048/M_CLI)</f>
        <v/>
      </c>
      <c r="J1048" s="126" t="s">
        <v>315</v>
      </c>
    </row>
    <row r="1049" spans="1:11" ht="12.75" customHeight="1" outlineLevel="2" thickTop="1">
      <c r="G1049" s="5"/>
      <c r="H1049" s="2"/>
      <c r="I1049" s="20"/>
      <c r="J1049" s="2"/>
    </row>
    <row r="1050" spans="1:11" ht="12.75" customHeight="1" outlineLevel="1">
      <c r="G1050" s="5"/>
      <c r="H1050" s="2"/>
      <c r="I1050" s="20"/>
      <c r="J1050" s="2"/>
    </row>
    <row r="1051" spans="1:11" ht="15.5" outlineLevel="1">
      <c r="B1051" s="499" t="str">
        <f>HBL!$AA$1614</f>
        <v>HEAT OUTPUT</v>
      </c>
      <c r="C1051" s="499"/>
      <c r="D1051" s="499"/>
      <c r="E1051" s="499"/>
      <c r="F1051" s="499"/>
      <c r="G1051" s="499"/>
      <c r="H1051" s="499"/>
      <c r="I1051" s="499"/>
      <c r="J1051" s="499"/>
      <c r="K1051" s="588"/>
    </row>
    <row r="1052" spans="1:11" ht="12.75" customHeight="1" outlineLevel="2">
      <c r="B1052" s="118"/>
      <c r="F1052" s="117"/>
    </row>
    <row r="1053" spans="1:11" ht="12.75" customHeight="1" outlineLevel="2"/>
    <row r="1054" spans="1:11" ht="12.75" customHeight="1" outlineLevel="2">
      <c r="A1054" s="628">
        <v>61</v>
      </c>
      <c r="B1054" s="626" t="str">
        <f>HBL!$AA$1429</f>
        <v>CLINKER</v>
      </c>
      <c r="C1054" s="493"/>
      <c r="D1054" s="493"/>
      <c r="E1054" s="493"/>
      <c r="F1054" s="627"/>
    </row>
    <row r="1055" spans="1:11" ht="12.75" customHeight="1" outlineLevel="3"/>
    <row r="1056" spans="1:11" ht="12.75" customHeight="1" outlineLevel="3">
      <c r="B1056" s="40" t="str">
        <f>HBL!$AA$1438</f>
        <v>Clinker production rate</v>
      </c>
      <c r="G1056" s="20">
        <f>M_CLI</f>
        <v>76.25</v>
      </c>
      <c r="H1056" s="2" t="s">
        <v>363</v>
      </c>
    </row>
    <row r="1057" spans="1:14" ht="12.75" customHeight="1" outlineLevel="3">
      <c r="B1057" s="40" t="str">
        <f>HBL!$AA$1435</f>
        <v>Clinker exit temperature at cooler discharge</v>
      </c>
      <c r="F1057" s="42"/>
      <c r="G1057" s="5">
        <f>IF(T_CLI="","",T_CLI)</f>
        <v>121</v>
      </c>
      <c r="H1057" s="40" t="s">
        <v>299</v>
      </c>
    </row>
    <row r="1058" spans="1:14" ht="12.75" customHeight="1" outlineLevel="3">
      <c r="B1058" t="str">
        <f>HBL!$AA$1297</f>
        <v>cp clinker</v>
      </c>
      <c r="F1058" s="42"/>
      <c r="G1058" s="109">
        <f>CP_CLI</f>
        <v>0.80356174298439997</v>
      </c>
      <c r="H1058" s="40" t="s">
        <v>314</v>
      </c>
    </row>
    <row r="1059" spans="1:14" ht="12.75" customHeight="1" outlineLevel="3" thickBot="1">
      <c r="F1059" s="117"/>
    </row>
    <row r="1060" spans="1:14" ht="12.75" customHeight="1" outlineLevel="3" thickBot="1">
      <c r="B1060" s="41" t="str">
        <f>HBL!$AA$1329</f>
        <v>Heat output via the clinker</v>
      </c>
      <c r="F1060" s="117"/>
      <c r="G1060" s="159">
        <f>IF(M_CLI="","",M_CLI*CP_CLI*(T_CLI-20))</f>
        <v>6188.4298731586105</v>
      </c>
      <c r="H1060" s="40" t="s">
        <v>371</v>
      </c>
      <c r="I1060" s="551">
        <f>IF(G1060="","",G1060/M_CLI)</f>
        <v>81.159736041424395</v>
      </c>
      <c r="J1060" s="2" t="s">
        <v>315</v>
      </c>
    </row>
    <row r="1061" spans="1:14" ht="12.75" customHeight="1" outlineLevel="3" thickTop="1">
      <c r="F1061" s="117"/>
      <c r="G1061" s="121"/>
      <c r="H1061" s="41"/>
      <c r="I1061" s="31"/>
      <c r="J1061" s="41"/>
      <c r="L1061" s="18"/>
    </row>
    <row r="1062" spans="1:14" ht="12.75" customHeight="1" outlineLevel="2">
      <c r="F1062" s="117"/>
    </row>
    <row r="1063" spans="1:14" ht="12.75" customHeight="1" outlineLevel="2">
      <c r="A1063" s="628">
        <v>62</v>
      </c>
      <c r="B1063" s="626" t="str">
        <f>HBL!$AA$1528</f>
        <v>SECONDARY AIR AND WATER VAPOR</v>
      </c>
      <c r="C1063" s="493"/>
      <c r="D1063" s="493"/>
      <c r="E1063" s="493"/>
      <c r="F1063" s="627"/>
      <c r="N1063" s="20"/>
    </row>
    <row r="1064" spans="1:14" ht="12.75" customHeight="1" outlineLevel="3"/>
    <row r="1065" spans="1:14" ht="12.75" customHeight="1" outlineLevel="3">
      <c r="B1065" t="str">
        <f>HBL!$AA$1606</f>
        <v>Flowrate air</v>
      </c>
      <c r="F1065" s="42"/>
      <c r="G1065" s="137">
        <f>VN_SECONDAIR</f>
        <v>20744.44112194905</v>
      </c>
      <c r="H1065" s="40" t="s">
        <v>330</v>
      </c>
      <c r="I1065" s="129"/>
    </row>
    <row r="1066" spans="1:14" ht="12.75" customHeight="1" outlineLevel="3">
      <c r="B1066" t="str">
        <f>HBL!$AA$1610</f>
        <v>Water flowrate</v>
      </c>
      <c r="F1066" s="42"/>
      <c r="G1066" s="137">
        <f>VN_H2OCOOLER</f>
        <v>0</v>
      </c>
      <c r="H1066" s="40" t="s">
        <v>330</v>
      </c>
      <c r="I1066" s="129"/>
    </row>
    <row r="1067" spans="1:14" ht="12.75" customHeight="1" outlineLevel="3">
      <c r="B1067" t="str">
        <f>HBL!$AA$1568</f>
        <v>Temperature</v>
      </c>
      <c r="F1067" s="117"/>
      <c r="G1067" s="5">
        <f>IF(T_SECONDAIR="","",T_SECONDAIR)</f>
        <v>1020</v>
      </c>
      <c r="H1067" s="2" t="s">
        <v>299</v>
      </c>
    </row>
    <row r="1068" spans="1:14" ht="12.75" customHeight="1" outlineLevel="3">
      <c r="B1068" t="str">
        <f>HBL!$AA$1301</f>
        <v>cp air</v>
      </c>
      <c r="E1068" s="17"/>
      <c r="F1068" s="117"/>
      <c r="G1068" s="17">
        <f>IF(T_SECONDAIR="","",IF(T_SECONDAIR&lt;500,"ERROR",((1.297+0.0000575*T_SECONDAIR+0.0000000806*T_SECONDAIR^2-0.0000000000286*T_SECONDAIR^3)*T_SECONDAIR-(1.297+0.0000575*20+0.0000000806*20^2-0.0000000000286*20^3)*20)/(T_SECONDAIR-20)))</f>
        <v>1.4113751647999999</v>
      </c>
      <c r="H1068" s="2" t="s">
        <v>328</v>
      </c>
    </row>
    <row r="1069" spans="1:14" ht="12.75" customHeight="1" outlineLevel="3">
      <c r="B1069" t="str">
        <f>HBL!$AA$1306</f>
        <v>cp water vapor</v>
      </c>
      <c r="F1069" s="117"/>
      <c r="G1069" s="109">
        <f>IF(OR(T_SECONDAIR="", VN_H2OCOOLER=""),"",IF(T_SECONDAIR&lt;600,"ERROR",IF(T_SECONDAIR&gt;1450,"ERROR",1.62+(1.75-1.62)/(1100-600)*(T_SECONDAIR-600))))</f>
        <v>1.7292000000000001</v>
      </c>
      <c r="H1069" s="2" t="s">
        <v>328</v>
      </c>
    </row>
    <row r="1070" spans="1:14" ht="12.75" customHeight="1" outlineLevel="3">
      <c r="F1070" s="117"/>
      <c r="G1070" s="137">
        <f>IF(VN_SECONDAIR="","", IF(VN_H2OCOOLER="", VN_SECONDAIR*CP_SECONDAIR*(T_SECONDAIR-20)/1000, VN_SECONDAIR*CP_SECONDAIR*(T_SECONDAIR-20)/1000+VN_TERTAIR/(VN_TERTAIR+VN_SECONDAIR)*VN_H2OCOOLER*CP_H2Ovap*(T_SECONDAIR-20)/1000))</f>
        <v>29278.189007174737</v>
      </c>
      <c r="H1070" s="40" t="s">
        <v>371</v>
      </c>
    </row>
    <row r="1071" spans="1:14" ht="12.75" customHeight="1" outlineLevel="3">
      <c r="F1071" s="117"/>
      <c r="G1071" s="17"/>
      <c r="H1071" s="2"/>
    </row>
    <row r="1072" spans="1:14" ht="12.75" customHeight="1" outlineLevel="3">
      <c r="B1072" t="str">
        <f>HBL!$AA$1439</f>
        <v>Clinker dust recirculation at the kiln discharge</v>
      </c>
      <c r="F1072" s="117"/>
      <c r="G1072" s="5">
        <f>IF(M_CLI="","",M_CLI*CLI_DUST/100*VN_SECONDAIR/(VN_TERTAIR+VN_SECONDAIR))</f>
        <v>0.21655214779009774</v>
      </c>
      <c r="H1072" s="18" t="s">
        <v>363</v>
      </c>
      <c r="I1072" t="s">
        <v>1103</v>
      </c>
    </row>
    <row r="1073" spans="1:17" ht="12.75" customHeight="1" outlineLevel="3">
      <c r="B1073" t="str">
        <f>HBL!$AA$1298</f>
        <v>cp clinker dust</v>
      </c>
      <c r="F1073" s="117"/>
      <c r="G1073" s="109">
        <f>IF(M_CLIDUST="","",IF(T_SECONDAIR&lt;500,"ERROR",((0.729+5.921*10^-4*T_SECONDAIR-5.369*10^-7*T_SECONDAIR^2+2.124*10^-10*T_SECONDAIR^3)*T_SECONDAIR-(0.729+5.921*10^-4*20-5.369*10^-7*20^2+2.124*10^-10*20^3)*20)/(T_SECONDAIR-20)))</f>
        <v>1.0049342768</v>
      </c>
      <c r="H1073" s="18" t="s">
        <v>304</v>
      </c>
    </row>
    <row r="1074" spans="1:17" ht="12.75" customHeight="1" outlineLevel="3">
      <c r="F1074" s="117"/>
      <c r="G1074" s="5">
        <f>IF(M_CLIDUST="","",M_CLIDUST*CP_CLIDUST*(T_SECONDAIR-20))</f>
        <v>217.62067602892859</v>
      </c>
      <c r="H1074" s="40" t="s">
        <v>371</v>
      </c>
    </row>
    <row r="1075" spans="1:17" ht="12.75" customHeight="1" outlineLevel="3" thickBot="1">
      <c r="B1075" s="41"/>
      <c r="F1075" s="42"/>
      <c r="H1075" s="41"/>
    </row>
    <row r="1076" spans="1:17" ht="12.75" customHeight="1" outlineLevel="3" thickBot="1">
      <c r="B1076" s="40" t="str">
        <f>HBL!$AA$1330</f>
        <v>Heat output via secondary air</v>
      </c>
      <c r="F1076" s="42"/>
      <c r="G1076" s="159">
        <f>IF(G1070="","",IF(G1074="",G1070,G1070+G1074))</f>
        <v>29495.809683203664</v>
      </c>
      <c r="H1076" s="40" t="s">
        <v>371</v>
      </c>
      <c r="I1076" s="551">
        <f>IF(G1076="","",G1076/M_CLI)</f>
        <v>386.83029092726116</v>
      </c>
      <c r="J1076" s="2" t="s">
        <v>315</v>
      </c>
    </row>
    <row r="1077" spans="1:17" ht="12.75" customHeight="1" outlineLevel="3" thickTop="1">
      <c r="B1077" s="40"/>
      <c r="F1077" s="42"/>
      <c r="G1077" s="137"/>
      <c r="H1077" s="40"/>
      <c r="I1077" s="20"/>
      <c r="J1077" s="2"/>
      <c r="Q1077" s="210"/>
    </row>
    <row r="1078" spans="1:17" ht="12.75" customHeight="1" outlineLevel="3">
      <c r="B1078" t="str">
        <f>HBL!$AA$1439</f>
        <v>Clinker dust recirculation at the kiln discharge</v>
      </c>
      <c r="F1078" s="117"/>
      <c r="G1078" s="5">
        <f>IF(M_CLI="","",M_CLI*CLI_DUST/100)</f>
        <v>0.76249999999999996</v>
      </c>
      <c r="H1078" s="18" t="s">
        <v>363</v>
      </c>
      <c r="I1078" s="20" t="s">
        <v>263</v>
      </c>
      <c r="J1078" s="2"/>
      <c r="Q1078" s="210"/>
    </row>
    <row r="1079" spans="1:17" ht="12.75" customHeight="1" outlineLevel="3">
      <c r="B1079" t="str">
        <f>HBL!$AA$1298&amp; " @"&amp; G1014&amp;"°C"</f>
        <v>cp clinker dust @1450°C</v>
      </c>
      <c r="F1079" s="117"/>
      <c r="G1079" s="109">
        <f>CP_CLIHOT</f>
        <v>1.1113541512</v>
      </c>
      <c r="H1079" s="18" t="s">
        <v>304</v>
      </c>
      <c r="I1079" s="20"/>
      <c r="J1079" s="2"/>
      <c r="Q1079" s="210"/>
    </row>
    <row r="1080" spans="1:17" ht="12.75" customHeight="1" outlineLevel="3">
      <c r="F1080" s="117"/>
      <c r="G1080" s="5">
        <f>IF(M_CLIDUST="","",G1078*G1079*(1450-20))</f>
        <v>1211.7927826146999</v>
      </c>
      <c r="H1080" s="40" t="s">
        <v>371</v>
      </c>
      <c r="I1080" s="20"/>
      <c r="J1080" s="2"/>
      <c r="Q1080" s="210"/>
    </row>
    <row r="1081" spans="1:17" ht="12.75" customHeight="1" outlineLevel="3" thickBot="1">
      <c r="I1081" s="20"/>
      <c r="J1081" s="2"/>
      <c r="Q1081" s="210"/>
    </row>
    <row r="1082" spans="1:17" ht="12.75" customHeight="1" outlineLevel="3" thickBot="1">
      <c r="B1082" t="s">
        <v>761</v>
      </c>
      <c r="G1082" s="159">
        <f>G1076+G1095-G1033*(F546+F548)/F538-G1080</f>
        <v>89017.743388274248</v>
      </c>
      <c r="H1082" t="s">
        <v>371</v>
      </c>
      <c r="I1082" s="551">
        <f>IF(G1082="","",G1082/M_CLI)</f>
        <v>1167.4458149281868</v>
      </c>
      <c r="J1082" s="2" t="s">
        <v>315</v>
      </c>
      <c r="Q1082" s="210"/>
    </row>
    <row r="1083" spans="1:17" ht="12.75" customHeight="1" outlineLevel="2" thickTop="1">
      <c r="B1083" s="41"/>
      <c r="F1083" s="42"/>
      <c r="H1083" s="41"/>
    </row>
    <row r="1084" spans="1:17" ht="12.75" customHeight="1" outlineLevel="2">
      <c r="A1084" s="628">
        <v>63</v>
      </c>
      <c r="B1084" s="626" t="str">
        <f>HBL!$AA$1575</f>
        <v>TERTIARY AIR</v>
      </c>
      <c r="C1084" s="493"/>
      <c r="D1084" s="493"/>
      <c r="E1084" s="493"/>
      <c r="F1084" s="627"/>
      <c r="H1084" s="41"/>
    </row>
    <row r="1085" spans="1:17" ht="12.75" customHeight="1" outlineLevel="3">
      <c r="B1085" s="41"/>
      <c r="F1085" s="42"/>
      <c r="H1085" s="41"/>
    </row>
    <row r="1086" spans="1:17" ht="12.75" customHeight="1" outlineLevel="3">
      <c r="B1086" t="str">
        <f>HBL!$AA$1606</f>
        <v>Flowrate air</v>
      </c>
      <c r="F1086" s="42"/>
      <c r="G1086" s="137">
        <f>IF(OR(VN_TERTAIR="",PRECAL&lt;3),"",VN_TERTAIR)</f>
        <v>52298.641188266854</v>
      </c>
      <c r="H1086" s="40" t="s">
        <v>330</v>
      </c>
    </row>
    <row r="1087" spans="1:17" ht="12.75" customHeight="1" outlineLevel="3">
      <c r="B1087" t="str">
        <f>HBL!$AA$1568</f>
        <v>Temperature</v>
      </c>
      <c r="F1087" s="42"/>
      <c r="G1087" s="5">
        <f>IF(T_TERTAIR="","",T_TERTAIR)</f>
        <v>874</v>
      </c>
      <c r="H1087" s="2" t="s">
        <v>299</v>
      </c>
    </row>
    <row r="1088" spans="1:17" ht="12.75" customHeight="1" outlineLevel="3">
      <c r="B1088" t="str">
        <f>HBL!$AA$1301</f>
        <v>cp air</v>
      </c>
      <c r="F1088" s="42"/>
      <c r="G1088" s="109">
        <f>IF(T_TERTAIR="","",IF(T_TERTAIR&lt;600,"ERROR",((1.297+0.0000575*T_TERTAIR+0.0000000806*T_TERTAIR^2-0.0000000000286*T_TERTAIR^3)*T_TERTAIR-(1.297+0.0000575*20+0.0000000806*20^2-0.0000000000286*20^3)*20)/(T_TERTAIR-20)))</f>
        <v>1.3918732191216001</v>
      </c>
      <c r="H1088" s="2" t="s">
        <v>328</v>
      </c>
    </row>
    <row r="1089" spans="1:10" ht="12.75" customHeight="1" outlineLevel="3">
      <c r="B1089" t="str">
        <f>HBL!$AA$1306</f>
        <v>cp water vapor</v>
      </c>
      <c r="F1089" s="117"/>
      <c r="G1089" s="109">
        <f>IF(OR(T_TERTAIR="", VN_H2OCOOLER=""),"",IF(T_TERTAIR&lt;600,"ERROR",IF(T_TERTAIR&gt;1450,"ERROR",1.62+(1.75-1.62)/(1100-600)*(T_TERTAIR-600))))</f>
        <v>1.6912400000000001</v>
      </c>
      <c r="H1089" s="2" t="s">
        <v>328</v>
      </c>
    </row>
    <row r="1090" spans="1:10" ht="12.75" customHeight="1" outlineLevel="3">
      <c r="B1090" t="str">
        <f>HBL!$AA$1439</f>
        <v>Clinker dust recirculation at the kiln discharge</v>
      </c>
      <c r="F1090" s="117"/>
      <c r="G1090" s="5">
        <f>IF(M_CLI="","",M_CLI*CLI_DUST/100*VN_TERTAIR/(VN_TERTAIR+VN_SECONDAIR))</f>
        <v>0.54594785220990216</v>
      </c>
      <c r="H1090" s="18" t="s">
        <v>363</v>
      </c>
      <c r="I1090" t="s">
        <v>1102</v>
      </c>
    </row>
    <row r="1091" spans="1:10" ht="12.75" customHeight="1" outlineLevel="3">
      <c r="B1091" t="str">
        <f>HBL!$AA$1298</f>
        <v>cp clinker dust</v>
      </c>
      <c r="F1091" s="117"/>
      <c r="G1091" s="109">
        <f>IF(M_CLIDUST="","",IF(T_SECONDAIR&lt;500,"ERROR",((0.729+5.921*10^-4*T_SECONDAIR-5.369*10^-7*T_SECONDAIR^2+2.124*10^-10*T_SECONDAIR^3)*T_SECONDAIR-(0.729+5.921*10^-4*20-5.369*10^-7*20^2+2.124*10^-10*20^3)*20)/(T_SECONDAIR-20)))</f>
        <v>1.0049342768</v>
      </c>
      <c r="H1091" s="18" t="s">
        <v>304</v>
      </c>
    </row>
    <row r="1092" spans="1:10" ht="12.75" customHeight="1" outlineLevel="3">
      <c r="F1092" s="117"/>
      <c r="G1092" s="5">
        <f>IF(G1090="","",G1090*G1091*(G1087-20))</f>
        <v>468.54002036653492</v>
      </c>
      <c r="H1092" s="40" t="s">
        <v>371</v>
      </c>
    </row>
    <row r="1093" spans="1:10" ht="12.75" customHeight="1" outlineLevel="3">
      <c r="F1093" s="117"/>
      <c r="G1093" s="17"/>
      <c r="H1093" s="2"/>
    </row>
    <row r="1094" spans="1:10" ht="12.75" customHeight="1" outlineLevel="3" thickBot="1">
      <c r="F1094" s="117"/>
      <c r="G1094" s="17"/>
      <c r="H1094" s="2"/>
    </row>
    <row r="1095" spans="1:10" ht="12.75" customHeight="1" outlineLevel="3" thickBot="1">
      <c r="B1095" s="40" t="str">
        <f>HBL!$AA$1336</f>
        <v>Heat output via tertiary air</v>
      </c>
      <c r="F1095" s="42"/>
      <c r="G1095" s="159">
        <f>IF(VN_TERTAIR=0,0,VN_TERTAIR*CP_TERTAIR*(T_TERTAIR-20)/1000+G1092+VN_TERTAIR/(VN_TERTAIR+VN_SECONDAIR)*VN_H2OCOOLER*CP_H2OvapTA*(T_TERTAIR-20)/1000)</f>
        <v>62633.82868907084</v>
      </c>
      <c r="H1095" s="40" t="s">
        <v>371</v>
      </c>
      <c r="I1095" s="551">
        <f>IF(G1095="","",G1095/M_CLI)</f>
        <v>821.42726149601106</v>
      </c>
      <c r="J1095" s="2" t="s">
        <v>315</v>
      </c>
    </row>
    <row r="1096" spans="1:10" ht="12.75" customHeight="1" outlineLevel="3" thickTop="1">
      <c r="B1096" s="40"/>
      <c r="F1096" s="42"/>
      <c r="G1096" s="137"/>
      <c r="H1096" s="40"/>
      <c r="I1096" s="20"/>
      <c r="J1096" s="2"/>
    </row>
    <row r="1097" spans="1:10" ht="12.75" customHeight="1" outlineLevel="2">
      <c r="F1097" s="117"/>
    </row>
    <row r="1098" spans="1:10" ht="12.75" customHeight="1" outlineLevel="2">
      <c r="A1098" s="628">
        <v>64</v>
      </c>
      <c r="B1098" s="626" t="str">
        <f>HBL!$AA$1414</f>
        <v>COOLER MIDDLE AIR</v>
      </c>
      <c r="C1098" s="493"/>
      <c r="D1098" s="493"/>
      <c r="E1098" s="493"/>
      <c r="F1098" s="627"/>
    </row>
    <row r="1099" spans="1:10" ht="12.75" customHeight="1" outlineLevel="3">
      <c r="F1099" s="117"/>
    </row>
    <row r="1100" spans="1:10" ht="12.75" customHeight="1" outlineLevel="3">
      <c r="B1100" t="str">
        <f>HBL!$AA$1606</f>
        <v>Flowrate air</v>
      </c>
      <c r="F1100" s="42"/>
      <c r="G1100" s="137">
        <f>VN_MIDDLE</f>
        <v>0</v>
      </c>
      <c r="H1100" s="40" t="s">
        <v>330</v>
      </c>
    </row>
    <row r="1101" spans="1:10" ht="12.75" customHeight="1" outlineLevel="3">
      <c r="B1101" t="str">
        <f>HBL!$AA$1568</f>
        <v>Temperature</v>
      </c>
      <c r="F1101" s="42"/>
      <c r="G1101" s="5">
        <f>IF(VN_MIDDLE="","",T_MIDDLE)</f>
        <v>0</v>
      </c>
      <c r="H1101" s="2" t="s">
        <v>299</v>
      </c>
    </row>
    <row r="1102" spans="1:10" ht="12.75" customHeight="1" outlineLevel="3">
      <c r="B1102" t="str">
        <f>HBL!$AA$1301</f>
        <v>cp air</v>
      </c>
      <c r="F1102" s="42"/>
      <c r="G1102" s="109" t="str">
        <f>CP_MIDDLE</f>
        <v/>
      </c>
      <c r="H1102" s="2" t="s">
        <v>328</v>
      </c>
    </row>
    <row r="1103" spans="1:10" ht="12.75" customHeight="1" outlineLevel="3" thickBot="1">
      <c r="H1103" s="41"/>
    </row>
    <row r="1104" spans="1:10" ht="12.75" customHeight="1" outlineLevel="3" thickBot="1">
      <c r="B1104" t="str">
        <f>HBL!$AA$1341</f>
        <v>Heat output through cooler middle air</v>
      </c>
      <c r="F1104" s="117"/>
      <c r="G1104" s="159" t="e">
        <f>IF(VN_MIDDLE="","",VN_MIDDLE*CP_MIDDLE*(T_MIDDLE-20)/1000)</f>
        <v>#VALUE!</v>
      </c>
      <c r="H1104" s="40" t="s">
        <v>371</v>
      </c>
      <c r="I1104" s="551" t="e">
        <f>IF(G1104="","",G1104/M_CLI)</f>
        <v>#VALUE!</v>
      </c>
      <c r="J1104" s="2" t="s">
        <v>315</v>
      </c>
    </row>
    <row r="1105" spans="1:10" ht="12.75" customHeight="1" outlineLevel="3" thickTop="1">
      <c r="F1105" s="117"/>
      <c r="G1105" s="121"/>
      <c r="H1105" s="41"/>
      <c r="I1105" s="121"/>
      <c r="J1105" s="41"/>
    </row>
    <row r="1106" spans="1:10" ht="12.75" customHeight="1" outlineLevel="2">
      <c r="F1106" s="117"/>
    </row>
    <row r="1107" spans="1:10" ht="12.75" customHeight="1" outlineLevel="2">
      <c r="A1107" s="628">
        <v>65</v>
      </c>
      <c r="B1107" s="626" t="str">
        <f>HBL!$AA$1408</f>
        <v>COOLER WASTE AIR AND WATER VAPOR</v>
      </c>
      <c r="C1107" s="493"/>
      <c r="D1107" s="493"/>
      <c r="E1107" s="493"/>
      <c r="F1107" s="627"/>
    </row>
    <row r="1108" spans="1:10" ht="12.75" customHeight="1" outlineLevel="3">
      <c r="F1108" s="117"/>
    </row>
    <row r="1109" spans="1:10" ht="12.75" customHeight="1" outlineLevel="3">
      <c r="B1109" t="str">
        <f>HBL!$AA$1606</f>
        <v>Flowrate air</v>
      </c>
      <c r="F1109" s="42"/>
      <c r="G1109" s="137">
        <f>IF(VN_WASTE="","",VN_WASTE)</f>
        <v>86045</v>
      </c>
      <c r="H1109" s="40" t="s">
        <v>330</v>
      </c>
    </row>
    <row r="1110" spans="1:10" ht="12.75" customHeight="1" outlineLevel="3">
      <c r="B1110" t="str">
        <f>HBL!$AA$1610</f>
        <v>Water flowrate</v>
      </c>
      <c r="F1110" s="42"/>
      <c r="G1110" s="186">
        <f>IF(AND(ISNUMBER(M_H2OCOOLER), Cooler=1),M_H2OCOOLER*1.24, "")</f>
        <v>0</v>
      </c>
      <c r="H1110" s="40" t="s">
        <v>330</v>
      </c>
    </row>
    <row r="1111" spans="1:10" ht="12.75" customHeight="1" outlineLevel="3">
      <c r="B1111" t="str">
        <f>HBL!$AA$1568</f>
        <v>Temperature</v>
      </c>
      <c r="F1111" s="42"/>
      <c r="G1111" s="5">
        <f>IF(T_WASTE="","",T_WASTE)</f>
        <v>281</v>
      </c>
      <c r="H1111" s="2" t="s">
        <v>299</v>
      </c>
    </row>
    <row r="1112" spans="1:10" ht="12.75" customHeight="1" outlineLevel="3">
      <c r="B1112" t="str">
        <f>HBL!$AA$1301</f>
        <v>cp air</v>
      </c>
      <c r="F1112" s="42"/>
      <c r="G1112" s="17">
        <f>CP_WASTE</f>
        <v>1.3204737814953997</v>
      </c>
      <c r="H1112" s="2" t="s">
        <v>328</v>
      </c>
    </row>
    <row r="1113" spans="1:10" ht="12.75" customHeight="1" outlineLevel="3">
      <c r="B1113" t="str">
        <f>HBL!$AA$1306</f>
        <v>cp water vapor</v>
      </c>
      <c r="F1113" s="42"/>
      <c r="G1113" s="187">
        <f>IF(ISNUMBER($G$1110), 1.51+(T_WASTE-100)*(1.545-1.51)/(300-100), "")</f>
        <v>1.5416749999999999</v>
      </c>
      <c r="H1113" s="2" t="s">
        <v>328</v>
      </c>
    </row>
    <row r="1114" spans="1:10" ht="12.75" customHeight="1" outlineLevel="3" thickBot="1">
      <c r="H1114" s="41"/>
    </row>
    <row r="1115" spans="1:10" ht="12.75" customHeight="1" outlineLevel="3" thickBot="1">
      <c r="B1115" s="40" t="str">
        <f>HBL!$AA$1339</f>
        <v>Heat output through cooler waste air</v>
      </c>
      <c r="F1115" s="117"/>
      <c r="G1115" s="159">
        <f>IF(VN_WASTE="","", IF(AND(ISNUMBER(M_H2OCOOLER), Cooler=1), ($G$1110*$G$1113+VN_WASTE*CP_WASTE)*(T_WASTE-20)/10^3,VN_WASTE*CP_WASTE*(T_WASTE-20)/10^3))</f>
        <v>29654.86346400941</v>
      </c>
      <c r="H1115" s="40" t="s">
        <v>371</v>
      </c>
      <c r="I1115" s="551">
        <f>IF(G1115="","",G1115/M_CLI)</f>
        <v>388.91624215094311</v>
      </c>
      <c r="J1115" s="2" t="s">
        <v>315</v>
      </c>
    </row>
    <row r="1116" spans="1:10" ht="12.75" customHeight="1" outlineLevel="3" thickTop="1">
      <c r="F1116" s="117"/>
      <c r="G1116" s="121"/>
      <c r="H1116" s="41"/>
      <c r="I1116" s="121"/>
      <c r="J1116" s="41"/>
    </row>
    <row r="1117" spans="1:10" ht="12.75" customHeight="1" outlineLevel="2">
      <c r="F1117" s="117"/>
    </row>
    <row r="1118" spans="1:10" ht="12.75" customHeight="1" outlineLevel="2">
      <c r="A1118" s="628">
        <v>66</v>
      </c>
      <c r="B1118" s="626" t="str">
        <f>HBL!$AA$1558</f>
        <v>RADIATION LOSSES</v>
      </c>
      <c r="C1118" s="493"/>
      <c r="D1118" s="493"/>
      <c r="E1118" s="493"/>
      <c r="F1118" s="627"/>
    </row>
    <row r="1119" spans="1:10" ht="12.75" customHeight="1" outlineLevel="3" thickBot="1"/>
    <row r="1120" spans="1:10" ht="12.75" customHeight="1" outlineLevel="3" thickBot="1">
      <c r="B1120" s="41" t="str">
        <f>HBL!$AA$1644</f>
        <v>Heat loss from radiation</v>
      </c>
      <c r="F1120" s="117"/>
      <c r="G1120" s="110">
        <f>IF(QOUT_COOLRAD="","",QOUT_COOLRAD*M_CLI)</f>
        <v>1723.25</v>
      </c>
      <c r="H1120" s="40" t="s">
        <v>371</v>
      </c>
      <c r="I1120" s="551">
        <f>IF(QOUT_COOLRAD="","",QOUT_COOLRAD)</f>
        <v>22.6</v>
      </c>
      <c r="J1120" s="2" t="s">
        <v>315</v>
      </c>
    </row>
    <row r="1121" spans="1:23" ht="12.75" customHeight="1" outlineLevel="3" thickTop="1">
      <c r="B1121" s="41"/>
      <c r="F1121" s="117"/>
      <c r="G1121" s="5"/>
      <c r="H1121" s="40"/>
      <c r="I1121" s="20"/>
      <c r="J1121" s="2"/>
    </row>
    <row r="1122" spans="1:23" ht="12.75" customHeight="1" outlineLevel="2">
      <c r="D1122" s="18"/>
      <c r="G1122" s="162"/>
      <c r="H1122" s="2"/>
      <c r="I1122" s="25"/>
      <c r="J1122" s="2"/>
    </row>
    <row r="1123" spans="1:23" ht="12.75" customHeight="1" outlineLevel="2">
      <c r="A1123" s="628">
        <v>67</v>
      </c>
      <c r="B1123" s="626" t="str">
        <f>HBL!$AA$1653</f>
        <v>WATER EVAPORATION</v>
      </c>
      <c r="C1123" s="493"/>
      <c r="D1123" s="493"/>
      <c r="E1123" s="493"/>
      <c r="F1123" s="627"/>
      <c r="G1123" s="162"/>
      <c r="H1123" s="2"/>
      <c r="I1123" s="25"/>
      <c r="J1123" s="2"/>
    </row>
    <row r="1124" spans="1:23" ht="12.75" customHeight="1" outlineLevel="3">
      <c r="D1124" s="18"/>
      <c r="G1124" s="162"/>
      <c r="H1124" s="2"/>
      <c r="I1124" s="25"/>
      <c r="J1124" s="2"/>
    </row>
    <row r="1125" spans="1:23" ht="12.75" customHeight="1" outlineLevel="3">
      <c r="B1125" t="str">
        <f>HBL!$AA$1652</f>
        <v>Water injection into cooler</v>
      </c>
      <c r="D1125" s="18"/>
      <c r="E1125" s="18"/>
      <c r="G1125" s="20">
        <f>IF(M_H2OCOOLER="","",M_H2OCOOLER/1000)</f>
        <v>0</v>
      </c>
      <c r="H1125" s="36" t="s">
        <v>363</v>
      </c>
      <c r="I1125" s="2"/>
      <c r="W1125" s="181"/>
    </row>
    <row r="1126" spans="1:23" ht="12.75" customHeight="1" outlineLevel="3" thickBot="1">
      <c r="D1126" s="18"/>
      <c r="E1126" s="18"/>
      <c r="G1126" s="20"/>
      <c r="H1126" s="36"/>
      <c r="I1126" s="2"/>
      <c r="W1126" s="181"/>
    </row>
    <row r="1127" spans="1:23" ht="12.75" customHeight="1" outlineLevel="3" thickBot="1">
      <c r="B1127" t="str">
        <f>HBL!$AA$1645</f>
        <v>Heat loss from water evaporation in cooler</v>
      </c>
      <c r="D1127" s="18"/>
      <c r="E1127" s="18"/>
      <c r="G1127" s="110">
        <f>IF(M_H2OCOOLER="","",M_H2OCOOLER*2450/1000)</f>
        <v>0</v>
      </c>
      <c r="H1127" s="2" t="s">
        <v>371</v>
      </c>
      <c r="I1127" s="618">
        <f>IF(G1127="","",G1127/M_CLI)</f>
        <v>0</v>
      </c>
      <c r="J1127" s="2" t="s">
        <v>315</v>
      </c>
      <c r="W1127" s="181"/>
    </row>
    <row r="1128" spans="1:23" ht="12.75" customHeight="1" outlineLevel="3" thickTop="1">
      <c r="D1128" s="18"/>
      <c r="E1128" s="18"/>
      <c r="G1128" s="5"/>
      <c r="H1128" s="2"/>
      <c r="I1128" s="25"/>
      <c r="J1128" s="2"/>
      <c r="W1128" s="181"/>
    </row>
    <row r="1129" spans="1:23" ht="12.75" customHeight="1" outlineLevel="2">
      <c r="F1129" s="117"/>
      <c r="G1129" s="121"/>
      <c r="H1129" s="41"/>
      <c r="I1129" s="121"/>
      <c r="J1129" s="41"/>
    </row>
    <row r="1130" spans="1:23" ht="12.75" customHeight="1" outlineLevel="2">
      <c r="A1130" s="628">
        <v>68</v>
      </c>
      <c r="B1130" s="626" t="str">
        <f>HBL!$AA$1417</f>
        <v>COOLER EFFICIENCY</v>
      </c>
      <c r="C1130" s="493"/>
      <c r="D1130" s="493"/>
      <c r="E1130" s="493"/>
      <c r="F1130" s="627"/>
    </row>
    <row r="1131" spans="1:23" ht="12.75" customHeight="1" outlineLevel="3">
      <c r="F1131" s="117"/>
    </row>
    <row r="1132" spans="1:23" ht="12.75" customHeight="1" outlineLevel="3" thickBot="1">
      <c r="E1132" s="130" t="str">
        <f>IF(SHOUT_TERTAIR&lt;1,HBL!$AA$1514,HBL!$AA$1515)</f>
        <v xml:space="preserve">Q Sec,Tert out - Q Sec,Ter in + Q Staub out - Q dust in </v>
      </c>
      <c r="G1132" s="27">
        <f>IF(SHOUT_TERTAIR="",I1082,I1082)</f>
        <v>1167.4458149281868</v>
      </c>
    </row>
    <row r="1133" spans="1:23" ht="12.75" customHeight="1" outlineLevel="3" thickBot="1">
      <c r="B1133" s="18" t="s">
        <v>1242</v>
      </c>
      <c r="D1133" s="160" t="s">
        <v>391</v>
      </c>
      <c r="E1133" s="121"/>
      <c r="F1133" s="130" t="s">
        <v>391</v>
      </c>
      <c r="G1133" s="41"/>
      <c r="H1133" s="131" t="s">
        <v>391</v>
      </c>
      <c r="I1133" s="551">
        <f>IF(ISERR(100*G1132/G1134),"",100*G1132/G1134)</f>
        <v>73.882799633200619</v>
      </c>
      <c r="J1133" s="2" t="s">
        <v>305</v>
      </c>
      <c r="L1133" s="2"/>
    </row>
    <row r="1134" spans="1:23" ht="12.75" customHeight="1" outlineLevel="3">
      <c r="B1134" s="2"/>
      <c r="E1134" s="130" t="str">
        <f>HBL!$AA$1513&amp;"-Q clinker @Tamb"</f>
        <v>Qclinker @1450 °C-Q clinker @Tamb</v>
      </c>
      <c r="G1134" s="27">
        <f>IF(TAMB=20,(T_CLIHOT-20)*CP_CLIHOT,(T_CLIHOT-20)*CP_CLIHOT-(TAMB-20)*((0.729+5.921*10^-4*TAMB-5.369*10^-7*TAMB^2+2.124*10^-10*TAMB^3)*TAMB-(0.729+5.921*10^-4*20-5.369*10^-7*20^2+2.124*10^-10*20^3)*20)/(TAMB-20))</f>
        <v>1580.1320750216578</v>
      </c>
      <c r="I1134" s="121"/>
    </row>
    <row r="1135" spans="1:23" ht="12.75" customHeight="1" outlineLevel="3">
      <c r="B1135" s="2"/>
      <c r="E1135" s="130"/>
      <c r="G1135" s="27"/>
      <c r="I1135" s="121"/>
    </row>
    <row r="1136" spans="1:23" ht="12.75" customHeight="1" outlineLevel="2"/>
    <row r="1137" ht="12.75" customHeight="1" outlineLevel="1"/>
    <row r="1138" ht="12.75" customHeight="1"/>
    <row r="1139" ht="12.75" customHeight="1"/>
    <row r="1140" ht="12.75" customHeight="1"/>
    <row r="1229" spans="27:31">
      <c r="AA1229" s="453" t="s">
        <v>392</v>
      </c>
      <c r="AB1229" s="453" t="s">
        <v>393</v>
      </c>
      <c r="AC1229" s="454" t="s">
        <v>288</v>
      </c>
      <c r="AD1229" s="454" t="s">
        <v>394</v>
      </c>
      <c r="AE1229" s="454" t="s">
        <v>395</v>
      </c>
    </row>
    <row r="1230" spans="27:31">
      <c r="AA1230" s="132"/>
      <c r="AB1230" s="133" t="s">
        <v>396</v>
      </c>
      <c r="AC1230" s="132"/>
      <c r="AD1230" s="132"/>
      <c r="AE1230" s="132"/>
    </row>
    <row r="1231" spans="27:31">
      <c r="AA1231" s="132" t="str">
        <f t="shared" ref="AA1231:AA1251" si="15">INDEX($AB:$AE,ROW(),Language)</f>
        <v>Waste air</v>
      </c>
      <c r="AB1231" s="132" t="s">
        <v>397</v>
      </c>
      <c r="AC1231" s="132" t="s">
        <v>398</v>
      </c>
      <c r="AD1231" s="134" t="s">
        <v>399</v>
      </c>
      <c r="AE1231" s="134" t="s">
        <v>400</v>
      </c>
    </row>
    <row r="1232" spans="27:31" ht="25.5">
      <c r="AA1232" s="132" t="str">
        <f t="shared" si="15"/>
        <v>Waste air flow at cooler take out</v>
      </c>
      <c r="AB1232" s="132" t="s">
        <v>401</v>
      </c>
      <c r="AC1232" s="134" t="s">
        <v>402</v>
      </c>
      <c r="AD1232" s="134" t="s">
        <v>403</v>
      </c>
      <c r="AE1232" s="134" t="s">
        <v>404</v>
      </c>
    </row>
    <row r="1233" spans="27:31">
      <c r="AA1233" s="132" t="str">
        <f t="shared" si="15"/>
        <v>Absolute humidity</v>
      </c>
      <c r="AB1233" s="132" t="s">
        <v>405</v>
      </c>
      <c r="AC1233" s="132" t="s">
        <v>406</v>
      </c>
      <c r="AD1233" s="132" t="s">
        <v>407</v>
      </c>
      <c r="AE1233" s="135" t="s">
        <v>408</v>
      </c>
    </row>
    <row r="1234" spans="27:31">
      <c r="AA1234" s="132" t="str">
        <f t="shared" si="15"/>
        <v>Actual production rate</v>
      </c>
      <c r="AB1234" s="132" t="s">
        <v>409</v>
      </c>
      <c r="AC1234" s="134" t="s">
        <v>410</v>
      </c>
      <c r="AD1234" s="132" t="s">
        <v>411</v>
      </c>
      <c r="AE1234" s="132" t="s">
        <v>412</v>
      </c>
    </row>
    <row r="1235" spans="27:31">
      <c r="AA1235" s="132" t="str">
        <f t="shared" si="15"/>
        <v>ALTERNATIVE FUELS</v>
      </c>
      <c r="AB1235" s="132" t="s">
        <v>413</v>
      </c>
      <c r="AC1235" s="135" t="s">
        <v>414</v>
      </c>
      <c r="AD1235" s="132" t="s">
        <v>415</v>
      </c>
      <c r="AE1235" s="134" t="s">
        <v>416</v>
      </c>
    </row>
    <row r="1236" spans="27:31">
      <c r="AA1236" s="132" t="str">
        <f t="shared" si="15"/>
        <v>Alternative</v>
      </c>
      <c r="AB1236" s="132" t="s">
        <v>417</v>
      </c>
      <c r="AC1236" s="135" t="s">
        <v>418</v>
      </c>
      <c r="AD1236" s="134" t="s">
        <v>419</v>
      </c>
      <c r="AE1236" s="134" t="s">
        <v>420</v>
      </c>
    </row>
    <row r="1237" spans="27:31">
      <c r="AA1237" s="132" t="str">
        <f t="shared" si="15"/>
        <v>Alternative fuels</v>
      </c>
      <c r="AB1237" s="132" t="s">
        <v>421</v>
      </c>
      <c r="AC1237" s="135" t="s">
        <v>422</v>
      </c>
      <c r="AD1237" s="132" t="s">
        <v>431</v>
      </c>
      <c r="AE1237" s="134" t="s">
        <v>432</v>
      </c>
    </row>
    <row r="1238" spans="27:31">
      <c r="AA1238" s="132" t="str">
        <f t="shared" si="15"/>
        <v>at kiln inlet</v>
      </c>
      <c r="AB1238" s="132" t="s">
        <v>433</v>
      </c>
      <c r="AC1238" s="135" t="s">
        <v>434</v>
      </c>
      <c r="AD1238" s="132" t="s">
        <v>435</v>
      </c>
      <c r="AE1238" s="135" t="s">
        <v>436</v>
      </c>
    </row>
    <row r="1239" spans="27:31">
      <c r="AA1239" s="132" t="str">
        <f t="shared" si="15"/>
        <v>at precalciner outlet</v>
      </c>
      <c r="AB1239" s="132" t="s">
        <v>437</v>
      </c>
      <c r="AC1239" s="135" t="s">
        <v>438</v>
      </c>
      <c r="AD1239" s="132" t="s">
        <v>439</v>
      </c>
      <c r="AE1239" s="135" t="s">
        <v>440</v>
      </c>
    </row>
    <row r="1240" spans="27:31">
      <c r="AA1240" s="132" t="str">
        <f t="shared" si="15"/>
        <v>at preheater outlet</v>
      </c>
      <c r="AB1240" s="132" t="s">
        <v>441</v>
      </c>
      <c r="AC1240" s="135" t="s">
        <v>442</v>
      </c>
      <c r="AD1240" s="132" t="s">
        <v>443</v>
      </c>
      <c r="AE1240" s="135" t="s">
        <v>444</v>
      </c>
    </row>
    <row r="1241" spans="27:31">
      <c r="AA1241" s="132" t="str">
        <f t="shared" si="15"/>
        <v>Ash input</v>
      </c>
      <c r="AB1241" s="132" t="s">
        <v>445</v>
      </c>
      <c r="AC1241" s="135" t="s">
        <v>446</v>
      </c>
      <c r="AD1241" s="132" t="s">
        <v>447</v>
      </c>
      <c r="AE1241" s="134" t="s">
        <v>448</v>
      </c>
    </row>
    <row r="1242" spans="27:31">
      <c r="AA1242" s="132" t="str">
        <f t="shared" si="15"/>
        <v>Ash</v>
      </c>
      <c r="AB1242" s="132" t="s">
        <v>449</v>
      </c>
      <c r="AC1242" s="135" t="s">
        <v>450</v>
      </c>
      <c r="AD1242" s="132" t="s">
        <v>451</v>
      </c>
      <c r="AE1242" s="135" t="s">
        <v>452</v>
      </c>
    </row>
    <row r="1243" spans="27:31">
      <c r="AA1243" s="132" t="str">
        <f t="shared" si="15"/>
        <v>Ash content</v>
      </c>
      <c r="AB1243" s="132" t="s">
        <v>453</v>
      </c>
      <c r="AC1243" s="135" t="s">
        <v>454</v>
      </c>
      <c r="AD1243" s="132" t="s">
        <v>455</v>
      </c>
      <c r="AE1243" s="134" t="s">
        <v>456</v>
      </c>
    </row>
    <row r="1244" spans="27:31">
      <c r="AA1244" s="132" t="str">
        <f t="shared" si="15"/>
        <v>on the O2 measurement</v>
      </c>
      <c r="AB1244" s="134" t="s">
        <v>457</v>
      </c>
      <c r="AC1244" s="135" t="s">
        <v>458</v>
      </c>
      <c r="AD1244" s="132" t="s">
        <v>459</v>
      </c>
      <c r="AE1244" s="134" t="s">
        <v>460</v>
      </c>
    </row>
    <row r="1245" spans="27:31">
      <c r="AA1245" s="132" t="str">
        <f t="shared" si="15"/>
        <v>Feedrate</v>
      </c>
      <c r="AB1245" s="135" t="s">
        <v>461</v>
      </c>
      <c r="AC1245" s="135" t="s">
        <v>462</v>
      </c>
      <c r="AD1245" s="132" t="s">
        <v>463</v>
      </c>
      <c r="AE1245" s="134" t="s">
        <v>464</v>
      </c>
    </row>
    <row r="1246" spans="27:31">
      <c r="AA1246" s="132" t="str">
        <f t="shared" si="15"/>
        <v>Feedrate</v>
      </c>
      <c r="AB1246" s="134" t="s">
        <v>469</v>
      </c>
      <c r="AC1246" s="132" t="s">
        <v>462</v>
      </c>
      <c r="AD1246" s="134" t="s">
        <v>470</v>
      </c>
      <c r="AE1246" s="132" t="s">
        <v>471</v>
      </c>
    </row>
    <row r="1247" spans="27:31" ht="25.5">
      <c r="AA1247" s="132" t="str">
        <f t="shared" si="15"/>
        <v>Feedrate to the coal mill</v>
      </c>
      <c r="AB1247" s="135" t="s">
        <v>472</v>
      </c>
      <c r="AC1247" s="135" t="s">
        <v>473</v>
      </c>
      <c r="AD1247" s="134" t="s">
        <v>474</v>
      </c>
      <c r="AE1247" s="134" t="s">
        <v>475</v>
      </c>
    </row>
    <row r="1248" spans="27:31">
      <c r="AA1248" s="132" t="str">
        <f t="shared" si="15"/>
        <v>OUTPUT</v>
      </c>
      <c r="AB1248" s="135" t="s">
        <v>476</v>
      </c>
      <c r="AC1248" s="135" t="s">
        <v>477</v>
      </c>
      <c r="AD1248" s="132" t="s">
        <v>478</v>
      </c>
      <c r="AE1248" s="135" t="s">
        <v>479</v>
      </c>
    </row>
    <row r="1249" spans="27:31" ht="38">
      <c r="AA1249" s="132" t="str">
        <f t="shared" si="15"/>
        <v>Dry cooler waste air flow, calculated by an air balance</v>
      </c>
      <c r="AB1249" s="134" t="s">
        <v>480</v>
      </c>
      <c r="AC1249" s="195" t="s">
        <v>481</v>
      </c>
      <c r="AD1249" s="134" t="s">
        <v>482</v>
      </c>
      <c r="AE1249" s="134" t="s">
        <v>483</v>
      </c>
    </row>
    <row r="1250" spans="27:31" ht="25.5">
      <c r="AA1250" s="132" t="str">
        <f t="shared" si="15"/>
        <v>Fill in only in case of a prandtl measurement:</v>
      </c>
      <c r="AB1250" s="195" t="s">
        <v>484</v>
      </c>
      <c r="AC1250" s="195" t="s">
        <v>485</v>
      </c>
      <c r="AD1250" s="195" t="s">
        <v>486</v>
      </c>
      <c r="AE1250" s="195" t="s">
        <v>487</v>
      </c>
    </row>
    <row r="1251" spans="27:31">
      <c r="AA1251" s="132" t="str">
        <f t="shared" si="15"/>
        <v>Axial air</v>
      </c>
      <c r="AB1251" s="135" t="s">
        <v>488</v>
      </c>
      <c r="AC1251" s="134" t="s">
        <v>489</v>
      </c>
      <c r="AD1251" s="132" t="s">
        <v>490</v>
      </c>
      <c r="AE1251" s="135" t="s">
        <v>491</v>
      </c>
    </row>
    <row r="1252" spans="27:31">
      <c r="AA1252" s="132"/>
      <c r="AB1252" s="133" t="s">
        <v>492</v>
      </c>
      <c r="AC1252" s="132"/>
      <c r="AD1252" s="132"/>
      <c r="AE1252" s="132"/>
    </row>
    <row r="1253" spans="27:31">
      <c r="AA1253" s="132" t="str">
        <f t="shared" ref="AA1253:AA1285" si="16">INDEX($AB:$AE,ROW(),Language)</f>
        <v>Remark</v>
      </c>
      <c r="AB1253" s="132" t="s">
        <v>493</v>
      </c>
      <c r="AC1253" s="134" t="s">
        <v>494</v>
      </c>
      <c r="AD1253" s="134" t="s">
        <v>495</v>
      </c>
      <c r="AE1253" s="134" t="s">
        <v>496</v>
      </c>
    </row>
    <row r="1254" spans="27:31" ht="25.5">
      <c r="AA1254" s="132" t="str">
        <f t="shared" si="16"/>
        <v>REMARKS &amp; COMMENTS</v>
      </c>
      <c r="AB1254" s="132" t="s">
        <v>497</v>
      </c>
      <c r="AC1254" s="134" t="s">
        <v>498</v>
      </c>
      <c r="AD1254" s="135" t="s">
        <v>499</v>
      </c>
      <c r="AE1254" s="135" t="s">
        <v>500</v>
      </c>
    </row>
    <row r="1255" spans="27:31">
      <c r="AA1255" s="132" t="str">
        <f t="shared" si="16"/>
        <v>(calculated)</v>
      </c>
      <c r="AB1255" s="132" t="s">
        <v>501</v>
      </c>
      <c r="AC1255" s="135" t="s">
        <v>502</v>
      </c>
      <c r="AD1255" s="135" t="s">
        <v>503</v>
      </c>
      <c r="AE1255" s="134" t="s">
        <v>504</v>
      </c>
    </row>
    <row r="1256" spans="27:31" ht="25.5">
      <c r="AA1256" s="132" t="str">
        <f t="shared" si="16"/>
        <v>Calculated cooler middle air flowrate at cooler outlet</v>
      </c>
      <c r="AB1256" s="134" t="s">
        <v>505</v>
      </c>
      <c r="AC1256" s="135" t="s">
        <v>506</v>
      </c>
      <c r="AD1256" s="134" t="s">
        <v>507</v>
      </c>
      <c r="AE1256" s="134" t="s">
        <v>508</v>
      </c>
    </row>
    <row r="1257" spans="27:31" ht="25.5">
      <c r="AA1257" s="132" t="str">
        <f t="shared" si="16"/>
        <v>Calculated total exhaust gas quantity (wet)</v>
      </c>
      <c r="AB1257" s="134" t="s">
        <v>509</v>
      </c>
      <c r="AC1257" s="134" t="s">
        <v>536</v>
      </c>
      <c r="AD1257" s="134" t="s">
        <v>537</v>
      </c>
      <c r="AE1257" s="134" t="s">
        <v>538</v>
      </c>
    </row>
    <row r="1258" spans="27:31" ht="25.5">
      <c r="AA1258" s="132" t="str">
        <f t="shared" si="16"/>
        <v>Calculated total exhaust gas quantity (dry)</v>
      </c>
      <c r="AB1258" s="134" t="s">
        <v>539</v>
      </c>
      <c r="AC1258" s="134" t="s">
        <v>540</v>
      </c>
      <c r="AD1258" s="134" t="s">
        <v>541</v>
      </c>
      <c r="AE1258" s="134" t="s">
        <v>542</v>
      </c>
    </row>
    <row r="1259" spans="27:31">
      <c r="AA1259" s="132" t="str">
        <f t="shared" si="16"/>
        <v>CALCULATED VALUES</v>
      </c>
      <c r="AB1259" s="132" t="s">
        <v>543</v>
      </c>
      <c r="AC1259" s="135" t="s">
        <v>544</v>
      </c>
      <c r="AD1259" s="135" t="s">
        <v>545</v>
      </c>
      <c r="AE1259" s="135" t="s">
        <v>546</v>
      </c>
    </row>
    <row r="1260" spans="27:31" ht="25.5">
      <c r="AA1260" s="132" t="str">
        <f t="shared" si="16"/>
        <v>Calculated bypass flowrate based on O2 measurement</v>
      </c>
      <c r="AB1260" s="134" t="s">
        <v>547</v>
      </c>
      <c r="AC1260" s="134" t="s">
        <v>548</v>
      </c>
      <c r="AD1260" s="134" t="s">
        <v>549</v>
      </c>
      <c r="AE1260" s="134" t="s">
        <v>550</v>
      </c>
    </row>
    <row r="1261" spans="27:31" ht="25.5">
      <c r="AA1261" s="132" t="str">
        <f t="shared" si="16"/>
        <v>Calculated bypass flowrate based on a heat balance</v>
      </c>
      <c r="AB1261" s="134" t="s">
        <v>551</v>
      </c>
      <c r="AC1261" s="134" t="s">
        <v>552</v>
      </c>
      <c r="AD1261" s="134" t="s">
        <v>553</v>
      </c>
      <c r="AE1261" s="134" t="s">
        <v>554</v>
      </c>
    </row>
    <row r="1262" spans="27:31">
      <c r="AA1262" s="132" t="str">
        <f t="shared" si="16"/>
        <v>Calculated value</v>
      </c>
      <c r="AB1262" s="134" t="s">
        <v>555</v>
      </c>
      <c r="AC1262" s="134" t="s">
        <v>556</v>
      </c>
      <c r="AD1262" s="134" t="s">
        <v>557</v>
      </c>
      <c r="AE1262" s="134" t="s">
        <v>558</v>
      </c>
    </row>
    <row r="1263" spans="27:31" ht="50.5">
      <c r="AA1263" s="132" t="str">
        <f t="shared" si="16"/>
        <v>Heat input due to condensation of circulating elements on the bypass dust:</v>
      </c>
      <c r="AB1263" s="134" t="s">
        <v>559</v>
      </c>
      <c r="AC1263" s="134" t="s">
        <v>560</v>
      </c>
      <c r="AD1263" s="134" t="s">
        <v>560</v>
      </c>
      <c r="AE1263" s="134" t="s">
        <v>561</v>
      </c>
    </row>
    <row r="1264" spans="27:31">
      <c r="AA1264" s="132" t="str">
        <f t="shared" si="16"/>
        <v>Operation</v>
      </c>
      <c r="AB1264" s="135" t="s">
        <v>562</v>
      </c>
      <c r="AC1264" s="135" t="s">
        <v>563</v>
      </c>
      <c r="AD1264" s="135" t="s">
        <v>564</v>
      </c>
      <c r="AE1264" s="135" t="s">
        <v>565</v>
      </c>
    </row>
    <row r="1265" spans="27:31">
      <c r="AA1265" s="132" t="str">
        <f t="shared" si="16"/>
        <v>Balance</v>
      </c>
      <c r="AB1265" s="132" t="s">
        <v>566</v>
      </c>
      <c r="AC1265" s="135" t="s">
        <v>567</v>
      </c>
      <c r="AD1265" s="135" t="s">
        <v>568</v>
      </c>
      <c r="AE1265" s="135" t="s">
        <v>567</v>
      </c>
    </row>
    <row r="1266" spans="27:31">
      <c r="AA1266" s="132" t="str">
        <f t="shared" si="16"/>
        <v>to</v>
      </c>
      <c r="AB1266" s="132" t="s">
        <v>569</v>
      </c>
      <c r="AC1266" s="135" t="s">
        <v>570</v>
      </c>
      <c r="AD1266" s="135" t="s">
        <v>571</v>
      </c>
      <c r="AE1266" s="135" t="s">
        <v>572</v>
      </c>
    </row>
    <row r="1267" spans="27:31" ht="25.5">
      <c r="AA1267" s="132" t="str">
        <f t="shared" si="16"/>
        <v>COMBUSTIBLE MATTER IN KILN FEED</v>
      </c>
      <c r="AB1267" s="134" t="s">
        <v>573</v>
      </c>
      <c r="AC1267" s="134" t="s">
        <v>574</v>
      </c>
      <c r="AD1267" s="135" t="s">
        <v>575</v>
      </c>
      <c r="AE1267" s="135" t="s">
        <v>576</v>
      </c>
    </row>
    <row r="1268" spans="27:31">
      <c r="AA1268" s="132" t="str">
        <f t="shared" si="16"/>
        <v>Combustible matter</v>
      </c>
      <c r="AB1268" s="135" t="s">
        <v>577</v>
      </c>
      <c r="AC1268" s="135" t="s">
        <v>578</v>
      </c>
      <c r="AD1268" s="135" t="s">
        <v>579</v>
      </c>
      <c r="AE1268" s="135" t="s">
        <v>579</v>
      </c>
    </row>
    <row r="1269" spans="27:31">
      <c r="AA1269" s="132" t="str">
        <f t="shared" si="16"/>
        <v>FUEL</v>
      </c>
      <c r="AB1269" s="132" t="s">
        <v>580</v>
      </c>
      <c r="AC1269" s="135" t="s">
        <v>581</v>
      </c>
      <c r="AD1269" s="134" t="s">
        <v>582</v>
      </c>
      <c r="AE1269" s="135" t="s">
        <v>583</v>
      </c>
    </row>
    <row r="1270" spans="27:31">
      <c r="AA1270" s="132" t="str">
        <f t="shared" si="16"/>
        <v>Fuel</v>
      </c>
      <c r="AB1270" s="132" t="s">
        <v>584</v>
      </c>
      <c r="AC1270" s="135" t="s">
        <v>318</v>
      </c>
      <c r="AD1270" s="135" t="s">
        <v>579</v>
      </c>
      <c r="AE1270" s="135" t="s">
        <v>579</v>
      </c>
    </row>
    <row r="1271" spans="27:31">
      <c r="AA1271" s="132" t="str">
        <f t="shared" si="16"/>
        <v>Fuelrate main burner</v>
      </c>
      <c r="AB1271" s="132" t="s">
        <v>585</v>
      </c>
      <c r="AC1271" s="135" t="s">
        <v>586</v>
      </c>
      <c r="AD1271" s="135" t="s">
        <v>587</v>
      </c>
      <c r="AE1271" s="134" t="s">
        <v>588</v>
      </c>
    </row>
    <row r="1272" spans="27:31">
      <c r="AA1272" s="132" t="str">
        <f t="shared" si="16"/>
        <v>Fuel input main burner</v>
      </c>
      <c r="AB1272" s="132" t="s">
        <v>589</v>
      </c>
      <c r="AC1272" s="135" t="s">
        <v>590</v>
      </c>
      <c r="AD1272" s="134" t="s">
        <v>591</v>
      </c>
      <c r="AE1272" s="134" t="s">
        <v>592</v>
      </c>
    </row>
    <row r="1273" spans="27:31">
      <c r="AA1273" s="132" t="str">
        <f t="shared" si="16"/>
        <v>Fuelrate calciner</v>
      </c>
      <c r="AB1273" s="132" t="s">
        <v>593</v>
      </c>
      <c r="AC1273" s="135" t="s">
        <v>594</v>
      </c>
      <c r="AD1273" s="135" t="s">
        <v>595</v>
      </c>
      <c r="AE1273" s="135" t="s">
        <v>596</v>
      </c>
    </row>
    <row r="1274" spans="27:31">
      <c r="AA1274" s="132" t="str">
        <f t="shared" si="16"/>
        <v>Fuelrate kiln inlet</v>
      </c>
      <c r="AB1274" s="132" t="s">
        <v>597</v>
      </c>
      <c r="AC1274" s="135" t="s">
        <v>598</v>
      </c>
      <c r="AD1274" s="134" t="s">
        <v>599</v>
      </c>
      <c r="AE1274" s="134" t="s">
        <v>600</v>
      </c>
    </row>
    <row r="1275" spans="27:31" ht="25.5">
      <c r="AA1275" s="132" t="str">
        <f t="shared" si="16"/>
        <v>FUEL DATA</v>
      </c>
      <c r="AB1275" s="132" t="s">
        <v>601</v>
      </c>
      <c r="AC1275" s="135" t="s">
        <v>602</v>
      </c>
      <c r="AD1275" s="135" t="s">
        <v>603</v>
      </c>
      <c r="AE1275" s="134" t="s">
        <v>604</v>
      </c>
    </row>
    <row r="1276" spans="27:31">
      <c r="AA1276" s="132" t="str">
        <f t="shared" si="16"/>
        <v>FUEL INPUT</v>
      </c>
      <c r="AB1276" s="132" t="s">
        <v>605</v>
      </c>
      <c r="AC1276" s="135" t="s">
        <v>606</v>
      </c>
      <c r="AD1276" s="135" t="s">
        <v>607</v>
      </c>
      <c r="AE1276" s="134" t="s">
        <v>608</v>
      </c>
    </row>
    <row r="1277" spans="27:31">
      <c r="AA1277" s="132" t="str">
        <f t="shared" si="16"/>
        <v>TOTAL FEEDRATE</v>
      </c>
      <c r="AB1277" s="132" t="s">
        <v>609</v>
      </c>
      <c r="AC1277" s="135" t="s">
        <v>610</v>
      </c>
      <c r="AD1277" s="135" t="s">
        <v>611</v>
      </c>
      <c r="AE1277" s="135" t="s">
        <v>612</v>
      </c>
    </row>
    <row r="1278" spans="27:31">
      <c r="AA1278" s="132" t="str">
        <f t="shared" si="16"/>
        <v>Total feedrate</v>
      </c>
      <c r="AB1278" s="132" t="s">
        <v>613</v>
      </c>
      <c r="AC1278" s="135" t="s">
        <v>614</v>
      </c>
      <c r="AD1278" s="135" t="s">
        <v>615</v>
      </c>
      <c r="AE1278" s="135" t="s">
        <v>616</v>
      </c>
    </row>
    <row r="1279" spans="27:31" ht="25.5">
      <c r="AA1279" s="132" t="str">
        <f t="shared" si="16"/>
        <v>COMBUSTION OF FUELS</v>
      </c>
      <c r="AB1279" s="132" t="s">
        <v>617</v>
      </c>
      <c r="AC1279" s="135" t="s">
        <v>618</v>
      </c>
      <c r="AD1279" s="135" t="s">
        <v>619</v>
      </c>
      <c r="AE1279" s="135" t="s">
        <v>620</v>
      </c>
    </row>
    <row r="1280" spans="27:31">
      <c r="AA1280" s="132" t="str">
        <f t="shared" si="16"/>
        <v>BYPASS</v>
      </c>
      <c r="AB1280" s="132" t="s">
        <v>621</v>
      </c>
      <c r="AC1280" s="135" t="s">
        <v>621</v>
      </c>
      <c r="AD1280" s="135" t="s">
        <v>621</v>
      </c>
      <c r="AE1280" s="135" t="s">
        <v>621</v>
      </c>
    </row>
    <row r="1281" spans="27:31">
      <c r="AA1281" s="132" t="str">
        <f t="shared" si="16"/>
        <v>Bypass losses</v>
      </c>
      <c r="AB1281" s="132" t="s">
        <v>622</v>
      </c>
      <c r="AC1281" s="135" t="s">
        <v>623</v>
      </c>
      <c r="AD1281" s="135" t="s">
        <v>624</v>
      </c>
      <c r="AE1281" s="134" t="s">
        <v>625</v>
      </c>
    </row>
    <row r="1282" spans="27:31">
      <c r="AA1282" s="132" t="str">
        <f t="shared" si="16"/>
        <v>BYPASS DUST</v>
      </c>
      <c r="AB1282" s="132" t="s">
        <v>626</v>
      </c>
      <c r="AC1282" s="135" t="s">
        <v>627</v>
      </c>
      <c r="AD1282" s="135" t="s">
        <v>628</v>
      </c>
      <c r="AE1282" s="135" t="s">
        <v>629</v>
      </c>
    </row>
    <row r="1283" spans="27:31">
      <c r="AA1283" s="132" t="str">
        <f t="shared" si="16"/>
        <v>Bypass dust</v>
      </c>
      <c r="AB1283" s="132" t="s">
        <v>630</v>
      </c>
      <c r="AC1283" s="135" t="s">
        <v>631</v>
      </c>
      <c r="AD1283" s="135" t="s">
        <v>632</v>
      </c>
      <c r="AE1283" s="135" t="s">
        <v>633</v>
      </c>
    </row>
    <row r="1284" spans="27:31">
      <c r="AA1284" s="132" t="str">
        <f t="shared" si="16"/>
        <v>Bypass flowrate (wet)</v>
      </c>
      <c r="AB1284" s="134" t="s">
        <v>634</v>
      </c>
      <c r="AC1284" s="134" t="s">
        <v>635</v>
      </c>
      <c r="AD1284" s="134" t="s">
        <v>636</v>
      </c>
      <c r="AE1284" s="134" t="s">
        <v>637</v>
      </c>
    </row>
    <row r="1285" spans="27:31">
      <c r="AA1285" s="132" t="str">
        <f t="shared" si="16"/>
        <v>Bypass flowrate (dry)</v>
      </c>
      <c r="AB1285" s="134" t="s">
        <v>638</v>
      </c>
      <c r="AC1285" s="134" t="s">
        <v>639</v>
      </c>
      <c r="AD1285" s="134" t="s">
        <v>640</v>
      </c>
      <c r="AE1285" s="134" t="s">
        <v>641</v>
      </c>
    </row>
    <row r="1286" spans="27:31">
      <c r="AA1286" s="132"/>
      <c r="AB1286" s="133" t="s">
        <v>642</v>
      </c>
      <c r="AC1286" s="132"/>
      <c r="AD1286" s="132"/>
      <c r="AE1286" s="132"/>
    </row>
    <row r="1287" spans="27:31">
      <c r="AA1287" s="132" t="str">
        <f t="shared" ref="AA1287:AA1306" si="17">INDEX($AB:$AE,ROW(),Language)</f>
        <v>CaO (non carbonatic)</v>
      </c>
      <c r="AB1287" s="134" t="s">
        <v>643</v>
      </c>
      <c r="AC1287" s="132" t="s">
        <v>644</v>
      </c>
      <c r="AD1287" s="132" t="s">
        <v>645</v>
      </c>
      <c r="AE1287" s="134" t="s">
        <v>646</v>
      </c>
    </row>
    <row r="1288" spans="27:31">
      <c r="AA1288" s="132" t="str">
        <f t="shared" si="17"/>
        <v>CaO content</v>
      </c>
      <c r="AB1288" s="132" t="s">
        <v>647</v>
      </c>
      <c r="AC1288" s="132" t="s">
        <v>648</v>
      </c>
      <c r="AD1288" s="132" t="s">
        <v>649</v>
      </c>
      <c r="AE1288" s="132" t="s">
        <v>650</v>
      </c>
    </row>
    <row r="1289" spans="27:31" ht="25.5">
      <c r="AA1289" s="132" t="str">
        <f t="shared" si="17"/>
        <v>CaO content in bypass dust</v>
      </c>
      <c r="AB1289" s="132" t="s">
        <v>651</v>
      </c>
      <c r="AC1289" s="134" t="s">
        <v>652</v>
      </c>
      <c r="AD1289" s="132" t="s">
        <v>653</v>
      </c>
      <c r="AE1289" s="132" t="s">
        <v>654</v>
      </c>
    </row>
    <row r="1290" spans="27:31">
      <c r="AA1290" s="132" t="str">
        <f t="shared" si="17"/>
        <v>Chlor content (Cl)</v>
      </c>
      <c r="AB1290" s="132" t="s">
        <v>655</v>
      </c>
      <c r="AC1290" s="132" t="s">
        <v>656</v>
      </c>
      <c r="AD1290" s="132" t="s">
        <v>657</v>
      </c>
      <c r="AE1290" s="132" t="s">
        <v>658</v>
      </c>
    </row>
    <row r="1291" spans="27:31">
      <c r="AA1291" s="132" t="str">
        <f t="shared" si="17"/>
        <v>CO</v>
      </c>
      <c r="AB1291" s="134" t="s">
        <v>659</v>
      </c>
      <c r="AC1291" s="132" t="s">
        <v>659</v>
      </c>
      <c r="AD1291" s="132" t="s">
        <v>659</v>
      </c>
      <c r="AE1291" s="132" t="s">
        <v>659</v>
      </c>
    </row>
    <row r="1292" spans="27:31">
      <c r="AA1292" s="132" t="str">
        <f t="shared" si="17"/>
        <v>CO content</v>
      </c>
      <c r="AB1292" s="132" t="s">
        <v>660</v>
      </c>
      <c r="AC1292" s="132" t="s">
        <v>661</v>
      </c>
      <c r="AD1292" s="132" t="s">
        <v>662</v>
      </c>
      <c r="AE1292" s="132" t="s">
        <v>663</v>
      </c>
    </row>
    <row r="1293" spans="27:31" ht="25.5">
      <c r="AA1293" s="132" t="str">
        <f t="shared" si="17"/>
        <v>CO content in bypass flowrate</v>
      </c>
      <c r="AB1293" s="132" t="s">
        <v>664</v>
      </c>
      <c r="AC1293" s="132" t="s">
        <v>665</v>
      </c>
      <c r="AD1293" s="132" t="s">
        <v>666</v>
      </c>
      <c r="AE1293" s="132" t="s">
        <v>667</v>
      </c>
    </row>
    <row r="1294" spans="27:31" ht="25.5">
      <c r="AA1294" s="132" t="str">
        <f t="shared" si="17"/>
        <v>CO content in kiln exhaust gas</v>
      </c>
      <c r="AB1294" s="132" t="s">
        <v>668</v>
      </c>
      <c r="AC1294" s="132" t="s">
        <v>683</v>
      </c>
      <c r="AD1294" s="132" t="s">
        <v>684</v>
      </c>
      <c r="AE1294" s="132" t="s">
        <v>685</v>
      </c>
    </row>
    <row r="1295" spans="27:31">
      <c r="AA1295" s="132" t="str">
        <f t="shared" si="17"/>
        <v>CO flowrate</v>
      </c>
      <c r="AB1295" s="132" t="s">
        <v>686</v>
      </c>
      <c r="AC1295" s="132" t="s">
        <v>687</v>
      </c>
      <c r="AD1295" s="132" t="s">
        <v>688</v>
      </c>
      <c r="AE1295" s="132" t="s">
        <v>689</v>
      </c>
    </row>
    <row r="1296" spans="27:31">
      <c r="AA1296" s="132" t="str">
        <f t="shared" si="17"/>
        <v>cp fuel</v>
      </c>
      <c r="AB1296" s="132" t="s">
        <v>690</v>
      </c>
      <c r="AC1296" s="132" t="s">
        <v>691</v>
      </c>
      <c r="AD1296" s="132" t="s">
        <v>692</v>
      </c>
      <c r="AE1296" s="132" t="s">
        <v>692</v>
      </c>
    </row>
    <row r="1297" spans="1:31">
      <c r="AA1297" s="132" t="str">
        <f t="shared" si="17"/>
        <v>cp clinker</v>
      </c>
      <c r="AB1297" s="134" t="s">
        <v>693</v>
      </c>
      <c r="AC1297" s="132" t="s">
        <v>694</v>
      </c>
      <c r="AD1297" s="132" t="s">
        <v>694</v>
      </c>
      <c r="AE1297" s="132" t="s">
        <v>694</v>
      </c>
    </row>
    <row r="1298" spans="1:31">
      <c r="AA1298" s="132" t="str">
        <f t="shared" si="17"/>
        <v>cp clinker dust</v>
      </c>
      <c r="AB1298" s="135" t="s">
        <v>695</v>
      </c>
      <c r="AC1298" s="132" t="s">
        <v>696</v>
      </c>
      <c r="AD1298" s="132" t="s">
        <v>697</v>
      </c>
      <c r="AE1298" s="132" t="s">
        <v>698</v>
      </c>
    </row>
    <row r="1299" spans="1:31">
      <c r="AA1299" s="132" t="str">
        <f t="shared" si="17"/>
        <v>cp gas</v>
      </c>
      <c r="AB1299" s="132" t="s">
        <v>699</v>
      </c>
      <c r="AC1299" s="132" t="s">
        <v>700</v>
      </c>
      <c r="AD1299" s="132" t="s">
        <v>701</v>
      </c>
      <c r="AE1299" s="132" t="s">
        <v>700</v>
      </c>
    </row>
    <row r="1300" spans="1:31">
      <c r="AA1300" s="132" t="str">
        <f t="shared" si="17"/>
        <v>cp gas manual</v>
      </c>
      <c r="AB1300" s="132" t="s">
        <v>702</v>
      </c>
      <c r="AC1300" s="132" t="s">
        <v>703</v>
      </c>
      <c r="AD1300" s="132" t="s">
        <v>704</v>
      </c>
      <c r="AE1300" s="132" t="s">
        <v>703</v>
      </c>
    </row>
    <row r="1301" spans="1:31">
      <c r="AA1301" s="132" t="str">
        <f t="shared" si="17"/>
        <v>cp air</v>
      </c>
      <c r="AB1301" s="134" t="s">
        <v>705</v>
      </c>
      <c r="AC1301" s="132" t="s">
        <v>706</v>
      </c>
      <c r="AD1301" s="132" t="s">
        <v>706</v>
      </c>
      <c r="AE1301" s="132" t="s">
        <v>707</v>
      </c>
    </row>
    <row r="1302" spans="1:31">
      <c r="AA1302" s="132" t="str">
        <f t="shared" si="17"/>
        <v>cp humid air</v>
      </c>
      <c r="AB1302" s="134" t="s">
        <v>708</v>
      </c>
      <c r="AC1302" s="134" t="s">
        <v>709</v>
      </c>
      <c r="AD1302" s="134" t="s">
        <v>710</v>
      </c>
      <c r="AE1302" s="134" t="s">
        <v>711</v>
      </c>
    </row>
    <row r="1303" spans="1:31">
      <c r="AA1303" s="132" t="str">
        <f t="shared" si="17"/>
        <v>cp feed (dry)</v>
      </c>
      <c r="AB1303" s="132" t="s">
        <v>712</v>
      </c>
      <c r="AC1303" s="132" t="s">
        <v>713</v>
      </c>
      <c r="AD1303" s="132" t="s">
        <v>714</v>
      </c>
      <c r="AE1303" s="132" t="s">
        <v>715</v>
      </c>
    </row>
    <row r="1304" spans="1:31">
      <c r="AA1304" s="132" t="str">
        <f t="shared" si="17"/>
        <v>cp dust</v>
      </c>
      <c r="AB1304" s="132" t="s">
        <v>716</v>
      </c>
      <c r="AC1304" s="132" t="s">
        <v>717</v>
      </c>
      <c r="AD1304" s="132" t="s">
        <v>718</v>
      </c>
      <c r="AE1304" s="132" t="s">
        <v>719</v>
      </c>
    </row>
    <row r="1305" spans="1:31">
      <c r="AA1305" s="132" t="str">
        <f t="shared" si="17"/>
        <v>cp water</v>
      </c>
      <c r="AB1305" s="134" t="s">
        <v>720</v>
      </c>
      <c r="AC1305" s="132" t="s">
        <v>725</v>
      </c>
      <c r="AD1305" s="132" t="s">
        <v>726</v>
      </c>
      <c r="AE1305" s="132" t="s">
        <v>727</v>
      </c>
    </row>
    <row r="1306" spans="1:31">
      <c r="AA1306" s="132" t="str">
        <f t="shared" si="17"/>
        <v>cp water vapor</v>
      </c>
      <c r="AB1306" s="135" t="s">
        <v>728</v>
      </c>
      <c r="AC1306" s="132" t="s">
        <v>729</v>
      </c>
      <c r="AD1306" s="132" t="s">
        <v>730</v>
      </c>
      <c r="AE1306" s="132" t="s">
        <v>731</v>
      </c>
    </row>
    <row r="1307" spans="1:31">
      <c r="AA1307" s="132"/>
      <c r="AB1307" s="133" t="s">
        <v>732</v>
      </c>
      <c r="AC1307" s="132"/>
      <c r="AD1307" s="132"/>
      <c r="AE1307" s="132"/>
    </row>
    <row r="1308" spans="1:31" s="204" customFormat="1">
      <c r="A1308" s="629"/>
      <c r="B1308" s="182"/>
      <c r="C1308" s="182"/>
      <c r="D1308" s="182"/>
      <c r="E1308" s="182"/>
      <c r="F1308" s="182"/>
      <c r="G1308" s="182"/>
      <c r="H1308" s="182"/>
      <c r="I1308" s="182"/>
      <c r="J1308" s="182"/>
      <c r="K1308" s="182"/>
      <c r="L1308" s="182"/>
      <c r="M1308" s="182"/>
      <c r="N1308" s="182"/>
      <c r="O1308" s="182"/>
      <c r="P1308" s="182"/>
      <c r="Q1308" s="182"/>
      <c r="R1308" s="182"/>
      <c r="S1308" s="182"/>
      <c r="T1308" s="182"/>
      <c r="U1308" s="182"/>
      <c r="V1308" s="182"/>
      <c r="W1308" s="182"/>
      <c r="X1308" s="182"/>
      <c r="Y1308" s="182"/>
      <c r="Z1308" s="182"/>
      <c r="AA1308" s="132" t="str">
        <f t="shared" ref="AA1308:AA1313" si="18">INDEX($AB:$AE,ROW(),Language)</f>
        <v>Vapor from waterinjection</v>
      </c>
      <c r="AB1308" s="134" t="s">
        <v>734</v>
      </c>
      <c r="AC1308" s="132" t="s">
        <v>735</v>
      </c>
      <c r="AD1308" s="132" t="s">
        <v>736</v>
      </c>
      <c r="AE1308" s="132" t="s">
        <v>737</v>
      </c>
    </row>
    <row r="1309" spans="1:31">
      <c r="AA1309" s="132" t="str">
        <f t="shared" si="18"/>
        <v>Date</v>
      </c>
      <c r="AB1309" s="132" t="s">
        <v>738</v>
      </c>
      <c r="AC1309" s="132" t="s">
        <v>739</v>
      </c>
      <c r="AD1309" s="132" t="s">
        <v>739</v>
      </c>
      <c r="AE1309" s="132" t="s">
        <v>740</v>
      </c>
    </row>
    <row r="1310" spans="1:31">
      <c r="AA1310" s="132" t="str">
        <f t="shared" si="18"/>
        <v>Period</v>
      </c>
      <c r="AB1310" s="132" t="s">
        <v>741</v>
      </c>
      <c r="AC1310" s="132" t="s">
        <v>742</v>
      </c>
      <c r="AD1310" s="132" t="s">
        <v>743</v>
      </c>
      <c r="AE1310" s="132" t="s">
        <v>744</v>
      </c>
    </row>
    <row r="1311" spans="1:31" ht="25.5">
      <c r="AA1311" s="132" t="str">
        <f t="shared" si="18"/>
        <v>Direct- or semi direct firing system</v>
      </c>
      <c r="AB1311" s="134" t="s">
        <v>745</v>
      </c>
      <c r="AC1311" s="134" t="s">
        <v>746</v>
      </c>
      <c r="AD1311" s="134" t="s">
        <v>747</v>
      </c>
      <c r="AE1311" s="134" t="s">
        <v>748</v>
      </c>
    </row>
    <row r="1312" spans="1:31">
      <c r="AA1312" s="132" t="str">
        <f t="shared" si="18"/>
        <v>diameter</v>
      </c>
      <c r="AB1312" s="132" t="s">
        <v>749</v>
      </c>
      <c r="AC1312" s="132" t="s">
        <v>750</v>
      </c>
      <c r="AD1312" s="135" t="s">
        <v>751</v>
      </c>
      <c r="AE1312" s="134" t="s">
        <v>752</v>
      </c>
    </row>
    <row r="1313" spans="27:31">
      <c r="AA1313" s="132" t="str">
        <f t="shared" si="18"/>
        <v>Diameter burning zone</v>
      </c>
      <c r="AB1313" s="134" t="s">
        <v>753</v>
      </c>
      <c r="AC1313" s="134" t="s">
        <v>754</v>
      </c>
      <c r="AD1313" s="134" t="s">
        <v>755</v>
      </c>
      <c r="AE1313" s="134" t="s">
        <v>756</v>
      </c>
    </row>
    <row r="1314" spans="27:31">
      <c r="AA1314" s="132"/>
      <c r="AB1314" s="133" t="s">
        <v>757</v>
      </c>
      <c r="AC1314" s="132"/>
      <c r="AD1314" s="132"/>
      <c r="AE1314" s="132"/>
    </row>
    <row r="1315" spans="27:31" ht="25.5">
      <c r="AA1315" s="132" t="str">
        <f t="shared" ref="AA1315:AA1321" si="19">INDEX($AB:$AE,ROW(),Language)</f>
        <v>KILN FEED PROPERTIES</v>
      </c>
      <c r="AB1315" s="132" t="s">
        <v>758</v>
      </c>
      <c r="AC1315" s="132" t="s">
        <v>759</v>
      </c>
      <c r="AD1315" s="132" t="s">
        <v>760</v>
      </c>
      <c r="AE1315" s="132" t="s">
        <v>763</v>
      </c>
    </row>
    <row r="1316" spans="27:31">
      <c r="AA1316" s="132" t="str">
        <f t="shared" si="19"/>
        <v>Unit</v>
      </c>
      <c r="AB1316" s="132" t="s">
        <v>764</v>
      </c>
      <c r="AC1316" s="132" t="s">
        <v>765</v>
      </c>
      <c r="AD1316" s="132" t="s">
        <v>766</v>
      </c>
      <c r="AE1316" s="132" t="s">
        <v>347</v>
      </c>
    </row>
    <row r="1317" spans="27:31">
      <c r="AA1317" s="132" t="str">
        <f t="shared" si="19"/>
        <v>Intake</v>
      </c>
      <c r="AB1317" s="132" t="s">
        <v>767</v>
      </c>
      <c r="AC1317" s="132" t="s">
        <v>768</v>
      </c>
      <c r="AD1317" s="132" t="s">
        <v>769</v>
      </c>
      <c r="AE1317" s="134" t="s">
        <v>770</v>
      </c>
    </row>
    <row r="1318" spans="27:31">
      <c r="AA1318" s="132" t="str">
        <f t="shared" si="19"/>
        <v>INPUT</v>
      </c>
      <c r="AB1318" s="132" t="s">
        <v>771</v>
      </c>
      <c r="AC1318" s="135" t="s">
        <v>772</v>
      </c>
      <c r="AD1318" s="135" t="s">
        <v>773</v>
      </c>
      <c r="AE1318" s="135" t="s">
        <v>774</v>
      </c>
    </row>
    <row r="1319" spans="27:31">
      <c r="AA1319" s="132" t="str">
        <f t="shared" si="19"/>
        <v>Intake</v>
      </c>
      <c r="AB1319" s="132" t="s">
        <v>775</v>
      </c>
      <c r="AC1319" s="132" t="s">
        <v>768</v>
      </c>
      <c r="AD1319" s="134" t="s">
        <v>776</v>
      </c>
      <c r="AE1319" s="132" t="s">
        <v>777</v>
      </c>
    </row>
    <row r="1320" spans="27:31">
      <c r="AA1320" s="132" t="str">
        <f t="shared" si="19"/>
        <v>ENERGY</v>
      </c>
      <c r="AB1320" s="132" t="s">
        <v>778</v>
      </c>
      <c r="AC1320" s="132" t="s">
        <v>779</v>
      </c>
      <c r="AD1320" s="135" t="s">
        <v>780</v>
      </c>
      <c r="AE1320" s="132" t="s">
        <v>781</v>
      </c>
    </row>
    <row r="1321" spans="27:31" ht="25.5">
      <c r="AA1321" s="132" t="str">
        <f t="shared" si="19"/>
        <v>Calcination degree of the hot meal</v>
      </c>
      <c r="AB1321" s="132" t="s">
        <v>782</v>
      </c>
      <c r="AC1321" s="132" t="s">
        <v>783</v>
      </c>
      <c r="AD1321" s="135" t="s">
        <v>784</v>
      </c>
      <c r="AE1321" s="132" t="s">
        <v>785</v>
      </c>
    </row>
    <row r="1322" spans="27:31">
      <c r="AA1322" s="132"/>
      <c r="AB1322" s="133" t="s">
        <v>786</v>
      </c>
      <c r="AC1322" s="132"/>
      <c r="AD1322" s="132"/>
      <c r="AE1322" s="132"/>
    </row>
    <row r="1323" spans="27:31">
      <c r="AA1323" s="132" t="str">
        <f t="shared" ref="AA1323:AA1364" si="20">INDEX($AB:$AE,ROW(),Language)</f>
        <v>SENSIBLE HEAT</v>
      </c>
      <c r="AB1323" s="135" t="s">
        <v>787</v>
      </c>
      <c r="AC1323" s="132" t="s">
        <v>788</v>
      </c>
      <c r="AD1323" s="135" t="s">
        <v>789</v>
      </c>
      <c r="AE1323" s="132" t="s">
        <v>790</v>
      </c>
    </row>
    <row r="1324" spans="27:31">
      <c r="AA1324" s="132" t="str">
        <f t="shared" si="20"/>
        <v>Sensible heat</v>
      </c>
      <c r="AB1324" s="135" t="s">
        <v>791</v>
      </c>
      <c r="AC1324" s="132" t="s">
        <v>792</v>
      </c>
      <c r="AD1324" s="135" t="s">
        <v>793</v>
      </c>
      <c r="AE1324" s="132" t="s">
        <v>794</v>
      </c>
    </row>
    <row r="1325" spans="27:31" ht="25.5">
      <c r="AA1325" s="132" t="str">
        <f t="shared" si="20"/>
        <v>Sensible heat from fuel(s)</v>
      </c>
      <c r="AB1325" s="135" t="s">
        <v>795</v>
      </c>
      <c r="AC1325" s="132" t="s">
        <v>796</v>
      </c>
      <c r="AD1325" s="135" t="s">
        <v>797</v>
      </c>
      <c r="AE1325" s="132" t="s">
        <v>798</v>
      </c>
    </row>
    <row r="1326" spans="27:31" ht="25.5">
      <c r="AA1326" s="132" t="str">
        <f t="shared" si="20"/>
        <v>Heat output via bypass gasflow</v>
      </c>
      <c r="AB1326" s="134" t="s">
        <v>799</v>
      </c>
      <c r="AC1326" s="134" t="s">
        <v>800</v>
      </c>
      <c r="AD1326" s="135" t="s">
        <v>801</v>
      </c>
      <c r="AE1326" s="134" t="s">
        <v>802</v>
      </c>
    </row>
    <row r="1327" spans="27:31" ht="25.5">
      <c r="AA1327" s="132" t="str">
        <f t="shared" si="20"/>
        <v>SENSIBLE HEAT BYPASS FLOWRATE</v>
      </c>
      <c r="AB1327" s="135" t="s">
        <v>803</v>
      </c>
      <c r="AC1327" s="132" t="s">
        <v>804</v>
      </c>
      <c r="AD1327" s="135" t="s">
        <v>805</v>
      </c>
      <c r="AE1327" s="132" t="s">
        <v>806</v>
      </c>
    </row>
    <row r="1328" spans="27:31" ht="25.5">
      <c r="AA1328" s="132" t="str">
        <f t="shared" si="20"/>
        <v>SENSIBLE HEAT OF CLINKER</v>
      </c>
      <c r="AB1328" s="135" t="s">
        <v>807</v>
      </c>
      <c r="AC1328" s="134" t="s">
        <v>808</v>
      </c>
      <c r="AD1328" s="135" t="s">
        <v>809</v>
      </c>
      <c r="AE1328" s="132" t="s">
        <v>810</v>
      </c>
    </row>
    <row r="1329" spans="27:31">
      <c r="AA1329" s="132" t="str">
        <f t="shared" si="20"/>
        <v>Heat output via the clinker</v>
      </c>
      <c r="AB1329" s="135" t="s">
        <v>811</v>
      </c>
      <c r="AC1329" s="132" t="s">
        <v>812</v>
      </c>
      <c r="AD1329" s="135" t="s">
        <v>813</v>
      </c>
      <c r="AE1329" s="134" t="s">
        <v>814</v>
      </c>
    </row>
    <row r="1330" spans="27:31" ht="25.5">
      <c r="AA1330" s="132" t="str">
        <f t="shared" si="20"/>
        <v>Heat output via secondary air</v>
      </c>
      <c r="AB1330" s="135" t="s">
        <v>815</v>
      </c>
      <c r="AC1330" s="132" t="s">
        <v>816</v>
      </c>
      <c r="AD1330" s="135" t="s">
        <v>817</v>
      </c>
      <c r="AE1330" s="134" t="s">
        <v>818</v>
      </c>
    </row>
    <row r="1331" spans="27:31" ht="16.5" customHeight="1">
      <c r="AA1331" s="132" t="str">
        <f t="shared" si="20"/>
        <v>Sensible heat water</v>
      </c>
      <c r="AB1331" s="134" t="s">
        <v>819</v>
      </c>
      <c r="AC1331" s="134" t="s">
        <v>820</v>
      </c>
      <c r="AD1331" s="134" t="s">
        <v>821</v>
      </c>
      <c r="AE1331" s="134" t="s">
        <v>822</v>
      </c>
    </row>
    <row r="1332" spans="27:31" ht="12.75" customHeight="1">
      <c r="AA1332" s="132" t="str">
        <f t="shared" si="20"/>
        <v>Sensible heat air</v>
      </c>
      <c r="AB1332" s="135" t="s">
        <v>823</v>
      </c>
      <c r="AC1332" s="134" t="s">
        <v>824</v>
      </c>
      <c r="AD1332" s="134" t="s">
        <v>825</v>
      </c>
      <c r="AE1332" s="134" t="s">
        <v>826</v>
      </c>
    </row>
    <row r="1333" spans="27:31" ht="25.5">
      <c r="AA1333" s="132" t="str">
        <f t="shared" si="20"/>
        <v>SENSIBLE HEAT OUTPUT VIA DUST</v>
      </c>
      <c r="AB1333" s="135" t="s">
        <v>827</v>
      </c>
      <c r="AC1333" s="134" t="s">
        <v>849</v>
      </c>
      <c r="AD1333" s="134" t="s">
        <v>850</v>
      </c>
      <c r="AE1333" s="134" t="s">
        <v>851</v>
      </c>
    </row>
    <row r="1334" spans="27:31" ht="25.5">
      <c r="AA1334" s="132" t="str">
        <f t="shared" si="20"/>
        <v>Heat output via dust loss</v>
      </c>
      <c r="AB1334" s="134" t="s">
        <v>852</v>
      </c>
      <c r="AC1334" s="134" t="s">
        <v>853</v>
      </c>
      <c r="AD1334" s="134" t="s">
        <v>854</v>
      </c>
      <c r="AE1334" s="134" t="s">
        <v>855</v>
      </c>
    </row>
    <row r="1335" spans="27:31">
      <c r="AA1335" s="132" t="str">
        <f t="shared" si="20"/>
        <v>Heat input via false air</v>
      </c>
      <c r="AB1335" s="135" t="s">
        <v>856</v>
      </c>
      <c r="AC1335" s="135" t="s">
        <v>857</v>
      </c>
      <c r="AD1335" s="134" t="s">
        <v>858</v>
      </c>
      <c r="AE1335" s="134" t="s">
        <v>859</v>
      </c>
    </row>
    <row r="1336" spans="27:31">
      <c r="AA1336" s="132" t="str">
        <f t="shared" si="20"/>
        <v>Heat output via tertiary air</v>
      </c>
      <c r="AB1336" s="135" t="s">
        <v>860</v>
      </c>
      <c r="AC1336" s="135" t="s">
        <v>861</v>
      </c>
      <c r="AD1336" s="134" t="s">
        <v>862</v>
      </c>
      <c r="AE1336" s="134" t="s">
        <v>863</v>
      </c>
    </row>
    <row r="1337" spans="27:31" ht="25.5">
      <c r="AA1337" s="132" t="str">
        <f t="shared" si="20"/>
        <v>SENSIBLE HEAT MAIN BURNER</v>
      </c>
      <c r="AB1337" s="135" t="s">
        <v>864</v>
      </c>
      <c r="AC1337" s="132" t="s">
        <v>865</v>
      </c>
      <c r="AD1337" s="135" t="s">
        <v>866</v>
      </c>
      <c r="AE1337" s="132" t="s">
        <v>867</v>
      </c>
    </row>
    <row r="1338" spans="27:31" ht="38">
      <c r="AA1338" s="132" t="str">
        <f t="shared" si="20"/>
        <v>SENSIBLE HEAT COOLER WASTE AIR</v>
      </c>
      <c r="AB1338" s="135" t="s">
        <v>868</v>
      </c>
      <c r="AC1338" s="132" t="s">
        <v>869</v>
      </c>
      <c r="AD1338" s="135" t="s">
        <v>870</v>
      </c>
      <c r="AE1338" s="134" t="s">
        <v>871</v>
      </c>
    </row>
    <row r="1339" spans="27:31" ht="25.5">
      <c r="AA1339" s="132" t="str">
        <f t="shared" si="20"/>
        <v>Heat output through cooler waste air</v>
      </c>
      <c r="AB1339" s="135" t="s">
        <v>872</v>
      </c>
      <c r="AC1339" s="134" t="s">
        <v>873</v>
      </c>
      <c r="AD1339" s="134" t="s">
        <v>874</v>
      </c>
      <c r="AE1339" s="134" t="s">
        <v>875</v>
      </c>
    </row>
    <row r="1340" spans="27:31" ht="25.5">
      <c r="AA1340" s="132" t="str">
        <f t="shared" si="20"/>
        <v>SENSIBLE HEAT COOLER MIDDLE AIR</v>
      </c>
      <c r="AB1340" s="135" t="s">
        <v>876</v>
      </c>
      <c r="AC1340" s="132" t="s">
        <v>877</v>
      </c>
      <c r="AD1340" s="134" t="s">
        <v>878</v>
      </c>
      <c r="AE1340" s="134" t="s">
        <v>879</v>
      </c>
    </row>
    <row r="1341" spans="27:31" ht="25.5">
      <c r="AA1341" s="132" t="str">
        <f t="shared" si="20"/>
        <v>Heat output through cooler middle air</v>
      </c>
      <c r="AB1341" s="135" t="s">
        <v>880</v>
      </c>
      <c r="AC1341" s="135" t="s">
        <v>881</v>
      </c>
      <c r="AD1341" s="135" t="s">
        <v>882</v>
      </c>
      <c r="AE1341" s="134" t="s">
        <v>883</v>
      </c>
    </row>
    <row r="1342" spans="27:31" ht="38">
      <c r="AA1342" s="132" t="str">
        <f t="shared" si="20"/>
        <v>SENSIBLE HEAT OF WATER VAPOR IN WASTE AIR</v>
      </c>
      <c r="AB1342" s="134" t="s">
        <v>884</v>
      </c>
      <c r="AC1342" s="134" t="s">
        <v>885</v>
      </c>
      <c r="AD1342" s="134" t="s">
        <v>886</v>
      </c>
      <c r="AE1342" s="134" t="s">
        <v>887</v>
      </c>
    </row>
    <row r="1343" spans="27:31" ht="25.5">
      <c r="AA1343" s="132" t="str">
        <f t="shared" si="20"/>
        <v>SENSIBLE HEAT KILN EXHAUST GASES</v>
      </c>
      <c r="AB1343" s="134" t="s">
        <v>888</v>
      </c>
      <c r="AC1343" s="132" t="s">
        <v>889</v>
      </c>
      <c r="AD1343" s="135" t="s">
        <v>890</v>
      </c>
      <c r="AE1343" s="132" t="s">
        <v>891</v>
      </c>
    </row>
    <row r="1344" spans="27:31" ht="25.5">
      <c r="AA1344" s="132" t="str">
        <f t="shared" si="20"/>
        <v>SENSIBLE HEAT COOLING AIR</v>
      </c>
      <c r="AB1344" s="135" t="s">
        <v>892</v>
      </c>
      <c r="AC1344" s="132" t="s">
        <v>893</v>
      </c>
      <c r="AD1344" s="135" t="s">
        <v>894</v>
      </c>
      <c r="AE1344" s="132" t="s">
        <v>929</v>
      </c>
    </row>
    <row r="1345" spans="27:31" ht="25.5">
      <c r="AA1345" s="132" t="str">
        <f t="shared" si="20"/>
        <v>SENSIBLE HEAT OF INJECTED WATER</v>
      </c>
      <c r="AB1345" s="135" t="s">
        <v>930</v>
      </c>
      <c r="AC1345" s="134" t="s">
        <v>931</v>
      </c>
      <c r="AD1345" s="134" t="s">
        <v>932</v>
      </c>
      <c r="AE1345" s="132" t="s">
        <v>933</v>
      </c>
    </row>
    <row r="1346" spans="27:31" ht="25.5">
      <c r="AA1346" s="132" t="str">
        <f t="shared" si="20"/>
        <v>Sensible heat kiln exhaust gases</v>
      </c>
      <c r="AB1346" s="135" t="s">
        <v>934</v>
      </c>
      <c r="AC1346" s="134" t="s">
        <v>935</v>
      </c>
      <c r="AD1346" s="134" t="s">
        <v>936</v>
      </c>
      <c r="AE1346" s="134" t="s">
        <v>937</v>
      </c>
    </row>
    <row r="1347" spans="27:31" ht="25.5">
      <c r="AA1347" s="132" t="str">
        <f t="shared" si="20"/>
        <v>Sensible heat calciner exhaust gases</v>
      </c>
      <c r="AB1347" s="134" t="s">
        <v>938</v>
      </c>
      <c r="AC1347" s="134" t="s">
        <v>945</v>
      </c>
      <c r="AD1347" s="134" t="s">
        <v>946</v>
      </c>
      <c r="AE1347" s="134" t="s">
        <v>947</v>
      </c>
    </row>
    <row r="1348" spans="27:31" ht="25.5">
      <c r="AA1348" s="132" t="str">
        <f t="shared" si="20"/>
        <v>SENSIBLE HEAT CALCINER EXHAUST GASES</v>
      </c>
      <c r="AB1348" s="134" t="s">
        <v>948</v>
      </c>
      <c r="AC1348" s="135" t="s">
        <v>949</v>
      </c>
      <c r="AD1348" s="135" t="s">
        <v>963</v>
      </c>
      <c r="AE1348" s="134" t="s">
        <v>964</v>
      </c>
    </row>
    <row r="1349" spans="27:31">
      <c r="AA1349" s="132" t="str">
        <f t="shared" si="20"/>
        <v>factor</v>
      </c>
      <c r="AB1349" s="132" t="s">
        <v>965</v>
      </c>
      <c r="AC1349" s="132" t="s">
        <v>966</v>
      </c>
      <c r="AD1349" s="132" t="s">
        <v>967</v>
      </c>
      <c r="AE1349" s="132" t="s">
        <v>968</v>
      </c>
    </row>
    <row r="1350" spans="27:31">
      <c r="AA1350" s="132" t="str">
        <f t="shared" si="20"/>
        <v>FALSE AIR</v>
      </c>
      <c r="AB1350" s="132" t="s">
        <v>969</v>
      </c>
      <c r="AC1350" s="132" t="s">
        <v>970</v>
      </c>
      <c r="AD1350" s="132" t="s">
        <v>971</v>
      </c>
      <c r="AE1350" s="132" t="s">
        <v>973</v>
      </c>
    </row>
    <row r="1351" spans="27:31">
      <c r="AA1351" s="132" t="str">
        <f t="shared" si="20"/>
        <v>False air</v>
      </c>
      <c r="AB1351" s="132" t="s">
        <v>974</v>
      </c>
      <c r="AC1351" s="132" t="s">
        <v>975</v>
      </c>
      <c r="AD1351" s="132" t="s">
        <v>976</v>
      </c>
      <c r="AE1351" s="132" t="s">
        <v>977</v>
      </c>
    </row>
    <row r="1352" spans="27:31">
      <c r="AA1352" s="132" t="str">
        <f t="shared" si="20"/>
        <v>False air cooler</v>
      </c>
      <c r="AB1352" s="132" t="s">
        <v>978</v>
      </c>
      <c r="AC1352" s="132" t="s">
        <v>989</v>
      </c>
      <c r="AD1352" s="132" t="s">
        <v>990</v>
      </c>
      <c r="AE1352" s="132" t="s">
        <v>998</v>
      </c>
    </row>
    <row r="1353" spans="27:31">
      <c r="AA1353" s="132" t="str">
        <f t="shared" si="20"/>
        <v>False air tertiary air duct</v>
      </c>
      <c r="AB1353" s="132" t="s">
        <v>721</v>
      </c>
      <c r="AC1353" s="132" t="s">
        <v>722</v>
      </c>
      <c r="AD1353" s="132" t="s">
        <v>723</v>
      </c>
      <c r="AE1353" s="132" t="s">
        <v>724</v>
      </c>
    </row>
    <row r="1354" spans="27:31">
      <c r="AA1354" s="132" t="str">
        <f t="shared" si="20"/>
        <v>False air kiln inlet seal</v>
      </c>
      <c r="AB1354" s="132" t="s">
        <v>999</v>
      </c>
      <c r="AC1354" s="132" t="s">
        <v>1000</v>
      </c>
      <c r="AD1354" s="132" t="s">
        <v>1001</v>
      </c>
      <c r="AE1354" s="132" t="s">
        <v>1002</v>
      </c>
    </row>
    <row r="1355" spans="27:31">
      <c r="AA1355" s="132" t="str">
        <f t="shared" si="20"/>
        <v>False air kiln hood</v>
      </c>
      <c r="AB1355" s="518" t="s">
        <v>1003</v>
      </c>
      <c r="AC1355" s="518" t="s">
        <v>1004</v>
      </c>
      <c r="AD1355" s="518" t="s">
        <v>1961</v>
      </c>
      <c r="AE1355" s="518" t="s">
        <v>1005</v>
      </c>
    </row>
    <row r="1356" spans="27:31">
      <c r="AA1356" s="132" t="str">
        <f t="shared" si="20"/>
        <v>Cooler air balance error</v>
      </c>
      <c r="AB1356" s="134" t="s">
        <v>1006</v>
      </c>
      <c r="AC1356" s="132" t="s">
        <v>1007</v>
      </c>
      <c r="AD1356" s="132" t="s">
        <v>1008</v>
      </c>
      <c r="AE1356" s="132" t="s">
        <v>1009</v>
      </c>
    </row>
    <row r="1357" spans="27:31" ht="25.5">
      <c r="AA1357" s="132" t="str">
        <f t="shared" si="20"/>
        <v>Cooler heat balance error</v>
      </c>
      <c r="AB1357" s="135" t="s">
        <v>1010</v>
      </c>
      <c r="AC1357" s="132" t="s">
        <v>1011</v>
      </c>
      <c r="AD1357" s="132" t="s">
        <v>1012</v>
      </c>
      <c r="AE1357" s="132" t="s">
        <v>1013</v>
      </c>
    </row>
    <row r="1358" spans="27:31">
      <c r="AA1358" s="132" t="str">
        <f t="shared" si="20"/>
        <v>Mass balance error</v>
      </c>
      <c r="AB1358" s="132" t="s">
        <v>1014</v>
      </c>
      <c r="AC1358" s="132" t="s">
        <v>1015</v>
      </c>
      <c r="AD1358" s="132" t="s">
        <v>1016</v>
      </c>
      <c r="AE1358" s="132" t="s">
        <v>1017</v>
      </c>
    </row>
    <row r="1359" spans="27:31">
      <c r="AA1359" s="132" t="str">
        <f t="shared" si="20"/>
        <v>Kiln heat balance error</v>
      </c>
      <c r="AB1359" s="132" t="s">
        <v>1018</v>
      </c>
      <c r="AC1359" s="132" t="s">
        <v>1019</v>
      </c>
      <c r="AD1359" s="134" t="s">
        <v>1020</v>
      </c>
      <c r="AE1359" s="132" t="s">
        <v>1021</v>
      </c>
    </row>
    <row r="1360" spans="27:31">
      <c r="AA1360" s="132" t="str">
        <f t="shared" si="20"/>
        <v>wet</v>
      </c>
      <c r="AB1360" s="132" t="s">
        <v>1022</v>
      </c>
      <c r="AC1360" s="132" t="s">
        <v>1023</v>
      </c>
      <c r="AD1360" s="135" t="s">
        <v>1024</v>
      </c>
      <c r="AE1360" s="132" t="s">
        <v>1025</v>
      </c>
    </row>
    <row r="1361" spans="27:31">
      <c r="AA1361" s="132" t="str">
        <f t="shared" si="20"/>
        <v>Moisture content</v>
      </c>
      <c r="AB1361" s="132" t="s">
        <v>1026</v>
      </c>
      <c r="AC1361" s="132" t="s">
        <v>1027</v>
      </c>
      <c r="AD1361" s="132" t="s">
        <v>1029</v>
      </c>
      <c r="AE1361" s="132" t="s">
        <v>1030</v>
      </c>
    </row>
    <row r="1362" spans="27:31" ht="25.5">
      <c r="AA1362" s="132" t="str">
        <f t="shared" si="20"/>
        <v>Moisture content of the coal fed to the burner</v>
      </c>
      <c r="AB1362" s="135" t="s">
        <v>1031</v>
      </c>
      <c r="AC1362" s="132" t="s">
        <v>1032</v>
      </c>
      <c r="AD1362" s="135" t="s">
        <v>1033</v>
      </c>
      <c r="AE1362" s="134" t="s">
        <v>1034</v>
      </c>
    </row>
    <row r="1363" spans="27:31" ht="25.5">
      <c r="AA1363" s="132" t="str">
        <f t="shared" si="20"/>
        <v>Moisture content of the raw coal/coke as fed to the coal mill</v>
      </c>
      <c r="AB1363" s="136" t="s">
        <v>1035</v>
      </c>
      <c r="AC1363" s="132" t="s">
        <v>1036</v>
      </c>
      <c r="AD1363" s="134" t="s">
        <v>1037</v>
      </c>
      <c r="AE1363" s="132" t="s">
        <v>1038</v>
      </c>
    </row>
    <row r="1364" spans="27:31">
      <c r="AA1364" s="132" t="str">
        <f t="shared" si="20"/>
        <v>flow</v>
      </c>
      <c r="AB1364" s="132" t="s">
        <v>1039</v>
      </c>
      <c r="AC1364" s="132" t="s">
        <v>1040</v>
      </c>
      <c r="AD1364" s="135" t="s">
        <v>1041</v>
      </c>
      <c r="AE1364" s="132" t="s">
        <v>1042</v>
      </c>
    </row>
    <row r="1365" spans="27:31">
      <c r="AA1365" s="132"/>
      <c r="AB1365" s="133" t="s">
        <v>1043</v>
      </c>
      <c r="AC1365" s="132"/>
      <c r="AD1365" s="132"/>
      <c r="AE1365" s="132"/>
    </row>
    <row r="1366" spans="27:31" ht="25.5">
      <c r="AA1366" s="132" t="str">
        <f t="shared" ref="AA1366:AA1380" si="21">INDEX($AB:$AE,ROW(),Language)</f>
        <v>GAS PROPERTIES AT KILN INLET</v>
      </c>
      <c r="AB1366" s="132" t="s">
        <v>1044</v>
      </c>
      <c r="AC1366" s="132" t="s">
        <v>1045</v>
      </c>
      <c r="AD1366" s="132" t="s">
        <v>1046</v>
      </c>
      <c r="AE1366" s="134" t="s">
        <v>1047</v>
      </c>
    </row>
    <row r="1367" spans="27:31" ht="38">
      <c r="AA1367" s="132" t="str">
        <f t="shared" si="21"/>
        <v>GAS PROPERTIES AT PREHEATER OUTLET</v>
      </c>
      <c r="AB1367" s="134" t="s">
        <v>1048</v>
      </c>
      <c r="AC1367" s="132" t="s">
        <v>1049</v>
      </c>
      <c r="AD1367" s="134" t="s">
        <v>1050</v>
      </c>
      <c r="AE1367" s="134" t="s">
        <v>1051</v>
      </c>
    </row>
    <row r="1368" spans="27:31" ht="25.5">
      <c r="AA1368" s="132" t="str">
        <f t="shared" si="21"/>
        <v>Gas from raw meal CO2 + H2Ohyd</v>
      </c>
      <c r="AB1368" s="134" t="s">
        <v>1052</v>
      </c>
      <c r="AC1368" s="132" t="s">
        <v>1053</v>
      </c>
      <c r="AD1368" s="135" t="s">
        <v>1057</v>
      </c>
      <c r="AE1368" s="132" t="s">
        <v>1058</v>
      </c>
    </row>
    <row r="1369" spans="27:31">
      <c r="AA1369" s="132" t="str">
        <f t="shared" si="21"/>
        <v>content</v>
      </c>
      <c r="AB1369" s="135" t="s">
        <v>1059</v>
      </c>
      <c r="AC1369" s="132" t="s">
        <v>1060</v>
      </c>
      <c r="AD1369" s="135" t="s">
        <v>1061</v>
      </c>
      <c r="AE1369" s="134" t="s">
        <v>1062</v>
      </c>
    </row>
    <row r="1370" spans="27:31" ht="25.5">
      <c r="AA1370" s="132" t="str">
        <f t="shared" si="21"/>
        <v>Total cooling air</v>
      </c>
      <c r="AB1370" s="132" t="s">
        <v>1063</v>
      </c>
      <c r="AC1370" s="132" t="s">
        <v>1064</v>
      </c>
      <c r="AD1370" s="135" t="s">
        <v>1065</v>
      </c>
      <c r="AE1370" s="132" t="s">
        <v>1066</v>
      </c>
    </row>
    <row r="1371" spans="27:31" ht="25.5">
      <c r="AA1371" s="132" t="str">
        <f t="shared" si="21"/>
        <v>Total primary air main burner</v>
      </c>
      <c r="AB1371" s="134" t="s">
        <v>1067</v>
      </c>
      <c r="AC1371" s="134" t="s">
        <v>1068</v>
      </c>
      <c r="AD1371" s="134" t="s">
        <v>1069</v>
      </c>
      <c r="AE1371" s="134" t="s">
        <v>1070</v>
      </c>
    </row>
    <row r="1372" spans="27:31" ht="25.5">
      <c r="AA1372" s="132" t="str">
        <f t="shared" si="21"/>
        <v>Total primary air precalciner or secondary firing</v>
      </c>
      <c r="AB1372" s="135" t="s">
        <v>1071</v>
      </c>
      <c r="AC1372" s="134" t="s">
        <v>1072</v>
      </c>
      <c r="AD1372" s="134" t="s">
        <v>1073</v>
      </c>
      <c r="AE1372" s="134" t="s">
        <v>1074</v>
      </c>
    </row>
    <row r="1373" spans="27:31">
      <c r="AA1373" s="132" t="str">
        <f t="shared" si="21"/>
        <v>Total heat input</v>
      </c>
      <c r="AB1373" s="132" t="s">
        <v>1075</v>
      </c>
      <c r="AC1373" s="132" t="s">
        <v>1076</v>
      </c>
      <c r="AD1373" s="135" t="s">
        <v>1077</v>
      </c>
      <c r="AE1373" s="132" t="s">
        <v>1078</v>
      </c>
    </row>
    <row r="1374" spans="27:31" ht="25.5">
      <c r="AA1374" s="132" t="str">
        <f t="shared" si="21"/>
        <v>Total heat input from fuel combustion</v>
      </c>
      <c r="AB1374" s="132" t="s">
        <v>1079</v>
      </c>
      <c r="AC1374" s="132" t="s">
        <v>1080</v>
      </c>
      <c r="AD1374" s="134" t="s">
        <v>1081</v>
      </c>
      <c r="AE1374" s="134" t="s">
        <v>1082</v>
      </c>
    </row>
    <row r="1375" spans="27:31">
      <c r="AA1375" s="132" t="str">
        <f t="shared" si="21"/>
        <v>Total heat of condensation:</v>
      </c>
      <c r="AB1375" s="134" t="s">
        <v>1083</v>
      </c>
      <c r="AC1375" s="134" t="s">
        <v>1084</v>
      </c>
      <c r="AD1375" s="135" t="s">
        <v>1085</v>
      </c>
      <c r="AE1375" s="135" t="s">
        <v>1086</v>
      </c>
    </row>
    <row r="1376" spans="27:31">
      <c r="AA1376" s="132" t="str">
        <f t="shared" si="21"/>
        <v>Velocity</v>
      </c>
      <c r="AB1376" s="132" t="s">
        <v>1087</v>
      </c>
      <c r="AC1376" s="135" t="s">
        <v>1088</v>
      </c>
      <c r="AD1376" s="135" t="s">
        <v>1089</v>
      </c>
      <c r="AE1376" s="135" t="s">
        <v>1090</v>
      </c>
    </row>
    <row r="1377" spans="27:31">
      <c r="AA1377" s="132" t="str">
        <f t="shared" si="21"/>
        <v>Velocity</v>
      </c>
      <c r="AB1377" s="132" t="s">
        <v>1091</v>
      </c>
      <c r="AC1377" s="134" t="s">
        <v>1088</v>
      </c>
      <c r="AD1377" s="134" t="s">
        <v>1089</v>
      </c>
      <c r="AE1377" s="134" t="s">
        <v>1090</v>
      </c>
    </row>
    <row r="1378" spans="27:31">
      <c r="AA1378" s="132" t="str">
        <f t="shared" si="21"/>
        <v>LOI</v>
      </c>
      <c r="AB1378" s="132" t="s">
        <v>1092</v>
      </c>
      <c r="AC1378" s="132" t="s">
        <v>1093</v>
      </c>
      <c r="AD1378" s="134" t="s">
        <v>1094</v>
      </c>
      <c r="AE1378" s="134" t="s">
        <v>1095</v>
      </c>
    </row>
    <row r="1379" spans="27:31">
      <c r="AA1379" s="132" t="str">
        <f t="shared" si="21"/>
        <v>LOI</v>
      </c>
      <c r="AB1379" s="132" t="s">
        <v>1092</v>
      </c>
      <c r="AC1379" s="132" t="s">
        <v>1093</v>
      </c>
      <c r="AD1379" s="135" t="s">
        <v>1096</v>
      </c>
      <c r="AE1379" s="134" t="s">
        <v>1097</v>
      </c>
    </row>
    <row r="1380" spans="27:31" ht="25.5">
      <c r="AA1380" s="132" t="str">
        <f t="shared" si="21"/>
        <v>LOI of bypass dust</v>
      </c>
      <c r="AB1380" s="132" t="s">
        <v>1098</v>
      </c>
      <c r="AC1380" s="132" t="s">
        <v>1099</v>
      </c>
      <c r="AD1380" s="135" t="s">
        <v>1100</v>
      </c>
      <c r="AE1380" s="134" t="s">
        <v>1101</v>
      </c>
    </row>
    <row r="1381" spans="27:31">
      <c r="AA1381" s="132"/>
      <c r="AB1381" s="133" t="s">
        <v>1108</v>
      </c>
      <c r="AC1381" s="132"/>
      <c r="AD1381" s="132"/>
      <c r="AE1381" s="132"/>
    </row>
    <row r="1382" spans="27:31">
      <c r="AA1382" s="132" t="str">
        <f t="shared" ref="AA1382:AA1392" si="22">INDEX($AB:$AE,ROW(),Language)</f>
        <v>Altitude</v>
      </c>
      <c r="AB1382" s="132" t="s">
        <v>1109</v>
      </c>
      <c r="AC1382" s="132" t="s">
        <v>1110</v>
      </c>
      <c r="AD1382" s="132" t="s">
        <v>1110</v>
      </c>
      <c r="AE1382" s="134" t="s">
        <v>1111</v>
      </c>
    </row>
    <row r="1383" spans="27:31">
      <c r="AA1383" s="132" t="str">
        <f t="shared" si="22"/>
        <v>H2O fuel/coal mill</v>
      </c>
      <c r="AB1383" s="134" t="s">
        <v>1112</v>
      </c>
      <c r="AC1383" s="134" t="s">
        <v>1113</v>
      </c>
      <c r="AD1383" s="134" t="s">
        <v>1114</v>
      </c>
      <c r="AE1383" s="134" t="s">
        <v>1115</v>
      </c>
    </row>
    <row r="1384" spans="27:31">
      <c r="AA1384" s="132" t="str">
        <f t="shared" si="22"/>
        <v>H2O kiln feed</v>
      </c>
      <c r="AB1384" s="132" t="s">
        <v>1116</v>
      </c>
      <c r="AC1384" s="132" t="s">
        <v>1117</v>
      </c>
      <c r="AD1384" s="132" t="s">
        <v>1118</v>
      </c>
      <c r="AE1384" s="134" t="s">
        <v>1119</v>
      </c>
    </row>
    <row r="1385" spans="27:31">
      <c r="AA1385" s="132" t="str">
        <f t="shared" si="22"/>
        <v>H2O air humidity</v>
      </c>
      <c r="AB1385" s="132" t="s">
        <v>1120</v>
      </c>
      <c r="AC1385" s="132" t="s">
        <v>1121</v>
      </c>
      <c r="AD1385" s="132" t="s">
        <v>1122</v>
      </c>
      <c r="AE1385" s="135" t="s">
        <v>1123</v>
      </c>
    </row>
    <row r="1386" spans="27:31">
      <c r="AA1386" s="132" t="str">
        <f t="shared" si="22"/>
        <v>H2O in Vmin</v>
      </c>
      <c r="AB1386" s="132" t="s">
        <v>1124</v>
      </c>
      <c r="AC1386" s="132" t="s">
        <v>1124</v>
      </c>
      <c r="AD1386" s="132" t="s">
        <v>1129</v>
      </c>
      <c r="AE1386" s="135" t="s">
        <v>1130</v>
      </c>
    </row>
    <row r="1387" spans="27:31">
      <c r="AA1387" s="132" t="str">
        <f t="shared" si="22"/>
        <v>average H2O in Vmin</v>
      </c>
      <c r="AB1387" s="134" t="s">
        <v>1131</v>
      </c>
      <c r="AC1387" s="134" t="s">
        <v>1132</v>
      </c>
      <c r="AD1387" s="134" t="s">
        <v>1133</v>
      </c>
      <c r="AE1387" s="134" t="s">
        <v>1134</v>
      </c>
    </row>
    <row r="1388" spans="27:31" ht="25.5">
      <c r="AA1388" s="132" t="str">
        <f t="shared" si="22"/>
        <v>H2O-input into planetary cooler</v>
      </c>
      <c r="AB1388" s="134" t="s">
        <v>1135</v>
      </c>
      <c r="AC1388" s="134" t="s">
        <v>1136</v>
      </c>
      <c r="AD1388" s="134" t="s">
        <v>1137</v>
      </c>
      <c r="AE1388" s="134" t="s">
        <v>1138</v>
      </c>
    </row>
    <row r="1389" spans="27:31">
      <c r="AA1389" s="132" t="str">
        <f t="shared" si="22"/>
        <v>MAIN BURNER</v>
      </c>
      <c r="AB1389" s="132" t="s">
        <v>1139</v>
      </c>
      <c r="AC1389" s="132" t="s">
        <v>1140</v>
      </c>
      <c r="AD1389" s="132" t="s">
        <v>1141</v>
      </c>
      <c r="AE1389" s="132" t="s">
        <v>1142</v>
      </c>
    </row>
    <row r="1390" spans="27:31">
      <c r="AA1390" s="132" t="str">
        <f t="shared" si="22"/>
        <v>Main burner</v>
      </c>
      <c r="AB1390" s="132" t="s">
        <v>1143</v>
      </c>
      <c r="AC1390" s="132" t="s">
        <v>1144</v>
      </c>
      <c r="AD1390" s="132" t="s">
        <v>1145</v>
      </c>
      <c r="AE1390" s="134" t="s">
        <v>1146</v>
      </c>
    </row>
    <row r="1391" spans="27:31">
      <c r="AA1391" s="132" t="str">
        <f t="shared" si="22"/>
        <v>NCV</v>
      </c>
      <c r="AB1391" s="132" t="s">
        <v>1147</v>
      </c>
      <c r="AC1391" s="518" t="s">
        <v>1956</v>
      </c>
      <c r="AD1391" s="132" t="s">
        <v>1148</v>
      </c>
      <c r="AE1391" s="135" t="s">
        <v>1148</v>
      </c>
    </row>
    <row r="1392" spans="27:31">
      <c r="AA1392" s="132" t="str">
        <f t="shared" si="22"/>
        <v>NCV as fired</v>
      </c>
      <c r="AB1392" s="132" t="s">
        <v>1149</v>
      </c>
      <c r="AC1392" s="518" t="s">
        <v>1957</v>
      </c>
      <c r="AD1392" s="132" t="s">
        <v>1150</v>
      </c>
      <c r="AE1392" s="132" t="s">
        <v>1151</v>
      </c>
    </row>
    <row r="1393" spans="27:31">
      <c r="AA1393" s="132"/>
      <c r="AB1393" s="133" t="s">
        <v>1152</v>
      </c>
      <c r="AC1393" s="132"/>
      <c r="AD1393" s="132"/>
      <c r="AE1393" s="132"/>
    </row>
    <row r="1394" spans="27:31" ht="25.5">
      <c r="AA1394" s="132" t="str">
        <f>INDEX($AB:$AE,ROW(),Language)</f>
        <v>In case of a "separate line" calciner</v>
      </c>
      <c r="AB1394" s="132" t="s">
        <v>1153</v>
      </c>
      <c r="AC1394" s="135" t="s">
        <v>1154</v>
      </c>
      <c r="AD1394" s="135" t="s">
        <v>1154</v>
      </c>
      <c r="AE1394" s="132" t="s">
        <v>1155</v>
      </c>
    </row>
    <row r="1395" spans="27:31">
      <c r="AA1395" s="132" t="str">
        <f>INDEX($AB:$AE,ROW(),Language)</f>
        <v>Indirect firing system</v>
      </c>
      <c r="AB1395" s="134" t="s">
        <v>1156</v>
      </c>
      <c r="AC1395" s="134" t="s">
        <v>1157</v>
      </c>
      <c r="AD1395" s="134" t="s">
        <v>1158</v>
      </c>
      <c r="AE1395" s="134" t="s">
        <v>1159</v>
      </c>
    </row>
    <row r="1396" spans="27:31">
      <c r="AA1396" s="132"/>
      <c r="AB1396" s="133" t="s">
        <v>1160</v>
      </c>
      <c r="AC1396" s="132"/>
      <c r="AD1396" s="132"/>
      <c r="AE1396" s="132"/>
    </row>
    <row r="1397" spans="27:31">
      <c r="AA1397" s="132"/>
      <c r="AB1397" s="133" t="s">
        <v>384</v>
      </c>
      <c r="AC1397" s="132"/>
      <c r="AD1397" s="132"/>
      <c r="AE1397" s="132"/>
    </row>
    <row r="1398" spans="27:31">
      <c r="AA1398" s="132" t="str">
        <f t="shared" ref="AA1398:AA1429" si="23">INDEX($AB:$AE,ROW(),Language)</f>
        <v>K2O kiln feed</v>
      </c>
      <c r="AB1398" s="132" t="s">
        <v>1161</v>
      </c>
      <c r="AC1398" s="132" t="s">
        <v>1162</v>
      </c>
      <c r="AD1398" s="132" t="s">
        <v>1163</v>
      </c>
      <c r="AE1398" s="132" t="s">
        <v>1164</v>
      </c>
    </row>
    <row r="1399" spans="27:31">
      <c r="AA1399" s="132" t="str">
        <f t="shared" si="23"/>
        <v>K2O clinker</v>
      </c>
      <c r="AB1399" s="132" t="s">
        <v>1165</v>
      </c>
      <c r="AC1399" s="132" t="s">
        <v>1166</v>
      </c>
      <c r="AD1399" s="132" t="s">
        <v>1166</v>
      </c>
      <c r="AE1399" s="132" t="s">
        <v>1166</v>
      </c>
    </row>
    <row r="1400" spans="27:31">
      <c r="AA1400" s="132" t="str">
        <f t="shared" si="23"/>
        <v>K2O kiln dust</v>
      </c>
      <c r="AB1400" s="132" t="s">
        <v>1167</v>
      </c>
      <c r="AC1400" s="134" t="s">
        <v>1168</v>
      </c>
      <c r="AD1400" s="132" t="s">
        <v>1169</v>
      </c>
      <c r="AE1400" s="132" t="s">
        <v>1170</v>
      </c>
    </row>
    <row r="1401" spans="27:31" ht="25.5">
      <c r="AA1401" s="132" t="str">
        <f t="shared" si="23"/>
        <v>Heat of condensation of the alcalis</v>
      </c>
      <c r="AB1401" s="132" t="s">
        <v>1171</v>
      </c>
      <c r="AC1401" s="135" t="s">
        <v>1172</v>
      </c>
      <c r="AD1401" s="132" t="s">
        <v>1173</v>
      </c>
      <c r="AE1401" s="132" t="s">
        <v>1174</v>
      </c>
    </row>
    <row r="1402" spans="27:31">
      <c r="AA1402" s="132" t="str">
        <f t="shared" si="23"/>
        <v>COOLER</v>
      </c>
      <c r="AB1402" s="132" t="s">
        <v>1175</v>
      </c>
      <c r="AC1402" s="132" t="s">
        <v>1176</v>
      </c>
      <c r="AD1402" s="135" t="s">
        <v>1177</v>
      </c>
      <c r="AE1402" s="132" t="s">
        <v>1178</v>
      </c>
    </row>
    <row r="1403" spans="27:31">
      <c r="AA1403" s="132" t="str">
        <f t="shared" si="23"/>
        <v>Cooler</v>
      </c>
      <c r="AB1403" s="132" t="s">
        <v>1179</v>
      </c>
      <c r="AC1403" s="132" t="s">
        <v>1180</v>
      </c>
      <c r="AD1403" s="135" t="s">
        <v>1181</v>
      </c>
      <c r="AE1403" s="132" t="s">
        <v>1182</v>
      </c>
    </row>
    <row r="1404" spans="27:31">
      <c r="AA1404" s="132" t="str">
        <f t="shared" si="23"/>
        <v>Cooler and kiln hood</v>
      </c>
      <c r="AB1404" s="132" t="s">
        <v>1183</v>
      </c>
      <c r="AC1404" s="132" t="s">
        <v>1184</v>
      </c>
      <c r="AD1404" s="134" t="s">
        <v>1185</v>
      </c>
      <c r="AE1404" s="134" t="s">
        <v>1186</v>
      </c>
    </row>
    <row r="1405" spans="27:31">
      <c r="AA1405" s="132" t="str">
        <f t="shared" si="23"/>
        <v>Cooler and kiln hood</v>
      </c>
      <c r="AB1405" s="132" t="s">
        <v>1183</v>
      </c>
      <c r="AC1405" s="132" t="s">
        <v>1184</v>
      </c>
      <c r="AD1405" s="135" t="s">
        <v>1187</v>
      </c>
      <c r="AE1405" s="134" t="s">
        <v>1186</v>
      </c>
    </row>
    <row r="1406" spans="27:31" ht="25.5">
      <c r="AA1406" s="132" t="str">
        <f t="shared" si="23"/>
        <v>COOLER HEAT BALANCE</v>
      </c>
      <c r="AB1406" s="134" t="s">
        <v>1188</v>
      </c>
      <c r="AC1406" s="134" t="s">
        <v>1189</v>
      </c>
      <c r="AD1406" s="134" t="s">
        <v>1190</v>
      </c>
      <c r="AE1406" s="134" t="s">
        <v>1191</v>
      </c>
    </row>
    <row r="1407" spans="27:31" ht="25.5">
      <c r="AA1407" s="132" t="str">
        <f t="shared" si="23"/>
        <v>COOLER WASTE AIR</v>
      </c>
      <c r="AB1407" s="132" t="s">
        <v>1192</v>
      </c>
      <c r="AC1407" s="132" t="s">
        <v>1193</v>
      </c>
      <c r="AD1407" s="132" t="s">
        <v>1194</v>
      </c>
      <c r="AE1407" s="134" t="s">
        <v>1195</v>
      </c>
    </row>
    <row r="1408" spans="27:31" ht="38">
      <c r="AA1408" s="132" t="str">
        <f t="shared" si="23"/>
        <v>COOLER WASTE AIR AND WATER VAPOR</v>
      </c>
      <c r="AB1408" s="134" t="s">
        <v>1196</v>
      </c>
      <c r="AC1408" s="134" t="s">
        <v>1197</v>
      </c>
      <c r="AD1408" s="134" t="s">
        <v>1198</v>
      </c>
      <c r="AE1408" s="134" t="s">
        <v>1199</v>
      </c>
    </row>
    <row r="1409" spans="27:31">
      <c r="AA1409" s="132" t="str">
        <f t="shared" si="23"/>
        <v>Cooler waste air</v>
      </c>
      <c r="AB1409" s="132" t="s">
        <v>1200</v>
      </c>
      <c r="AC1409" s="132" t="s">
        <v>1201</v>
      </c>
      <c r="AD1409" s="132" t="s">
        <v>1202</v>
      </c>
      <c r="AE1409" s="134" t="s">
        <v>1203</v>
      </c>
    </row>
    <row r="1410" spans="27:31" ht="25.5">
      <c r="AA1410" s="132" t="str">
        <f t="shared" si="23"/>
        <v>Cooler waste air (without water vapor)</v>
      </c>
      <c r="AB1410" s="134" t="s">
        <v>1204</v>
      </c>
      <c r="AC1410" s="134" t="s">
        <v>1205</v>
      </c>
      <c r="AD1410" s="134" t="s">
        <v>1206</v>
      </c>
      <c r="AE1410" s="134" t="s">
        <v>1207</v>
      </c>
    </row>
    <row r="1411" spans="27:31">
      <c r="AA1411" s="132" t="str">
        <f t="shared" si="23"/>
        <v>COOLING AIR</v>
      </c>
      <c r="AB1411" s="134" t="s">
        <v>1208</v>
      </c>
      <c r="AC1411" s="135" t="s">
        <v>1209</v>
      </c>
      <c r="AD1411" s="134" t="s">
        <v>1210</v>
      </c>
      <c r="AE1411" s="134" t="s">
        <v>1211</v>
      </c>
    </row>
    <row r="1412" spans="27:31">
      <c r="AA1412" s="132" t="str">
        <f t="shared" si="23"/>
        <v>Cooling air</v>
      </c>
      <c r="AB1412" s="135" t="s">
        <v>1212</v>
      </c>
      <c r="AC1412" s="135" t="s">
        <v>1213</v>
      </c>
      <c r="AD1412" s="135" t="s">
        <v>1214</v>
      </c>
      <c r="AE1412" s="135" t="s">
        <v>1215</v>
      </c>
    </row>
    <row r="1413" spans="27:31" ht="25.5">
      <c r="AA1413" s="132" t="str">
        <f t="shared" si="23"/>
        <v>COOLER AIR BALANCE</v>
      </c>
      <c r="AB1413" s="135" t="s">
        <v>1216</v>
      </c>
      <c r="AC1413" s="135" t="s">
        <v>1217</v>
      </c>
      <c r="AD1413" s="135" t="s">
        <v>1218</v>
      </c>
      <c r="AE1413" s="135" t="s">
        <v>1219</v>
      </c>
    </row>
    <row r="1414" spans="27:31" ht="25.5">
      <c r="AA1414" s="132" t="str">
        <f t="shared" si="23"/>
        <v>COOLER MIDDLE AIR</v>
      </c>
      <c r="AB1414" s="134" t="s">
        <v>1220</v>
      </c>
      <c r="AC1414" s="134" t="s">
        <v>1221</v>
      </c>
      <c r="AD1414" s="134" t="s">
        <v>1222</v>
      </c>
      <c r="AE1414" s="134" t="s">
        <v>1223</v>
      </c>
    </row>
    <row r="1415" spans="27:31" ht="25.5">
      <c r="AA1415" s="132" t="str">
        <f t="shared" si="23"/>
        <v>Cooler middle air</v>
      </c>
      <c r="AB1415" s="132" t="s">
        <v>1224</v>
      </c>
      <c r="AC1415" s="132" t="s">
        <v>1225</v>
      </c>
      <c r="AD1415" s="132" t="s">
        <v>1226</v>
      </c>
      <c r="AE1415" s="134" t="s">
        <v>1227</v>
      </c>
    </row>
    <row r="1416" spans="27:31" ht="25.5">
      <c r="AA1416" s="132" t="str">
        <f t="shared" si="23"/>
        <v>COOLER AIR FANS</v>
      </c>
      <c r="AB1416" s="132" t="s">
        <v>1233</v>
      </c>
      <c r="AC1416" s="134" t="s">
        <v>1234</v>
      </c>
      <c r="AD1416" s="134" t="s">
        <v>1235</v>
      </c>
      <c r="AE1416" s="132" t="s">
        <v>1236</v>
      </c>
    </row>
    <row r="1417" spans="27:31" ht="25.5">
      <c r="AA1417" s="132" t="str">
        <f t="shared" si="23"/>
        <v>COOLER EFFICIENCY</v>
      </c>
      <c r="AB1417" s="132" t="s">
        <v>1237</v>
      </c>
      <c r="AC1417" s="135" t="s">
        <v>1238</v>
      </c>
      <c r="AD1417" s="132" t="s">
        <v>1239</v>
      </c>
      <c r="AE1417" s="134" t="s">
        <v>1240</v>
      </c>
    </row>
    <row r="1418" spans="27:31">
      <c r="AA1418" s="132" t="str">
        <f t="shared" si="23"/>
        <v>Cooler efficiency</v>
      </c>
      <c r="AB1418" s="132" t="s">
        <v>1241</v>
      </c>
      <c r="AC1418" s="135" t="s">
        <v>1242</v>
      </c>
      <c r="AD1418" s="132" t="s">
        <v>1243</v>
      </c>
      <c r="AE1418" s="135" t="s">
        <v>1244</v>
      </c>
    </row>
    <row r="1419" spans="27:31">
      <c r="AA1419" s="132" t="str">
        <f t="shared" si="23"/>
        <v>Cooling tower</v>
      </c>
      <c r="AB1419" s="132" t="s">
        <v>1245</v>
      </c>
      <c r="AC1419" s="135" t="s">
        <v>1246</v>
      </c>
      <c r="AD1419" s="132" t="s">
        <v>1247</v>
      </c>
      <c r="AE1419" s="135" t="s">
        <v>1248</v>
      </c>
    </row>
    <row r="1420" spans="27:31">
      <c r="AA1420" s="132" t="str">
        <f t="shared" si="23"/>
        <v>CALCINER</v>
      </c>
      <c r="AB1420" s="132" t="s">
        <v>1249</v>
      </c>
      <c r="AC1420" s="132" t="s">
        <v>1250</v>
      </c>
      <c r="AD1420" s="132" t="s">
        <v>1251</v>
      </c>
      <c r="AE1420" s="132" t="s">
        <v>1252</v>
      </c>
    </row>
    <row r="1421" spans="27:31">
      <c r="AA1421" s="132" t="str">
        <f t="shared" si="23"/>
        <v>Calciner</v>
      </c>
      <c r="AB1421" s="132" t="s">
        <v>1253</v>
      </c>
      <c r="AC1421" s="132" t="s">
        <v>1254</v>
      </c>
      <c r="AD1421" s="132" t="s">
        <v>1255</v>
      </c>
      <c r="AE1421" s="134" t="s">
        <v>1256</v>
      </c>
    </row>
    <row r="1422" spans="27:31">
      <c r="AA1422" s="132" t="str">
        <f t="shared" si="23"/>
        <v>Calciner exhaust gas</v>
      </c>
      <c r="AB1422" s="132" t="s">
        <v>1257</v>
      </c>
      <c r="AC1422" s="134" t="s">
        <v>1258</v>
      </c>
      <c r="AD1422" s="132" t="s">
        <v>1259</v>
      </c>
      <c r="AE1422" s="134" t="s">
        <v>1260</v>
      </c>
    </row>
    <row r="1423" spans="27:31">
      <c r="AA1423" s="132" t="str">
        <f t="shared" si="23"/>
        <v>Calciner system</v>
      </c>
      <c r="AB1423" s="134" t="s">
        <v>1261</v>
      </c>
      <c r="AC1423" s="134" t="s">
        <v>1262</v>
      </c>
      <c r="AD1423" s="134" t="s">
        <v>1263</v>
      </c>
      <c r="AE1423" s="134" t="s">
        <v>1264</v>
      </c>
    </row>
    <row r="1424" spans="27:31">
      <c r="AA1424" s="132" t="str">
        <f t="shared" si="23"/>
        <v>or Secondary firing</v>
      </c>
      <c r="AB1424" s="132" t="s">
        <v>1265</v>
      </c>
      <c r="AC1424" s="132" t="s">
        <v>1266</v>
      </c>
      <c r="AD1424" s="132" t="s">
        <v>1267</v>
      </c>
      <c r="AE1424" s="135" t="s">
        <v>1268</v>
      </c>
    </row>
    <row r="1425" spans="27:31" ht="25.5">
      <c r="AA1425" s="132" t="str">
        <f t="shared" si="23"/>
        <v>CALCINER EXHAUST GASES</v>
      </c>
      <c r="AB1425" s="134" t="s">
        <v>1269</v>
      </c>
      <c r="AC1425" s="132" t="s">
        <v>1270</v>
      </c>
      <c r="AD1425" s="132" t="s">
        <v>1271</v>
      </c>
      <c r="AE1425" s="135" t="s">
        <v>1272</v>
      </c>
    </row>
    <row r="1426" spans="27:31">
      <c r="AA1426" s="132" t="str">
        <f t="shared" si="23"/>
        <v xml:space="preserve"> </v>
      </c>
      <c r="AB1426" s="132" t="s">
        <v>1273</v>
      </c>
      <c r="AC1426" s="132" t="s">
        <v>1274</v>
      </c>
      <c r="AD1426" s="132" t="s">
        <v>1274</v>
      </c>
      <c r="AE1426" s="132" t="s">
        <v>1274</v>
      </c>
    </row>
    <row r="1427" spans="27:31">
      <c r="AA1427" s="132" t="str">
        <f t="shared" si="23"/>
        <v>Difference</v>
      </c>
      <c r="AB1427" s="135" t="s">
        <v>1275</v>
      </c>
      <c r="AC1427" s="132" t="s">
        <v>1276</v>
      </c>
      <c r="AD1427" s="132" t="s">
        <v>1276</v>
      </c>
      <c r="AE1427" s="132" t="s">
        <v>1277</v>
      </c>
    </row>
    <row r="1428" spans="27:31">
      <c r="AA1428" s="132" t="str">
        <f t="shared" si="23"/>
        <v>Clinker</v>
      </c>
      <c r="AB1428" s="132" t="s">
        <v>1278</v>
      </c>
      <c r="AC1428" s="132" t="s">
        <v>319</v>
      </c>
      <c r="AD1428" s="132" t="s">
        <v>319</v>
      </c>
      <c r="AE1428" s="132" t="s">
        <v>319</v>
      </c>
    </row>
    <row r="1429" spans="27:31">
      <c r="AA1429" s="132" t="str">
        <f t="shared" si="23"/>
        <v>CLINKER</v>
      </c>
      <c r="AB1429" s="132" t="s">
        <v>1279</v>
      </c>
      <c r="AC1429" s="132" t="s">
        <v>1280</v>
      </c>
      <c r="AD1429" s="132" t="s">
        <v>1280</v>
      </c>
      <c r="AE1429" s="132" t="s">
        <v>1280</v>
      </c>
    </row>
    <row r="1430" spans="27:31">
      <c r="AA1430" s="132" t="str">
        <f t="shared" ref="AA1430:AA1448" si="24">INDEX($AB:$AE,ROW(),Language)</f>
        <v>Clinker from the kiln</v>
      </c>
      <c r="AB1430" s="132" t="s">
        <v>1281</v>
      </c>
      <c r="AC1430" s="132" t="s">
        <v>1282</v>
      </c>
      <c r="AD1430" s="132" t="s">
        <v>1283</v>
      </c>
      <c r="AE1430" s="134" t="s">
        <v>1284</v>
      </c>
    </row>
    <row r="1431" spans="27:31">
      <c r="AA1431" s="132" t="str">
        <f t="shared" si="24"/>
        <v>Clinker exit</v>
      </c>
      <c r="AB1431" s="132" t="s">
        <v>1285</v>
      </c>
      <c r="AC1431" s="132" t="s">
        <v>1286</v>
      </c>
      <c r="AD1431" s="132" t="s">
        <v>1287</v>
      </c>
      <c r="AE1431" s="132" t="s">
        <v>1288</v>
      </c>
    </row>
    <row r="1432" spans="27:31">
      <c r="AA1432" s="132" t="str">
        <f t="shared" si="24"/>
        <v>CLINKER PROPERTIES</v>
      </c>
      <c r="AB1432" s="132" t="s">
        <v>1289</v>
      </c>
      <c r="AC1432" s="132" t="s">
        <v>1290</v>
      </c>
      <c r="AD1432" s="134" t="s">
        <v>1291</v>
      </c>
      <c r="AE1432" s="134" t="s">
        <v>1292</v>
      </c>
    </row>
    <row r="1433" spans="27:31" ht="25.5">
      <c r="AA1433" s="132" t="str">
        <f t="shared" si="24"/>
        <v>Clinker temperature at kiln discharge</v>
      </c>
      <c r="AB1433" s="132" t="s">
        <v>1293</v>
      </c>
      <c r="AC1433" s="132" t="s">
        <v>1294</v>
      </c>
      <c r="AD1433" s="134" t="s">
        <v>1295</v>
      </c>
      <c r="AE1433" s="134" t="s">
        <v>1296</v>
      </c>
    </row>
    <row r="1434" spans="27:31">
      <c r="AA1434" s="132" t="str">
        <f t="shared" si="24"/>
        <v>CLINKER ANALYSIS</v>
      </c>
      <c r="AB1434" s="132" t="s">
        <v>1297</v>
      </c>
      <c r="AC1434" s="132" t="s">
        <v>1298</v>
      </c>
      <c r="AD1434" s="134" t="s">
        <v>1299</v>
      </c>
      <c r="AE1434" s="134" t="s">
        <v>1300</v>
      </c>
    </row>
    <row r="1435" spans="27:31" ht="25.5">
      <c r="AA1435" s="132" t="str">
        <f t="shared" si="24"/>
        <v>Clinker exit temperature at cooler discharge</v>
      </c>
      <c r="AB1435" s="134" t="s">
        <v>1301</v>
      </c>
      <c r="AC1435" s="134" t="s">
        <v>1302</v>
      </c>
      <c r="AD1435" s="135" t="s">
        <v>1303</v>
      </c>
      <c r="AE1435" s="135" t="s">
        <v>1304</v>
      </c>
    </row>
    <row r="1436" spans="27:31">
      <c r="AA1436" s="132" t="str">
        <f t="shared" si="24"/>
        <v>Heat of formation</v>
      </c>
      <c r="AB1436" s="132" t="s">
        <v>1305</v>
      </c>
      <c r="AC1436" s="132" t="s">
        <v>1306</v>
      </c>
      <c r="AD1436" s="132" t="s">
        <v>1307</v>
      </c>
      <c r="AE1436" s="132" t="s">
        <v>1308</v>
      </c>
    </row>
    <row r="1437" spans="27:31">
      <c r="AA1437" s="132" t="str">
        <f t="shared" si="24"/>
        <v>HEAT OF FORMATION</v>
      </c>
      <c r="AB1437" s="132" t="s">
        <v>1309</v>
      </c>
      <c r="AC1437" s="132" t="s">
        <v>1310</v>
      </c>
      <c r="AD1437" s="132" t="s">
        <v>1311</v>
      </c>
      <c r="AE1437" s="132" t="s">
        <v>1312</v>
      </c>
    </row>
    <row r="1438" spans="27:31">
      <c r="AA1438" s="132" t="str">
        <f t="shared" si="24"/>
        <v>Clinker production rate</v>
      </c>
      <c r="AB1438" s="132" t="s">
        <v>1313</v>
      </c>
      <c r="AC1438" s="132" t="s">
        <v>1314</v>
      </c>
      <c r="AD1438" s="132" t="s">
        <v>1315</v>
      </c>
      <c r="AE1438" s="132" t="s">
        <v>1316</v>
      </c>
    </row>
    <row r="1439" spans="27:31" ht="25.5">
      <c r="AA1439" s="132" t="str">
        <f t="shared" si="24"/>
        <v>Clinker dust recirculation at the kiln discharge</v>
      </c>
      <c r="AB1439" s="132" t="s">
        <v>1317</v>
      </c>
      <c r="AC1439" s="134" t="s">
        <v>1318</v>
      </c>
      <c r="AD1439" s="134" t="s">
        <v>282</v>
      </c>
      <c r="AE1439" s="134" t="s">
        <v>1319</v>
      </c>
    </row>
    <row r="1440" spans="27:31" ht="25.5">
      <c r="AA1440" s="132" t="str">
        <f t="shared" si="24"/>
        <v>Clinker temperatur at cooler inlet</v>
      </c>
      <c r="AB1440" s="134" t="s">
        <v>1320</v>
      </c>
      <c r="AC1440" s="132" t="s">
        <v>1321</v>
      </c>
      <c r="AD1440" s="132" t="s">
        <v>1322</v>
      </c>
      <c r="AE1440" s="134" t="s">
        <v>1323</v>
      </c>
    </row>
    <row r="1441" spans="27:31">
      <c r="AA1441" s="132" t="str">
        <f t="shared" si="24"/>
        <v>Convection</v>
      </c>
      <c r="AB1441" s="132" t="s">
        <v>1324</v>
      </c>
      <c r="AC1441" s="135" t="s">
        <v>1325</v>
      </c>
      <c r="AD1441" s="132" t="s">
        <v>1325</v>
      </c>
      <c r="AE1441" s="132" t="s">
        <v>1326</v>
      </c>
    </row>
    <row r="1442" spans="27:31">
      <c r="AA1442" s="132" t="str">
        <f t="shared" si="24"/>
        <v>Conventional</v>
      </c>
      <c r="AB1442" s="132" t="s">
        <v>1327</v>
      </c>
      <c r="AC1442" s="135" t="s">
        <v>1328</v>
      </c>
      <c r="AD1442" s="134" t="s">
        <v>1329</v>
      </c>
      <c r="AE1442" s="132" t="s">
        <v>1328</v>
      </c>
    </row>
    <row r="1443" spans="27:31">
      <c r="AA1443" s="132" t="str">
        <f t="shared" si="24"/>
        <v>CONVENTIONAL</v>
      </c>
      <c r="AB1443" s="132" t="s">
        <v>1330</v>
      </c>
      <c r="AC1443" s="135" t="s">
        <v>1331</v>
      </c>
      <c r="AD1443" s="132" t="s">
        <v>1332</v>
      </c>
      <c r="AE1443" s="132" t="s">
        <v>1332</v>
      </c>
    </row>
    <row r="1444" spans="27:31">
      <c r="AA1444" s="132" t="str">
        <f t="shared" si="24"/>
        <v>Conventional fuel</v>
      </c>
      <c r="AB1444" s="134" t="s">
        <v>1333</v>
      </c>
      <c r="AC1444" s="135" t="s">
        <v>1334</v>
      </c>
      <c r="AD1444" s="132" t="s">
        <v>1335</v>
      </c>
      <c r="AE1444" s="134" t="s">
        <v>1336</v>
      </c>
    </row>
    <row r="1445" spans="27:31" ht="25.5">
      <c r="AA1445" s="132" t="str">
        <f t="shared" si="24"/>
        <v>Concentrations at kiln inlet (hot meal)</v>
      </c>
      <c r="AB1445" s="135" t="s">
        <v>1337</v>
      </c>
      <c r="AC1445" s="135" t="s">
        <v>1338</v>
      </c>
      <c r="AD1445" s="134" t="s">
        <v>1339</v>
      </c>
      <c r="AE1445" s="135" t="s">
        <v>1340</v>
      </c>
    </row>
    <row r="1446" spans="27:31">
      <c r="AA1446" s="132" t="str">
        <f t="shared" si="24"/>
        <v>Correction</v>
      </c>
      <c r="AB1446" s="132" t="s">
        <v>1341</v>
      </c>
      <c r="AC1446" s="132" t="s">
        <v>1342</v>
      </c>
      <c r="AD1446" s="132" t="s">
        <v>1343</v>
      </c>
      <c r="AE1446" s="132" t="s">
        <v>1344</v>
      </c>
    </row>
    <row r="1447" spans="27:31">
      <c r="AA1447" s="132" t="str">
        <f t="shared" si="24"/>
        <v>Correction factor</v>
      </c>
      <c r="AB1447" s="132" t="s">
        <v>1345</v>
      </c>
      <c r="AC1447" s="132" t="s">
        <v>1346</v>
      </c>
      <c r="AD1447" s="132" t="s">
        <v>1347</v>
      </c>
      <c r="AE1447" s="132" t="s">
        <v>1348</v>
      </c>
    </row>
    <row r="1448" spans="27:31">
      <c r="AA1448" s="132" t="str">
        <f t="shared" si="24"/>
        <v>Cooler type</v>
      </c>
      <c r="AB1448" s="132" t="s">
        <v>1349</v>
      </c>
      <c r="AC1448" s="132" t="s">
        <v>1350</v>
      </c>
      <c r="AD1448" s="132" t="s">
        <v>1351</v>
      </c>
      <c r="AE1448" s="132" t="s">
        <v>1352</v>
      </c>
    </row>
    <row r="1449" spans="27:31">
      <c r="AA1449" s="132"/>
      <c r="AB1449" s="133" t="s">
        <v>1353</v>
      </c>
      <c r="AC1449" s="132"/>
      <c r="AD1449" s="132"/>
      <c r="AE1449" s="132"/>
    </row>
    <row r="1450" spans="27:31">
      <c r="AA1450" s="132" t="str">
        <f t="shared" ref="AA1450:AA1456" si="25">INDEX($AB:$AE,ROW(),Language)</f>
        <v>Kiln length</v>
      </c>
      <c r="AB1450" s="132" t="s">
        <v>1354</v>
      </c>
      <c r="AC1450" s="132" t="s">
        <v>1355</v>
      </c>
      <c r="AD1450" s="132" t="s">
        <v>1356</v>
      </c>
      <c r="AE1450" s="132" t="s">
        <v>1357</v>
      </c>
    </row>
    <row r="1451" spans="27:31">
      <c r="AA1451" s="132" t="str">
        <f t="shared" si="25"/>
        <v>leave empty</v>
      </c>
      <c r="AB1451" s="132" t="s">
        <v>1358</v>
      </c>
      <c r="AC1451" s="132" t="s">
        <v>1359</v>
      </c>
      <c r="AD1451" s="132" t="s">
        <v>1359</v>
      </c>
      <c r="AE1451" s="132" t="s">
        <v>1360</v>
      </c>
    </row>
    <row r="1452" spans="27:31">
      <c r="AA1452" s="132" t="str">
        <f t="shared" si="25"/>
        <v>Supplier / Type</v>
      </c>
      <c r="AB1452" s="132" t="s">
        <v>1361</v>
      </c>
      <c r="AC1452" s="134" t="s">
        <v>1362</v>
      </c>
      <c r="AD1452" s="134" t="s">
        <v>1363</v>
      </c>
      <c r="AE1452" s="134" t="s">
        <v>1364</v>
      </c>
    </row>
    <row r="1453" spans="27:31">
      <c r="AA1453" s="132" t="str">
        <f t="shared" si="25"/>
        <v>at kiln inlet</v>
      </c>
      <c r="AB1453" s="132" t="s">
        <v>1365</v>
      </c>
      <c r="AC1453" s="132" t="s">
        <v>434</v>
      </c>
      <c r="AD1453" s="135" t="s">
        <v>1366</v>
      </c>
      <c r="AE1453" s="135" t="s">
        <v>436</v>
      </c>
    </row>
    <row r="1454" spans="27:31">
      <c r="AA1454" s="132" t="str">
        <f t="shared" si="25"/>
        <v>Air</v>
      </c>
      <c r="AB1454" s="132" t="s">
        <v>1367</v>
      </c>
      <c r="AC1454" s="132" t="s">
        <v>1368</v>
      </c>
      <c r="AD1454" s="134" t="s">
        <v>1369</v>
      </c>
      <c r="AE1454" s="134" t="s">
        <v>1381</v>
      </c>
    </row>
    <row r="1455" spans="27:31" ht="25.5">
      <c r="AA1455" s="132" t="str">
        <f t="shared" si="25"/>
        <v>AIR BALANCE GRATE COOLER</v>
      </c>
      <c r="AB1455" s="132" t="s">
        <v>1382</v>
      </c>
      <c r="AC1455" s="132" t="s">
        <v>1383</v>
      </c>
      <c r="AD1455" s="135" t="s">
        <v>1384</v>
      </c>
      <c r="AE1455" s="134" t="s">
        <v>1219</v>
      </c>
    </row>
    <row r="1456" spans="27:31">
      <c r="AA1456" s="132" t="str">
        <f t="shared" si="25"/>
        <v>Air density</v>
      </c>
      <c r="AB1456" s="132" t="s">
        <v>1385</v>
      </c>
      <c r="AC1456" s="132" t="s">
        <v>1386</v>
      </c>
      <c r="AD1456" s="132" t="s">
        <v>1387</v>
      </c>
      <c r="AE1456" s="132" t="s">
        <v>1388</v>
      </c>
    </row>
    <row r="1457" spans="27:31">
      <c r="AA1457" s="132"/>
      <c r="AB1457" s="133" t="s">
        <v>1389</v>
      </c>
      <c r="AC1457" s="132"/>
      <c r="AD1457" s="132"/>
      <c r="AE1457" s="132"/>
    </row>
    <row r="1458" spans="27:31" ht="25.5">
      <c r="AA1458" s="132" t="str">
        <f t="shared" ref="AA1458:AA1468" si="26">INDEX($AB:$AE,ROW(),Language)</f>
        <v>MASS BALANCE OF COOLER AIR</v>
      </c>
      <c r="AB1458" s="207" t="s">
        <v>1230</v>
      </c>
      <c r="AC1458" s="132" t="s">
        <v>1229</v>
      </c>
      <c r="AD1458" s="132" t="s">
        <v>1231</v>
      </c>
      <c r="AE1458" s="132" t="s">
        <v>1232</v>
      </c>
    </row>
    <row r="1459" spans="27:31" ht="25.5">
      <c r="AA1459" s="132" t="str">
        <f t="shared" si="26"/>
        <v>MASS BALANCE OF KILN SYSTEM</v>
      </c>
      <c r="AB1459" s="132" t="s">
        <v>1390</v>
      </c>
      <c r="AC1459" s="134" t="s">
        <v>1391</v>
      </c>
      <c r="AD1459" s="134" t="s">
        <v>1392</v>
      </c>
      <c r="AE1459" s="134" t="s">
        <v>1393</v>
      </c>
    </row>
    <row r="1460" spans="27:31">
      <c r="AA1460" s="132" t="str">
        <f t="shared" si="26"/>
        <v>Mass-</v>
      </c>
      <c r="AB1460" s="132" t="s">
        <v>1394</v>
      </c>
      <c r="AC1460" s="134" t="s">
        <v>1395</v>
      </c>
      <c r="AD1460" s="135" t="s">
        <v>463</v>
      </c>
      <c r="AE1460" s="135" t="s">
        <v>1396</v>
      </c>
    </row>
    <row r="1461" spans="27:31">
      <c r="AA1461" s="132" t="str">
        <f t="shared" si="26"/>
        <v>Massflow</v>
      </c>
      <c r="AB1461" s="132" t="s">
        <v>1397</v>
      </c>
      <c r="AC1461" s="132" t="s">
        <v>1398</v>
      </c>
      <c r="AD1461" s="132" t="s">
        <v>463</v>
      </c>
      <c r="AE1461" s="132" t="s">
        <v>471</v>
      </c>
    </row>
    <row r="1462" spans="27:31">
      <c r="AA1462" s="132" t="str">
        <f t="shared" si="26"/>
        <v>Maximum kiln speed</v>
      </c>
      <c r="AB1462" s="132" t="s">
        <v>1399</v>
      </c>
      <c r="AC1462" s="132" t="s">
        <v>1400</v>
      </c>
      <c r="AD1462" s="132" t="s">
        <v>1401</v>
      </c>
      <c r="AE1462" s="134" t="s">
        <v>1402</v>
      </c>
    </row>
    <row r="1463" spans="27:31">
      <c r="AA1463" s="132" t="str">
        <f t="shared" si="26"/>
        <v>Massflow</v>
      </c>
      <c r="AB1463" s="132" t="s">
        <v>1403</v>
      </c>
      <c r="AC1463" s="132" t="s">
        <v>1398</v>
      </c>
      <c r="AD1463" s="132" t="s">
        <v>463</v>
      </c>
      <c r="AE1463" s="132" t="s">
        <v>1404</v>
      </c>
    </row>
    <row r="1464" spans="27:31" ht="25.5">
      <c r="AA1464" s="132" t="str">
        <f t="shared" si="26"/>
        <v>Minimum air for main firing</v>
      </c>
      <c r="AB1464" s="134" t="s">
        <v>1405</v>
      </c>
      <c r="AC1464" s="132" t="s">
        <v>1406</v>
      </c>
      <c r="AD1464" s="132" t="s">
        <v>1406</v>
      </c>
      <c r="AE1464" s="132" t="s">
        <v>1407</v>
      </c>
    </row>
    <row r="1465" spans="27:31" ht="25.5">
      <c r="AA1465" s="132" t="str">
        <f t="shared" si="26"/>
        <v>Minimum air for calciner firing</v>
      </c>
      <c r="AB1465" s="134" t="s">
        <v>1408</v>
      </c>
      <c r="AC1465" s="134" t="s">
        <v>1409</v>
      </c>
      <c r="AD1465" s="134" t="s">
        <v>1409</v>
      </c>
      <c r="AE1465" s="132" t="s">
        <v>1410</v>
      </c>
    </row>
    <row r="1466" spans="27:31">
      <c r="AA1466" s="132" t="str">
        <f t="shared" si="26"/>
        <v>Middle air</v>
      </c>
      <c r="AB1466" s="132" t="s">
        <v>1411</v>
      </c>
      <c r="AC1466" s="132" t="s">
        <v>1412</v>
      </c>
      <c r="AD1466" s="134" t="s">
        <v>1413</v>
      </c>
      <c r="AE1466" s="134" t="s">
        <v>1414</v>
      </c>
    </row>
    <row r="1467" spans="27:31" ht="25.5">
      <c r="AA1467" s="132" t="str">
        <f t="shared" si="26"/>
        <v>Middle air flowrate from prandtl measurement</v>
      </c>
      <c r="AB1467" s="134" t="s">
        <v>1415</v>
      </c>
      <c r="AC1467" s="134" t="s">
        <v>1416</v>
      </c>
      <c r="AD1467" s="134" t="s">
        <v>1417</v>
      </c>
      <c r="AE1467" s="134" t="s">
        <v>1418</v>
      </c>
    </row>
    <row r="1468" spans="27:31">
      <c r="AA1468" s="132" t="str">
        <f t="shared" si="26"/>
        <v>Average heat output</v>
      </c>
      <c r="AB1468" s="134" t="s">
        <v>1419</v>
      </c>
      <c r="AC1468" s="134" t="s">
        <v>1420</v>
      </c>
      <c r="AD1468" s="134" t="s">
        <v>1421</v>
      </c>
      <c r="AE1468" s="134" t="s">
        <v>1422</v>
      </c>
    </row>
    <row r="1469" spans="27:31">
      <c r="AA1469" s="132"/>
      <c r="AB1469" s="133" t="s">
        <v>1423</v>
      </c>
      <c r="AC1469" s="132"/>
      <c r="AD1469" s="132"/>
      <c r="AE1469" s="132"/>
    </row>
    <row r="1470" spans="27:31">
      <c r="AA1470" s="132" t="str">
        <f>INDEX($AB:$AE,ROW(),Language)</f>
        <v>Na2O kiln feed</v>
      </c>
      <c r="AB1470" s="132" t="s">
        <v>1424</v>
      </c>
      <c r="AC1470" s="132" t="s">
        <v>1425</v>
      </c>
      <c r="AD1470" s="132" t="s">
        <v>1426</v>
      </c>
      <c r="AE1470" s="132" t="s">
        <v>1427</v>
      </c>
    </row>
    <row r="1471" spans="27:31">
      <c r="AA1471" s="132" t="str">
        <f>INDEX($AB:$AE,ROW(),Language)</f>
        <v>Na2O clinker</v>
      </c>
      <c r="AB1471" s="132" t="s">
        <v>1428</v>
      </c>
      <c r="AC1471" s="134" t="s">
        <v>1429</v>
      </c>
      <c r="AD1471" s="132" t="s">
        <v>1429</v>
      </c>
      <c r="AE1471" s="132" t="s">
        <v>1429</v>
      </c>
    </row>
    <row r="1472" spans="27:31">
      <c r="AA1472" s="132" t="str">
        <f>INDEX($AB:$AE,ROW(),Language)</f>
        <v>Na2O kiln dust</v>
      </c>
      <c r="AB1472" s="132" t="s">
        <v>1430</v>
      </c>
      <c r="AC1472" s="135" t="s">
        <v>1431</v>
      </c>
      <c r="AD1472" s="132" t="s">
        <v>1432</v>
      </c>
      <c r="AE1472" s="132" t="s">
        <v>1433</v>
      </c>
    </row>
    <row r="1473" spans="27:31">
      <c r="AA1473" s="132" t="str">
        <f>INDEX($AB:$AE,ROW(),Language)</f>
        <v>(do not fill in)</v>
      </c>
      <c r="AB1473" s="132" t="s">
        <v>1434</v>
      </c>
      <c r="AC1473" s="135" t="s">
        <v>1435</v>
      </c>
      <c r="AD1473" s="135" t="s">
        <v>1435</v>
      </c>
      <c r="AE1473" s="132" t="s">
        <v>1436</v>
      </c>
    </row>
    <row r="1474" spans="27:31">
      <c r="AA1474" s="132" t="str">
        <f>INDEX($AB:$AE,ROW(),Language)</f>
        <v>NOx content</v>
      </c>
      <c r="AB1474" s="132" t="s">
        <v>1437</v>
      </c>
      <c r="AC1474" s="132" t="s">
        <v>1438</v>
      </c>
      <c r="AD1474" s="132" t="s">
        <v>1439</v>
      </c>
      <c r="AE1474" s="132" t="s">
        <v>1440</v>
      </c>
    </row>
    <row r="1475" spans="27:31">
      <c r="AA1475" s="132"/>
      <c r="AB1475" s="133" t="s">
        <v>1441</v>
      </c>
      <c r="AC1475" s="132"/>
      <c r="AD1475" s="132"/>
      <c r="AE1475" s="132"/>
    </row>
    <row r="1476" spans="27:31">
      <c r="AA1476" s="132" t="str">
        <f t="shared" ref="AA1476:AA1496" si="27">INDEX($AB:$AE,ROW(),Language)</f>
        <v>O2 content</v>
      </c>
      <c r="AB1476" s="132" t="s">
        <v>1442</v>
      </c>
      <c r="AC1476" s="132" t="s">
        <v>1443</v>
      </c>
      <c r="AD1476" s="132" t="s">
        <v>1444</v>
      </c>
      <c r="AE1476" s="132" t="s">
        <v>1445</v>
      </c>
    </row>
    <row r="1477" spans="27:31">
      <c r="AA1477" s="132" t="str">
        <f t="shared" si="27"/>
        <v>O2 kiln inlet</v>
      </c>
      <c r="AB1477" s="132" t="s">
        <v>1446</v>
      </c>
      <c r="AC1477" s="132" t="s">
        <v>1447</v>
      </c>
      <c r="AD1477" s="132" t="s">
        <v>1448</v>
      </c>
      <c r="AE1477" s="132" t="s">
        <v>1449</v>
      </c>
    </row>
    <row r="1478" spans="27:31">
      <c r="AA1478" s="132" t="str">
        <f t="shared" si="27"/>
        <v>O2 after calciner</v>
      </c>
      <c r="AB1478" s="132" t="s">
        <v>1450</v>
      </c>
      <c r="AC1478" s="132" t="s">
        <v>1451</v>
      </c>
      <c r="AD1478" s="134" t="s">
        <v>1452</v>
      </c>
      <c r="AE1478" s="132" t="s">
        <v>1453</v>
      </c>
    </row>
    <row r="1479" spans="27:31">
      <c r="AA1479" s="132" t="str">
        <f t="shared" si="27"/>
        <v>OR SECONDARY FIRING</v>
      </c>
      <c r="AB1479" s="132" t="s">
        <v>1454</v>
      </c>
      <c r="AC1479" s="135" t="s">
        <v>1455</v>
      </c>
      <c r="AD1479" s="132" t="s">
        <v>1455</v>
      </c>
      <c r="AE1479" s="132" t="s">
        <v>1456</v>
      </c>
    </row>
    <row r="1480" spans="27:31">
      <c r="AA1480" s="132" t="str">
        <f t="shared" si="27"/>
        <v>Upper boundary</v>
      </c>
      <c r="AB1480" s="132" t="s">
        <v>1457</v>
      </c>
      <c r="AC1480" s="134" t="s">
        <v>1458</v>
      </c>
      <c r="AD1480" s="132" t="s">
        <v>1459</v>
      </c>
      <c r="AE1480" s="132" t="s">
        <v>1460</v>
      </c>
    </row>
    <row r="1481" spans="27:31">
      <c r="AA1481" s="132" t="str">
        <f t="shared" si="27"/>
        <v>Kiln shell</v>
      </c>
      <c r="AB1481" s="134" t="s">
        <v>1461</v>
      </c>
      <c r="AC1481" s="134" t="s">
        <v>1462</v>
      </c>
      <c r="AD1481" s="132" t="s">
        <v>1463</v>
      </c>
      <c r="AE1481" s="132" t="s">
        <v>1464</v>
      </c>
    </row>
    <row r="1482" spans="27:31">
      <c r="AA1482" s="132" t="str">
        <f t="shared" si="27"/>
        <v>Kiln No.</v>
      </c>
      <c r="AB1482" s="132" t="s">
        <v>1465</v>
      </c>
      <c r="AC1482" s="132" t="s">
        <v>1466</v>
      </c>
      <c r="AD1482" s="132" t="s">
        <v>1467</v>
      </c>
      <c r="AE1482" s="132" t="s">
        <v>1468</v>
      </c>
    </row>
    <row r="1483" spans="27:31" ht="25.5">
      <c r="AA1483" s="132" t="str">
        <f t="shared" si="27"/>
        <v>Kiln exhaust gas flowrate (dry)</v>
      </c>
      <c r="AB1483" s="132" t="s">
        <v>1469</v>
      </c>
      <c r="AC1483" s="132" t="s">
        <v>1470</v>
      </c>
      <c r="AD1483" s="132" t="s">
        <v>1471</v>
      </c>
      <c r="AE1483" s="132" t="s">
        <v>1472</v>
      </c>
    </row>
    <row r="1484" spans="27:31" ht="25.5">
      <c r="AA1484" s="132" t="str">
        <f t="shared" si="27"/>
        <v>PREHEATER EXHAUST GASES (kiln string)</v>
      </c>
      <c r="AB1484" s="132" t="s">
        <v>1960</v>
      </c>
      <c r="AC1484" s="132" t="s">
        <v>1959</v>
      </c>
      <c r="AD1484" s="132" t="s">
        <v>1958</v>
      </c>
      <c r="AE1484" s="134" t="s">
        <v>1481</v>
      </c>
    </row>
    <row r="1485" spans="27:31">
      <c r="AA1485" s="132" t="str">
        <f t="shared" si="27"/>
        <v>Kiln exhaust gas</v>
      </c>
      <c r="AB1485" s="132" t="s">
        <v>1482</v>
      </c>
      <c r="AC1485" s="132" t="s">
        <v>1483</v>
      </c>
      <c r="AD1485" s="132" t="s">
        <v>1484</v>
      </c>
      <c r="AE1485" s="134" t="s">
        <v>1485</v>
      </c>
    </row>
    <row r="1486" spans="27:31">
      <c r="AA1486" s="132" t="str">
        <f t="shared" si="27"/>
        <v>Kiln feed</v>
      </c>
      <c r="AB1486" s="132" t="s">
        <v>1486</v>
      </c>
      <c r="AC1486" s="134" t="s">
        <v>317</v>
      </c>
      <c r="AD1486" s="132" t="s">
        <v>463</v>
      </c>
      <c r="AE1486" s="132" t="s">
        <v>1487</v>
      </c>
    </row>
    <row r="1487" spans="27:31">
      <c r="AA1487" s="132" t="str">
        <f t="shared" si="27"/>
        <v>KILN FEED</v>
      </c>
      <c r="AB1487" s="132" t="s">
        <v>1488</v>
      </c>
      <c r="AC1487" s="132" t="s">
        <v>1489</v>
      </c>
      <c r="AD1487" s="132" t="s">
        <v>1490</v>
      </c>
      <c r="AE1487" s="132" t="s">
        <v>763</v>
      </c>
    </row>
    <row r="1488" spans="27:31">
      <c r="AA1488" s="132" t="str">
        <f t="shared" si="27"/>
        <v>KILN DATA</v>
      </c>
      <c r="AB1488" s="132" t="s">
        <v>1491</v>
      </c>
      <c r="AC1488" s="132" t="s">
        <v>1492</v>
      </c>
      <c r="AD1488" s="132" t="s">
        <v>1493</v>
      </c>
      <c r="AE1488" s="134" t="s">
        <v>1494</v>
      </c>
    </row>
    <row r="1489" spans="27:31" ht="25.5">
      <c r="AA1489" s="132" t="str">
        <f t="shared" si="27"/>
        <v>Kiln speed at normal operation</v>
      </c>
      <c r="AB1489" s="134" t="s">
        <v>1495</v>
      </c>
      <c r="AC1489" s="134" t="s">
        <v>1496</v>
      </c>
      <c r="AD1489" s="134" t="s">
        <v>1497</v>
      </c>
      <c r="AE1489" s="134" t="s">
        <v>1498</v>
      </c>
    </row>
    <row r="1490" spans="27:31">
      <c r="AA1490" s="132" t="str">
        <f t="shared" si="27"/>
        <v>SECONDARY FIRING</v>
      </c>
      <c r="AB1490" s="132" t="s">
        <v>1499</v>
      </c>
      <c r="AC1490" s="132" t="s">
        <v>1500</v>
      </c>
      <c r="AD1490" s="132" t="s">
        <v>1501</v>
      </c>
      <c r="AE1490" s="134" t="s">
        <v>1502</v>
      </c>
    </row>
    <row r="1491" spans="27:31">
      <c r="AA1491" s="132" t="str">
        <f t="shared" si="27"/>
        <v>Kiln shell</v>
      </c>
      <c r="AB1491" s="132" t="s">
        <v>1461</v>
      </c>
      <c r="AC1491" s="132" t="s">
        <v>1462</v>
      </c>
      <c r="AD1491" s="132" t="s">
        <v>1463</v>
      </c>
      <c r="AE1491" s="132" t="s">
        <v>1503</v>
      </c>
    </row>
    <row r="1492" spans="27:31">
      <c r="AA1492" s="132" t="str">
        <f t="shared" si="27"/>
        <v>Kiln shell surface</v>
      </c>
      <c r="AB1492" s="132" t="s">
        <v>1504</v>
      </c>
      <c r="AC1492" s="132" t="s">
        <v>1505</v>
      </c>
      <c r="AD1492" s="132" t="s">
        <v>1506</v>
      </c>
      <c r="AE1492" s="134" t="s">
        <v>1507</v>
      </c>
    </row>
    <row r="1493" spans="27:31">
      <c r="AA1493" s="132" t="str">
        <f t="shared" si="27"/>
        <v>Kiln slope</v>
      </c>
      <c r="AB1493" s="132" t="s">
        <v>1508</v>
      </c>
      <c r="AC1493" s="132" t="s">
        <v>1509</v>
      </c>
      <c r="AD1493" s="132" t="s">
        <v>1510</v>
      </c>
      <c r="AE1493" s="132" t="s">
        <v>1511</v>
      </c>
    </row>
    <row r="1494" spans="27:31">
      <c r="AA1494" s="132" t="str">
        <f t="shared" si="27"/>
        <v>without water injection</v>
      </c>
      <c r="AB1494" s="132" t="s">
        <v>1512</v>
      </c>
      <c r="AC1494" s="132" t="s">
        <v>1513</v>
      </c>
      <c r="AD1494" s="132" t="s">
        <v>1514</v>
      </c>
      <c r="AE1494" s="132" t="s">
        <v>1515</v>
      </c>
    </row>
    <row r="1495" spans="27:31">
      <c r="AA1495" s="132" t="str">
        <f t="shared" si="27"/>
        <v>Organic carbon content</v>
      </c>
      <c r="AB1495" s="132" t="s">
        <v>1516</v>
      </c>
      <c r="AC1495" s="132" t="s">
        <v>1517</v>
      </c>
      <c r="AD1495" s="132" t="s">
        <v>1518</v>
      </c>
      <c r="AE1495" s="134" t="s">
        <v>1519</v>
      </c>
    </row>
    <row r="1496" spans="27:31" ht="25.5">
      <c r="AA1496" s="132" t="str">
        <f t="shared" si="27"/>
        <v>Organic carbon weight fraction in kiln feed</v>
      </c>
      <c r="AB1496" s="132" t="s">
        <v>1520</v>
      </c>
      <c r="AC1496" s="134" t="s">
        <v>1521</v>
      </c>
      <c r="AD1496" s="134" t="s">
        <v>1522</v>
      </c>
      <c r="AE1496" s="134" t="s">
        <v>1523</v>
      </c>
    </row>
    <row r="1497" spans="27:31">
      <c r="AA1497" s="132"/>
      <c r="AB1497" s="133" t="s">
        <v>1524</v>
      </c>
      <c r="AC1497" s="132"/>
      <c r="AD1497" s="132"/>
      <c r="AE1497" s="132"/>
    </row>
    <row r="1498" spans="27:31">
      <c r="AA1498" s="132" t="str">
        <f t="shared" ref="AA1498:AA1511" si="28">INDEX($AB:$AE,ROW(),Language)</f>
        <v>Position</v>
      </c>
      <c r="AB1498" s="132" t="s">
        <v>1525</v>
      </c>
      <c r="AC1498" s="132" t="s">
        <v>1525</v>
      </c>
      <c r="AD1498" s="132" t="s">
        <v>1525</v>
      </c>
      <c r="AE1498" s="132" t="s">
        <v>1526</v>
      </c>
    </row>
    <row r="1499" spans="27:31">
      <c r="AA1499" s="132" t="str">
        <f t="shared" si="28"/>
        <v>PRIMARY AIR</v>
      </c>
      <c r="AB1499" s="132" t="s">
        <v>1527</v>
      </c>
      <c r="AC1499" s="132" t="s">
        <v>1528</v>
      </c>
      <c r="AD1499" s="132" t="s">
        <v>1529</v>
      </c>
      <c r="AE1499" s="132" t="s">
        <v>1530</v>
      </c>
    </row>
    <row r="1500" spans="27:31">
      <c r="AA1500" s="132" t="str">
        <f t="shared" si="28"/>
        <v>Primary air</v>
      </c>
      <c r="AB1500" s="132" t="s">
        <v>1531</v>
      </c>
      <c r="AC1500" s="132" t="s">
        <v>1532</v>
      </c>
      <c r="AD1500" s="132" t="s">
        <v>1533</v>
      </c>
      <c r="AE1500" s="132" t="s">
        <v>1534</v>
      </c>
    </row>
    <row r="1501" spans="27:31" ht="25.5">
      <c r="AA1501" s="132" t="str">
        <f t="shared" si="28"/>
        <v>PRIMARY AIR MAIN BURNER</v>
      </c>
      <c r="AB1501" s="132" t="s">
        <v>1535</v>
      </c>
      <c r="AC1501" s="132" t="s">
        <v>1536</v>
      </c>
      <c r="AD1501" s="134" t="s">
        <v>1537</v>
      </c>
      <c r="AE1501" s="132" t="s">
        <v>1538</v>
      </c>
    </row>
    <row r="1502" spans="27:31">
      <c r="AA1502" s="132" t="str">
        <f t="shared" si="28"/>
        <v>Primary air main burner</v>
      </c>
      <c r="AB1502" s="132" t="s">
        <v>1539</v>
      </c>
      <c r="AC1502" s="132" t="s">
        <v>1540</v>
      </c>
      <c r="AD1502" s="132" t="s">
        <v>1541</v>
      </c>
      <c r="AE1502" s="132" t="s">
        <v>1070</v>
      </c>
    </row>
    <row r="1503" spans="27:31">
      <c r="AA1503" s="132" t="str">
        <f t="shared" si="28"/>
        <v>Primary air main burner</v>
      </c>
      <c r="AB1503" s="132" t="s">
        <v>1539</v>
      </c>
      <c r="AC1503" s="132" t="s">
        <v>1540</v>
      </c>
      <c r="AD1503" s="134" t="s">
        <v>1542</v>
      </c>
      <c r="AE1503" s="134" t="s">
        <v>1543</v>
      </c>
    </row>
    <row r="1504" spans="27:31">
      <c r="AA1504" s="132" t="str">
        <f t="shared" si="28"/>
        <v>Primary air calciner</v>
      </c>
      <c r="AB1504" s="134" t="s">
        <v>1544</v>
      </c>
      <c r="AC1504" s="134" t="s">
        <v>1545</v>
      </c>
      <c r="AD1504" s="134" t="s">
        <v>1545</v>
      </c>
      <c r="AE1504" s="134" t="s">
        <v>1546</v>
      </c>
    </row>
    <row r="1505" spans="27:31" ht="25.5">
      <c r="AA1505" s="132" t="str">
        <f t="shared" si="28"/>
        <v>Percent of kiln feed into calciner string</v>
      </c>
      <c r="AB1505" s="135" t="s">
        <v>1547</v>
      </c>
      <c r="AC1505" s="134" t="s">
        <v>1548</v>
      </c>
      <c r="AD1505" s="135" t="s">
        <v>1549</v>
      </c>
      <c r="AE1505" s="134" t="s">
        <v>1550</v>
      </c>
    </row>
    <row r="1506" spans="27:31" ht="25.5">
      <c r="AA1506" s="132" t="str">
        <f t="shared" si="28"/>
        <v>PRIMARY AIR CALCINER OR SECONDARY FIRING</v>
      </c>
      <c r="AB1506" s="134" t="s">
        <v>1551</v>
      </c>
      <c r="AC1506" s="134" t="s">
        <v>1552</v>
      </c>
      <c r="AD1506" s="134" t="s">
        <v>1553</v>
      </c>
      <c r="AE1506" s="134" t="s">
        <v>1554</v>
      </c>
    </row>
    <row r="1507" spans="27:31" ht="25.5">
      <c r="AA1507" s="132" t="str">
        <f t="shared" si="28"/>
        <v xml:space="preserve">Primary air flowrate (result from </v>
      </c>
      <c r="AB1507" s="134" t="s">
        <v>1555</v>
      </c>
      <c r="AC1507" s="132" t="s">
        <v>1556</v>
      </c>
      <c r="AD1507" s="132" t="s">
        <v>1557</v>
      </c>
      <c r="AE1507" s="134" t="s">
        <v>1558</v>
      </c>
    </row>
    <row r="1508" spans="27:31">
      <c r="AA1508" s="132" t="str">
        <f t="shared" si="28"/>
        <v>Production</v>
      </c>
      <c r="AB1508" s="132" t="s">
        <v>1559</v>
      </c>
      <c r="AC1508" s="132" t="s">
        <v>1560</v>
      </c>
      <c r="AD1508" s="132" t="s">
        <v>1560</v>
      </c>
      <c r="AE1508" s="132" t="s">
        <v>1561</v>
      </c>
    </row>
    <row r="1509" spans="27:31">
      <c r="AA1509" s="132" t="str">
        <f t="shared" si="28"/>
        <v>Production rate</v>
      </c>
      <c r="AB1509" s="134" t="s">
        <v>1562</v>
      </c>
      <c r="AC1509" s="132" t="s">
        <v>1563</v>
      </c>
      <c r="AD1509" s="132" t="s">
        <v>1564</v>
      </c>
      <c r="AE1509" s="132" t="s">
        <v>1561</v>
      </c>
    </row>
    <row r="1510" spans="27:31">
      <c r="AA1510" s="132" t="str">
        <f t="shared" si="28"/>
        <v>Pyrite content as S</v>
      </c>
      <c r="AB1510" s="135" t="s">
        <v>1565</v>
      </c>
      <c r="AC1510" s="134" t="s">
        <v>1566</v>
      </c>
      <c r="AD1510" s="134" t="s">
        <v>1567</v>
      </c>
      <c r="AE1510" s="134" t="s">
        <v>1568</v>
      </c>
    </row>
    <row r="1511" spans="27:31" ht="25.5">
      <c r="AA1511" s="132" t="str">
        <f t="shared" si="28"/>
        <v>Pyrite content in the kiln feed</v>
      </c>
      <c r="AB1511" s="135" t="s">
        <v>1569</v>
      </c>
      <c r="AC1511" s="135" t="s">
        <v>1570</v>
      </c>
      <c r="AD1511" s="135" t="s">
        <v>1571</v>
      </c>
      <c r="AE1511" s="135" t="s">
        <v>1572</v>
      </c>
    </row>
    <row r="1512" spans="27:31">
      <c r="AA1512" s="132"/>
      <c r="AB1512" s="133" t="s">
        <v>1573</v>
      </c>
      <c r="AC1512" s="132"/>
      <c r="AD1512" s="132"/>
      <c r="AE1512" s="132"/>
    </row>
    <row r="1513" spans="27:31">
      <c r="AA1513" s="132" t="str">
        <f>INDEX($AB:$AE,ROW(),Language)&amp;" @"&amp;T_CLIHOT&amp;" °C"</f>
        <v>Qclinker @1450 °C</v>
      </c>
      <c r="AB1513" s="134" t="s">
        <v>429</v>
      </c>
      <c r="AC1513" s="134" t="s">
        <v>430</v>
      </c>
      <c r="AD1513" s="134" t="s">
        <v>430</v>
      </c>
      <c r="AE1513" s="134" t="s">
        <v>430</v>
      </c>
    </row>
    <row r="1514" spans="27:31" ht="25.5">
      <c r="AA1514" s="132" t="str">
        <f>INDEX($AB:$AE,ROW(),Language)</f>
        <v xml:space="preserve">Q Sec out - Q sec in  + Q Staub out - Q dust in </v>
      </c>
      <c r="AB1514" s="134" t="s">
        <v>1473</v>
      </c>
      <c r="AC1514" s="134" t="s">
        <v>1474</v>
      </c>
      <c r="AD1514" s="134" t="s">
        <v>1475</v>
      </c>
      <c r="AE1514" s="134" t="s">
        <v>1479</v>
      </c>
    </row>
    <row r="1515" spans="27:31" ht="25.5">
      <c r="AA1515" s="132" t="str">
        <f>INDEX($AB:$AE,ROW(),Language)</f>
        <v xml:space="preserve">Q Sec,Tert out - Q Sec,Ter in + Q Staub out - Q dust in </v>
      </c>
      <c r="AB1515" s="134" t="s">
        <v>1477</v>
      </c>
      <c r="AC1515" s="134" t="s">
        <v>1478</v>
      </c>
      <c r="AD1515" s="134" t="s">
        <v>1476</v>
      </c>
      <c r="AE1515" s="134" t="s">
        <v>1480</v>
      </c>
    </row>
    <row r="1516" spans="27:31">
      <c r="AA1516" s="132" t="str">
        <f>INDEX($AB:$AE,ROW(),Language)</f>
        <v>Quenching air</v>
      </c>
      <c r="AB1516" s="132" t="s">
        <v>1574</v>
      </c>
      <c r="AC1516" s="132" t="s">
        <v>1575</v>
      </c>
      <c r="AD1516" s="132"/>
      <c r="AE1516" s="134" t="s">
        <v>1576</v>
      </c>
    </row>
    <row r="1517" spans="27:31">
      <c r="AA1517" s="132" t="str">
        <f>INDEX($AB:$AE,ROW(),Language)</f>
        <v>area</v>
      </c>
      <c r="AB1517" s="132" t="s">
        <v>1577</v>
      </c>
      <c r="AC1517" s="132" t="s">
        <v>1578</v>
      </c>
      <c r="AD1517" s="132" t="s">
        <v>1579</v>
      </c>
      <c r="AE1517" s="134" t="s">
        <v>752</v>
      </c>
    </row>
    <row r="1518" spans="27:31">
      <c r="AA1518" s="132"/>
      <c r="AB1518" s="133" t="s">
        <v>1580</v>
      </c>
      <c r="AC1518" s="132"/>
      <c r="AD1518" s="132"/>
      <c r="AE1518" s="132"/>
    </row>
    <row r="1519" spans="27:31">
      <c r="AA1519" s="132" t="str">
        <f t="shared" ref="AA1519:AA1524" si="29">INDEX($AB:$AE,ROW(),Language)</f>
        <v>Swirl air</v>
      </c>
      <c r="AB1519" s="132" t="s">
        <v>1581</v>
      </c>
      <c r="AC1519" s="132" t="s">
        <v>1582</v>
      </c>
      <c r="AD1519" s="132" t="s">
        <v>1583</v>
      </c>
      <c r="AE1519" s="132" t="s">
        <v>1584</v>
      </c>
    </row>
    <row r="1520" spans="27:31">
      <c r="AA1520" s="132" t="str">
        <f t="shared" si="29"/>
        <v>Reference temperature</v>
      </c>
      <c r="AB1520" s="132" t="s">
        <v>1585</v>
      </c>
      <c r="AC1520" s="132" t="s">
        <v>1586</v>
      </c>
      <c r="AD1520" s="134" t="s">
        <v>1587</v>
      </c>
      <c r="AE1520" s="134" t="s">
        <v>1588</v>
      </c>
    </row>
    <row r="1521" spans="27:31">
      <c r="AA1521" s="132" t="str">
        <f t="shared" si="29"/>
        <v>Error</v>
      </c>
      <c r="AB1521" s="132" t="s">
        <v>1589</v>
      </c>
      <c r="AC1521" s="132" t="s">
        <v>1590</v>
      </c>
      <c r="AD1521" s="132" t="s">
        <v>1591</v>
      </c>
      <c r="AE1521" s="132" t="s">
        <v>1592</v>
      </c>
    </row>
    <row r="1522" spans="27:31">
      <c r="AA1522" s="132" t="str">
        <f t="shared" si="29"/>
        <v>Relative humidity</v>
      </c>
      <c r="AB1522" s="132" t="s">
        <v>1593</v>
      </c>
      <c r="AC1522" s="134" t="s">
        <v>1594</v>
      </c>
      <c r="AD1522" s="132" t="s">
        <v>1595</v>
      </c>
      <c r="AE1522" s="132" t="s">
        <v>1596</v>
      </c>
    </row>
    <row r="1523" spans="27:31">
      <c r="AA1523" s="132" t="str">
        <f t="shared" si="29"/>
        <v>Kiln feed - Clinker factor</v>
      </c>
      <c r="AB1523" s="134" t="s">
        <v>1597</v>
      </c>
      <c r="AC1523" s="132" t="s">
        <v>1598</v>
      </c>
      <c r="AD1523" s="132" t="s">
        <v>1599</v>
      </c>
      <c r="AE1523" s="132" t="s">
        <v>1600</v>
      </c>
    </row>
    <row r="1524" spans="27:31" ht="25.5">
      <c r="AA1524" s="132" t="str">
        <f t="shared" si="29"/>
        <v>GRATE COOLER AIR BALANCE</v>
      </c>
      <c r="AB1524" s="132" t="s">
        <v>1601</v>
      </c>
      <c r="AC1524" s="132" t="s">
        <v>1602</v>
      </c>
      <c r="AD1524" s="134" t="s">
        <v>1603</v>
      </c>
      <c r="AE1524" s="134" t="s">
        <v>1604</v>
      </c>
    </row>
    <row r="1525" spans="27:31">
      <c r="AA1525" s="132"/>
      <c r="AB1525" s="133" t="s">
        <v>382</v>
      </c>
      <c r="AC1525" s="132"/>
      <c r="AD1525" s="132"/>
      <c r="AE1525" s="132"/>
    </row>
    <row r="1526" spans="27:31">
      <c r="AA1526" s="132" t="str">
        <f t="shared" ref="AA1526:AA1531" si="30">INDEX($AB:$AE,ROW(),Language)</f>
        <v>SECONDARY FIRING</v>
      </c>
      <c r="AB1526" s="207" t="s">
        <v>939</v>
      </c>
      <c r="AC1526" s="132" t="s">
        <v>1500</v>
      </c>
      <c r="AD1526" s="132" t="s">
        <v>940</v>
      </c>
      <c r="AE1526" s="132" t="s">
        <v>1502</v>
      </c>
    </row>
    <row r="1527" spans="27:31">
      <c r="AA1527" s="132" t="str">
        <f t="shared" si="30"/>
        <v>SECONDARY AIR</v>
      </c>
      <c r="AB1527" s="132" t="s">
        <v>1605</v>
      </c>
      <c r="AC1527" s="132" t="s">
        <v>1606</v>
      </c>
      <c r="AD1527" s="132" t="s">
        <v>1607</v>
      </c>
      <c r="AE1527" s="134" t="s">
        <v>1608</v>
      </c>
    </row>
    <row r="1528" spans="27:31" ht="25.5">
      <c r="AA1528" s="132" t="str">
        <f t="shared" si="30"/>
        <v>SECONDARY AIR AND WATER VAPOR</v>
      </c>
      <c r="AB1528" s="132" t="s">
        <v>1609</v>
      </c>
      <c r="AC1528" s="132" t="s">
        <v>1610</v>
      </c>
      <c r="AD1528" s="132" t="s">
        <v>1611</v>
      </c>
      <c r="AE1528" s="135" t="s">
        <v>1612</v>
      </c>
    </row>
    <row r="1529" spans="27:31">
      <c r="AA1529" s="132" t="str">
        <f t="shared" si="30"/>
        <v>SO3 kiln feed</v>
      </c>
      <c r="AB1529" s="132" t="s">
        <v>1613</v>
      </c>
      <c r="AC1529" s="132" t="s">
        <v>1614</v>
      </c>
      <c r="AD1529" s="132" t="s">
        <v>1615</v>
      </c>
      <c r="AE1529" s="135" t="s">
        <v>1616</v>
      </c>
    </row>
    <row r="1530" spans="27:31">
      <c r="AA1530" s="132" t="str">
        <f t="shared" si="30"/>
        <v>SO3 clinker</v>
      </c>
      <c r="AB1530" s="132" t="s">
        <v>1617</v>
      </c>
      <c r="AC1530" s="132" t="s">
        <v>1618</v>
      </c>
      <c r="AD1530" s="132" t="s">
        <v>1618</v>
      </c>
      <c r="AE1530" s="135" t="s">
        <v>1618</v>
      </c>
    </row>
    <row r="1531" spans="27:31">
      <c r="AA1531" s="132" t="str">
        <f t="shared" si="30"/>
        <v>SO3 kiln dust</v>
      </c>
      <c r="AB1531" s="132" t="s">
        <v>1619</v>
      </c>
      <c r="AC1531" s="132" t="s">
        <v>1620</v>
      </c>
      <c r="AD1531" s="132" t="s">
        <v>1621</v>
      </c>
      <c r="AE1531" s="135" t="s">
        <v>1622</v>
      </c>
    </row>
    <row r="1532" spans="27:31">
      <c r="AA1532" s="132"/>
      <c r="AB1532" s="133" t="s">
        <v>1623</v>
      </c>
      <c r="AC1532" s="132"/>
      <c r="AD1532" s="132"/>
      <c r="AE1532" s="132"/>
    </row>
    <row r="1533" spans="27:31" ht="25.5">
      <c r="AA1533" s="132" t="str">
        <f t="shared" ref="AA1533:AA1540" si="31">INDEX($AB:$AE,ROW(),Language)</f>
        <v>SULFUR-ALCALI REACTIONS</v>
      </c>
      <c r="AB1533" s="132" t="s">
        <v>1624</v>
      </c>
      <c r="AC1533" s="134" t="s">
        <v>1625</v>
      </c>
      <c r="AD1533" s="134" t="s">
        <v>1626</v>
      </c>
      <c r="AE1533" s="134" t="s">
        <v>1627</v>
      </c>
    </row>
    <row r="1534" spans="27:31" ht="25.5">
      <c r="AA1534" s="132" t="str">
        <f t="shared" si="31"/>
        <v>Sulfur-Alcali Reactions</v>
      </c>
      <c r="AB1534" s="132" t="s">
        <v>1628</v>
      </c>
      <c r="AC1534" s="134" t="s">
        <v>1629</v>
      </c>
      <c r="AD1534" s="132" t="s">
        <v>1630</v>
      </c>
      <c r="AE1534" s="134" t="s">
        <v>1631</v>
      </c>
    </row>
    <row r="1535" spans="27:31">
      <c r="AA1535" s="132" t="str">
        <f t="shared" si="31"/>
        <v>Sulfur content (S)</v>
      </c>
      <c r="AB1535" s="132" t="s">
        <v>1632</v>
      </c>
      <c r="AC1535" s="132" t="s">
        <v>1633</v>
      </c>
      <c r="AD1535" s="132" t="s">
        <v>1634</v>
      </c>
      <c r="AE1535" s="132" t="s">
        <v>1635</v>
      </c>
    </row>
    <row r="1536" spans="27:31">
      <c r="AA1536" s="132" t="str">
        <f t="shared" si="31"/>
        <v>Secondary firing</v>
      </c>
      <c r="AB1536" s="132" t="s">
        <v>1636</v>
      </c>
      <c r="AC1536" s="132" t="s">
        <v>1637</v>
      </c>
      <c r="AD1536" s="132" t="s">
        <v>1638</v>
      </c>
      <c r="AE1536" s="134" t="s">
        <v>1639</v>
      </c>
    </row>
    <row r="1537" spans="27:31">
      <c r="AA1537" s="132" t="str">
        <f t="shared" si="31"/>
        <v>Secondary air incl. dust</v>
      </c>
      <c r="AB1537" s="132" t="s">
        <v>1640</v>
      </c>
      <c r="AC1537" s="132" t="s">
        <v>1641</v>
      </c>
      <c r="AD1537" s="134" t="s">
        <v>1642</v>
      </c>
      <c r="AE1537" s="134" t="s">
        <v>1643</v>
      </c>
    </row>
    <row r="1538" spans="27:31">
      <c r="AA1538" s="132" t="str">
        <f t="shared" si="31"/>
        <v>and water vapor</v>
      </c>
      <c r="AB1538" s="132" t="s">
        <v>1644</v>
      </c>
      <c r="AC1538" s="132" t="s">
        <v>1645</v>
      </c>
      <c r="AD1538" s="135" t="s">
        <v>1646</v>
      </c>
      <c r="AE1538" s="135" t="s">
        <v>1647</v>
      </c>
    </row>
    <row r="1539" spans="27:31">
      <c r="AA1539" s="132" t="str">
        <f t="shared" si="31"/>
        <v>Secondary air</v>
      </c>
      <c r="AB1539" s="134" t="s">
        <v>1648</v>
      </c>
      <c r="AC1539" s="132" t="s">
        <v>1649</v>
      </c>
      <c r="AD1539" s="132" t="s">
        <v>1650</v>
      </c>
      <c r="AE1539" s="134" t="s">
        <v>1651</v>
      </c>
    </row>
    <row r="1540" spans="27:31">
      <c r="AA1540" s="132" t="str">
        <f t="shared" si="31"/>
        <v>Secondary air temperature</v>
      </c>
      <c r="AB1540" s="132" t="s">
        <v>1652</v>
      </c>
      <c r="AC1540" s="132" t="s">
        <v>1653</v>
      </c>
      <c r="AD1540" s="132" t="s">
        <v>1654</v>
      </c>
      <c r="AE1540" s="132" t="s">
        <v>1655</v>
      </c>
    </row>
    <row r="1541" spans="27:31">
      <c r="AA1541" s="132"/>
      <c r="AB1541" s="133" t="s">
        <v>1656</v>
      </c>
      <c r="AC1541" s="132"/>
      <c r="AD1541" s="132"/>
      <c r="AE1541" s="132"/>
    </row>
    <row r="1542" spans="27:31">
      <c r="AA1542" s="132" t="str">
        <f t="shared" ref="AA1542:AA1547" si="32">INDEX($AB:$AE,ROW(),Language)</f>
        <v>Spec. cooling air</v>
      </c>
      <c r="AB1542" s="134" t="s">
        <v>1657</v>
      </c>
      <c r="AC1542" s="134" t="s">
        <v>1658</v>
      </c>
      <c r="AD1542" s="132" t="s">
        <v>1659</v>
      </c>
      <c r="AE1542" s="134" t="s">
        <v>1215</v>
      </c>
    </row>
    <row r="1543" spans="27:31">
      <c r="AA1543" s="132" t="str">
        <f t="shared" si="32"/>
        <v>SPECIFICATION</v>
      </c>
      <c r="AB1543" s="135" t="s">
        <v>1660</v>
      </c>
      <c r="AC1543" s="135" t="s">
        <v>1661</v>
      </c>
      <c r="AD1543" s="132" t="s">
        <v>1661</v>
      </c>
      <c r="AE1543" s="135" t="s">
        <v>1662</v>
      </c>
    </row>
    <row r="1544" spans="27:31">
      <c r="AA1544" s="132" t="str">
        <f t="shared" si="32"/>
        <v>Specific heat</v>
      </c>
      <c r="AB1544" s="134" t="s">
        <v>1663</v>
      </c>
      <c r="AC1544" s="134" t="s">
        <v>1664</v>
      </c>
      <c r="AD1544" s="134" t="s">
        <v>1665</v>
      </c>
      <c r="AE1544" s="134" t="s">
        <v>1666</v>
      </c>
    </row>
    <row r="1545" spans="27:31">
      <c r="AA1545" s="132" t="str">
        <f t="shared" si="32"/>
        <v>Specific heat cons-</v>
      </c>
      <c r="AB1545" s="135" t="s">
        <v>1667</v>
      </c>
      <c r="AC1545" s="135" t="s">
        <v>1668</v>
      </c>
      <c r="AD1545" s="134" t="s">
        <v>1669</v>
      </c>
      <c r="AE1545" s="134" t="s">
        <v>1670</v>
      </c>
    </row>
    <row r="1546" spans="27:31">
      <c r="AA1546" s="132" t="str">
        <f t="shared" si="32"/>
        <v>Specific heat capacity</v>
      </c>
      <c r="AB1546" s="135" t="s">
        <v>1671</v>
      </c>
      <c r="AC1546" s="135" t="s">
        <v>1672</v>
      </c>
      <c r="AD1546" s="135" t="s">
        <v>1673</v>
      </c>
      <c r="AE1546" s="135" t="s">
        <v>1674</v>
      </c>
    </row>
    <row r="1547" spans="27:31" ht="25.5">
      <c r="AA1547" s="132" t="str">
        <f t="shared" si="32"/>
        <v>Specific dust loss top stage cyclone(s)</v>
      </c>
      <c r="AB1547" s="132" t="s">
        <v>1675</v>
      </c>
      <c r="AC1547" s="134" t="s">
        <v>1676</v>
      </c>
      <c r="AD1547" s="134" t="s">
        <v>1677</v>
      </c>
      <c r="AE1547" s="134" t="s">
        <v>1678</v>
      </c>
    </row>
    <row r="1548" spans="27:31">
      <c r="AA1548" s="132"/>
      <c r="AB1548" s="133" t="s">
        <v>1679</v>
      </c>
      <c r="AC1548" s="132"/>
      <c r="AD1548" s="132"/>
      <c r="AE1548" s="132"/>
    </row>
    <row r="1549" spans="27:31" ht="25.5">
      <c r="AA1549" s="132" t="str">
        <f t="shared" ref="AA1549:AA1564" si="33">INDEX($AB:$AE,ROW(),Language)</f>
        <v>Minimum combustion air for complete in kiln</v>
      </c>
      <c r="AB1549" s="132" t="s">
        <v>1680</v>
      </c>
      <c r="AC1549" s="134" t="s">
        <v>1681</v>
      </c>
      <c r="AD1549" s="132" t="s">
        <v>1682</v>
      </c>
      <c r="AE1549" s="132" t="s">
        <v>1683</v>
      </c>
    </row>
    <row r="1550" spans="27:31">
      <c r="AA1550" s="132" t="str">
        <f t="shared" si="33"/>
        <v>Nominal capacity</v>
      </c>
      <c r="AB1550" s="132" t="s">
        <v>1684</v>
      </c>
      <c r="AC1550" s="132" t="s">
        <v>1685</v>
      </c>
      <c r="AD1550" s="134" t="s">
        <v>1686</v>
      </c>
      <c r="AE1550" s="132" t="s">
        <v>1687</v>
      </c>
    </row>
    <row r="1551" spans="27:31">
      <c r="AA1551" s="132" t="str">
        <f t="shared" si="33"/>
        <v>Standard value</v>
      </c>
      <c r="AB1551" s="132" t="s">
        <v>1688</v>
      </c>
      <c r="AC1551" s="132" t="s">
        <v>1689</v>
      </c>
      <c r="AD1551" s="135" t="s">
        <v>1690</v>
      </c>
      <c r="AE1551" s="132" t="s">
        <v>1691</v>
      </c>
    </row>
    <row r="1552" spans="27:31">
      <c r="AA1552" s="132" t="str">
        <f t="shared" si="33"/>
        <v>dust</v>
      </c>
      <c r="AB1552" s="132" t="s">
        <v>1692</v>
      </c>
      <c r="AC1552" s="132" t="s">
        <v>1693</v>
      </c>
      <c r="AD1552" s="135" t="s">
        <v>1694</v>
      </c>
      <c r="AE1552" s="132" t="s">
        <v>1695</v>
      </c>
    </row>
    <row r="1553" spans="27:31">
      <c r="AA1553" s="132" t="str">
        <f t="shared" si="33"/>
        <v>Dust loss</v>
      </c>
      <c r="AB1553" s="132" t="s">
        <v>1696</v>
      </c>
      <c r="AC1553" s="132" t="s">
        <v>1697</v>
      </c>
      <c r="AD1553" s="135" t="s">
        <v>1698</v>
      </c>
      <c r="AE1553" s="134" t="s">
        <v>1699</v>
      </c>
    </row>
    <row r="1554" spans="27:31" ht="25.5">
      <c r="AA1554" s="132" t="str">
        <f t="shared" si="33"/>
        <v>Dust in exhaust gases</v>
      </c>
      <c r="AB1554" s="132" t="s">
        <v>1700</v>
      </c>
      <c r="AC1554" s="134" t="s">
        <v>1701</v>
      </c>
      <c r="AD1554" s="134" t="s">
        <v>1702</v>
      </c>
      <c r="AE1554" s="134" t="s">
        <v>1703</v>
      </c>
    </row>
    <row r="1555" spans="27:31">
      <c r="AA1555" s="132" t="str">
        <f t="shared" si="33"/>
        <v>stat. pressure</v>
      </c>
      <c r="AB1555" s="132" t="s">
        <v>1704</v>
      </c>
      <c r="AC1555" s="135" t="s">
        <v>1705</v>
      </c>
      <c r="AD1555" s="135" t="s">
        <v>1706</v>
      </c>
      <c r="AE1555" s="135" t="s">
        <v>1707</v>
      </c>
    </row>
    <row r="1556" spans="27:31" ht="25.5">
      <c r="AA1556" s="132" t="str">
        <f t="shared" si="33"/>
        <v>DUST LOSS  IN DIRECT OPERATION</v>
      </c>
      <c r="AB1556" s="132" t="s">
        <v>1708</v>
      </c>
      <c r="AC1556" s="132" t="s">
        <v>1709</v>
      </c>
      <c r="AD1556" s="135" t="s">
        <v>1710</v>
      </c>
      <c r="AE1556" s="134" t="s">
        <v>1711</v>
      </c>
    </row>
    <row r="1557" spans="27:31">
      <c r="AA1557" s="132" t="str">
        <f t="shared" si="33"/>
        <v>to COP</v>
      </c>
      <c r="AB1557" s="134" t="s">
        <v>1712</v>
      </c>
      <c r="AC1557" s="134" t="s">
        <v>1713</v>
      </c>
      <c r="AD1557" s="134" t="s">
        <v>1714</v>
      </c>
      <c r="AE1557" s="134" t="s">
        <v>1715</v>
      </c>
    </row>
    <row r="1558" spans="27:31">
      <c r="AA1558" s="132" t="str">
        <f t="shared" si="33"/>
        <v>RADIATION LOSSES</v>
      </c>
      <c r="AB1558" s="132" t="s">
        <v>1716</v>
      </c>
      <c r="AC1558" s="132" t="s">
        <v>1717</v>
      </c>
      <c r="AD1558" s="135" t="s">
        <v>1724</v>
      </c>
      <c r="AE1558" s="132" t="s">
        <v>1725</v>
      </c>
    </row>
    <row r="1559" spans="27:31" ht="25.5">
      <c r="AA1559" s="132" t="str">
        <f t="shared" si="33"/>
        <v>Radiation and Convection losses</v>
      </c>
      <c r="AB1559" s="132" t="s">
        <v>1726</v>
      </c>
      <c r="AC1559" s="132" t="s">
        <v>1727</v>
      </c>
      <c r="AD1559" s="135" t="s">
        <v>1728</v>
      </c>
      <c r="AE1559" s="134" t="s">
        <v>1729</v>
      </c>
    </row>
    <row r="1560" spans="27:31">
      <c r="AA1560" s="132" t="str">
        <f t="shared" si="33"/>
        <v xml:space="preserve"> </v>
      </c>
      <c r="AB1560" s="132" t="s">
        <v>1730</v>
      </c>
      <c r="AC1560" s="132" t="s">
        <v>1274</v>
      </c>
      <c r="AD1560" s="132" t="s">
        <v>1274</v>
      </c>
      <c r="AE1560" s="132" t="s">
        <v>1731</v>
      </c>
    </row>
    <row r="1561" spans="27:31">
      <c r="AA1561" s="132" t="str">
        <f t="shared" si="33"/>
        <v>Radiation &amp;</v>
      </c>
      <c r="AB1561" s="132" t="s">
        <v>1732</v>
      </c>
      <c r="AC1561" s="132" t="s">
        <v>1742</v>
      </c>
      <c r="AD1561" s="134" t="s">
        <v>1742</v>
      </c>
      <c r="AE1561" s="134" t="s">
        <v>1743</v>
      </c>
    </row>
    <row r="1562" spans="27:31">
      <c r="AA1562" s="132" t="str">
        <f t="shared" si="33"/>
        <v>Radiation losses</v>
      </c>
      <c r="AB1562" s="132" t="s">
        <v>1744</v>
      </c>
      <c r="AC1562" s="132" t="s">
        <v>1745</v>
      </c>
      <c r="AD1562" s="135" t="s">
        <v>1746</v>
      </c>
      <c r="AE1562" s="135" t="s">
        <v>1747</v>
      </c>
    </row>
    <row r="1563" spans="27:31">
      <c r="AA1563" s="132" t="str">
        <f t="shared" si="33"/>
        <v>TOTAL OF OUTPUTS</v>
      </c>
      <c r="AB1563" s="132" t="s">
        <v>1748</v>
      </c>
      <c r="AC1563" s="132" t="s">
        <v>1749</v>
      </c>
      <c r="AD1563" s="132" t="s">
        <v>1750</v>
      </c>
      <c r="AE1563" s="132" t="s">
        <v>1751</v>
      </c>
    </row>
    <row r="1564" spans="27:31">
      <c r="AA1564" s="132" t="str">
        <f t="shared" si="33"/>
        <v>TOTAL OF INPUTS</v>
      </c>
      <c r="AB1564" s="132" t="s">
        <v>1752</v>
      </c>
      <c r="AC1564" s="134" t="s">
        <v>1753</v>
      </c>
      <c r="AD1564" s="134" t="s">
        <v>1754</v>
      </c>
      <c r="AE1564" s="132" t="s">
        <v>1755</v>
      </c>
    </row>
    <row r="1565" spans="27:31">
      <c r="AA1565" s="132"/>
      <c r="AB1565" s="133" t="s">
        <v>359</v>
      </c>
      <c r="AC1565" s="132"/>
      <c r="AD1565" s="132"/>
      <c r="AE1565" s="132"/>
    </row>
    <row r="1566" spans="27:31">
      <c r="AA1566" s="132" t="str">
        <f t="shared" ref="AA1566:AA1582" si="34">INDEX($AB:$AE,ROW(),Language)</f>
        <v>t/d</v>
      </c>
      <c r="AB1566" s="132" t="s">
        <v>1756</v>
      </c>
      <c r="AC1566" s="132" t="s">
        <v>1757</v>
      </c>
      <c r="AD1566" s="132" t="s">
        <v>1758</v>
      </c>
      <c r="AE1566" s="132" t="s">
        <v>1757</v>
      </c>
    </row>
    <row r="1567" spans="27:31">
      <c r="AA1567" s="132" t="str">
        <f t="shared" si="34"/>
        <v>Temp. at burner</v>
      </c>
      <c r="AB1567" s="132" t="s">
        <v>1759</v>
      </c>
      <c r="AC1567" s="132" t="s">
        <v>1760</v>
      </c>
      <c r="AD1567" s="132" t="s">
        <v>1761</v>
      </c>
      <c r="AE1567" s="132" t="s">
        <v>1762</v>
      </c>
    </row>
    <row r="1568" spans="27:31">
      <c r="AA1568" s="132" t="str">
        <f t="shared" si="34"/>
        <v>Temperature</v>
      </c>
      <c r="AB1568" s="132" t="s">
        <v>1769</v>
      </c>
      <c r="AC1568" s="132" t="s">
        <v>1770</v>
      </c>
      <c r="AD1568" s="132" t="s">
        <v>1771</v>
      </c>
      <c r="AE1568" s="132" t="s">
        <v>1772</v>
      </c>
    </row>
    <row r="1569" spans="27:31">
      <c r="AA1569" s="132" t="str">
        <f t="shared" si="34"/>
        <v>temp.</v>
      </c>
      <c r="AB1569" s="132" t="s">
        <v>1773</v>
      </c>
      <c r="AC1569" s="132" t="s">
        <v>1774</v>
      </c>
      <c r="AD1569" s="134" t="s">
        <v>1775</v>
      </c>
      <c r="AE1569" s="134" t="s">
        <v>1776</v>
      </c>
    </row>
    <row r="1570" spans="27:31" ht="25.5">
      <c r="AA1570" s="132" t="str">
        <f t="shared" si="34"/>
        <v>Temperature at cooler takeout (or balance boundary)</v>
      </c>
      <c r="AB1570" s="134" t="s">
        <v>1777</v>
      </c>
      <c r="AC1570" s="134" t="s">
        <v>1778</v>
      </c>
      <c r="AD1570" s="134" t="s">
        <v>1779</v>
      </c>
      <c r="AE1570" s="134" t="s">
        <v>1780</v>
      </c>
    </row>
    <row r="1571" spans="27:31" ht="25.5">
      <c r="AA1571" s="132" t="str">
        <f t="shared" si="34"/>
        <v>Temperature at gas extraction point</v>
      </c>
      <c r="AB1571" s="132" t="s">
        <v>1781</v>
      </c>
      <c r="AC1571" s="132" t="s">
        <v>1782</v>
      </c>
      <c r="AD1571" s="132" t="s">
        <v>1782</v>
      </c>
      <c r="AE1571" s="132" t="s">
        <v>1783</v>
      </c>
    </row>
    <row r="1572" spans="27:31" ht="25.5">
      <c r="AA1572" s="132" t="str">
        <f t="shared" si="34"/>
        <v>Temperature at the Prandtl measuring point</v>
      </c>
      <c r="AB1572" s="132" t="s">
        <v>1784</v>
      </c>
      <c r="AC1572" s="134" t="s">
        <v>1785</v>
      </c>
      <c r="AD1572" s="132" t="s">
        <v>1786</v>
      </c>
      <c r="AE1572" s="132" t="s">
        <v>1787</v>
      </c>
    </row>
    <row r="1573" spans="27:31">
      <c r="AA1573" s="132" t="str">
        <f t="shared" si="34"/>
        <v>Temperature in the duct</v>
      </c>
      <c r="AB1573" s="134" t="s">
        <v>1788</v>
      </c>
      <c r="AC1573" s="134" t="s">
        <v>1789</v>
      </c>
      <c r="AD1573" s="134" t="s">
        <v>1790</v>
      </c>
      <c r="AE1573" s="134" t="s">
        <v>1791</v>
      </c>
    </row>
    <row r="1574" spans="27:31" ht="25.5">
      <c r="AA1574" s="132" t="str">
        <f t="shared" si="34"/>
        <v>Temperature after the quenching chamber</v>
      </c>
      <c r="AB1574" s="132" t="s">
        <v>1792</v>
      </c>
      <c r="AC1574" s="132" t="s">
        <v>1793</v>
      </c>
      <c r="AD1574" s="132"/>
      <c r="AE1574" s="134" t="s">
        <v>1794</v>
      </c>
    </row>
    <row r="1575" spans="27:31">
      <c r="AA1575" s="132" t="str">
        <f t="shared" si="34"/>
        <v>TERTIARY AIR</v>
      </c>
      <c r="AB1575" s="132" t="s">
        <v>1795</v>
      </c>
      <c r="AC1575" s="132" t="s">
        <v>1796</v>
      </c>
      <c r="AD1575" s="134" t="s">
        <v>1797</v>
      </c>
      <c r="AE1575" s="135" t="s">
        <v>1798</v>
      </c>
    </row>
    <row r="1576" spans="27:31">
      <c r="AA1576" s="132" t="str">
        <f t="shared" si="34"/>
        <v>Tertiary air (incl dust)</v>
      </c>
      <c r="AB1576" s="134" t="s">
        <v>1104</v>
      </c>
      <c r="AC1576" s="132" t="s">
        <v>1105</v>
      </c>
      <c r="AD1576" s="132" t="s">
        <v>1106</v>
      </c>
      <c r="AE1576" s="135" t="s">
        <v>1107</v>
      </c>
    </row>
    <row r="1577" spans="27:31">
      <c r="AA1577" s="132" t="str">
        <f t="shared" si="34"/>
        <v>Tertiary air duct</v>
      </c>
      <c r="AB1577" s="132" t="s">
        <v>1799</v>
      </c>
      <c r="AC1577" s="132" t="s">
        <v>1800</v>
      </c>
      <c r="AD1577" s="132" t="s">
        <v>1801</v>
      </c>
      <c r="AE1577" s="134" t="s">
        <v>1802</v>
      </c>
    </row>
    <row r="1578" spans="27:31">
      <c r="AA1578" s="132" t="str">
        <f t="shared" si="34"/>
        <v>Tertiary air temperature</v>
      </c>
      <c r="AB1578" s="132" t="s">
        <v>1803</v>
      </c>
      <c r="AC1578" s="132" t="s">
        <v>1804</v>
      </c>
      <c r="AD1578" s="132" t="s">
        <v>1805</v>
      </c>
      <c r="AE1578" s="135" t="s">
        <v>1806</v>
      </c>
    </row>
    <row r="1579" spans="27:31" ht="25.5">
      <c r="AA1579" s="132" t="str">
        <f t="shared" si="34"/>
        <v>AMBIENT CONDITIONS AND TEST DURATION</v>
      </c>
      <c r="AB1579" s="134" t="s">
        <v>1807</v>
      </c>
      <c r="AC1579" s="134" t="s">
        <v>1808</v>
      </c>
      <c r="AD1579" s="134" t="s">
        <v>1809</v>
      </c>
      <c r="AE1579" s="134" t="s">
        <v>1810</v>
      </c>
    </row>
    <row r="1580" spans="27:31">
      <c r="AA1580" s="132" t="str">
        <f t="shared" si="34"/>
        <v>Transport air</v>
      </c>
      <c r="AB1580" s="132" t="s">
        <v>1811</v>
      </c>
      <c r="AC1580" s="132" t="s">
        <v>1812</v>
      </c>
      <c r="AD1580" s="132" t="s">
        <v>1813</v>
      </c>
      <c r="AE1580" s="134" t="s">
        <v>1814</v>
      </c>
    </row>
    <row r="1581" spans="27:31">
      <c r="AA1581" s="132" t="str">
        <f t="shared" si="34"/>
        <v>dry</v>
      </c>
      <c r="AB1581" s="132" t="s">
        <v>1815</v>
      </c>
      <c r="AC1581" s="132" t="s">
        <v>1816</v>
      </c>
      <c r="AD1581" s="132" t="s">
        <v>1817</v>
      </c>
      <c r="AE1581" s="135" t="s">
        <v>1818</v>
      </c>
    </row>
    <row r="1582" spans="27:31" ht="25.5">
      <c r="AA1582" s="132" t="str">
        <f t="shared" si="34"/>
        <v>dry exhaust gas from combustion and raw meal</v>
      </c>
      <c r="AB1582" s="134" t="s">
        <v>1819</v>
      </c>
      <c r="AC1582" s="134" t="s">
        <v>1820</v>
      </c>
      <c r="AD1582" s="134" t="s">
        <v>1821</v>
      </c>
      <c r="AE1582" s="135" t="s">
        <v>1822</v>
      </c>
    </row>
    <row r="1583" spans="27:31">
      <c r="AA1583" s="132"/>
      <c r="AB1583" s="133" t="s">
        <v>1823</v>
      </c>
      <c r="AC1583" s="132"/>
      <c r="AD1583" s="132"/>
      <c r="AE1583" s="132"/>
    </row>
    <row r="1584" spans="27:31">
      <c r="AA1584" s="132" t="str">
        <f t="shared" ref="AA1584:AA1593" si="35">INDEX($AB:$AE,ROW(),Language)</f>
        <v>rpm</v>
      </c>
      <c r="AB1584" s="132" t="s">
        <v>1824</v>
      </c>
      <c r="AC1584" s="132" t="s">
        <v>1825</v>
      </c>
      <c r="AD1584" s="132" t="s">
        <v>1826</v>
      </c>
      <c r="AE1584" s="132" t="s">
        <v>1825</v>
      </c>
    </row>
    <row r="1585" spans="27:31">
      <c r="AA1585" s="132" t="str">
        <f t="shared" si="35"/>
        <v>Excess air kiln inlet</v>
      </c>
      <c r="AB1585" s="132" t="s">
        <v>1828</v>
      </c>
      <c r="AC1585" s="132" t="s">
        <v>1829</v>
      </c>
      <c r="AD1585" s="132" t="s">
        <v>1829</v>
      </c>
      <c r="AE1585" s="134" t="s">
        <v>1830</v>
      </c>
    </row>
    <row r="1586" spans="27:31" ht="25.5">
      <c r="AA1586" s="132" t="str">
        <f t="shared" si="35"/>
        <v>Excess air after calciner</v>
      </c>
      <c r="AB1586" s="134" t="s">
        <v>1831</v>
      </c>
      <c r="AC1586" s="134" t="s">
        <v>1832</v>
      </c>
      <c r="AD1586" s="134" t="s">
        <v>1832</v>
      </c>
      <c r="AE1586" s="134" t="s">
        <v>1833</v>
      </c>
    </row>
    <row r="1587" spans="27:31">
      <c r="AA1587" s="132" t="str">
        <f t="shared" si="35"/>
        <v>Ambient pressure (calculated)</v>
      </c>
      <c r="AB1587" s="134" t="s">
        <v>1834</v>
      </c>
      <c r="AC1587" s="134" t="s">
        <v>1835</v>
      </c>
      <c r="AD1587" s="134" t="s">
        <v>1836</v>
      </c>
      <c r="AE1587" s="134" t="s">
        <v>1837</v>
      </c>
    </row>
    <row r="1588" spans="27:31">
      <c r="AA1588" s="132" t="str">
        <f t="shared" si="35"/>
        <v>Ambient pressure (actual)</v>
      </c>
      <c r="AB1588" s="134" t="s">
        <v>1838</v>
      </c>
      <c r="AC1588" s="134" t="s">
        <v>1839</v>
      </c>
      <c r="AD1588" s="134" t="s">
        <v>1840</v>
      </c>
      <c r="AE1588" s="134" t="s">
        <v>1841</v>
      </c>
    </row>
    <row r="1589" spans="27:31">
      <c r="AA1589" s="132" t="str">
        <f t="shared" si="35"/>
        <v>Ambient temperature</v>
      </c>
      <c r="AB1589" s="132" t="s">
        <v>1842</v>
      </c>
      <c r="AC1589" s="132" t="s">
        <v>1843</v>
      </c>
      <c r="AD1589" s="132" t="s">
        <v>1844</v>
      </c>
      <c r="AE1589" s="132" t="s">
        <v>1845</v>
      </c>
    </row>
    <row r="1590" spans="27:31" ht="25.5">
      <c r="AA1590" s="132" t="str">
        <f t="shared" si="35"/>
        <v>Ambient temperature Prandtl measurement</v>
      </c>
      <c r="AB1590" s="132" t="s">
        <v>1847</v>
      </c>
      <c r="AC1590" s="132" t="s">
        <v>1848</v>
      </c>
      <c r="AD1590" s="132" t="s">
        <v>1849</v>
      </c>
      <c r="AE1590" s="132" t="s">
        <v>1850</v>
      </c>
    </row>
    <row r="1591" spans="27:31">
      <c r="AA1591" s="132" t="str">
        <f t="shared" si="35"/>
        <v>Lower boundary</v>
      </c>
      <c r="AB1591" s="132" t="s">
        <v>1851</v>
      </c>
      <c r="AC1591" s="132" t="s">
        <v>1852</v>
      </c>
      <c r="AD1591" s="134" t="s">
        <v>277</v>
      </c>
      <c r="AE1591" s="132" t="s">
        <v>1853</v>
      </c>
    </row>
    <row r="1592" spans="27:31">
      <c r="AA1592" s="132" t="str">
        <f t="shared" si="35"/>
        <v>Low heat value LHV</v>
      </c>
      <c r="AB1592" s="132" t="s">
        <v>1854</v>
      </c>
      <c r="AC1592" s="132" t="s">
        <v>1855</v>
      </c>
      <c r="AD1592" s="132" t="s">
        <v>1856</v>
      </c>
      <c r="AE1592" s="132" t="s">
        <v>1857</v>
      </c>
    </row>
    <row r="1593" spans="27:31">
      <c r="AA1593" s="132" t="str">
        <f t="shared" si="35"/>
        <v>Low heat value for CO</v>
      </c>
      <c r="AB1593" s="132" t="s">
        <v>1858</v>
      </c>
      <c r="AC1593" s="132" t="s">
        <v>1859</v>
      </c>
      <c r="AD1593" s="132" t="s">
        <v>1860</v>
      </c>
      <c r="AE1593" s="132" t="s">
        <v>1861</v>
      </c>
    </row>
    <row r="1594" spans="27:31">
      <c r="AA1594" s="132"/>
      <c r="AB1594" s="133" t="s">
        <v>1862</v>
      </c>
      <c r="AC1594" s="132"/>
      <c r="AD1594" s="132"/>
      <c r="AE1594" s="132"/>
    </row>
    <row r="1595" spans="27:31">
      <c r="AA1595" s="132" t="str">
        <f t="shared" ref="AA1595:AA1611" si="36">INDEX($AB:$AE,ROW(),Language)</f>
        <v>Fan</v>
      </c>
      <c r="AB1595" s="132" t="s">
        <v>1863</v>
      </c>
      <c r="AC1595" s="132" t="s">
        <v>1864</v>
      </c>
      <c r="AD1595" s="132" t="s">
        <v>1865</v>
      </c>
      <c r="AE1595" s="132" t="s">
        <v>1866</v>
      </c>
    </row>
    <row r="1596" spans="27:31">
      <c r="AA1596" s="132" t="str">
        <f t="shared" si="36"/>
        <v>Person in charge</v>
      </c>
      <c r="AB1596" s="132" t="s">
        <v>1867</v>
      </c>
      <c r="AC1596" s="132" t="s">
        <v>1868</v>
      </c>
      <c r="AD1596" s="132" t="s">
        <v>1869</v>
      </c>
      <c r="AE1596" s="134" t="s">
        <v>1870</v>
      </c>
    </row>
    <row r="1597" spans="27:31">
      <c r="AA1597" s="132" t="str">
        <f t="shared" si="36"/>
        <v>sumption</v>
      </c>
      <c r="AB1597" s="132" t="s">
        <v>1871</v>
      </c>
      <c r="AC1597" s="132" t="s">
        <v>1872</v>
      </c>
      <c r="AD1597" s="132" t="s">
        <v>1873</v>
      </c>
      <c r="AE1597" s="134" t="s">
        <v>1874</v>
      </c>
    </row>
    <row r="1598" spans="27:31">
      <c r="AA1598" s="132" t="str">
        <f t="shared" si="36"/>
        <v>combustion</v>
      </c>
      <c r="AB1598" s="132" t="s">
        <v>1875</v>
      </c>
      <c r="AC1598" s="132" t="s">
        <v>1876</v>
      </c>
      <c r="AD1598" s="132" t="s">
        <v>1876</v>
      </c>
      <c r="AE1598" s="132" t="s">
        <v>1878</v>
      </c>
    </row>
    <row r="1599" spans="27:31">
      <c r="AA1599" s="132" t="str">
        <f t="shared" si="36"/>
        <v>Combustion gas (wet)</v>
      </c>
      <c r="AB1599" s="134" t="s">
        <v>1879</v>
      </c>
      <c r="AC1599" s="134" t="s">
        <v>1880</v>
      </c>
      <c r="AD1599" s="134" t="s">
        <v>1881</v>
      </c>
      <c r="AE1599" s="134" t="s">
        <v>1882</v>
      </c>
    </row>
    <row r="1600" spans="27:31">
      <c r="AA1600" s="132" t="str">
        <f t="shared" si="36"/>
        <v>Combustion air</v>
      </c>
      <c r="AB1600" s="132" t="s">
        <v>1883</v>
      </c>
      <c r="AC1600" s="132" t="s">
        <v>1884</v>
      </c>
      <c r="AD1600" s="132" t="s">
        <v>1885</v>
      </c>
      <c r="AE1600" s="132" t="s">
        <v>1886</v>
      </c>
    </row>
    <row r="1601" spans="27:31">
      <c r="AA1601" s="132" t="str">
        <f t="shared" si="36"/>
        <v>Combust. air kiln</v>
      </c>
      <c r="AB1601" s="134" t="s">
        <v>1887</v>
      </c>
      <c r="AC1601" s="134" t="s">
        <v>1888</v>
      </c>
      <c r="AD1601" s="134" t="s">
        <v>1889</v>
      </c>
      <c r="AE1601" s="134" t="s">
        <v>1890</v>
      </c>
    </row>
    <row r="1602" spans="27:31">
      <c r="AA1602" s="132" t="str">
        <f t="shared" si="36"/>
        <v>Combust. air calciner</v>
      </c>
      <c r="AB1602" s="134" t="s">
        <v>1891</v>
      </c>
      <c r="AC1602" s="134" t="s">
        <v>1892</v>
      </c>
      <c r="AD1602" s="134" t="s">
        <v>1893</v>
      </c>
      <c r="AE1602" s="134" t="s">
        <v>1894</v>
      </c>
    </row>
    <row r="1603" spans="27:31">
      <c r="AA1603" s="132" t="str">
        <f t="shared" si="36"/>
        <v>Combust. gas kiln</v>
      </c>
      <c r="AB1603" s="134" t="s">
        <v>1895</v>
      </c>
      <c r="AC1603" s="134" t="s">
        <v>1896</v>
      </c>
      <c r="AD1603" s="134" t="s">
        <v>1897</v>
      </c>
      <c r="AE1603" s="132" t="s">
        <v>1898</v>
      </c>
    </row>
    <row r="1604" spans="27:31">
      <c r="AA1604" s="132" t="str">
        <f t="shared" si="36"/>
        <v>Combust. gas calciner</v>
      </c>
      <c r="AB1604" s="134" t="s">
        <v>1899</v>
      </c>
      <c r="AC1604" s="134" t="s">
        <v>1900</v>
      </c>
      <c r="AD1604" s="134" t="s">
        <v>1901</v>
      </c>
      <c r="AE1604" s="132" t="s">
        <v>1902</v>
      </c>
    </row>
    <row r="1605" spans="27:31">
      <c r="AA1605" s="132" t="str">
        <f t="shared" si="36"/>
        <v>Flowrate</v>
      </c>
      <c r="AB1605" s="132" t="s">
        <v>1903</v>
      </c>
      <c r="AC1605" s="135" t="s">
        <v>1904</v>
      </c>
      <c r="AD1605" s="132" t="s">
        <v>1905</v>
      </c>
      <c r="AE1605" s="134" t="s">
        <v>1404</v>
      </c>
    </row>
    <row r="1606" spans="27:31">
      <c r="AA1606" s="132" t="str">
        <f t="shared" si="36"/>
        <v>Flowrate air</v>
      </c>
      <c r="AB1606" s="134" t="s">
        <v>1906</v>
      </c>
      <c r="AC1606" s="134" t="s">
        <v>1907</v>
      </c>
      <c r="AD1606" s="132" t="s">
        <v>1905</v>
      </c>
      <c r="AE1606" s="134" t="s">
        <v>1908</v>
      </c>
    </row>
    <row r="1607" spans="27:31">
      <c r="AA1607" s="132" t="str">
        <f t="shared" si="36"/>
        <v>Flowrate gas</v>
      </c>
      <c r="AB1607" s="134" t="s">
        <v>1909</v>
      </c>
      <c r="AC1607" s="134" t="s">
        <v>1910</v>
      </c>
      <c r="AD1607" s="132" t="s">
        <v>1911</v>
      </c>
      <c r="AE1607" s="134" t="s">
        <v>1912</v>
      </c>
    </row>
    <row r="1608" spans="27:31" ht="25.5">
      <c r="AA1608" s="132" t="str">
        <f t="shared" si="36"/>
        <v>Waste air flowrate from prandtl measurement</v>
      </c>
      <c r="AB1608" s="134" t="s">
        <v>1913</v>
      </c>
      <c r="AC1608" s="134" t="s">
        <v>1914</v>
      </c>
      <c r="AD1608" s="134" t="s">
        <v>1417</v>
      </c>
      <c r="AE1608" s="134" t="s">
        <v>1915</v>
      </c>
    </row>
    <row r="1609" spans="27:31" ht="25.5">
      <c r="AA1609" s="132" t="str">
        <f t="shared" si="36"/>
        <v>Calciner exhaust gas flowrate (dry)</v>
      </c>
      <c r="AB1609" s="132" t="s">
        <v>1916</v>
      </c>
      <c r="AC1609" s="135" t="s">
        <v>1917</v>
      </c>
      <c r="AD1609" s="135" t="s">
        <v>1917</v>
      </c>
      <c r="AE1609" s="135" t="s">
        <v>1918</v>
      </c>
    </row>
    <row r="1610" spans="27:31">
      <c r="AA1610" s="132" t="str">
        <f t="shared" si="36"/>
        <v>Water flowrate</v>
      </c>
      <c r="AB1610" s="132" t="s">
        <v>1919</v>
      </c>
      <c r="AC1610" s="135" t="s">
        <v>1920</v>
      </c>
      <c r="AD1610" s="135" t="s">
        <v>1920</v>
      </c>
      <c r="AE1610" s="135" t="s">
        <v>1921</v>
      </c>
    </row>
    <row r="1611" spans="27:31">
      <c r="AA1611" s="132" t="str">
        <f t="shared" si="36"/>
        <v>from</v>
      </c>
      <c r="AB1611" s="132" t="s">
        <v>1922</v>
      </c>
      <c r="AC1611" s="132" t="s">
        <v>1923</v>
      </c>
      <c r="AD1611" s="132" t="s">
        <v>1924</v>
      </c>
      <c r="AE1611" s="132" t="s">
        <v>1925</v>
      </c>
    </row>
    <row r="1612" spans="27:31">
      <c r="AA1612" s="132"/>
      <c r="AB1612" s="133" t="s">
        <v>1926</v>
      </c>
      <c r="AC1612" s="132"/>
      <c r="AD1612" s="132"/>
      <c r="AE1612" s="132"/>
    </row>
    <row r="1613" spans="27:31" ht="38">
      <c r="AA1613" s="132" t="str">
        <f t="shared" ref="AA1613:AA1660" si="37">INDEX($AB:$AE,ROW(),Language)</f>
        <v>HEAT AND MASS BALANCE OF A PREHEATER KILN</v>
      </c>
      <c r="AB1613" s="132" t="s">
        <v>1927</v>
      </c>
      <c r="AC1613" s="134" t="s">
        <v>1928</v>
      </c>
      <c r="AD1613" s="134" t="s">
        <v>1929</v>
      </c>
      <c r="AE1613" s="134" t="s">
        <v>1930</v>
      </c>
    </row>
    <row r="1614" spans="27:31">
      <c r="AA1614" s="132" t="str">
        <f t="shared" si="37"/>
        <v>HEAT OUTPUT</v>
      </c>
      <c r="AB1614" s="132" t="s">
        <v>1931</v>
      </c>
      <c r="AC1614" s="132" t="s">
        <v>1932</v>
      </c>
      <c r="AD1614" s="132" t="s">
        <v>1933</v>
      </c>
      <c r="AE1614" s="132" t="s">
        <v>1934</v>
      </c>
    </row>
    <row r="1615" spans="27:31" ht="25.5">
      <c r="AA1615" s="132" t="str">
        <f t="shared" si="37"/>
        <v>KILN SYSTEM HEAT BALANCE</v>
      </c>
      <c r="AB1615" s="132" t="s">
        <v>1935</v>
      </c>
      <c r="AC1615" s="132" t="s">
        <v>1936</v>
      </c>
      <c r="AD1615" s="132" t="s">
        <v>1937</v>
      </c>
      <c r="AE1615" s="132" t="s">
        <v>1938</v>
      </c>
    </row>
    <row r="1616" spans="27:31" ht="25.5">
      <c r="AA1616" s="132" t="str">
        <f t="shared" si="37"/>
        <v>HEAT BALANCE OF A</v>
      </c>
      <c r="AB1616" s="134" t="s">
        <v>1939</v>
      </c>
      <c r="AC1616" s="134" t="s">
        <v>1940</v>
      </c>
      <c r="AD1616" s="132" t="s">
        <v>1941</v>
      </c>
      <c r="AE1616" s="134" t="s">
        <v>1942</v>
      </c>
    </row>
    <row r="1617" spans="27:31">
      <c r="AA1617" s="132" t="str">
        <f t="shared" si="37"/>
        <v>heat balance over coal mill)</v>
      </c>
      <c r="AB1617" s="134" t="s">
        <v>1943</v>
      </c>
      <c r="AC1617" s="134" t="s">
        <v>1944</v>
      </c>
      <c r="AD1617" s="134" t="s">
        <v>1945</v>
      </c>
      <c r="AE1617" s="134" t="s">
        <v>1947</v>
      </c>
    </row>
    <row r="1618" spans="27:31" ht="25.5">
      <c r="AA1618" s="132" t="str">
        <f t="shared" si="37"/>
        <v>HEAT BALANCE CLINKER COOLER</v>
      </c>
      <c r="AB1618" s="134" t="s">
        <v>1948</v>
      </c>
      <c r="AC1618" s="134" t="s">
        <v>1949</v>
      </c>
      <c r="AD1618" s="135" t="s">
        <v>1950</v>
      </c>
      <c r="AE1618" s="134" t="s">
        <v>1191</v>
      </c>
    </row>
    <row r="1619" spans="27:31">
      <c r="AA1619" s="132" t="str">
        <f t="shared" si="37"/>
        <v>Heat input</v>
      </c>
      <c r="AB1619" s="132" t="s">
        <v>1951</v>
      </c>
      <c r="AC1619" s="135" t="s">
        <v>0</v>
      </c>
      <c r="AD1619" s="134" t="s">
        <v>1</v>
      </c>
      <c r="AE1619" s="134" t="s">
        <v>2</v>
      </c>
    </row>
    <row r="1620" spans="27:31">
      <c r="AA1620" s="132" t="str">
        <f t="shared" si="37"/>
        <v>HEAT INPUT</v>
      </c>
      <c r="AB1620" s="132" t="s">
        <v>3</v>
      </c>
      <c r="AC1620" s="135" t="s">
        <v>4</v>
      </c>
      <c r="AD1620" s="132" t="s">
        <v>5</v>
      </c>
      <c r="AE1620" s="132" t="s">
        <v>6</v>
      </c>
    </row>
    <row r="1621" spans="27:31" ht="25.5">
      <c r="AA1621" s="132" t="str">
        <f t="shared" si="37"/>
        <v>Heat input from hot clinker</v>
      </c>
      <c r="AB1621" s="132" t="s">
        <v>7</v>
      </c>
      <c r="AC1621" s="135" t="s">
        <v>8</v>
      </c>
      <c r="AD1621" s="132" t="s">
        <v>9</v>
      </c>
      <c r="AE1621" s="132" t="s">
        <v>10</v>
      </c>
    </row>
    <row r="1622" spans="27:31" ht="25.5">
      <c r="AA1622" s="132" t="str">
        <f t="shared" si="37"/>
        <v>Heat input from cooling air</v>
      </c>
      <c r="AB1622" s="132" t="s">
        <v>11</v>
      </c>
      <c r="AC1622" s="135" t="s">
        <v>12</v>
      </c>
      <c r="AD1622" s="135" t="s">
        <v>13</v>
      </c>
      <c r="AE1622" s="135" t="s">
        <v>14</v>
      </c>
    </row>
    <row r="1623" spans="27:31" ht="25.5">
      <c r="AA1623" s="132" t="str">
        <f t="shared" si="37"/>
        <v>Heat input from injected water</v>
      </c>
      <c r="AB1623" s="132" t="s">
        <v>15</v>
      </c>
      <c r="AC1623" s="135" t="s">
        <v>16</v>
      </c>
      <c r="AD1623" s="135" t="s">
        <v>16</v>
      </c>
      <c r="AE1623" s="135" t="s">
        <v>17</v>
      </c>
    </row>
    <row r="1624" spans="27:31" ht="25.5">
      <c r="AA1624" s="132" t="str">
        <f t="shared" si="37"/>
        <v>Heat input from primary air</v>
      </c>
      <c r="AB1624" s="132" t="s">
        <v>18</v>
      </c>
      <c r="AC1624" s="135" t="s">
        <v>19</v>
      </c>
      <c r="AD1624" s="135" t="s">
        <v>20</v>
      </c>
      <c r="AE1624" s="135" t="s">
        <v>21</v>
      </c>
    </row>
    <row r="1625" spans="27:31" ht="25.5">
      <c r="AA1625" s="132" t="str">
        <f t="shared" si="37"/>
        <v>Heat input from moisture content in raw meal</v>
      </c>
      <c r="AB1625" s="132" t="s">
        <v>22</v>
      </c>
      <c r="AC1625" s="135" t="s">
        <v>23</v>
      </c>
      <c r="AD1625" s="132" t="s">
        <v>24</v>
      </c>
      <c r="AE1625" s="132" t="s">
        <v>25</v>
      </c>
    </row>
    <row r="1626" spans="27:31" ht="25.5">
      <c r="AA1626" s="132" t="str">
        <f t="shared" si="37"/>
        <v>Heat input from combustible matter in kiln feed</v>
      </c>
      <c r="AB1626" s="132" t="s">
        <v>26</v>
      </c>
      <c r="AC1626" s="134" t="s">
        <v>28</v>
      </c>
      <c r="AD1626" s="134" t="s">
        <v>29</v>
      </c>
      <c r="AE1626" s="134" t="s">
        <v>30</v>
      </c>
    </row>
    <row r="1627" spans="27:31">
      <c r="AA1627" s="132" t="str">
        <f t="shared" si="37"/>
        <v>Heat input from</v>
      </c>
      <c r="AB1627" s="134" t="s">
        <v>31</v>
      </c>
      <c r="AC1627" s="134" t="s">
        <v>32</v>
      </c>
      <c r="AD1627" s="134" t="s">
        <v>33</v>
      </c>
      <c r="AE1627" s="134" t="s">
        <v>34</v>
      </c>
    </row>
    <row r="1628" spans="27:31" ht="25.5">
      <c r="AA1628" s="132" t="str">
        <f t="shared" si="37"/>
        <v>HEAT FROM CLINKER</v>
      </c>
      <c r="AB1628" s="132" t="s">
        <v>35</v>
      </c>
      <c r="AC1628" s="134" t="s">
        <v>36</v>
      </c>
      <c r="AD1628" s="132" t="s">
        <v>37</v>
      </c>
      <c r="AE1628" s="132" t="s">
        <v>38</v>
      </c>
    </row>
    <row r="1629" spans="27:31" ht="25.5">
      <c r="AA1629" s="132" t="str">
        <f t="shared" si="37"/>
        <v>Heat input via kiln feed</v>
      </c>
      <c r="AB1629" s="132" t="s">
        <v>39</v>
      </c>
      <c r="AC1629" s="135" t="s">
        <v>40</v>
      </c>
      <c r="AD1629" s="132" t="s">
        <v>41</v>
      </c>
      <c r="AE1629" s="132" t="s">
        <v>42</v>
      </c>
    </row>
    <row r="1630" spans="27:31">
      <c r="AA1630" s="132" t="str">
        <f t="shared" si="37"/>
        <v>Heat input raw meal dry</v>
      </c>
      <c r="AB1630" s="132" t="s">
        <v>46</v>
      </c>
      <c r="AC1630" s="135" t="s">
        <v>47</v>
      </c>
      <c r="AD1630" s="134" t="s">
        <v>48</v>
      </c>
      <c r="AE1630" s="134" t="s">
        <v>49</v>
      </c>
    </row>
    <row r="1631" spans="27:31">
      <c r="AA1631" s="132" t="str">
        <f t="shared" si="37"/>
        <v>Preheater tower</v>
      </c>
      <c r="AB1631" s="132" t="s">
        <v>50</v>
      </c>
      <c r="AC1631" s="135" t="s">
        <v>51</v>
      </c>
      <c r="AD1631" s="135" t="s">
        <v>52</v>
      </c>
      <c r="AE1631" s="135" t="s">
        <v>53</v>
      </c>
    </row>
    <row r="1632" spans="27:31" ht="25.5">
      <c r="AA1632" s="132" t="str">
        <f t="shared" si="37"/>
        <v>Preheater exhaust gas dust loss</v>
      </c>
      <c r="AB1632" s="132" t="s">
        <v>54</v>
      </c>
      <c r="AC1632" s="135" t="s">
        <v>55</v>
      </c>
      <c r="AD1632" s="135" t="s">
        <v>56</v>
      </c>
      <c r="AE1632" s="134" t="s">
        <v>57</v>
      </c>
    </row>
    <row r="1633" spans="27:31" ht="25.5">
      <c r="AA1633" s="132" t="str">
        <f t="shared" si="37"/>
        <v>Preheater tower incl. Calciner</v>
      </c>
      <c r="AB1633" s="132" t="s">
        <v>58</v>
      </c>
      <c r="AC1633" s="135" t="s">
        <v>59</v>
      </c>
      <c r="AD1633" s="134" t="s">
        <v>60</v>
      </c>
      <c r="AE1633" s="134" t="s">
        <v>61</v>
      </c>
    </row>
    <row r="1634" spans="27:31">
      <c r="AA1634" s="132" t="str">
        <f t="shared" si="37"/>
        <v>Water vapor</v>
      </c>
      <c r="AB1634" s="132" t="s">
        <v>62</v>
      </c>
      <c r="AC1634" s="135" t="s">
        <v>63</v>
      </c>
      <c r="AD1634" s="135" t="s">
        <v>64</v>
      </c>
      <c r="AE1634" s="135" t="s">
        <v>65</v>
      </c>
    </row>
    <row r="1635" spans="27:31" ht="25.5">
      <c r="AA1635" s="132" t="str">
        <f t="shared" si="37"/>
        <v>Heat output from kiln feed water evaporation</v>
      </c>
      <c r="AB1635" s="134" t="s">
        <v>66</v>
      </c>
      <c r="AC1635" s="134" t="s">
        <v>67</v>
      </c>
      <c r="AD1635" s="135" t="s">
        <v>70</v>
      </c>
      <c r="AE1635" s="134" t="s">
        <v>71</v>
      </c>
    </row>
    <row r="1636" spans="27:31">
      <c r="AA1636" s="132" t="str">
        <f t="shared" si="37"/>
        <v>Water evaporation</v>
      </c>
      <c r="AB1636" s="135" t="s">
        <v>72</v>
      </c>
      <c r="AC1636" s="135" t="s">
        <v>73</v>
      </c>
      <c r="AD1636" s="135" t="s">
        <v>74</v>
      </c>
      <c r="AE1636" s="135" t="s">
        <v>75</v>
      </c>
    </row>
    <row r="1637" spans="27:31" ht="25.5">
      <c r="AA1637" s="132" t="str">
        <f t="shared" si="37"/>
        <v>WATERINJECTION INTO COOLER</v>
      </c>
      <c r="AB1637" s="134" t="s">
        <v>76</v>
      </c>
      <c r="AC1637" s="134" t="s">
        <v>77</v>
      </c>
      <c r="AD1637" s="134" t="s">
        <v>78</v>
      </c>
      <c r="AE1637" s="134" t="s">
        <v>79</v>
      </c>
    </row>
    <row r="1638" spans="27:31" ht="25.5">
      <c r="AA1638" s="132" t="str">
        <f t="shared" si="37"/>
        <v>WATERINJECTION INTO PREHEATER</v>
      </c>
      <c r="AB1638" s="135" t="s">
        <v>278</v>
      </c>
      <c r="AC1638" s="135" t="s">
        <v>279</v>
      </c>
      <c r="AD1638" s="134" t="s">
        <v>280</v>
      </c>
      <c r="AE1638" s="134" t="s">
        <v>281</v>
      </c>
    </row>
    <row r="1639" spans="27:31" ht="38">
      <c r="AA1639" s="132" t="str">
        <f t="shared" si="37"/>
        <v>HEAT LOSS DUE TO INCOMPLETE COMBUSTION</v>
      </c>
      <c r="AB1639" s="135" t="s">
        <v>80</v>
      </c>
      <c r="AC1639" s="134" t="s">
        <v>81</v>
      </c>
      <c r="AD1639" s="134" t="s">
        <v>82</v>
      </c>
      <c r="AE1639" s="134" t="s">
        <v>83</v>
      </c>
    </row>
    <row r="1640" spans="27:31" ht="25.5">
      <c r="AA1640" s="132" t="str">
        <f t="shared" si="37"/>
        <v>Heat loss from CaO (non carbonatic) in bypass dust</v>
      </c>
      <c r="AB1640" s="135" t="s">
        <v>84</v>
      </c>
      <c r="AC1640" s="135" t="s">
        <v>85</v>
      </c>
      <c r="AD1640" s="134" t="s">
        <v>86</v>
      </c>
      <c r="AE1640" s="134" t="s">
        <v>87</v>
      </c>
    </row>
    <row r="1641" spans="27:31" ht="38">
      <c r="AA1641" s="132" t="str">
        <f t="shared" si="37"/>
        <v>HEAT OUTPUT FROM CaO (NON CARBONATIC) IN BYPASS DUST</v>
      </c>
      <c r="AB1641" s="135" t="s">
        <v>88</v>
      </c>
      <c r="AC1641" s="134" t="s">
        <v>89</v>
      </c>
      <c r="AD1641" s="134" t="s">
        <v>90</v>
      </c>
      <c r="AE1641" s="134" t="s">
        <v>91</v>
      </c>
    </row>
    <row r="1642" spans="27:31" ht="25.5">
      <c r="AA1642" s="132" t="str">
        <f t="shared" si="37"/>
        <v>HEAT LOSS FROM RADIATION &amp; CONVECTION</v>
      </c>
      <c r="AB1642" s="134" t="s">
        <v>92</v>
      </c>
      <c r="AC1642" s="135" t="s">
        <v>93</v>
      </c>
      <c r="AD1642" s="132" t="s">
        <v>94</v>
      </c>
      <c r="AE1642" s="134" t="s">
        <v>95</v>
      </c>
    </row>
    <row r="1643" spans="27:31" ht="25.5">
      <c r="AA1643" s="132" t="str">
        <f t="shared" si="37"/>
        <v>Heat loss from incomplete combustion</v>
      </c>
      <c r="AB1643" s="134" t="s">
        <v>96</v>
      </c>
      <c r="AC1643" s="135" t="s">
        <v>98</v>
      </c>
      <c r="AD1643" s="134" t="s">
        <v>99</v>
      </c>
      <c r="AE1643" s="134" t="s">
        <v>100</v>
      </c>
    </row>
    <row r="1644" spans="27:31">
      <c r="AA1644" s="132" t="str">
        <f t="shared" si="37"/>
        <v>Heat loss from radiation</v>
      </c>
      <c r="AB1644" s="134" t="s">
        <v>101</v>
      </c>
      <c r="AC1644" s="135" t="s">
        <v>102</v>
      </c>
      <c r="AD1644" s="135" t="s">
        <v>106</v>
      </c>
      <c r="AE1644" s="134" t="s">
        <v>107</v>
      </c>
    </row>
    <row r="1645" spans="27:31" ht="25.5">
      <c r="AA1645" s="132" t="str">
        <f t="shared" si="37"/>
        <v>Heat loss from water evaporation in cooler</v>
      </c>
      <c r="AB1645" s="135" t="s">
        <v>108</v>
      </c>
      <c r="AC1645" s="135" t="s">
        <v>109</v>
      </c>
      <c r="AD1645" s="135" t="s">
        <v>109</v>
      </c>
      <c r="AE1645" s="135" t="s">
        <v>110</v>
      </c>
    </row>
    <row r="1646" spans="27:31" ht="25.5">
      <c r="AA1646" s="132" t="str">
        <f t="shared" si="37"/>
        <v>Water vapor from coal mill (part of primary air)</v>
      </c>
      <c r="AB1646" s="132" t="s">
        <v>111</v>
      </c>
      <c r="AC1646" s="135" t="s">
        <v>112</v>
      </c>
      <c r="AD1646" s="132" t="s">
        <v>113</v>
      </c>
      <c r="AE1646" s="132" t="s">
        <v>114</v>
      </c>
    </row>
    <row r="1647" spans="27:31">
      <c r="AA1647" s="132" t="str">
        <f t="shared" si="37"/>
        <v>Water vapor flowrate</v>
      </c>
      <c r="AB1647" s="132" t="s">
        <v>115</v>
      </c>
      <c r="AC1647" s="135" t="s">
        <v>116</v>
      </c>
      <c r="AD1647" s="134" t="s">
        <v>117</v>
      </c>
      <c r="AE1647" s="132" t="s">
        <v>118</v>
      </c>
    </row>
    <row r="1648" spans="27:31">
      <c r="AA1648" s="132" t="str">
        <f t="shared" si="37"/>
        <v>Water vapor from cooler</v>
      </c>
      <c r="AB1648" s="132" t="s">
        <v>119</v>
      </c>
      <c r="AC1648" s="135" t="s">
        <v>120</v>
      </c>
      <c r="AD1648" s="135" t="s">
        <v>121</v>
      </c>
      <c r="AE1648" s="132" t="s">
        <v>122</v>
      </c>
    </row>
    <row r="1649" spans="27:31">
      <c r="AA1649" s="132" t="str">
        <f t="shared" si="37"/>
        <v>Water input</v>
      </c>
      <c r="AB1649" s="132" t="s">
        <v>123</v>
      </c>
      <c r="AC1649" s="135" t="s">
        <v>124</v>
      </c>
      <c r="AD1649" s="132" t="s">
        <v>125</v>
      </c>
      <c r="AE1649" s="132" t="s">
        <v>126</v>
      </c>
    </row>
    <row r="1650" spans="27:31">
      <c r="AA1650" s="132" t="str">
        <f t="shared" si="37"/>
        <v>Water input kiln</v>
      </c>
      <c r="AB1650" s="134" t="s">
        <v>127</v>
      </c>
      <c r="AC1650" s="134" t="s">
        <v>128</v>
      </c>
      <c r="AD1650" s="134" t="s">
        <v>129</v>
      </c>
      <c r="AE1650" s="134" t="s">
        <v>130</v>
      </c>
    </row>
    <row r="1651" spans="27:31">
      <c r="AA1651" s="132" t="str">
        <f t="shared" si="37"/>
        <v>Water input calciner</v>
      </c>
      <c r="AB1651" s="134" t="s">
        <v>131</v>
      </c>
      <c r="AC1651" s="134" t="s">
        <v>132</v>
      </c>
      <c r="AD1651" s="134" t="s">
        <v>133</v>
      </c>
      <c r="AE1651" s="134" t="s">
        <v>134</v>
      </c>
    </row>
    <row r="1652" spans="27:31" ht="25.5">
      <c r="AA1652" s="132" t="str">
        <f t="shared" si="37"/>
        <v>Water injection into cooler</v>
      </c>
      <c r="AB1652" s="134" t="s">
        <v>135</v>
      </c>
      <c r="AC1652" s="134" t="s">
        <v>136</v>
      </c>
      <c r="AD1652" s="134" t="s">
        <v>137</v>
      </c>
      <c r="AE1652" s="134" t="s">
        <v>138</v>
      </c>
    </row>
    <row r="1653" spans="27:31">
      <c r="AA1653" s="132" t="str">
        <f t="shared" si="37"/>
        <v>WATER EVAPORATION</v>
      </c>
      <c r="AB1653" s="132" t="s">
        <v>139</v>
      </c>
      <c r="AC1653" s="135" t="s">
        <v>140</v>
      </c>
      <c r="AD1653" s="132" t="s">
        <v>141</v>
      </c>
      <c r="AE1653" s="132" t="s">
        <v>142</v>
      </c>
    </row>
    <row r="1654" spans="27:31">
      <c r="AA1654" s="132" t="str">
        <f t="shared" si="37"/>
        <v>OTHER HEAT OUTPUT</v>
      </c>
      <c r="AB1654" s="132" t="s">
        <v>143</v>
      </c>
      <c r="AC1654" s="135" t="s">
        <v>144</v>
      </c>
      <c r="AD1654" s="132" t="s">
        <v>145</v>
      </c>
      <c r="AE1654" s="135" t="s">
        <v>146</v>
      </c>
    </row>
    <row r="1655" spans="27:31">
      <c r="AA1655" s="132" t="str">
        <f t="shared" si="37"/>
        <v>Other heat output</v>
      </c>
      <c r="AB1655" s="132" t="s">
        <v>147</v>
      </c>
      <c r="AC1655" s="135" t="s">
        <v>148</v>
      </c>
      <c r="AD1655" s="132" t="s">
        <v>149</v>
      </c>
      <c r="AE1655" s="135" t="s">
        <v>150</v>
      </c>
    </row>
    <row r="1656" spans="27:31">
      <c r="AA1656" s="132" t="str">
        <f t="shared" si="37"/>
        <v>OTHER HEAT INPUT</v>
      </c>
      <c r="AB1656" s="132" t="s">
        <v>151</v>
      </c>
      <c r="AC1656" s="135" t="s">
        <v>152</v>
      </c>
      <c r="AD1656" s="132" t="s">
        <v>153</v>
      </c>
      <c r="AE1656" s="134" t="s">
        <v>154</v>
      </c>
    </row>
    <row r="1657" spans="27:31">
      <c r="AA1657" s="132" t="str">
        <f t="shared" si="37"/>
        <v>Other heat input</v>
      </c>
      <c r="AB1657" s="132" t="s">
        <v>155</v>
      </c>
      <c r="AC1657" s="135" t="s">
        <v>156</v>
      </c>
      <c r="AD1657" s="134" t="s">
        <v>157</v>
      </c>
      <c r="AE1657" s="135" t="s">
        <v>158</v>
      </c>
    </row>
    <row r="1658" spans="27:31">
      <c r="AA1658" s="132" t="str">
        <f t="shared" si="37"/>
        <v>Plant</v>
      </c>
      <c r="AB1658" s="132" t="s">
        <v>159</v>
      </c>
      <c r="AC1658" s="132" t="s">
        <v>160</v>
      </c>
      <c r="AD1658" s="132" t="s">
        <v>161</v>
      </c>
      <c r="AE1658" s="132" t="s">
        <v>162</v>
      </c>
    </row>
    <row r="1659" spans="27:31" ht="25.5">
      <c r="AA1659" s="132" t="str">
        <f t="shared" si="37"/>
        <v>Water injection into preheater tower</v>
      </c>
      <c r="AB1659" t="s">
        <v>941</v>
      </c>
      <c r="AC1659" s="132" t="s">
        <v>1718</v>
      </c>
      <c r="AD1659" s="134" t="s">
        <v>1720</v>
      </c>
      <c r="AE1659" s="134" t="s">
        <v>1722</v>
      </c>
    </row>
    <row r="1660" spans="27:31" ht="25.5">
      <c r="AA1660" s="132" t="str">
        <f t="shared" si="37"/>
        <v>Heat comsumption for water evaporation</v>
      </c>
      <c r="AB1660" t="s">
        <v>942</v>
      </c>
      <c r="AC1660" s="132" t="s">
        <v>1719</v>
      </c>
      <c r="AD1660" s="132" t="s">
        <v>1721</v>
      </c>
      <c r="AE1660" s="132" t="s">
        <v>1723</v>
      </c>
    </row>
    <row r="1661" spans="27:31">
      <c r="AA1661" s="132"/>
      <c r="AB1661" s="133" t="s">
        <v>163</v>
      </c>
      <c r="AC1661" s="132"/>
      <c r="AD1661" s="132"/>
      <c r="AE1661" s="132"/>
    </row>
    <row r="1662" spans="27:31">
      <c r="AA1662" s="132"/>
      <c r="AB1662" s="133" t="s">
        <v>164</v>
      </c>
      <c r="AC1662" s="132"/>
      <c r="AD1662" s="132"/>
      <c r="AE1662" s="132"/>
    </row>
    <row r="1663" spans="27:31">
      <c r="AA1663" s="132"/>
      <c r="AB1663" s="133" t="s">
        <v>165</v>
      </c>
      <c r="AC1663" s="132"/>
      <c r="AD1663" s="132"/>
      <c r="AE1663" s="132"/>
    </row>
    <row r="1664" spans="27:31">
      <c r="AA1664" s="132" t="str">
        <f t="shared" ref="AA1664:AA1671" si="38">INDEX($AB:$AE,ROW(),Language)</f>
        <v>COUNTER READING</v>
      </c>
      <c r="AB1664" s="132" t="s">
        <v>166</v>
      </c>
      <c r="AC1664" s="132" t="s">
        <v>167</v>
      </c>
      <c r="AD1664" s="132" t="s">
        <v>168</v>
      </c>
      <c r="AE1664" s="132" t="s">
        <v>169</v>
      </c>
    </row>
    <row r="1665" spans="27:31">
      <c r="AA1665" s="132" t="str">
        <f t="shared" si="38"/>
        <v>Reading</v>
      </c>
      <c r="AB1665" s="132" t="s">
        <v>170</v>
      </c>
      <c r="AC1665" s="132" t="s">
        <v>171</v>
      </c>
      <c r="AD1665" s="132" t="s">
        <v>172</v>
      </c>
      <c r="AE1665" s="132" t="s">
        <v>173</v>
      </c>
    </row>
    <row r="1666" spans="27:31">
      <c r="AA1666" s="132" t="str">
        <f t="shared" si="38"/>
        <v>Time</v>
      </c>
      <c r="AB1666" s="132" t="s">
        <v>174</v>
      </c>
      <c r="AC1666" s="132" t="s">
        <v>175</v>
      </c>
      <c r="AD1666" s="132" t="s">
        <v>176</v>
      </c>
      <c r="AE1666" s="132" t="s">
        <v>177</v>
      </c>
    </row>
    <row r="1667" spans="27:31">
      <c r="AA1667" s="132" t="str">
        <f t="shared" si="38"/>
        <v>SUMMARIES</v>
      </c>
      <c r="AB1667" s="132" t="s">
        <v>178</v>
      </c>
      <c r="AC1667" s="132" t="s">
        <v>179</v>
      </c>
      <c r="AD1667" s="132" t="s">
        <v>180</v>
      </c>
      <c r="AE1667" s="132" t="s">
        <v>181</v>
      </c>
    </row>
    <row r="1668" spans="27:31" ht="38">
      <c r="AA1668" s="132" t="str">
        <f t="shared" si="38"/>
        <v>SUMMARY MASS BALANCE</v>
      </c>
      <c r="AB1668" s="132" t="s">
        <v>182</v>
      </c>
      <c r="AC1668" s="132" t="s">
        <v>183</v>
      </c>
      <c r="AD1668" s="134" t="s">
        <v>184</v>
      </c>
      <c r="AE1668" s="134" t="s">
        <v>185</v>
      </c>
    </row>
    <row r="1669" spans="27:31" ht="25.5">
      <c r="AA1669" s="132" t="str">
        <f t="shared" si="38"/>
        <v>SUMMARY COOLER HEAT BALANCE</v>
      </c>
      <c r="AB1669" s="132" t="s">
        <v>186</v>
      </c>
      <c r="AC1669" s="132" t="s">
        <v>187</v>
      </c>
      <c r="AD1669" s="132" t="s">
        <v>188</v>
      </c>
      <c r="AE1669" s="134" t="s">
        <v>189</v>
      </c>
    </row>
    <row r="1670" spans="27:31" ht="25.5">
      <c r="AA1670" s="132" t="str">
        <f t="shared" si="38"/>
        <v>SUMMARY KILN HEAT BALANCE</v>
      </c>
      <c r="AB1670" s="134" t="s">
        <v>285</v>
      </c>
      <c r="AC1670" s="134" t="s">
        <v>190</v>
      </c>
      <c r="AD1670" s="134" t="s">
        <v>191</v>
      </c>
      <c r="AE1670" s="134" t="s">
        <v>192</v>
      </c>
    </row>
    <row r="1671" spans="27:31">
      <c r="AA1671" s="132" t="str">
        <f t="shared" si="38"/>
        <v>PREHEATER KILN</v>
      </c>
      <c r="AB1671" s="132" t="s">
        <v>193</v>
      </c>
      <c r="AC1671" s="132" t="s">
        <v>194</v>
      </c>
      <c r="AD1671" s="132" t="s">
        <v>195</v>
      </c>
      <c r="AE1671" s="132" t="s">
        <v>196</v>
      </c>
    </row>
    <row r="1672" spans="27:31">
      <c r="AA1672" s="132"/>
      <c r="AB1672" s="132"/>
      <c r="AC1672" s="132"/>
      <c r="AD1672" s="132"/>
      <c r="AE1672" s="132"/>
    </row>
    <row r="1673" spans="27:31">
      <c r="AA1673" s="132"/>
      <c r="AB1673" s="132"/>
      <c r="AC1673" s="132"/>
      <c r="AD1673" s="132"/>
      <c r="AE1673" s="132"/>
    </row>
    <row r="1674" spans="27:31">
      <c r="AA1674" s="132" t="str">
        <f t="shared" ref="AA1674:AA1695" si="39">INDEX($AB:$AE,ROW(),Language)</f>
        <v xml:space="preserve"> </v>
      </c>
      <c r="AB1674" s="132" t="s">
        <v>1274</v>
      </c>
      <c r="AC1674" s="132" t="s">
        <v>1274</v>
      </c>
      <c r="AD1674" s="132" t="s">
        <v>197</v>
      </c>
      <c r="AE1674" s="132" t="s">
        <v>198</v>
      </c>
    </row>
    <row r="1675" spans="27:31">
      <c r="AA1675" s="132" t="str">
        <f t="shared" si="39"/>
        <v>*) Remarks</v>
      </c>
      <c r="AB1675" s="132" t="s">
        <v>199</v>
      </c>
      <c r="AC1675" s="132" t="s">
        <v>204</v>
      </c>
      <c r="AD1675" s="132" t="s">
        <v>205</v>
      </c>
      <c r="AE1675" s="132" t="s">
        <v>206</v>
      </c>
    </row>
    <row r="1676" spans="27:31" ht="25.5">
      <c r="AA1676" s="132" t="str">
        <f t="shared" si="39"/>
        <v>*) Dry kiln feed divided by the clinker production</v>
      </c>
      <c r="AB1676" s="134" t="s">
        <v>207</v>
      </c>
      <c r="AC1676" s="132" t="s">
        <v>208</v>
      </c>
      <c r="AD1676" s="132" t="s">
        <v>209</v>
      </c>
      <c r="AE1676" s="132" t="s">
        <v>210</v>
      </c>
    </row>
    <row r="1677" spans="27:31">
      <c r="AA1677" s="132" t="str">
        <f t="shared" si="39"/>
        <v xml:space="preserve"> </v>
      </c>
      <c r="AB1677" s="133" t="s">
        <v>1274</v>
      </c>
      <c r="AC1677" s="132" t="s">
        <v>1274</v>
      </c>
      <c r="AD1677" s="132" t="s">
        <v>1274</v>
      </c>
      <c r="AE1677" s="132" t="s">
        <v>211</v>
      </c>
    </row>
    <row r="1678" spans="27:31">
      <c r="AA1678" s="132" t="str">
        <f t="shared" si="39"/>
        <v xml:space="preserve"> </v>
      </c>
      <c r="AB1678" s="132" t="s">
        <v>1274</v>
      </c>
      <c r="AC1678" s="132" t="s">
        <v>1274</v>
      </c>
      <c r="AD1678" s="132" t="s">
        <v>212</v>
      </c>
      <c r="AE1678" s="134" t="s">
        <v>213</v>
      </c>
    </row>
    <row r="1679" spans="27:31">
      <c r="AA1679" s="132" t="str">
        <f t="shared" si="39"/>
        <v xml:space="preserve"> % of kiln gases</v>
      </c>
      <c r="AB1679" s="134" t="s">
        <v>214</v>
      </c>
      <c r="AC1679" s="134" t="s">
        <v>215</v>
      </c>
      <c r="AD1679" s="134" t="s">
        <v>216</v>
      </c>
      <c r="AE1679" s="134" t="s">
        <v>217</v>
      </c>
    </row>
    <row r="1680" spans="27:31" ht="25.5">
      <c r="AA1680" s="132" t="str">
        <f t="shared" si="39"/>
        <v xml:space="preserve"> % of minimum combustion air primary firing</v>
      </c>
      <c r="AB1680" s="132" t="s">
        <v>218</v>
      </c>
      <c r="AC1680" s="132" t="s">
        <v>219</v>
      </c>
      <c r="AD1680" s="134" t="s">
        <v>220</v>
      </c>
      <c r="AE1680" s="132" t="s">
        <v>221</v>
      </c>
    </row>
    <row r="1681" spans="27:31">
      <c r="AA1681" s="132" t="str">
        <f t="shared" si="39"/>
        <v>% O2 dry</v>
      </c>
      <c r="AB1681" s="132" t="s">
        <v>222</v>
      </c>
      <c r="AC1681" s="132" t="s">
        <v>223</v>
      </c>
      <c r="AD1681" s="135" t="s">
        <v>224</v>
      </c>
      <c r="AE1681" s="132" t="s">
        <v>225</v>
      </c>
    </row>
    <row r="1682" spans="27:31">
      <c r="AA1682" s="132" t="str">
        <f t="shared" si="39"/>
        <v>%</v>
      </c>
      <c r="AB1682" s="135" t="s">
        <v>297</v>
      </c>
      <c r="AC1682" s="132" t="s">
        <v>297</v>
      </c>
      <c r="AD1682" s="135" t="s">
        <v>297</v>
      </c>
      <c r="AE1682" s="134" t="s">
        <v>297</v>
      </c>
    </row>
    <row r="1683" spans="27:31">
      <c r="AA1683" s="132" t="str">
        <f t="shared" si="39"/>
        <v>Excess air</v>
      </c>
      <c r="AB1683" s="132" t="s">
        <v>226</v>
      </c>
      <c r="AC1683" s="132" t="s">
        <v>227</v>
      </c>
      <c r="AD1683" s="132" t="s">
        <v>228</v>
      </c>
      <c r="AE1683" s="134" t="s">
        <v>229</v>
      </c>
    </row>
    <row r="1684" spans="27:31" ht="25.5">
      <c r="AA1684" s="132" t="str">
        <f t="shared" si="39"/>
        <v>Excess and false air (dry)</v>
      </c>
      <c r="AB1684" s="134" t="s">
        <v>230</v>
      </c>
      <c r="AC1684" s="134" t="s">
        <v>231</v>
      </c>
      <c r="AD1684" s="134" t="s">
        <v>232</v>
      </c>
      <c r="AE1684" s="134" t="s">
        <v>234</v>
      </c>
    </row>
    <row r="1685" spans="27:31">
      <c r="AA1685" s="132" t="str">
        <f t="shared" si="39"/>
        <v>0=none</v>
      </c>
      <c r="AB1685" s="134" t="s">
        <v>235</v>
      </c>
      <c r="AC1685" s="132" t="s">
        <v>236</v>
      </c>
      <c r="AD1685" s="132" t="s">
        <v>237</v>
      </c>
      <c r="AE1685" s="132" t="s">
        <v>238</v>
      </c>
    </row>
    <row r="1686" spans="27:31">
      <c r="AA1686" s="132" t="str">
        <f t="shared" si="39"/>
        <v>1=secondary firing</v>
      </c>
      <c r="AB1686" s="134" t="s">
        <v>239</v>
      </c>
      <c r="AC1686" s="134" t="s">
        <v>240</v>
      </c>
      <c r="AD1686" s="134" t="s">
        <v>241</v>
      </c>
      <c r="AE1686" s="134" t="s">
        <v>242</v>
      </c>
    </row>
    <row r="1687" spans="27:31" ht="26.25" customHeight="1">
      <c r="AA1687" s="132" t="str">
        <f t="shared" si="39"/>
        <v>2=in-line calciner (air through)</v>
      </c>
      <c r="AB1687" s="134" t="s">
        <v>243</v>
      </c>
      <c r="AC1687" s="134" t="s">
        <v>244</v>
      </c>
      <c r="AD1687" s="134" t="s">
        <v>245</v>
      </c>
      <c r="AE1687" s="134" t="s">
        <v>246</v>
      </c>
    </row>
    <row r="1688" spans="27:31" ht="25.5">
      <c r="AA1688" s="132" t="str">
        <f t="shared" si="39"/>
        <v>3=in-line calciner (air separate)</v>
      </c>
      <c r="AB1688" s="134" t="s">
        <v>247</v>
      </c>
      <c r="AC1688" s="134" t="s">
        <v>248</v>
      </c>
      <c r="AD1688" s="134" t="s">
        <v>249</v>
      </c>
      <c r="AE1688" s="134" t="s">
        <v>250</v>
      </c>
    </row>
    <row r="1689" spans="27:31">
      <c r="AA1689" s="132" t="str">
        <f t="shared" si="39"/>
        <v>4=off-line calciner</v>
      </c>
      <c r="AB1689" s="134" t="s">
        <v>251</v>
      </c>
      <c r="AC1689" s="134" t="s">
        <v>252</v>
      </c>
      <c r="AD1689" s="134" t="s">
        <v>253</v>
      </c>
      <c r="AE1689" s="134" t="s">
        <v>254</v>
      </c>
    </row>
    <row r="1690" spans="27:31">
      <c r="AA1690" s="132" t="str">
        <f t="shared" si="39"/>
        <v>5=separate line calciner</v>
      </c>
      <c r="AB1690" s="134" t="s">
        <v>255</v>
      </c>
      <c r="AC1690" s="134" t="s">
        <v>256</v>
      </c>
      <c r="AD1690" s="134" t="s">
        <v>257</v>
      </c>
      <c r="AE1690" s="134" t="s">
        <v>258</v>
      </c>
    </row>
    <row r="1691" spans="27:31" ht="25.5">
      <c r="AA1691" s="132" t="str">
        <f t="shared" si="39"/>
        <v>Grate preheater kiln (Lepol)</v>
      </c>
      <c r="AB1691" s="134" t="s">
        <v>259</v>
      </c>
      <c r="AC1691" s="134" t="s">
        <v>260</v>
      </c>
      <c r="AD1691" s="134" t="s">
        <v>261</v>
      </c>
      <c r="AE1691" s="134" t="s">
        <v>262</v>
      </c>
    </row>
    <row r="1692" spans="27:31">
      <c r="AA1692" s="132" t="str">
        <f t="shared" si="39"/>
        <v>1 = grate cooler</v>
      </c>
      <c r="AB1692" s="134" t="s">
        <v>265</v>
      </c>
      <c r="AC1692" s="134" t="s">
        <v>266</v>
      </c>
      <c r="AD1692" s="134" t="s">
        <v>266</v>
      </c>
      <c r="AE1692" s="134" t="s">
        <v>267</v>
      </c>
    </row>
    <row r="1693" spans="27:31">
      <c r="AA1693" s="132" t="str">
        <f t="shared" si="39"/>
        <v>2 = planetary cooler</v>
      </c>
      <c r="AB1693" s="134" t="s">
        <v>268</v>
      </c>
      <c r="AC1693" s="134" t="s">
        <v>269</v>
      </c>
      <c r="AD1693" s="134" t="s">
        <v>269</v>
      </c>
      <c r="AE1693" s="134" t="s">
        <v>270</v>
      </c>
    </row>
    <row r="1694" spans="27:31">
      <c r="AA1694" s="132" t="str">
        <f t="shared" si="39"/>
        <v>0 = no</v>
      </c>
      <c r="AB1694" t="s">
        <v>271</v>
      </c>
      <c r="AC1694" s="135" t="s">
        <v>272</v>
      </c>
      <c r="AD1694" s="135" t="s">
        <v>272</v>
      </c>
      <c r="AE1694" s="135" t="s">
        <v>272</v>
      </c>
    </row>
    <row r="1695" spans="27:31">
      <c r="AA1695" s="132" t="str">
        <f t="shared" si="39"/>
        <v>1 = yes</v>
      </c>
      <c r="AB1695" t="s">
        <v>273</v>
      </c>
      <c r="AC1695" s="135" t="s">
        <v>274</v>
      </c>
      <c r="AD1695" s="135" t="s">
        <v>275</v>
      </c>
      <c r="AE1695" s="135" t="s">
        <v>276</v>
      </c>
    </row>
  </sheetData>
  <dataConsolidate link="1"/>
  <mergeCells count="6">
    <mergeCell ref="L463:M463"/>
    <mergeCell ref="L188:O188"/>
    <mergeCell ref="L189:P189"/>
    <mergeCell ref="E344:F344"/>
    <mergeCell ref="L116:Q117"/>
    <mergeCell ref="Q344:S344"/>
  </mergeCells>
  <phoneticPr fontId="29" type="noConversion"/>
  <printOptions horizontalCentered="1"/>
  <pageMargins left="0.51181102362204722" right="0.31496062992125984" top="0.31496062992125984" bottom="0.31496062992125984" header="0.51181102362204722" footer="0.31496062992125984"/>
  <pageSetup paperSize="9" scale="80" orientation="portrait" r:id="rId1"/>
  <headerFooter alignWithMargins="0"/>
  <rowBreaks count="16" manualBreakCount="16">
    <brk id="105" max="10" man="1"/>
    <brk id="177" max="10" man="1"/>
    <brk id="243" max="10" man="1"/>
    <brk id="314" max="10" man="1"/>
    <brk id="390" max="10" man="1"/>
    <brk id="468" max="10" man="1"/>
    <brk id="519" min="1" max="10" man="1"/>
    <brk id="568" min="1" max="10" man="1"/>
    <brk id="625" max="10" man="1"/>
    <brk id="689" max="16383" man="1"/>
    <brk id="748" max="16383" man="1"/>
    <brk id="804" max="16383" man="1"/>
    <brk id="884" max="16383" man="1"/>
    <brk id="915" max="16383" man="1"/>
    <brk id="1002" max="16383" man="1"/>
    <brk id="1096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1" r:id="rId4" name="Drop Down 587">
              <controlPr defaultSize="0" autoFill="0" autoLine="0" autoPict="0">
                <anchor moveWithCells="1">
                  <from>
                    <xdr:col>3</xdr:col>
                    <xdr:colOff>393700</xdr:colOff>
                    <xdr:row>16</xdr:row>
                    <xdr:rowOff>133350</xdr:rowOff>
                  </from>
                  <to>
                    <xdr:col>5</xdr:col>
                    <xdr:colOff>95250</xdr:colOff>
                    <xdr:row>24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" workbookViewId="0">
      <selection activeCell="R4" sqref="R4"/>
    </sheetView>
  </sheetViews>
  <sheetFormatPr defaultRowHeight="13"/>
  <cols>
    <col min="2" max="2" width="39.33203125" customWidth="1"/>
    <col min="3" max="3" width="16.33203125" customWidth="1"/>
    <col min="4" max="4" width="13.44140625" customWidth="1"/>
    <col min="6" max="6" width="10" bestFit="1" customWidth="1"/>
    <col min="9" max="9" width="19.33203125" customWidth="1"/>
    <col min="16" max="16" width="21.109375" customWidth="1"/>
    <col min="18" max="18" width="26.44140625" customWidth="1"/>
    <col min="21" max="21" width="13.6640625" bestFit="1" customWidth="1"/>
  </cols>
  <sheetData>
    <row r="1" spans="1:26" ht="15" thickBot="1">
      <c r="A1" s="811"/>
      <c r="B1" s="812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811"/>
    </row>
    <row r="2" spans="1:26" ht="15" thickBot="1">
      <c r="A2" s="811"/>
      <c r="B2" s="811"/>
      <c r="C2" s="813"/>
      <c r="D2" s="811"/>
      <c r="E2" s="811"/>
      <c r="F2" s="811"/>
      <c r="G2" s="811"/>
      <c r="H2" s="811"/>
      <c r="I2" s="813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</row>
    <row r="3" spans="1:26" ht="15" thickBot="1">
      <c r="A3" s="811"/>
      <c r="B3" s="811"/>
      <c r="C3" s="813"/>
      <c r="D3" s="811"/>
      <c r="E3" s="814"/>
      <c r="F3" s="811"/>
      <c r="G3" s="811"/>
      <c r="H3" s="811"/>
      <c r="I3" s="813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811"/>
    </row>
    <row r="4" spans="1:26" ht="29.5" thickBot="1">
      <c r="A4" s="811"/>
      <c r="B4" s="811"/>
      <c r="C4" s="813"/>
      <c r="D4" s="811"/>
      <c r="E4" s="814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1" t="s">
        <v>2070</v>
      </c>
      <c r="Q4" s="811" t="s">
        <v>2071</v>
      </c>
      <c r="R4" s="821">
        <f>HBL!F550</f>
        <v>1.1284590163934427</v>
      </c>
      <c r="S4" s="811"/>
      <c r="T4" s="811" t="s">
        <v>2069</v>
      </c>
      <c r="U4" s="811">
        <f>HBL!G609/4.186</f>
        <v>0.31545001946856183</v>
      </c>
      <c r="V4" s="811"/>
      <c r="W4" s="811"/>
      <c r="X4" s="811"/>
      <c r="Y4" s="811"/>
      <c r="Z4" s="811"/>
    </row>
    <row r="5" spans="1:26" ht="15" thickBot="1">
      <c r="A5" s="811"/>
      <c r="B5" s="811"/>
      <c r="C5" s="811"/>
      <c r="D5" s="811"/>
      <c r="E5" s="811"/>
      <c r="F5" s="811"/>
      <c r="G5" s="811"/>
      <c r="H5" s="811"/>
      <c r="I5" s="811"/>
      <c r="J5" s="811"/>
      <c r="K5" s="811"/>
      <c r="L5" s="811"/>
      <c r="M5" s="811"/>
      <c r="N5" s="811"/>
      <c r="O5" s="811"/>
      <c r="P5" s="811" t="s">
        <v>2072</v>
      </c>
      <c r="Q5" s="811" t="s">
        <v>363</v>
      </c>
      <c r="R5" s="811">
        <f>6088/24</f>
        <v>253.66666666666666</v>
      </c>
      <c r="S5" s="811"/>
      <c r="T5" s="811"/>
      <c r="U5" s="811"/>
      <c r="V5" s="811"/>
      <c r="W5" s="811"/>
      <c r="X5" s="811"/>
      <c r="Y5" s="811"/>
      <c r="Z5" s="811"/>
    </row>
    <row r="6" spans="1:26" ht="15" thickBot="1">
      <c r="A6" s="811"/>
      <c r="B6" s="811"/>
      <c r="C6" s="813"/>
      <c r="D6" s="811"/>
      <c r="E6" s="814"/>
      <c r="F6" s="811"/>
      <c r="G6" s="813"/>
      <c r="H6" s="811"/>
      <c r="I6" s="811"/>
      <c r="J6" s="811"/>
      <c r="K6" s="811"/>
      <c r="L6" s="811"/>
      <c r="M6" s="811"/>
      <c r="N6" s="811"/>
      <c r="O6" s="811"/>
      <c r="P6" s="782" t="s">
        <v>2059</v>
      </c>
      <c r="Q6" s="782" t="s">
        <v>2060</v>
      </c>
      <c r="R6" s="818">
        <f>R4*R5*1000</f>
        <v>286252.43715846993</v>
      </c>
      <c r="S6" s="811"/>
      <c r="T6" s="811"/>
      <c r="U6" s="811"/>
      <c r="V6" s="811"/>
      <c r="W6" s="811"/>
      <c r="X6" s="811"/>
      <c r="Y6" s="811"/>
      <c r="Z6" s="811"/>
    </row>
    <row r="7" spans="1:26" ht="15" thickBot="1">
      <c r="A7" s="811"/>
      <c r="B7" s="811"/>
      <c r="C7" s="811"/>
      <c r="D7" s="811"/>
      <c r="E7" s="811"/>
      <c r="F7" s="811"/>
      <c r="G7" s="811"/>
      <c r="H7" s="811"/>
      <c r="I7" s="811"/>
      <c r="J7" s="811"/>
      <c r="K7" s="811"/>
      <c r="L7" s="811"/>
      <c r="M7" s="811"/>
      <c r="N7" s="811"/>
      <c r="O7" s="811"/>
      <c r="P7" s="782" t="s">
        <v>2000</v>
      </c>
      <c r="Q7" s="782" t="s">
        <v>2061</v>
      </c>
      <c r="R7" s="818">
        <v>470</v>
      </c>
      <c r="S7" s="811"/>
      <c r="T7" s="811"/>
      <c r="U7" s="811"/>
      <c r="V7" s="811"/>
      <c r="W7" s="811"/>
      <c r="X7" s="811"/>
      <c r="Y7" s="811"/>
      <c r="Z7" s="811"/>
    </row>
    <row r="8" spans="1:26" ht="15" thickBot="1">
      <c r="A8" s="811"/>
      <c r="B8" s="811"/>
      <c r="C8" s="813"/>
      <c r="D8" s="813"/>
      <c r="E8" s="814"/>
      <c r="F8" s="814"/>
      <c r="G8" s="814"/>
      <c r="H8" s="814"/>
      <c r="I8" s="814"/>
      <c r="J8" s="811"/>
      <c r="K8" s="811"/>
      <c r="L8" s="811"/>
      <c r="M8" s="811"/>
      <c r="N8" s="811"/>
      <c r="O8" s="811"/>
      <c r="P8" s="782" t="s">
        <v>2062</v>
      </c>
      <c r="Q8" s="782" t="s">
        <v>2061</v>
      </c>
      <c r="R8" s="818">
        <v>186</v>
      </c>
      <c r="S8" s="811"/>
      <c r="T8" s="811"/>
      <c r="U8" s="811"/>
      <c r="V8" s="811"/>
      <c r="W8" s="811"/>
      <c r="X8" s="811"/>
      <c r="Y8" s="811"/>
      <c r="Z8" s="811"/>
    </row>
    <row r="9" spans="1:26" ht="15" thickBot="1">
      <c r="A9" s="811"/>
      <c r="B9" s="811"/>
      <c r="C9" s="813"/>
      <c r="D9" s="813"/>
      <c r="E9" s="814"/>
      <c r="F9" s="814"/>
      <c r="G9" s="814"/>
      <c r="H9" s="814"/>
      <c r="I9" s="814"/>
      <c r="J9" s="811"/>
      <c r="K9" s="811"/>
      <c r="L9" s="811"/>
      <c r="M9" s="811"/>
      <c r="N9" s="811"/>
      <c r="O9" s="811"/>
      <c r="P9" s="782" t="s">
        <v>2063</v>
      </c>
      <c r="Q9" s="782" t="s">
        <v>2064</v>
      </c>
      <c r="R9" s="818">
        <f>R6*(R7-R8)*U4</f>
        <v>25644727.672375783</v>
      </c>
      <c r="S9" s="811"/>
      <c r="T9" s="811"/>
      <c r="U9" s="811"/>
      <c r="V9" s="811"/>
      <c r="W9" s="811"/>
      <c r="X9" s="811"/>
      <c r="Y9" s="811"/>
      <c r="Z9" s="811"/>
    </row>
    <row r="10" spans="1:26" ht="15" thickBot="1">
      <c r="A10" s="811"/>
      <c r="B10" s="811"/>
      <c r="C10" s="813"/>
      <c r="D10" s="813"/>
      <c r="E10" s="814"/>
      <c r="F10" s="814"/>
      <c r="G10" s="814"/>
      <c r="H10" s="814"/>
      <c r="I10" s="814"/>
      <c r="J10" s="811"/>
      <c r="K10" s="811"/>
      <c r="L10" s="811"/>
      <c r="M10" s="811"/>
      <c r="N10" s="811"/>
      <c r="O10" s="811"/>
      <c r="P10" s="782" t="s">
        <v>2065</v>
      </c>
      <c r="Q10" s="782" t="s">
        <v>955</v>
      </c>
      <c r="R10" s="819">
        <f>R9/860</f>
        <v>29819.450781832307</v>
      </c>
      <c r="S10" s="811"/>
      <c r="T10" s="811"/>
      <c r="U10" s="811"/>
      <c r="V10" s="811"/>
      <c r="W10" s="811"/>
      <c r="X10" s="811"/>
      <c r="Y10" s="811"/>
      <c r="Z10" s="811"/>
    </row>
    <row r="11" spans="1:26" ht="15" thickBot="1">
      <c r="A11" s="811"/>
      <c r="B11" s="811"/>
      <c r="C11" s="813"/>
      <c r="D11" s="813"/>
      <c r="E11" s="814"/>
      <c r="F11" s="814"/>
      <c r="G11" s="811"/>
      <c r="H11" s="811"/>
      <c r="I11" s="814"/>
      <c r="J11" s="811"/>
      <c r="K11" s="811"/>
      <c r="L11" s="811"/>
      <c r="M11" s="811"/>
      <c r="N11" s="811"/>
      <c r="O11" s="811"/>
      <c r="P11" s="782" t="s">
        <v>2065</v>
      </c>
      <c r="Q11" s="782" t="s">
        <v>2066</v>
      </c>
      <c r="R11" s="819">
        <f>R10/1000</f>
        <v>29.819450781832309</v>
      </c>
      <c r="S11" s="811"/>
      <c r="T11" s="811"/>
      <c r="U11" s="811"/>
      <c r="V11" s="811"/>
      <c r="W11" s="811"/>
      <c r="X11" s="811"/>
      <c r="Y11" s="811"/>
      <c r="Z11" s="811"/>
    </row>
    <row r="12" spans="1:26" ht="15" thickBot="1">
      <c r="A12" s="811"/>
      <c r="B12" s="811"/>
      <c r="C12" s="813"/>
      <c r="D12" s="813"/>
      <c r="E12" s="814"/>
      <c r="F12" s="814"/>
      <c r="G12" s="811"/>
      <c r="H12" s="811"/>
      <c r="I12" s="811"/>
      <c r="J12" s="811"/>
      <c r="K12" s="811"/>
      <c r="L12" s="811"/>
      <c r="M12" s="811"/>
      <c r="N12" s="811"/>
      <c r="O12" s="811"/>
      <c r="P12" s="782" t="s">
        <v>2067</v>
      </c>
      <c r="Q12" s="782" t="s">
        <v>297</v>
      </c>
      <c r="R12" s="818">
        <v>24</v>
      </c>
      <c r="S12" s="811"/>
      <c r="T12" s="811"/>
      <c r="U12" s="811"/>
      <c r="V12" s="811"/>
      <c r="W12" s="811"/>
      <c r="X12" s="811"/>
      <c r="Y12" s="811"/>
      <c r="Z12" s="811"/>
    </row>
    <row r="13" spans="1:26" ht="15" thickBot="1">
      <c r="A13" s="811"/>
      <c r="B13" s="811"/>
      <c r="C13" s="811"/>
      <c r="D13" s="811"/>
      <c r="E13" s="811"/>
      <c r="F13" s="814"/>
      <c r="G13" s="811"/>
      <c r="H13" s="811"/>
      <c r="I13" s="811"/>
      <c r="J13" s="811"/>
      <c r="K13" s="811"/>
      <c r="L13" s="811"/>
      <c r="M13" s="811"/>
      <c r="N13" s="811"/>
      <c r="O13" s="811"/>
      <c r="P13" s="782" t="s">
        <v>2068</v>
      </c>
      <c r="Q13" s="782" t="s">
        <v>2066</v>
      </c>
      <c r="R13" s="820">
        <f>R11*R12/100</f>
        <v>7.1566681876397551</v>
      </c>
      <c r="S13" s="811"/>
      <c r="T13" s="811"/>
      <c r="U13" s="811"/>
      <c r="V13" s="811"/>
      <c r="W13" s="811"/>
      <c r="X13" s="811"/>
      <c r="Y13" s="811"/>
      <c r="Z13" s="811"/>
    </row>
    <row r="14" spans="1:26" ht="15" thickBot="1">
      <c r="A14" s="811"/>
      <c r="B14" s="811"/>
      <c r="C14" s="811"/>
      <c r="D14" s="811"/>
      <c r="E14" s="811"/>
      <c r="F14" s="811"/>
      <c r="G14" s="811"/>
      <c r="H14" s="811"/>
      <c r="I14" s="811"/>
      <c r="J14" s="811"/>
      <c r="K14" s="811"/>
      <c r="L14" s="811"/>
      <c r="M14" s="811"/>
      <c r="N14" s="811"/>
      <c r="O14" s="811"/>
      <c r="P14" s="811"/>
      <c r="Q14" s="811"/>
      <c r="R14" s="811"/>
      <c r="S14" s="811"/>
      <c r="T14" s="811"/>
      <c r="U14" s="811"/>
      <c r="V14" s="811"/>
      <c r="W14" s="811"/>
      <c r="X14" s="811"/>
      <c r="Y14" s="811"/>
      <c r="Z14" s="811"/>
    </row>
    <row r="15" spans="1:26" ht="15" thickBot="1">
      <c r="A15" s="811"/>
      <c r="B15" s="811"/>
      <c r="C15" s="813"/>
      <c r="D15" s="811"/>
      <c r="E15" s="811"/>
      <c r="F15" s="811"/>
      <c r="G15" s="811"/>
      <c r="H15" s="811"/>
      <c r="I15" s="811"/>
      <c r="J15" s="811"/>
      <c r="K15" s="811"/>
      <c r="L15" s="811"/>
      <c r="M15" s="811"/>
      <c r="N15" s="811"/>
      <c r="O15" s="811"/>
      <c r="P15" s="811"/>
      <c r="Q15" s="811"/>
      <c r="R15" s="811"/>
      <c r="S15" s="811"/>
      <c r="T15" s="811"/>
      <c r="U15" s="811"/>
      <c r="V15" s="811"/>
      <c r="W15" s="811"/>
      <c r="X15" s="811"/>
      <c r="Y15" s="811"/>
      <c r="Z15" s="811"/>
    </row>
    <row r="16" spans="1:26" ht="15" thickBot="1">
      <c r="A16" s="811"/>
      <c r="B16" s="811"/>
      <c r="C16" s="813"/>
      <c r="D16" s="811"/>
      <c r="E16" s="811"/>
      <c r="F16" s="811"/>
      <c r="G16" s="811"/>
      <c r="H16" s="811"/>
      <c r="I16" s="811"/>
      <c r="J16" s="811"/>
      <c r="K16" s="811"/>
      <c r="L16" s="811"/>
      <c r="M16" s="811"/>
      <c r="N16" s="811"/>
      <c r="O16" s="811"/>
      <c r="P16" s="811"/>
      <c r="Q16" s="811"/>
      <c r="R16" s="811"/>
      <c r="S16" s="811"/>
      <c r="T16" s="811"/>
      <c r="U16" s="811"/>
      <c r="V16" s="811"/>
      <c r="W16" s="811"/>
      <c r="X16" s="811"/>
      <c r="Y16" s="811"/>
      <c r="Z16" s="811"/>
    </row>
    <row r="17" spans="1:26" ht="15" thickBot="1">
      <c r="A17" s="811"/>
      <c r="B17" s="811"/>
      <c r="C17" s="811"/>
      <c r="D17" s="811"/>
      <c r="E17" s="811"/>
      <c r="F17" s="811"/>
      <c r="G17" s="811"/>
      <c r="H17" s="811"/>
      <c r="I17" s="811"/>
      <c r="J17" s="811"/>
      <c r="K17" s="811"/>
      <c r="L17" s="811"/>
      <c r="M17" s="811"/>
      <c r="N17" s="811"/>
      <c r="O17" s="811"/>
      <c r="P17" s="811"/>
      <c r="Q17" s="811"/>
      <c r="R17" s="811"/>
      <c r="S17" s="811"/>
      <c r="T17" s="811"/>
      <c r="U17" s="811"/>
      <c r="V17" s="811"/>
      <c r="W17" s="811"/>
      <c r="X17" s="811"/>
      <c r="Y17" s="811"/>
      <c r="Z17" s="811"/>
    </row>
    <row r="18" spans="1:26" ht="15" thickBot="1">
      <c r="A18" s="811"/>
      <c r="B18" s="811"/>
      <c r="C18" s="813"/>
      <c r="D18" s="811"/>
      <c r="E18" s="811"/>
      <c r="F18" s="811"/>
      <c r="G18" s="811"/>
      <c r="H18" s="811"/>
      <c r="I18" s="811"/>
      <c r="J18" s="811"/>
      <c r="K18" s="811"/>
      <c r="L18" s="811"/>
      <c r="M18" s="811"/>
      <c r="N18" s="811"/>
      <c r="O18" s="811"/>
      <c r="P18" s="811"/>
      <c r="Q18" s="811"/>
      <c r="R18" s="811"/>
      <c r="S18" s="811"/>
      <c r="T18" s="811"/>
      <c r="U18" s="811"/>
      <c r="V18" s="811"/>
      <c r="W18" s="811"/>
      <c r="X18" s="811"/>
      <c r="Y18" s="811"/>
      <c r="Z18" s="811"/>
    </row>
    <row r="19" spans="1:26" ht="15" thickBot="1">
      <c r="A19" s="811"/>
      <c r="B19" s="811"/>
      <c r="C19" s="813"/>
      <c r="D19" s="811"/>
      <c r="E19" s="811"/>
      <c r="F19" s="811"/>
      <c r="G19" s="811"/>
      <c r="H19" s="811"/>
      <c r="I19" s="811"/>
      <c r="J19" s="811"/>
      <c r="K19" s="811"/>
      <c r="L19" s="811"/>
      <c r="M19" s="811"/>
      <c r="N19" s="811"/>
      <c r="O19" s="811"/>
      <c r="P19" s="811"/>
      <c r="Q19" s="811"/>
      <c r="R19" s="811"/>
      <c r="S19" s="811"/>
      <c r="T19" s="811"/>
      <c r="U19" s="811"/>
      <c r="V19" s="811"/>
      <c r="W19" s="811"/>
      <c r="X19" s="811"/>
      <c r="Y19" s="811"/>
      <c r="Z19" s="811"/>
    </row>
    <row r="20" spans="1:26" ht="15" thickBot="1">
      <c r="A20" s="811"/>
      <c r="B20" s="811"/>
      <c r="C20" s="811"/>
      <c r="D20" s="811"/>
      <c r="E20" s="811"/>
      <c r="F20" s="811"/>
      <c r="G20" s="811"/>
      <c r="H20" s="811"/>
      <c r="I20" s="811"/>
      <c r="J20" s="811"/>
      <c r="K20" s="811"/>
      <c r="L20" s="811"/>
      <c r="M20" s="811"/>
      <c r="N20" s="811"/>
      <c r="O20" s="811"/>
      <c r="P20" s="811"/>
      <c r="Q20" s="811"/>
      <c r="R20" s="811"/>
      <c r="S20" s="811"/>
      <c r="T20" s="811"/>
      <c r="U20" s="811"/>
      <c r="V20" s="811"/>
      <c r="W20" s="811"/>
      <c r="X20" s="811"/>
      <c r="Y20" s="811"/>
      <c r="Z20" s="811"/>
    </row>
    <row r="21" spans="1:26" ht="15" thickBot="1">
      <c r="A21" s="811"/>
      <c r="B21" s="811"/>
      <c r="C21" s="812"/>
      <c r="D21" s="811"/>
      <c r="E21" s="811"/>
      <c r="F21" s="812"/>
      <c r="G21" s="811"/>
      <c r="H21" s="811"/>
      <c r="I21" s="811"/>
      <c r="J21" s="811"/>
      <c r="K21" s="811"/>
      <c r="L21" s="811"/>
      <c r="M21" s="811"/>
      <c r="N21" s="811"/>
      <c r="O21" s="811"/>
      <c r="P21" s="811"/>
      <c r="Q21" s="811"/>
      <c r="R21" s="811"/>
      <c r="S21" s="811"/>
      <c r="T21" s="811"/>
      <c r="U21" s="811"/>
      <c r="V21" s="811"/>
      <c r="W21" s="811"/>
      <c r="X21" s="811"/>
      <c r="Y21" s="811"/>
      <c r="Z21" s="811"/>
    </row>
    <row r="22" spans="1:26" ht="15" thickBot="1">
      <c r="A22" s="811"/>
      <c r="B22" s="811"/>
      <c r="C22" s="814"/>
      <c r="D22" s="811"/>
      <c r="E22" s="811"/>
      <c r="F22" s="814"/>
      <c r="G22" s="814"/>
      <c r="H22" s="811"/>
      <c r="I22" s="811"/>
      <c r="J22" s="811"/>
      <c r="K22" s="811"/>
      <c r="L22" s="811"/>
      <c r="M22" s="811"/>
      <c r="N22" s="811"/>
      <c r="O22" s="811"/>
      <c r="P22" s="811"/>
      <c r="Q22" s="811"/>
      <c r="R22" s="811"/>
      <c r="S22" s="811"/>
      <c r="T22" s="811"/>
      <c r="U22" s="811"/>
      <c r="V22" s="811"/>
      <c r="W22" s="811"/>
      <c r="X22" s="811"/>
      <c r="Y22" s="811"/>
      <c r="Z22" s="811"/>
    </row>
    <row r="23" spans="1:26" ht="15" thickBot="1">
      <c r="A23" s="811"/>
      <c r="B23" s="811"/>
      <c r="C23" s="814"/>
      <c r="D23" s="811"/>
      <c r="E23" s="811"/>
      <c r="F23" s="814"/>
      <c r="G23" s="814"/>
      <c r="H23" s="811"/>
      <c r="I23" s="811"/>
      <c r="J23" s="811"/>
      <c r="K23" s="811"/>
      <c r="L23" s="811"/>
      <c r="M23" s="811"/>
      <c r="N23" s="811"/>
      <c r="O23" s="811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</row>
    <row r="24" spans="1:26" ht="15" thickBot="1">
      <c r="A24" s="811"/>
      <c r="B24" s="811"/>
      <c r="C24" s="814"/>
      <c r="D24" s="811"/>
      <c r="E24" s="811"/>
      <c r="F24" s="814"/>
      <c r="G24" s="814"/>
      <c r="H24" s="811"/>
      <c r="I24" s="811"/>
      <c r="J24" s="811"/>
      <c r="K24" s="811"/>
      <c r="L24" s="811"/>
      <c r="M24" s="811"/>
      <c r="N24" s="811"/>
      <c r="O24" s="811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</row>
    <row r="25" spans="1:26" ht="15" thickBot="1">
      <c r="A25" s="811"/>
      <c r="B25" s="811"/>
      <c r="C25" s="814"/>
      <c r="D25" s="811"/>
      <c r="E25" s="811"/>
      <c r="F25" s="814"/>
      <c r="G25" s="814"/>
      <c r="H25" s="811"/>
      <c r="I25" s="811"/>
      <c r="J25" s="811"/>
      <c r="K25" s="811"/>
      <c r="L25" s="811"/>
      <c r="M25" s="811"/>
      <c r="N25" s="811"/>
      <c r="O25" s="811"/>
      <c r="P25" s="811"/>
      <c r="Q25" s="811"/>
      <c r="R25" s="811"/>
      <c r="S25" s="811"/>
      <c r="T25" s="811"/>
      <c r="U25" s="811"/>
      <c r="V25" s="811"/>
      <c r="W25" s="811"/>
      <c r="X25" s="811"/>
      <c r="Y25" s="811"/>
      <c r="Z25" s="811"/>
    </row>
    <row r="26" spans="1:26" ht="15" thickBot="1">
      <c r="A26" s="811"/>
      <c r="B26" s="811"/>
      <c r="C26" s="813"/>
      <c r="D26" s="811"/>
      <c r="E26" s="811"/>
      <c r="F26" s="813"/>
      <c r="G26" s="811"/>
      <c r="H26" s="811"/>
      <c r="I26" s="811"/>
      <c r="J26" s="811"/>
      <c r="K26" s="811"/>
      <c r="L26" s="811"/>
      <c r="M26" s="811"/>
      <c r="N26" s="811"/>
      <c r="O26" s="811"/>
      <c r="P26" s="811"/>
      <c r="Q26" s="811"/>
      <c r="R26" s="811"/>
      <c r="S26" s="811"/>
      <c r="T26" s="811"/>
      <c r="U26" s="811"/>
      <c r="V26" s="811"/>
      <c r="W26" s="811"/>
      <c r="X26" s="811"/>
      <c r="Y26" s="811"/>
      <c r="Z26" s="811"/>
    </row>
    <row r="27" spans="1:26" ht="21.75" customHeight="1" thickBot="1">
      <c r="A27" s="811"/>
      <c r="B27" s="811"/>
      <c r="C27" s="815"/>
      <c r="D27" s="811"/>
      <c r="E27" s="811"/>
      <c r="F27" s="815"/>
      <c r="G27" s="811"/>
      <c r="H27" s="811"/>
      <c r="I27" s="811"/>
      <c r="J27" s="811"/>
      <c r="K27" s="811"/>
      <c r="L27" s="811"/>
      <c r="M27" s="811"/>
      <c r="N27" s="811"/>
      <c r="O27" s="811"/>
      <c r="P27" s="811"/>
      <c r="Q27" s="811"/>
      <c r="R27" s="811"/>
      <c r="S27" s="811"/>
      <c r="T27" s="811"/>
      <c r="U27" s="811"/>
      <c r="V27" s="811"/>
      <c r="W27" s="811"/>
      <c r="X27" s="811"/>
      <c r="Y27" s="811"/>
      <c r="Z27" s="811"/>
    </row>
    <row r="28" spans="1:26" ht="19.5" customHeight="1" thickBot="1">
      <c r="A28" s="811"/>
      <c r="B28" s="811"/>
      <c r="C28" s="815"/>
      <c r="D28" s="811"/>
      <c r="E28" s="811"/>
      <c r="F28" s="815"/>
      <c r="G28" s="811"/>
      <c r="H28" s="811"/>
      <c r="I28" s="811"/>
      <c r="J28" s="811"/>
      <c r="K28" s="811"/>
      <c r="L28" s="811"/>
      <c r="M28" s="811"/>
      <c r="N28" s="811"/>
      <c r="O28" s="811"/>
      <c r="P28" s="811"/>
      <c r="Q28" s="811"/>
      <c r="R28" s="811"/>
      <c r="S28" s="811"/>
      <c r="T28" s="811"/>
      <c r="U28" s="811"/>
      <c r="V28" s="811"/>
      <c r="W28" s="811"/>
      <c r="X28" s="811"/>
      <c r="Y28" s="811"/>
      <c r="Z28" s="811"/>
    </row>
    <row r="29" spans="1:26" ht="15" thickBot="1">
      <c r="A29" s="811"/>
      <c r="B29" s="811"/>
      <c r="C29" s="814"/>
      <c r="D29" s="811"/>
      <c r="E29" s="811"/>
      <c r="F29" s="814"/>
      <c r="G29" s="814"/>
      <c r="H29" s="811"/>
      <c r="I29" s="811"/>
      <c r="J29" s="811"/>
      <c r="K29" s="811"/>
      <c r="L29" s="811"/>
      <c r="M29" s="811"/>
      <c r="N29" s="811"/>
      <c r="O29" s="811"/>
      <c r="P29" s="811"/>
      <c r="Q29" s="811"/>
      <c r="R29" s="811"/>
      <c r="S29" s="811"/>
      <c r="T29" s="811"/>
      <c r="U29" s="811"/>
      <c r="V29" s="811"/>
      <c r="W29" s="811"/>
      <c r="X29" s="811"/>
      <c r="Y29" s="811"/>
      <c r="Z29" s="811"/>
    </row>
    <row r="30" spans="1:26" ht="15" thickBot="1">
      <c r="A30" s="811"/>
      <c r="B30" s="811"/>
      <c r="C30" s="814"/>
      <c r="D30" s="811"/>
      <c r="E30" s="811"/>
      <c r="F30" s="814"/>
      <c r="G30" s="816"/>
      <c r="H30" s="811"/>
      <c r="I30" s="811"/>
      <c r="J30" s="811"/>
      <c r="K30" s="814"/>
      <c r="L30" s="811"/>
      <c r="M30" s="811"/>
      <c r="N30" s="811"/>
      <c r="O30" s="811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</row>
    <row r="31" spans="1:26" ht="15" thickBot="1">
      <c r="A31" s="811"/>
      <c r="B31" s="811"/>
      <c r="C31" s="813"/>
      <c r="D31" s="811"/>
      <c r="E31" s="811"/>
      <c r="F31" s="813"/>
      <c r="G31" s="811"/>
      <c r="H31" s="811"/>
      <c r="I31" s="811"/>
      <c r="J31" s="811"/>
      <c r="K31" s="811"/>
      <c r="L31" s="811"/>
      <c r="M31" s="811"/>
      <c r="N31" s="811"/>
      <c r="O31" s="811"/>
      <c r="P31" s="811"/>
      <c r="Q31" s="811"/>
      <c r="R31" s="811"/>
      <c r="S31" s="811"/>
      <c r="T31" s="811"/>
      <c r="U31" s="811"/>
      <c r="V31" s="811"/>
      <c r="W31" s="811"/>
      <c r="X31" s="811"/>
      <c r="Y31" s="811"/>
      <c r="Z31" s="811"/>
    </row>
    <row r="32" spans="1:26" ht="15" thickBot="1">
      <c r="A32" s="811"/>
      <c r="B32" s="811"/>
      <c r="C32" s="813"/>
      <c r="D32" s="811"/>
      <c r="E32" s="811"/>
      <c r="F32" s="813"/>
      <c r="G32" s="811"/>
      <c r="H32" s="811"/>
      <c r="I32" s="811"/>
      <c r="J32" s="811"/>
      <c r="K32" s="811"/>
      <c r="L32" s="811"/>
      <c r="M32" s="811"/>
      <c r="N32" s="811"/>
      <c r="O32" s="811"/>
      <c r="P32" s="811"/>
      <c r="Q32" s="811"/>
      <c r="R32" s="811"/>
      <c r="S32" s="811"/>
      <c r="T32" s="811"/>
      <c r="U32" s="811"/>
      <c r="V32" s="811"/>
      <c r="W32" s="811"/>
      <c r="X32" s="811"/>
      <c r="Y32" s="811"/>
      <c r="Z32" s="811"/>
    </row>
    <row r="33" spans="1:26" ht="15" thickBot="1">
      <c r="A33" s="811"/>
      <c r="B33" s="811"/>
      <c r="C33" s="813"/>
      <c r="D33" s="811"/>
      <c r="E33" s="811"/>
      <c r="F33" s="813"/>
      <c r="G33" s="811"/>
      <c r="H33" s="811"/>
      <c r="I33" s="811"/>
      <c r="J33" s="811"/>
      <c r="K33" s="811"/>
      <c r="L33" s="811"/>
      <c r="M33" s="811"/>
      <c r="N33" s="811"/>
      <c r="O33" s="811"/>
      <c r="P33" s="811"/>
      <c r="Q33" s="811"/>
      <c r="R33" s="811"/>
      <c r="S33" s="811"/>
      <c r="T33" s="811"/>
      <c r="U33" s="811"/>
      <c r="V33" s="811"/>
      <c r="W33" s="811"/>
      <c r="X33" s="811"/>
      <c r="Y33" s="811"/>
      <c r="Z33" s="811"/>
    </row>
    <row r="34" spans="1:26" ht="15" thickBot="1">
      <c r="A34" s="811"/>
      <c r="B34" s="811"/>
      <c r="C34" s="814"/>
      <c r="D34" s="811"/>
      <c r="E34" s="811"/>
      <c r="F34" s="814"/>
      <c r="G34" s="811"/>
      <c r="H34" s="811"/>
      <c r="I34" s="811"/>
      <c r="J34" s="811"/>
      <c r="K34" s="811"/>
      <c r="L34" s="811"/>
      <c r="M34" s="811"/>
      <c r="N34" s="811"/>
      <c r="O34" s="811"/>
      <c r="P34" s="811"/>
      <c r="Q34" s="811"/>
      <c r="R34" s="811"/>
      <c r="S34" s="811"/>
      <c r="T34" s="811"/>
      <c r="U34" s="811"/>
      <c r="V34" s="811"/>
      <c r="W34" s="811"/>
      <c r="X34" s="811"/>
      <c r="Y34" s="811"/>
      <c r="Z34" s="811"/>
    </row>
    <row r="35" spans="1:26" ht="19" thickBot="1">
      <c r="A35" s="811"/>
      <c r="B35" s="811"/>
      <c r="C35" s="817"/>
      <c r="D35" s="811"/>
      <c r="E35" s="811"/>
      <c r="F35" s="817"/>
      <c r="G35" s="811"/>
      <c r="H35" s="811"/>
      <c r="I35" s="811"/>
      <c r="J35" s="811"/>
      <c r="K35" s="811"/>
      <c r="L35" s="811"/>
      <c r="M35" s="811"/>
      <c r="N35" s="811"/>
      <c r="O35" s="811"/>
      <c r="P35" s="811"/>
      <c r="Q35" s="811"/>
      <c r="R35" s="811"/>
      <c r="S35" s="811"/>
      <c r="T35" s="811"/>
      <c r="U35" s="811"/>
      <c r="V35" s="811"/>
      <c r="W35" s="811"/>
      <c r="X35" s="811"/>
      <c r="Y35" s="811"/>
      <c r="Z35" s="811"/>
    </row>
    <row r="36" spans="1:26" ht="15" thickBot="1">
      <c r="A36" s="811"/>
      <c r="B36" s="811"/>
      <c r="C36" s="814"/>
      <c r="D36" s="811"/>
      <c r="E36" s="811"/>
      <c r="F36" s="811"/>
      <c r="G36" s="811"/>
      <c r="H36" s="811"/>
      <c r="I36" s="811"/>
      <c r="J36" s="811"/>
      <c r="K36" s="811"/>
      <c r="L36" s="811"/>
      <c r="M36" s="811"/>
      <c r="N36" s="811"/>
      <c r="O36" s="811"/>
      <c r="P36" s="811"/>
      <c r="Q36" s="811"/>
      <c r="R36" s="811"/>
      <c r="S36" s="811"/>
      <c r="T36" s="811"/>
      <c r="U36" s="811"/>
      <c r="V36" s="811"/>
      <c r="W36" s="811"/>
      <c r="X36" s="811"/>
      <c r="Y36" s="811"/>
      <c r="Z36" s="811"/>
    </row>
    <row r="37" spans="1:26" ht="15" thickBot="1">
      <c r="A37" s="811"/>
      <c r="B37" s="811"/>
      <c r="C37" s="811"/>
      <c r="D37" s="811"/>
      <c r="E37" s="811"/>
      <c r="F37" s="811"/>
      <c r="G37" s="811"/>
      <c r="H37" s="811"/>
      <c r="I37" s="811"/>
      <c r="J37" s="811"/>
      <c r="K37" s="811"/>
      <c r="L37" s="811"/>
      <c r="M37" s="811"/>
      <c r="N37" s="811"/>
      <c r="O37" s="811"/>
      <c r="P37" s="811"/>
      <c r="Q37" s="811"/>
      <c r="R37" s="811"/>
      <c r="S37" s="811"/>
      <c r="T37" s="811"/>
      <c r="U37" s="811"/>
      <c r="V37" s="811"/>
      <c r="W37" s="811"/>
      <c r="X37" s="811"/>
      <c r="Y37" s="811"/>
      <c r="Z37" s="811"/>
    </row>
    <row r="38" spans="1:26" ht="15" thickBot="1">
      <c r="A38" s="811"/>
      <c r="B38" s="811"/>
      <c r="C38" s="811"/>
      <c r="D38" s="811"/>
      <c r="E38" s="811"/>
      <c r="F38" s="811"/>
      <c r="G38" s="811"/>
      <c r="H38" s="811"/>
      <c r="I38" s="811"/>
      <c r="J38" s="811"/>
      <c r="K38" s="811"/>
      <c r="L38" s="811"/>
      <c r="M38" s="811"/>
      <c r="N38" s="811"/>
      <c r="O38" s="811"/>
      <c r="P38" s="811"/>
      <c r="Q38" s="811"/>
      <c r="R38" s="811"/>
      <c r="S38" s="811"/>
      <c r="T38" s="811"/>
      <c r="U38" s="811"/>
      <c r="V38" s="811"/>
      <c r="W38" s="811"/>
      <c r="X38" s="811"/>
      <c r="Y38" s="811"/>
      <c r="Z38" s="811"/>
    </row>
    <row r="39" spans="1:26" ht="15" thickBot="1">
      <c r="A39" s="811"/>
      <c r="B39" s="811"/>
      <c r="C39" s="811"/>
      <c r="D39" s="811"/>
      <c r="E39" s="811"/>
      <c r="F39" s="811"/>
      <c r="G39" s="811"/>
      <c r="H39" s="811"/>
      <c r="I39" s="811"/>
      <c r="J39" s="811"/>
      <c r="K39" s="811"/>
      <c r="L39" s="811"/>
      <c r="M39" s="811"/>
      <c r="N39" s="811"/>
      <c r="O39" s="811"/>
      <c r="P39" s="811"/>
      <c r="Q39" s="811"/>
      <c r="R39" s="811"/>
      <c r="S39" s="811"/>
      <c r="T39" s="811"/>
      <c r="U39" s="811"/>
      <c r="V39" s="811"/>
      <c r="W39" s="811"/>
      <c r="X39" s="811"/>
      <c r="Y39" s="811"/>
      <c r="Z39" s="811"/>
    </row>
    <row r="40" spans="1:26" ht="15" thickBot="1">
      <c r="A40" s="811"/>
      <c r="B40" s="811"/>
      <c r="C40" s="811"/>
      <c r="D40" s="811"/>
      <c r="E40" s="811"/>
      <c r="F40" s="811"/>
      <c r="G40" s="811"/>
      <c r="H40" s="811"/>
      <c r="I40" s="811"/>
      <c r="J40" s="811"/>
      <c r="K40" s="811"/>
      <c r="L40" s="811"/>
      <c r="M40" s="811"/>
      <c r="N40" s="811"/>
      <c r="O40" s="811"/>
      <c r="P40" s="811"/>
      <c r="Q40" s="811"/>
      <c r="R40" s="811"/>
      <c r="S40" s="811"/>
      <c r="T40" s="811"/>
      <c r="U40" s="811"/>
      <c r="V40" s="811"/>
      <c r="W40" s="811"/>
      <c r="X40" s="811"/>
      <c r="Y40" s="811"/>
      <c r="Z40" s="811"/>
    </row>
    <row r="41" spans="1:26" ht="15" thickBot="1">
      <c r="A41" s="811"/>
      <c r="B41" s="811"/>
      <c r="C41" s="811"/>
      <c r="D41" s="811"/>
      <c r="E41" s="811"/>
      <c r="F41" s="811"/>
      <c r="G41" s="811"/>
      <c r="H41" s="811"/>
      <c r="I41" s="811"/>
      <c r="J41" s="811"/>
      <c r="K41" s="811"/>
      <c r="L41" s="811"/>
      <c r="M41" s="811"/>
      <c r="N41" s="811"/>
      <c r="O41" s="811"/>
      <c r="P41" s="811"/>
      <c r="Q41" s="811"/>
      <c r="R41" s="811"/>
      <c r="S41" s="811"/>
      <c r="T41" s="811"/>
      <c r="U41" s="811"/>
      <c r="V41" s="811"/>
      <c r="W41" s="811"/>
      <c r="X41" s="811"/>
      <c r="Y41" s="811"/>
      <c r="Z41" s="811"/>
    </row>
    <row r="42" spans="1:26" ht="15" thickBot="1">
      <c r="A42" s="811"/>
      <c r="B42" s="811"/>
      <c r="C42" s="811"/>
      <c r="D42" s="811"/>
      <c r="E42" s="811"/>
      <c r="F42" s="811"/>
      <c r="G42" s="811"/>
      <c r="H42" s="811"/>
      <c r="I42" s="811"/>
      <c r="J42" s="811"/>
      <c r="K42" s="811"/>
      <c r="L42" s="811"/>
      <c r="M42" s="811"/>
      <c r="N42" s="811"/>
      <c r="O42" s="811"/>
      <c r="P42" s="811"/>
      <c r="Q42" s="811"/>
      <c r="R42" s="811"/>
      <c r="S42" s="811"/>
      <c r="T42" s="811"/>
      <c r="U42" s="811"/>
      <c r="V42" s="811"/>
      <c r="W42" s="811"/>
      <c r="X42" s="811"/>
      <c r="Y42" s="811"/>
      <c r="Z42" s="811"/>
    </row>
    <row r="43" spans="1:26" ht="15" thickBot="1">
      <c r="A43" s="811"/>
      <c r="B43" s="811"/>
      <c r="C43" s="811"/>
      <c r="D43" s="811"/>
      <c r="E43" s="811"/>
      <c r="F43" s="811"/>
      <c r="G43" s="811"/>
      <c r="H43" s="811"/>
      <c r="I43" s="811"/>
      <c r="J43" s="811"/>
      <c r="K43" s="811"/>
      <c r="L43" s="811"/>
      <c r="M43" s="811"/>
      <c r="N43" s="811"/>
      <c r="O43" s="811"/>
      <c r="P43" s="811"/>
      <c r="Q43" s="811"/>
      <c r="R43" s="811"/>
      <c r="S43" s="811"/>
      <c r="T43" s="811"/>
      <c r="U43" s="811"/>
      <c r="V43" s="811"/>
      <c r="W43" s="811"/>
      <c r="X43" s="811"/>
      <c r="Y43" s="811"/>
      <c r="Z43" s="811"/>
    </row>
    <row r="44" spans="1:26" ht="15" thickBot="1">
      <c r="A44" s="811"/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</row>
    <row r="45" spans="1:26" ht="15" thickBot="1">
      <c r="A45" s="811"/>
      <c r="B45" s="811"/>
      <c r="C45" s="811"/>
      <c r="D45" s="811"/>
      <c r="E45" s="811"/>
      <c r="F45" s="811"/>
      <c r="G45" s="811"/>
      <c r="H45" s="811"/>
      <c r="I45" s="811"/>
      <c r="J45" s="811"/>
      <c r="K45" s="811"/>
      <c r="L45" s="811"/>
      <c r="M45" s="811"/>
      <c r="N45" s="811"/>
      <c r="O45" s="811"/>
      <c r="P45" s="811"/>
      <c r="Q45" s="811"/>
      <c r="R45" s="811"/>
      <c r="S45" s="811"/>
      <c r="T45" s="811"/>
      <c r="U45" s="811"/>
      <c r="V45" s="811"/>
      <c r="W45" s="811"/>
      <c r="X45" s="811"/>
      <c r="Y45" s="811"/>
      <c r="Z45" s="811"/>
    </row>
    <row r="46" spans="1:26" ht="15" thickBot="1">
      <c r="A46" s="811"/>
      <c r="B46" s="811"/>
      <c r="C46" s="811"/>
      <c r="D46" s="811"/>
      <c r="E46" s="811"/>
      <c r="F46" s="811"/>
      <c r="G46" s="811"/>
      <c r="H46" s="811"/>
      <c r="I46" s="811"/>
      <c r="J46" s="811"/>
      <c r="K46" s="811"/>
      <c r="L46" s="811"/>
      <c r="M46" s="811"/>
      <c r="N46" s="811"/>
      <c r="O46" s="811"/>
      <c r="P46" s="811"/>
      <c r="Q46" s="811"/>
      <c r="R46" s="811"/>
      <c r="S46" s="811"/>
      <c r="T46" s="811"/>
      <c r="U46" s="811"/>
      <c r="V46" s="811"/>
      <c r="W46" s="811"/>
      <c r="X46" s="811"/>
      <c r="Y46" s="811"/>
      <c r="Z46" s="811"/>
    </row>
    <row r="47" spans="1:26" ht="15" thickBot="1">
      <c r="A47" s="811"/>
      <c r="B47" s="811"/>
      <c r="C47" s="811"/>
      <c r="D47" s="811"/>
      <c r="E47" s="811"/>
      <c r="F47" s="811"/>
      <c r="G47" s="811"/>
      <c r="H47" s="811"/>
      <c r="I47" s="811"/>
      <c r="J47" s="811"/>
      <c r="K47" s="811"/>
      <c r="L47" s="811"/>
      <c r="M47" s="811"/>
      <c r="N47" s="811"/>
      <c r="O47" s="811"/>
      <c r="P47" s="811"/>
      <c r="Q47" s="811"/>
      <c r="R47" s="811"/>
      <c r="S47" s="811"/>
      <c r="T47" s="811"/>
      <c r="U47" s="811"/>
      <c r="V47" s="811"/>
      <c r="W47" s="811"/>
      <c r="X47" s="811"/>
      <c r="Y47" s="811"/>
      <c r="Z47" s="811"/>
    </row>
    <row r="48" spans="1:26" ht="15" thickBot="1">
      <c r="A48" s="811"/>
      <c r="B48" s="811"/>
      <c r="C48" s="811"/>
      <c r="D48" s="811"/>
      <c r="E48" s="811"/>
      <c r="F48" s="811"/>
      <c r="G48" s="811"/>
      <c r="H48" s="811"/>
      <c r="I48" s="811"/>
      <c r="J48" s="811"/>
      <c r="K48" s="811"/>
      <c r="L48" s="811"/>
      <c r="M48" s="811"/>
      <c r="N48" s="811"/>
      <c r="O48" s="811"/>
      <c r="P48" s="811"/>
      <c r="Q48" s="811"/>
      <c r="R48" s="811"/>
      <c r="S48" s="811"/>
      <c r="T48" s="811"/>
      <c r="U48" s="811"/>
      <c r="V48" s="811"/>
      <c r="W48" s="811"/>
      <c r="X48" s="811"/>
      <c r="Y48" s="811"/>
      <c r="Z48" s="811"/>
    </row>
    <row r="49" spans="1:26" ht="15" thickBot="1">
      <c r="A49" s="811"/>
      <c r="B49" s="811"/>
      <c r="C49" s="811"/>
      <c r="D49" s="811"/>
      <c r="E49" s="811"/>
      <c r="F49" s="811"/>
      <c r="G49" s="811"/>
      <c r="H49" s="811"/>
      <c r="I49" s="811"/>
      <c r="J49" s="811"/>
      <c r="K49" s="811"/>
      <c r="L49" s="811"/>
      <c r="M49" s="811"/>
      <c r="N49" s="811"/>
      <c r="O49" s="811"/>
      <c r="P49" s="811"/>
      <c r="Q49" s="811"/>
      <c r="R49" s="811"/>
      <c r="S49" s="811"/>
      <c r="T49" s="811"/>
      <c r="U49" s="811"/>
      <c r="V49" s="811"/>
      <c r="W49" s="811"/>
      <c r="X49" s="811"/>
      <c r="Y49" s="811"/>
      <c r="Z49" s="811"/>
    </row>
    <row r="50" spans="1:26" ht="15" thickBot="1">
      <c r="A50" s="811"/>
      <c r="B50" s="811"/>
      <c r="C50" s="811"/>
      <c r="D50" s="811"/>
      <c r="E50" s="811"/>
      <c r="F50" s="811"/>
      <c r="G50" s="811"/>
      <c r="H50" s="811"/>
      <c r="I50" s="811"/>
      <c r="J50" s="811"/>
      <c r="K50" s="811"/>
      <c r="L50" s="811"/>
      <c r="M50" s="811"/>
      <c r="N50" s="811"/>
      <c r="O50" s="811"/>
      <c r="P50" s="811"/>
      <c r="Q50" s="811"/>
      <c r="R50" s="811"/>
      <c r="S50" s="811"/>
      <c r="T50" s="811"/>
      <c r="U50" s="811"/>
      <c r="V50" s="811"/>
      <c r="W50" s="811"/>
      <c r="X50" s="811"/>
      <c r="Y50" s="811"/>
      <c r="Z50" s="811"/>
    </row>
    <row r="51" spans="1:26" ht="15" thickBot="1">
      <c r="A51" s="811"/>
      <c r="B51" s="811"/>
      <c r="C51" s="811"/>
      <c r="D51" s="811"/>
      <c r="E51" s="811"/>
      <c r="F51" s="811"/>
      <c r="G51" s="811"/>
      <c r="H51" s="811"/>
      <c r="I51" s="811"/>
      <c r="J51" s="811"/>
      <c r="K51" s="811"/>
      <c r="L51" s="811"/>
      <c r="M51" s="811"/>
      <c r="N51" s="811"/>
      <c r="O51" s="811"/>
      <c r="P51" s="811"/>
      <c r="Q51" s="811"/>
      <c r="R51" s="811"/>
      <c r="S51" s="811"/>
      <c r="T51" s="811"/>
      <c r="U51" s="811"/>
      <c r="V51" s="811"/>
      <c r="W51" s="811"/>
      <c r="X51" s="811"/>
      <c r="Y51" s="811"/>
      <c r="Z51" s="811"/>
    </row>
    <row r="52" spans="1:26" ht="15" thickBot="1">
      <c r="A52" s="811"/>
      <c r="B52" s="811"/>
      <c r="C52" s="811"/>
      <c r="D52" s="811"/>
      <c r="E52" s="811"/>
      <c r="F52" s="811"/>
      <c r="G52" s="811"/>
      <c r="H52" s="811"/>
      <c r="I52" s="811"/>
      <c r="J52" s="811"/>
      <c r="K52" s="811"/>
      <c r="L52" s="811"/>
      <c r="M52" s="811"/>
      <c r="N52" s="811"/>
      <c r="O52" s="811"/>
      <c r="P52" s="811"/>
      <c r="Q52" s="811"/>
      <c r="R52" s="811"/>
      <c r="S52" s="811"/>
      <c r="T52" s="811"/>
      <c r="U52" s="811"/>
      <c r="V52" s="811"/>
      <c r="W52" s="811"/>
      <c r="X52" s="811"/>
      <c r="Y52" s="811"/>
      <c r="Z52" s="811"/>
    </row>
    <row r="53" spans="1:26" ht="15" thickBot="1">
      <c r="A53" s="811"/>
      <c r="B53" s="811"/>
      <c r="C53" s="811"/>
      <c r="D53" s="811"/>
      <c r="E53" s="811"/>
      <c r="F53" s="811"/>
      <c r="G53" s="811"/>
      <c r="H53" s="811"/>
      <c r="I53" s="811"/>
      <c r="J53" s="811"/>
      <c r="K53" s="811"/>
      <c r="L53" s="811"/>
      <c r="M53" s="811"/>
      <c r="N53" s="811"/>
      <c r="O53" s="811"/>
      <c r="P53" s="811"/>
      <c r="Q53" s="811"/>
      <c r="R53" s="811"/>
      <c r="S53" s="811"/>
      <c r="T53" s="811"/>
      <c r="U53" s="811"/>
      <c r="V53" s="811"/>
      <c r="W53" s="811"/>
      <c r="X53" s="811"/>
      <c r="Y53" s="811"/>
      <c r="Z53" s="811"/>
    </row>
    <row r="54" spans="1:26" ht="15" thickBot="1">
      <c r="A54" s="811"/>
      <c r="B54" s="811"/>
      <c r="C54" s="811"/>
      <c r="D54" s="811"/>
      <c r="E54" s="811"/>
      <c r="F54" s="811"/>
      <c r="G54" s="811"/>
      <c r="H54" s="811"/>
      <c r="I54" s="811"/>
      <c r="J54" s="811"/>
      <c r="K54" s="811"/>
      <c r="L54" s="811"/>
      <c r="M54" s="811"/>
      <c r="N54" s="811"/>
      <c r="O54" s="811"/>
      <c r="P54" s="811"/>
      <c r="Q54" s="811"/>
      <c r="R54" s="811"/>
      <c r="S54" s="811"/>
      <c r="T54" s="811"/>
      <c r="U54" s="811"/>
      <c r="V54" s="811"/>
      <c r="W54" s="811"/>
      <c r="X54" s="811"/>
      <c r="Y54" s="811"/>
      <c r="Z54" s="811"/>
    </row>
    <row r="55" spans="1:26" ht="15" thickBot="1">
      <c r="A55" s="811"/>
      <c r="B55" s="811"/>
      <c r="C55" s="811"/>
      <c r="D55" s="811"/>
      <c r="E55" s="811"/>
      <c r="F55" s="811"/>
      <c r="G55" s="811"/>
      <c r="H55" s="811"/>
      <c r="I55" s="811"/>
      <c r="J55" s="811"/>
      <c r="K55" s="811"/>
      <c r="L55" s="811"/>
      <c r="M55" s="811"/>
      <c r="N55" s="811"/>
      <c r="O55" s="811"/>
      <c r="P55" s="811"/>
      <c r="Q55" s="811"/>
      <c r="R55" s="811"/>
      <c r="S55" s="811"/>
      <c r="T55" s="811"/>
      <c r="U55" s="811"/>
      <c r="V55" s="811"/>
      <c r="W55" s="811"/>
      <c r="X55" s="811"/>
      <c r="Y55" s="811"/>
      <c r="Z55" s="811"/>
    </row>
    <row r="56" spans="1:26" ht="15" thickBot="1">
      <c r="A56" s="811"/>
      <c r="B56" s="811"/>
      <c r="C56" s="811"/>
      <c r="D56" s="811"/>
      <c r="E56" s="811"/>
      <c r="F56" s="811"/>
      <c r="G56" s="811"/>
      <c r="H56" s="811"/>
      <c r="I56" s="811"/>
      <c r="J56" s="811"/>
      <c r="K56" s="811"/>
      <c r="L56" s="811"/>
      <c r="M56" s="811"/>
      <c r="N56" s="811"/>
      <c r="O56" s="811"/>
      <c r="P56" s="811"/>
      <c r="Q56" s="811"/>
      <c r="R56" s="811"/>
      <c r="S56" s="811"/>
      <c r="T56" s="811"/>
      <c r="U56" s="811"/>
      <c r="V56" s="811"/>
      <c r="W56" s="811"/>
      <c r="X56" s="811"/>
      <c r="Y56" s="811"/>
      <c r="Z56" s="811"/>
    </row>
    <row r="57" spans="1:26" ht="15" thickBot="1">
      <c r="A57" s="811"/>
      <c r="B57" s="811"/>
      <c r="C57" s="811"/>
      <c r="D57" s="811"/>
      <c r="E57" s="811"/>
      <c r="F57" s="811"/>
      <c r="G57" s="811"/>
      <c r="H57" s="811"/>
      <c r="I57" s="811"/>
      <c r="J57" s="811"/>
      <c r="K57" s="811"/>
      <c r="L57" s="811"/>
      <c r="M57" s="811"/>
      <c r="N57" s="811"/>
      <c r="O57" s="811"/>
      <c r="P57" s="811"/>
      <c r="Q57" s="811"/>
      <c r="R57" s="811"/>
      <c r="S57" s="811"/>
      <c r="T57" s="811"/>
      <c r="U57" s="811"/>
      <c r="V57" s="811"/>
      <c r="W57" s="811"/>
      <c r="X57" s="811"/>
      <c r="Y57" s="811"/>
      <c r="Z57" s="811"/>
    </row>
    <row r="58" spans="1:26" ht="15" thickBot="1">
      <c r="A58" s="811"/>
      <c r="B58" s="811"/>
      <c r="C58" s="811"/>
      <c r="D58" s="811"/>
      <c r="E58" s="811"/>
      <c r="F58" s="811"/>
      <c r="G58" s="811"/>
      <c r="H58" s="811"/>
      <c r="I58" s="811"/>
      <c r="J58" s="811"/>
      <c r="K58" s="811"/>
      <c r="L58" s="811"/>
      <c r="M58" s="811"/>
      <c r="N58" s="811"/>
      <c r="O58" s="811"/>
      <c r="P58" s="811"/>
      <c r="Q58" s="811"/>
      <c r="R58" s="811"/>
      <c r="S58" s="811"/>
      <c r="T58" s="811"/>
      <c r="U58" s="811"/>
      <c r="V58" s="811"/>
      <c r="W58" s="811"/>
      <c r="X58" s="811"/>
      <c r="Y58" s="811"/>
      <c r="Z58" s="811"/>
    </row>
    <row r="59" spans="1:26" ht="15" thickBot="1">
      <c r="A59" s="811"/>
      <c r="B59" s="811"/>
      <c r="C59" s="811"/>
      <c r="D59" s="811"/>
      <c r="E59" s="811"/>
      <c r="F59" s="811"/>
      <c r="G59" s="811"/>
      <c r="H59" s="811"/>
      <c r="I59" s="811"/>
      <c r="J59" s="811"/>
      <c r="K59" s="811"/>
      <c r="L59" s="811"/>
      <c r="M59" s="811"/>
      <c r="N59" s="811"/>
      <c r="O59" s="811"/>
      <c r="P59" s="811"/>
      <c r="Q59" s="811"/>
      <c r="R59" s="811"/>
      <c r="S59" s="811"/>
      <c r="T59" s="811"/>
      <c r="U59" s="811"/>
      <c r="V59" s="811"/>
      <c r="W59" s="811"/>
      <c r="X59" s="811"/>
      <c r="Y59" s="811"/>
      <c r="Z59" s="811"/>
    </row>
    <row r="60" spans="1:26" ht="15" thickBot="1">
      <c r="A60" s="811"/>
      <c r="B60" s="811"/>
      <c r="C60" s="811"/>
      <c r="D60" s="811"/>
      <c r="E60" s="811"/>
      <c r="F60" s="811"/>
      <c r="G60" s="811"/>
      <c r="H60" s="811"/>
      <c r="I60" s="811"/>
      <c r="J60" s="811"/>
      <c r="K60" s="811"/>
      <c r="L60" s="811"/>
      <c r="M60" s="811"/>
      <c r="N60" s="811"/>
      <c r="O60" s="811"/>
      <c r="P60" s="811"/>
      <c r="Q60" s="811"/>
      <c r="R60" s="811"/>
      <c r="S60" s="811"/>
      <c r="T60" s="811"/>
      <c r="U60" s="811"/>
      <c r="V60" s="811"/>
      <c r="W60" s="811"/>
      <c r="X60" s="811"/>
      <c r="Y60" s="811"/>
      <c r="Z60" s="811"/>
    </row>
    <row r="61" spans="1:26" ht="15" thickBot="1">
      <c r="A61" s="811"/>
      <c r="B61" s="811"/>
      <c r="C61" s="811"/>
      <c r="D61" s="811"/>
      <c r="E61" s="811"/>
      <c r="F61" s="811"/>
      <c r="G61" s="811"/>
      <c r="H61" s="811"/>
      <c r="I61" s="811"/>
      <c r="J61" s="811"/>
      <c r="K61" s="811"/>
      <c r="L61" s="811"/>
      <c r="M61" s="811"/>
      <c r="N61" s="811"/>
      <c r="O61" s="811"/>
      <c r="P61" s="811"/>
      <c r="Q61" s="811"/>
      <c r="R61" s="811"/>
      <c r="S61" s="811"/>
      <c r="T61" s="811"/>
      <c r="U61" s="811"/>
      <c r="V61" s="811"/>
      <c r="W61" s="811"/>
      <c r="X61" s="811"/>
      <c r="Y61" s="811"/>
      <c r="Z61" s="811"/>
    </row>
    <row r="62" spans="1:26" ht="15" thickBot="1">
      <c r="A62" s="811"/>
      <c r="B62" s="811"/>
      <c r="C62" s="811"/>
      <c r="D62" s="811"/>
      <c r="E62" s="811"/>
      <c r="F62" s="811"/>
      <c r="G62" s="811"/>
      <c r="H62" s="811"/>
      <c r="I62" s="811"/>
      <c r="J62" s="811"/>
      <c r="K62" s="811"/>
      <c r="L62" s="811"/>
      <c r="M62" s="811"/>
      <c r="N62" s="811"/>
      <c r="O62" s="811"/>
      <c r="P62" s="811"/>
      <c r="Q62" s="811"/>
      <c r="R62" s="811"/>
      <c r="S62" s="811"/>
      <c r="T62" s="811"/>
      <c r="U62" s="811"/>
      <c r="V62" s="811"/>
      <c r="W62" s="811"/>
      <c r="X62" s="811"/>
      <c r="Y62" s="811"/>
      <c r="Z62" s="811"/>
    </row>
    <row r="63" spans="1:26" ht="15" thickBot="1">
      <c r="A63" s="811"/>
      <c r="B63" s="811"/>
      <c r="C63" s="811"/>
      <c r="D63" s="811"/>
      <c r="E63" s="811"/>
      <c r="F63" s="811"/>
      <c r="G63" s="811"/>
      <c r="H63" s="811"/>
      <c r="I63" s="811"/>
      <c r="J63" s="811"/>
      <c r="K63" s="811"/>
      <c r="L63" s="811"/>
      <c r="M63" s="811"/>
      <c r="N63" s="811"/>
      <c r="O63" s="811"/>
      <c r="P63" s="811"/>
      <c r="Q63" s="811"/>
      <c r="R63" s="811"/>
      <c r="S63" s="811"/>
      <c r="T63" s="811"/>
      <c r="U63" s="811"/>
      <c r="V63" s="811"/>
      <c r="W63" s="811"/>
      <c r="X63" s="811"/>
      <c r="Y63" s="811"/>
      <c r="Z63" s="811"/>
    </row>
    <row r="64" spans="1:26" ht="15" thickBot="1">
      <c r="A64" s="811"/>
      <c r="B64" s="811"/>
      <c r="C64" s="811"/>
      <c r="D64" s="811"/>
      <c r="E64" s="811"/>
      <c r="F64" s="811"/>
      <c r="G64" s="811"/>
      <c r="H64" s="811"/>
      <c r="I64" s="811"/>
      <c r="J64" s="811"/>
      <c r="K64" s="811"/>
      <c r="L64" s="811"/>
      <c r="M64" s="811"/>
      <c r="N64" s="811"/>
      <c r="O64" s="811"/>
      <c r="P64" s="811"/>
      <c r="Q64" s="811"/>
      <c r="R64" s="811"/>
      <c r="S64" s="811"/>
      <c r="T64" s="811"/>
      <c r="U64" s="811"/>
      <c r="V64" s="811"/>
      <c r="W64" s="811"/>
      <c r="X64" s="811"/>
      <c r="Y64" s="811"/>
      <c r="Z64" s="811"/>
    </row>
    <row r="65" spans="1:26" ht="15" thickBot="1">
      <c r="A65" s="811"/>
      <c r="B65" s="811"/>
      <c r="C65" s="811"/>
      <c r="D65" s="811"/>
      <c r="E65" s="811"/>
      <c r="F65" s="811"/>
      <c r="G65" s="811"/>
      <c r="H65" s="811"/>
      <c r="I65" s="811"/>
      <c r="J65" s="811"/>
      <c r="K65" s="811"/>
      <c r="L65" s="811"/>
      <c r="M65" s="811"/>
      <c r="N65" s="811"/>
      <c r="O65" s="811"/>
      <c r="P65" s="811"/>
      <c r="Q65" s="811"/>
      <c r="R65" s="811"/>
      <c r="S65" s="811"/>
      <c r="T65" s="811"/>
      <c r="U65" s="811"/>
      <c r="V65" s="811"/>
      <c r="W65" s="811"/>
      <c r="X65" s="811"/>
      <c r="Y65" s="811"/>
      <c r="Z65" s="811"/>
    </row>
    <row r="66" spans="1:26" ht="15" thickBot="1">
      <c r="A66" s="811"/>
      <c r="B66" s="811"/>
      <c r="C66" s="811"/>
      <c r="D66" s="811"/>
      <c r="E66" s="811"/>
      <c r="F66" s="811"/>
      <c r="G66" s="811"/>
      <c r="H66" s="811"/>
      <c r="I66" s="811"/>
      <c r="J66" s="811"/>
      <c r="K66" s="811"/>
      <c r="L66" s="811"/>
      <c r="M66" s="811"/>
      <c r="N66" s="811"/>
      <c r="O66" s="811"/>
      <c r="P66" s="811"/>
      <c r="Q66" s="811"/>
      <c r="R66" s="811"/>
      <c r="S66" s="811"/>
      <c r="T66" s="811"/>
      <c r="U66" s="811"/>
      <c r="V66" s="811"/>
      <c r="W66" s="811"/>
      <c r="X66" s="811"/>
      <c r="Y66" s="811"/>
      <c r="Z66" s="811"/>
    </row>
    <row r="67" spans="1:26" ht="15" thickBot="1">
      <c r="A67" s="811"/>
      <c r="B67" s="811"/>
      <c r="C67" s="811"/>
      <c r="D67" s="811"/>
      <c r="E67" s="811"/>
      <c r="F67" s="811"/>
      <c r="G67" s="811"/>
      <c r="H67" s="811"/>
      <c r="I67" s="811"/>
      <c r="J67" s="811"/>
      <c r="K67" s="811"/>
      <c r="L67" s="811"/>
      <c r="M67" s="811"/>
      <c r="N67" s="811"/>
      <c r="O67" s="811"/>
      <c r="P67" s="811"/>
      <c r="Q67" s="811"/>
      <c r="R67" s="811"/>
      <c r="S67" s="811"/>
      <c r="T67" s="811"/>
      <c r="U67" s="811"/>
      <c r="V67" s="811"/>
      <c r="W67" s="811"/>
      <c r="X67" s="811"/>
      <c r="Y67" s="811"/>
      <c r="Z67" s="811"/>
    </row>
    <row r="68" spans="1:26" ht="15" thickBot="1">
      <c r="A68" s="811"/>
      <c r="B68" s="811"/>
      <c r="C68" s="811"/>
      <c r="D68" s="811"/>
      <c r="E68" s="811"/>
      <c r="F68" s="811"/>
      <c r="G68" s="811"/>
      <c r="H68" s="811"/>
      <c r="I68" s="811"/>
      <c r="J68" s="811"/>
      <c r="K68" s="811"/>
      <c r="L68" s="811"/>
      <c r="M68" s="811"/>
      <c r="N68" s="811"/>
      <c r="O68" s="811"/>
      <c r="P68" s="811"/>
      <c r="Q68" s="811"/>
      <c r="R68" s="811"/>
      <c r="S68" s="811"/>
      <c r="T68" s="811"/>
      <c r="U68" s="811"/>
      <c r="V68" s="811"/>
      <c r="W68" s="811"/>
      <c r="X68" s="811"/>
      <c r="Y68" s="811"/>
      <c r="Z68" s="811"/>
    </row>
    <row r="69" spans="1:26" ht="15" thickBot="1">
      <c r="A69" s="811"/>
      <c r="B69" s="811"/>
      <c r="C69" s="811"/>
      <c r="D69" s="811"/>
      <c r="E69" s="811"/>
      <c r="F69" s="811"/>
      <c r="G69" s="811"/>
      <c r="H69" s="811"/>
      <c r="I69" s="811"/>
      <c r="J69" s="811"/>
      <c r="K69" s="811"/>
      <c r="L69" s="811"/>
      <c r="M69" s="811"/>
      <c r="N69" s="811"/>
      <c r="O69" s="811"/>
      <c r="P69" s="811"/>
      <c r="Q69" s="811"/>
      <c r="R69" s="811"/>
      <c r="S69" s="811"/>
      <c r="T69" s="811"/>
      <c r="U69" s="811"/>
      <c r="V69" s="811"/>
      <c r="W69" s="811"/>
      <c r="X69" s="811"/>
      <c r="Y69" s="811"/>
      <c r="Z69" s="811"/>
    </row>
    <row r="70" spans="1:26" ht="15" thickBot="1">
      <c r="A70" s="811"/>
      <c r="B70" s="811"/>
      <c r="C70" s="811"/>
      <c r="D70" s="811"/>
      <c r="E70" s="811"/>
      <c r="F70" s="811"/>
      <c r="G70" s="811"/>
      <c r="H70" s="811"/>
      <c r="I70" s="811"/>
      <c r="J70" s="811"/>
      <c r="K70" s="811"/>
      <c r="L70" s="811"/>
      <c r="M70" s="811"/>
      <c r="N70" s="811"/>
      <c r="O70" s="811"/>
      <c r="P70" s="811"/>
      <c r="Q70" s="811"/>
      <c r="R70" s="811"/>
      <c r="S70" s="811"/>
      <c r="T70" s="811"/>
      <c r="U70" s="811"/>
      <c r="V70" s="811"/>
      <c r="W70" s="811"/>
      <c r="X70" s="811"/>
      <c r="Y70" s="811"/>
      <c r="Z70" s="811"/>
    </row>
    <row r="71" spans="1:26" ht="15" thickBot="1">
      <c r="A71" s="811"/>
      <c r="B71" s="811"/>
      <c r="C71" s="811"/>
      <c r="D71" s="811"/>
      <c r="E71" s="811"/>
      <c r="F71" s="811"/>
      <c r="G71" s="811"/>
      <c r="H71" s="811"/>
      <c r="I71" s="811"/>
      <c r="J71" s="811"/>
      <c r="K71" s="811"/>
      <c r="L71" s="811"/>
      <c r="M71" s="811"/>
      <c r="N71" s="811"/>
      <c r="O71" s="811"/>
      <c r="P71" s="811"/>
      <c r="Q71" s="811"/>
      <c r="R71" s="811"/>
      <c r="S71" s="811"/>
      <c r="T71" s="811"/>
      <c r="U71" s="811"/>
      <c r="V71" s="811"/>
      <c r="W71" s="811"/>
      <c r="X71" s="811"/>
      <c r="Y71" s="811"/>
      <c r="Z71" s="811"/>
    </row>
    <row r="72" spans="1:26" ht="15" thickBot="1">
      <c r="A72" s="811"/>
      <c r="B72" s="811"/>
      <c r="C72" s="811"/>
      <c r="D72" s="811"/>
      <c r="E72" s="811"/>
      <c r="F72" s="811"/>
      <c r="G72" s="811"/>
      <c r="H72" s="811"/>
      <c r="I72" s="811"/>
      <c r="J72" s="811"/>
      <c r="K72" s="811"/>
      <c r="L72" s="811"/>
      <c r="M72" s="811"/>
      <c r="N72" s="811"/>
      <c r="O72" s="811"/>
      <c r="P72" s="811"/>
      <c r="Q72" s="811"/>
      <c r="R72" s="811"/>
      <c r="S72" s="811"/>
      <c r="T72" s="811"/>
      <c r="U72" s="811"/>
      <c r="V72" s="811"/>
      <c r="W72" s="811"/>
      <c r="X72" s="811"/>
      <c r="Y72" s="811"/>
      <c r="Z72" s="811"/>
    </row>
    <row r="73" spans="1:26" ht="15" thickBot="1">
      <c r="A73" s="811"/>
      <c r="B73" s="811"/>
      <c r="C73" s="811"/>
      <c r="D73" s="811"/>
      <c r="E73" s="811"/>
      <c r="F73" s="811"/>
      <c r="G73" s="811"/>
      <c r="H73" s="811"/>
      <c r="I73" s="811"/>
      <c r="J73" s="811"/>
      <c r="K73" s="811"/>
      <c r="L73" s="811"/>
      <c r="M73" s="811"/>
      <c r="N73" s="811"/>
      <c r="O73" s="811"/>
      <c r="P73" s="811"/>
      <c r="Q73" s="811"/>
      <c r="R73" s="811"/>
      <c r="S73" s="811"/>
      <c r="T73" s="811"/>
      <c r="U73" s="811"/>
      <c r="V73" s="811"/>
      <c r="W73" s="811"/>
      <c r="X73" s="811"/>
      <c r="Y73" s="811"/>
      <c r="Z73" s="811"/>
    </row>
    <row r="74" spans="1:26" ht="15" thickBot="1">
      <c r="A74" s="811"/>
      <c r="B74" s="811"/>
      <c r="C74" s="811"/>
      <c r="D74" s="811"/>
      <c r="E74" s="811"/>
      <c r="F74" s="811"/>
      <c r="G74" s="811"/>
      <c r="H74" s="811"/>
      <c r="I74" s="811"/>
      <c r="J74" s="811"/>
      <c r="K74" s="811"/>
      <c r="L74" s="811"/>
      <c r="M74" s="811"/>
      <c r="N74" s="811"/>
      <c r="O74" s="811"/>
      <c r="P74" s="811"/>
      <c r="Q74" s="811"/>
      <c r="R74" s="811"/>
      <c r="S74" s="811"/>
      <c r="T74" s="811"/>
      <c r="U74" s="811"/>
      <c r="V74" s="811"/>
      <c r="W74" s="811"/>
      <c r="X74" s="811"/>
      <c r="Y74" s="811"/>
      <c r="Z74" s="811"/>
    </row>
    <row r="75" spans="1:26" ht="15" thickBot="1">
      <c r="A75" s="811"/>
      <c r="B75" s="811"/>
      <c r="C75" s="811"/>
      <c r="D75" s="811"/>
      <c r="E75" s="811"/>
      <c r="F75" s="811"/>
      <c r="G75" s="811"/>
      <c r="H75" s="811"/>
      <c r="I75" s="811"/>
      <c r="J75" s="811"/>
      <c r="K75" s="811"/>
      <c r="L75" s="811"/>
      <c r="M75" s="811"/>
      <c r="N75" s="811"/>
      <c r="O75" s="811"/>
      <c r="P75" s="811"/>
      <c r="Q75" s="811"/>
      <c r="R75" s="811"/>
      <c r="S75" s="811"/>
      <c r="T75" s="811"/>
      <c r="U75" s="811"/>
      <c r="V75" s="811"/>
      <c r="W75" s="811"/>
      <c r="X75" s="811"/>
      <c r="Y75" s="811"/>
      <c r="Z75" s="811"/>
    </row>
    <row r="76" spans="1:26" ht="15" thickBot="1">
      <c r="A76" s="811"/>
      <c r="B76" s="811"/>
      <c r="C76" s="811"/>
      <c r="D76" s="811"/>
      <c r="E76" s="811"/>
      <c r="F76" s="811"/>
      <c r="G76" s="811"/>
      <c r="H76" s="811"/>
      <c r="I76" s="811"/>
      <c r="J76" s="811"/>
      <c r="K76" s="811"/>
      <c r="L76" s="811"/>
      <c r="M76" s="811"/>
      <c r="N76" s="811"/>
      <c r="O76" s="811"/>
      <c r="P76" s="811"/>
      <c r="Q76" s="811"/>
      <c r="R76" s="811"/>
      <c r="S76" s="811"/>
      <c r="T76" s="811"/>
      <c r="U76" s="811"/>
      <c r="V76" s="811"/>
      <c r="W76" s="811"/>
      <c r="X76" s="811"/>
      <c r="Y76" s="811"/>
      <c r="Z76" s="811"/>
    </row>
    <row r="77" spans="1:26" ht="15" thickBot="1">
      <c r="A77" s="811"/>
      <c r="B77" s="811"/>
      <c r="C77" s="811"/>
      <c r="D77" s="811"/>
      <c r="E77" s="811"/>
      <c r="F77" s="811"/>
      <c r="G77" s="811"/>
      <c r="H77" s="811"/>
      <c r="I77" s="811"/>
      <c r="J77" s="811"/>
      <c r="K77" s="811"/>
      <c r="L77" s="811"/>
      <c r="M77" s="811"/>
      <c r="N77" s="811"/>
      <c r="O77" s="811"/>
      <c r="P77" s="811"/>
      <c r="Q77" s="811"/>
      <c r="R77" s="811"/>
      <c r="S77" s="811"/>
      <c r="T77" s="811"/>
      <c r="U77" s="811"/>
      <c r="V77" s="811"/>
      <c r="W77" s="811"/>
      <c r="X77" s="811"/>
      <c r="Y77" s="811"/>
      <c r="Z77" s="811"/>
    </row>
    <row r="78" spans="1:26" ht="15" thickBot="1">
      <c r="A78" s="811"/>
      <c r="B78" s="811"/>
      <c r="C78" s="811"/>
      <c r="D78" s="811"/>
      <c r="E78" s="811"/>
      <c r="F78" s="811"/>
      <c r="G78" s="811"/>
      <c r="H78" s="811"/>
      <c r="I78" s="811"/>
      <c r="J78" s="811"/>
      <c r="K78" s="811"/>
      <c r="L78" s="811"/>
      <c r="M78" s="811"/>
      <c r="N78" s="811"/>
      <c r="O78" s="811"/>
      <c r="P78" s="811"/>
      <c r="Q78" s="811"/>
      <c r="R78" s="811"/>
      <c r="S78" s="811"/>
      <c r="T78" s="811"/>
      <c r="U78" s="811"/>
      <c r="V78" s="811"/>
      <c r="W78" s="811"/>
      <c r="X78" s="811"/>
      <c r="Y78" s="811"/>
      <c r="Z78" s="811"/>
    </row>
    <row r="79" spans="1:26" ht="15" thickBot="1">
      <c r="A79" s="811"/>
      <c r="B79" s="811"/>
      <c r="C79" s="811"/>
      <c r="D79" s="811"/>
      <c r="E79" s="811"/>
      <c r="F79" s="811"/>
      <c r="G79" s="811"/>
      <c r="H79" s="811"/>
      <c r="I79" s="811"/>
      <c r="J79" s="811"/>
      <c r="K79" s="811"/>
      <c r="L79" s="811"/>
      <c r="M79" s="811"/>
      <c r="N79" s="811"/>
      <c r="O79" s="811"/>
      <c r="P79" s="811"/>
      <c r="Q79" s="811"/>
      <c r="R79" s="811"/>
      <c r="S79" s="811"/>
      <c r="T79" s="811"/>
      <c r="U79" s="811"/>
      <c r="V79" s="811"/>
      <c r="W79" s="811"/>
      <c r="X79" s="811"/>
      <c r="Y79" s="811"/>
      <c r="Z79" s="811"/>
    </row>
    <row r="80" spans="1:26" ht="15" thickBot="1">
      <c r="A80" s="811"/>
      <c r="B80" s="811"/>
      <c r="C80" s="811"/>
      <c r="D80" s="811"/>
      <c r="E80" s="811"/>
      <c r="F80" s="811"/>
      <c r="G80" s="811"/>
      <c r="H80" s="811"/>
      <c r="I80" s="811"/>
      <c r="J80" s="811"/>
      <c r="K80" s="811"/>
      <c r="L80" s="811"/>
      <c r="M80" s="811"/>
      <c r="N80" s="811"/>
      <c r="O80" s="811"/>
      <c r="P80" s="811"/>
      <c r="Q80" s="811"/>
      <c r="R80" s="811"/>
      <c r="S80" s="811"/>
      <c r="T80" s="811"/>
      <c r="U80" s="811"/>
      <c r="V80" s="811"/>
      <c r="W80" s="811"/>
      <c r="X80" s="811"/>
      <c r="Y80" s="811"/>
      <c r="Z80" s="811"/>
    </row>
    <row r="81" spans="1:26" ht="15" thickBot="1">
      <c r="A81" s="811"/>
      <c r="B81" s="811"/>
      <c r="C81" s="811"/>
      <c r="D81" s="811"/>
      <c r="E81" s="811"/>
      <c r="F81" s="811"/>
      <c r="G81" s="811"/>
      <c r="H81" s="811"/>
      <c r="I81" s="811"/>
      <c r="J81" s="811"/>
      <c r="K81" s="811"/>
      <c r="L81" s="811"/>
      <c r="M81" s="811"/>
      <c r="N81" s="811"/>
      <c r="O81" s="811"/>
      <c r="P81" s="811"/>
      <c r="Q81" s="811"/>
      <c r="R81" s="811"/>
      <c r="S81" s="811"/>
      <c r="T81" s="811"/>
      <c r="U81" s="811"/>
      <c r="V81" s="811"/>
      <c r="W81" s="811"/>
      <c r="X81" s="811"/>
      <c r="Y81" s="811"/>
      <c r="Z81" s="811"/>
    </row>
    <row r="82" spans="1:26" ht="15" thickBot="1">
      <c r="A82" s="811"/>
      <c r="B82" s="811"/>
      <c r="C82" s="811"/>
      <c r="D82" s="811"/>
      <c r="E82" s="811"/>
      <c r="F82" s="811"/>
      <c r="G82" s="811"/>
      <c r="H82" s="811"/>
      <c r="I82" s="811"/>
      <c r="J82" s="811"/>
      <c r="K82" s="811"/>
      <c r="L82" s="811"/>
      <c r="M82" s="811"/>
      <c r="N82" s="811"/>
      <c r="O82" s="811"/>
      <c r="P82" s="811"/>
      <c r="Q82" s="811"/>
      <c r="R82" s="811"/>
      <c r="S82" s="811"/>
      <c r="T82" s="811"/>
      <c r="U82" s="811"/>
      <c r="V82" s="811"/>
      <c r="W82" s="811"/>
      <c r="X82" s="811"/>
      <c r="Y82" s="811"/>
      <c r="Z82" s="811"/>
    </row>
    <row r="83" spans="1:26" ht="15" thickBot="1">
      <c r="A83" s="811"/>
      <c r="B83" s="811"/>
      <c r="C83" s="811"/>
      <c r="D83" s="811"/>
      <c r="E83" s="811"/>
      <c r="F83" s="811"/>
      <c r="G83" s="811"/>
      <c r="H83" s="811"/>
      <c r="I83" s="811"/>
      <c r="J83" s="811"/>
      <c r="K83" s="811"/>
      <c r="L83" s="811"/>
      <c r="M83" s="811"/>
      <c r="N83" s="811"/>
      <c r="O83" s="811"/>
      <c r="P83" s="811"/>
      <c r="Q83" s="811"/>
      <c r="R83" s="811"/>
      <c r="S83" s="811"/>
      <c r="T83" s="811"/>
      <c r="U83" s="811"/>
      <c r="V83" s="811"/>
      <c r="W83" s="811"/>
      <c r="X83" s="811"/>
      <c r="Y83" s="811"/>
      <c r="Z83" s="811"/>
    </row>
    <row r="84" spans="1:26" ht="15" thickBot="1">
      <c r="A84" s="811"/>
      <c r="B84" s="811"/>
      <c r="C84" s="811"/>
      <c r="D84" s="811"/>
      <c r="E84" s="811"/>
      <c r="F84" s="811"/>
      <c r="G84" s="811"/>
      <c r="H84" s="811"/>
      <c r="I84" s="811"/>
      <c r="J84" s="811"/>
      <c r="K84" s="811"/>
      <c r="L84" s="811"/>
      <c r="M84" s="811"/>
      <c r="N84" s="811"/>
      <c r="O84" s="811"/>
      <c r="P84" s="811"/>
      <c r="Q84" s="811"/>
      <c r="R84" s="811"/>
      <c r="S84" s="811"/>
      <c r="T84" s="811"/>
      <c r="U84" s="811"/>
      <c r="V84" s="811"/>
      <c r="W84" s="811"/>
      <c r="X84" s="811"/>
      <c r="Y84" s="811"/>
      <c r="Z84" s="811"/>
    </row>
    <row r="85" spans="1:26" ht="15" thickBot="1">
      <c r="A85" s="811"/>
      <c r="B85" s="811"/>
      <c r="C85" s="811"/>
      <c r="D85" s="811"/>
      <c r="E85" s="811"/>
      <c r="F85" s="811"/>
      <c r="G85" s="811"/>
      <c r="H85" s="811"/>
      <c r="I85" s="811"/>
      <c r="J85" s="811"/>
      <c r="K85" s="811"/>
      <c r="L85" s="811"/>
      <c r="M85" s="811"/>
      <c r="N85" s="811"/>
      <c r="O85" s="811"/>
      <c r="P85" s="811"/>
      <c r="Q85" s="811"/>
      <c r="R85" s="811"/>
      <c r="S85" s="811"/>
      <c r="T85" s="811"/>
      <c r="U85" s="811"/>
      <c r="V85" s="811"/>
      <c r="W85" s="811"/>
      <c r="X85" s="811"/>
      <c r="Y85" s="811"/>
      <c r="Z85" s="811"/>
    </row>
    <row r="86" spans="1:26" ht="15" thickBot="1">
      <c r="A86" s="811"/>
      <c r="B86" s="811"/>
      <c r="C86" s="811"/>
      <c r="D86" s="811"/>
      <c r="E86" s="811"/>
      <c r="F86" s="811"/>
      <c r="G86" s="811"/>
      <c r="H86" s="811"/>
      <c r="I86" s="811"/>
      <c r="J86" s="811"/>
      <c r="K86" s="811"/>
      <c r="L86" s="811"/>
      <c r="M86" s="811"/>
      <c r="N86" s="811"/>
      <c r="O86" s="811"/>
      <c r="P86" s="811"/>
      <c r="Q86" s="811"/>
      <c r="R86" s="811"/>
      <c r="S86" s="811"/>
      <c r="T86" s="811"/>
      <c r="U86" s="811"/>
      <c r="V86" s="811"/>
      <c r="W86" s="811"/>
      <c r="X86" s="811"/>
      <c r="Y86" s="811"/>
      <c r="Z86" s="811"/>
    </row>
    <row r="87" spans="1:26" ht="15" thickBot="1">
      <c r="A87" s="811"/>
      <c r="B87" s="811"/>
      <c r="C87" s="811"/>
      <c r="D87" s="811"/>
      <c r="E87" s="811"/>
      <c r="F87" s="811"/>
      <c r="G87" s="811"/>
      <c r="H87" s="811"/>
      <c r="I87" s="811"/>
      <c r="J87" s="811"/>
      <c r="K87" s="811"/>
      <c r="L87" s="811"/>
      <c r="M87" s="811"/>
      <c r="N87" s="811"/>
      <c r="O87" s="811"/>
      <c r="P87" s="811"/>
      <c r="Q87" s="811"/>
      <c r="R87" s="811"/>
      <c r="S87" s="811"/>
      <c r="T87" s="811"/>
      <c r="U87" s="811"/>
      <c r="V87" s="811"/>
      <c r="W87" s="811"/>
      <c r="X87" s="811"/>
      <c r="Y87" s="811"/>
      <c r="Z87" s="811"/>
    </row>
    <row r="88" spans="1:26" ht="15" thickBot="1">
      <c r="A88" s="811"/>
      <c r="B88" s="811"/>
      <c r="C88" s="811"/>
      <c r="D88" s="811"/>
      <c r="E88" s="811"/>
      <c r="F88" s="811"/>
      <c r="G88" s="811"/>
      <c r="H88" s="811"/>
      <c r="I88" s="811"/>
      <c r="J88" s="811"/>
      <c r="K88" s="811"/>
      <c r="L88" s="811"/>
      <c r="M88" s="811"/>
      <c r="N88" s="811"/>
      <c r="O88" s="811"/>
      <c r="P88" s="811"/>
      <c r="Q88" s="811"/>
      <c r="R88" s="811"/>
      <c r="S88" s="811"/>
      <c r="T88" s="811"/>
      <c r="U88" s="811"/>
      <c r="V88" s="811"/>
      <c r="W88" s="811"/>
      <c r="X88" s="811"/>
      <c r="Y88" s="811"/>
      <c r="Z88" s="811"/>
    </row>
    <row r="89" spans="1:26" ht="15" thickBot="1">
      <c r="A89" s="811"/>
      <c r="B89" s="811"/>
      <c r="C89" s="811"/>
      <c r="D89" s="811"/>
      <c r="E89" s="811"/>
      <c r="F89" s="811"/>
      <c r="G89" s="811"/>
      <c r="H89" s="811"/>
      <c r="I89" s="811"/>
      <c r="J89" s="811"/>
      <c r="K89" s="811"/>
      <c r="L89" s="811"/>
      <c r="M89" s="811"/>
      <c r="N89" s="811"/>
      <c r="O89" s="811"/>
      <c r="P89" s="811"/>
      <c r="Q89" s="811"/>
      <c r="R89" s="811"/>
      <c r="S89" s="811"/>
      <c r="T89" s="811"/>
      <c r="U89" s="811"/>
      <c r="V89" s="811"/>
      <c r="W89" s="811"/>
      <c r="X89" s="811"/>
      <c r="Y89" s="811"/>
      <c r="Z89" s="811"/>
    </row>
    <row r="90" spans="1:26" ht="15" thickBot="1">
      <c r="A90" s="811"/>
      <c r="B90" s="811"/>
      <c r="C90" s="811"/>
      <c r="D90" s="811"/>
      <c r="E90" s="811"/>
      <c r="F90" s="811"/>
      <c r="G90" s="811"/>
      <c r="H90" s="811"/>
      <c r="I90" s="811"/>
      <c r="J90" s="811"/>
      <c r="K90" s="811"/>
      <c r="L90" s="811"/>
      <c r="M90" s="811"/>
      <c r="N90" s="811"/>
      <c r="O90" s="811"/>
      <c r="P90" s="811"/>
      <c r="Q90" s="811"/>
      <c r="R90" s="811"/>
      <c r="S90" s="811"/>
      <c r="T90" s="811"/>
      <c r="U90" s="811"/>
      <c r="V90" s="811"/>
      <c r="W90" s="811"/>
      <c r="X90" s="811"/>
      <c r="Y90" s="811"/>
      <c r="Z90" s="811"/>
    </row>
    <row r="91" spans="1:26" ht="15" thickBot="1">
      <c r="A91" s="811"/>
      <c r="B91" s="811"/>
      <c r="C91" s="811"/>
      <c r="D91" s="811"/>
      <c r="E91" s="811"/>
      <c r="F91" s="811"/>
      <c r="G91" s="811"/>
      <c r="H91" s="811"/>
      <c r="I91" s="811"/>
      <c r="J91" s="811"/>
      <c r="K91" s="811"/>
      <c r="L91" s="811"/>
      <c r="M91" s="811"/>
      <c r="N91" s="811"/>
      <c r="O91" s="811"/>
      <c r="P91" s="811"/>
      <c r="Q91" s="811"/>
      <c r="R91" s="811"/>
      <c r="S91" s="811"/>
      <c r="T91" s="811"/>
      <c r="U91" s="811"/>
      <c r="V91" s="811"/>
      <c r="W91" s="811"/>
      <c r="X91" s="811"/>
      <c r="Y91" s="811"/>
      <c r="Z91" s="811"/>
    </row>
    <row r="92" spans="1:26" ht="15" thickBot="1">
      <c r="A92" s="811"/>
      <c r="B92" s="811"/>
      <c r="C92" s="811"/>
      <c r="D92" s="811"/>
      <c r="E92" s="811"/>
      <c r="F92" s="811"/>
      <c r="G92" s="811"/>
      <c r="H92" s="811"/>
      <c r="I92" s="811"/>
      <c r="J92" s="811"/>
      <c r="K92" s="811"/>
      <c r="L92" s="811"/>
      <c r="M92" s="811"/>
      <c r="N92" s="811"/>
      <c r="O92" s="811"/>
      <c r="P92" s="811"/>
      <c r="Q92" s="811"/>
      <c r="R92" s="811"/>
      <c r="S92" s="811"/>
      <c r="T92" s="811"/>
      <c r="U92" s="811"/>
      <c r="V92" s="811"/>
      <c r="W92" s="811"/>
      <c r="X92" s="811"/>
      <c r="Y92" s="811"/>
      <c r="Z92" s="811"/>
    </row>
    <row r="93" spans="1:26" ht="15" thickBot="1">
      <c r="A93" s="811"/>
      <c r="B93" s="811"/>
      <c r="C93" s="811"/>
      <c r="D93" s="811"/>
      <c r="E93" s="811"/>
      <c r="F93" s="811"/>
      <c r="G93" s="811"/>
      <c r="H93" s="811"/>
      <c r="I93" s="811"/>
      <c r="J93" s="811"/>
      <c r="K93" s="811"/>
      <c r="L93" s="811"/>
      <c r="M93" s="811"/>
      <c r="N93" s="811"/>
      <c r="O93" s="811"/>
      <c r="P93" s="811"/>
      <c r="Q93" s="811"/>
      <c r="R93" s="811"/>
      <c r="S93" s="811"/>
      <c r="T93" s="811"/>
      <c r="U93" s="811"/>
      <c r="V93" s="811"/>
      <c r="W93" s="811"/>
      <c r="X93" s="811"/>
      <c r="Y93" s="811"/>
      <c r="Z93" s="811"/>
    </row>
    <row r="94" spans="1:26" ht="15" thickBot="1">
      <c r="A94" s="811"/>
      <c r="B94" s="811"/>
      <c r="C94" s="811"/>
      <c r="D94" s="811"/>
      <c r="E94" s="811"/>
      <c r="F94" s="811"/>
      <c r="G94" s="811"/>
      <c r="H94" s="811"/>
      <c r="I94" s="811"/>
      <c r="J94" s="811"/>
      <c r="K94" s="811"/>
      <c r="L94" s="811"/>
      <c r="M94" s="811"/>
      <c r="N94" s="811"/>
      <c r="O94" s="811"/>
      <c r="P94" s="811"/>
      <c r="Q94" s="811"/>
      <c r="R94" s="811"/>
      <c r="S94" s="811"/>
      <c r="T94" s="811"/>
      <c r="U94" s="811"/>
      <c r="V94" s="811"/>
      <c r="W94" s="811"/>
      <c r="X94" s="811"/>
      <c r="Y94" s="811"/>
      <c r="Z94" s="811"/>
    </row>
    <row r="95" spans="1:26" ht="15" thickBot="1">
      <c r="A95" s="811"/>
      <c r="B95" s="811"/>
      <c r="C95" s="811"/>
      <c r="D95" s="811"/>
      <c r="E95" s="811"/>
      <c r="F95" s="811"/>
      <c r="G95" s="811"/>
      <c r="H95" s="811"/>
      <c r="I95" s="811"/>
      <c r="J95" s="811"/>
      <c r="K95" s="811"/>
      <c r="L95" s="811"/>
      <c r="M95" s="811"/>
      <c r="N95" s="811"/>
      <c r="O95" s="811"/>
      <c r="P95" s="811"/>
      <c r="Q95" s="811"/>
      <c r="R95" s="811"/>
      <c r="S95" s="811"/>
      <c r="T95" s="811"/>
      <c r="U95" s="811"/>
      <c r="V95" s="811"/>
      <c r="W95" s="811"/>
      <c r="X95" s="811"/>
      <c r="Y95" s="811"/>
      <c r="Z95" s="811"/>
    </row>
    <row r="96" spans="1:26" ht="15" thickBot="1">
      <c r="A96" s="811"/>
      <c r="B96" s="811"/>
      <c r="C96" s="811"/>
      <c r="D96" s="811"/>
      <c r="E96" s="811"/>
      <c r="F96" s="811"/>
      <c r="G96" s="811"/>
      <c r="H96" s="811"/>
      <c r="I96" s="811"/>
      <c r="J96" s="811"/>
      <c r="K96" s="811"/>
      <c r="L96" s="811"/>
      <c r="M96" s="811"/>
      <c r="N96" s="811"/>
      <c r="O96" s="811"/>
      <c r="P96" s="811"/>
      <c r="Q96" s="811"/>
      <c r="R96" s="811"/>
      <c r="S96" s="811"/>
      <c r="T96" s="811"/>
      <c r="U96" s="811"/>
      <c r="V96" s="811"/>
      <c r="W96" s="811"/>
      <c r="X96" s="811"/>
      <c r="Y96" s="811"/>
      <c r="Z96" s="811"/>
    </row>
    <row r="97" spans="1:26" ht="15" thickBot="1">
      <c r="A97" s="811"/>
      <c r="B97" s="811"/>
      <c r="C97" s="811"/>
      <c r="D97" s="811"/>
      <c r="E97" s="811"/>
      <c r="F97" s="811"/>
      <c r="G97" s="811"/>
      <c r="H97" s="811"/>
      <c r="I97" s="811"/>
      <c r="J97" s="811"/>
      <c r="K97" s="811"/>
      <c r="L97" s="811"/>
      <c r="M97" s="811"/>
      <c r="N97" s="811"/>
      <c r="O97" s="811"/>
      <c r="P97" s="811"/>
      <c r="Q97" s="811"/>
      <c r="R97" s="811"/>
      <c r="S97" s="811"/>
      <c r="T97" s="811"/>
      <c r="U97" s="811"/>
      <c r="V97" s="811"/>
      <c r="W97" s="811"/>
      <c r="X97" s="811"/>
      <c r="Y97" s="811"/>
      <c r="Z97" s="811"/>
    </row>
    <row r="98" spans="1:26" ht="15" thickBot="1">
      <c r="A98" s="811"/>
      <c r="B98" s="811"/>
      <c r="C98" s="811"/>
      <c r="D98" s="811"/>
      <c r="E98" s="811"/>
      <c r="F98" s="811"/>
      <c r="G98" s="811"/>
      <c r="H98" s="811"/>
      <c r="I98" s="811"/>
      <c r="J98" s="811"/>
      <c r="K98" s="811"/>
      <c r="L98" s="811"/>
      <c r="M98" s="811"/>
      <c r="N98" s="811"/>
      <c r="O98" s="811"/>
      <c r="P98" s="811"/>
      <c r="Q98" s="811"/>
      <c r="R98" s="811"/>
      <c r="S98" s="811"/>
      <c r="T98" s="811"/>
      <c r="U98" s="811"/>
      <c r="V98" s="811"/>
      <c r="W98" s="811"/>
      <c r="X98" s="811"/>
      <c r="Y98" s="811"/>
      <c r="Z98" s="811"/>
    </row>
    <row r="99" spans="1:26" ht="15" thickBot="1">
      <c r="A99" s="811"/>
      <c r="B99" s="811"/>
      <c r="C99" s="811"/>
      <c r="D99" s="811"/>
      <c r="E99" s="811"/>
      <c r="F99" s="811"/>
      <c r="G99" s="811"/>
      <c r="H99" s="811"/>
      <c r="I99" s="811"/>
      <c r="J99" s="811"/>
      <c r="K99" s="811"/>
      <c r="L99" s="811"/>
      <c r="M99" s="811"/>
      <c r="N99" s="811"/>
      <c r="O99" s="811"/>
      <c r="P99" s="811"/>
      <c r="Q99" s="811"/>
      <c r="R99" s="811"/>
      <c r="S99" s="811"/>
      <c r="T99" s="811"/>
      <c r="U99" s="811"/>
      <c r="V99" s="811"/>
      <c r="W99" s="811"/>
      <c r="X99" s="811"/>
      <c r="Y99" s="811"/>
      <c r="Z99" s="811"/>
    </row>
    <row r="100" spans="1:26" ht="15" thickBot="1">
      <c r="A100" s="811"/>
      <c r="B100" s="811"/>
      <c r="C100" s="811"/>
      <c r="D100" s="811"/>
      <c r="E100" s="811"/>
      <c r="F100" s="811"/>
      <c r="G100" s="811"/>
      <c r="H100" s="811"/>
      <c r="I100" s="811"/>
      <c r="J100" s="811"/>
      <c r="K100" s="811"/>
      <c r="L100" s="811"/>
      <c r="M100" s="811"/>
      <c r="N100" s="811"/>
      <c r="O100" s="811"/>
      <c r="P100" s="811"/>
      <c r="Q100" s="811"/>
      <c r="R100" s="811"/>
      <c r="S100" s="811"/>
      <c r="T100" s="811"/>
      <c r="U100" s="811"/>
      <c r="V100" s="811"/>
      <c r="W100" s="811"/>
      <c r="X100" s="811"/>
      <c r="Y100" s="811"/>
      <c r="Z100" s="811"/>
    </row>
    <row r="101" spans="1:26" ht="15" thickBot="1">
      <c r="A101" s="811"/>
      <c r="B101" s="811"/>
      <c r="C101" s="811"/>
      <c r="D101" s="811"/>
      <c r="E101" s="811"/>
      <c r="F101" s="811"/>
      <c r="G101" s="811"/>
      <c r="H101" s="811"/>
      <c r="I101" s="811"/>
      <c r="J101" s="811"/>
      <c r="K101" s="811"/>
      <c r="L101" s="811"/>
      <c r="M101" s="811"/>
      <c r="N101" s="811"/>
      <c r="O101" s="811"/>
      <c r="P101" s="811"/>
      <c r="Q101" s="811"/>
      <c r="R101" s="811"/>
      <c r="S101" s="811"/>
      <c r="T101" s="811"/>
      <c r="U101" s="811"/>
      <c r="V101" s="811"/>
      <c r="W101" s="811"/>
      <c r="X101" s="811"/>
      <c r="Y101" s="811"/>
      <c r="Z101" s="811"/>
    </row>
    <row r="102" spans="1:26" ht="15" thickBot="1">
      <c r="A102" s="811"/>
      <c r="B102" s="811"/>
      <c r="C102" s="811"/>
      <c r="D102" s="811"/>
      <c r="E102" s="811"/>
      <c r="F102" s="811"/>
      <c r="G102" s="811"/>
      <c r="H102" s="811"/>
      <c r="I102" s="811"/>
      <c r="J102" s="811"/>
      <c r="K102" s="811"/>
      <c r="L102" s="811"/>
      <c r="M102" s="811"/>
      <c r="N102" s="811"/>
      <c r="O102" s="811"/>
      <c r="P102" s="811"/>
      <c r="Q102" s="811"/>
      <c r="R102" s="811"/>
      <c r="S102" s="811"/>
      <c r="T102" s="811"/>
      <c r="U102" s="811"/>
      <c r="V102" s="811"/>
      <c r="W102" s="811"/>
      <c r="X102" s="811"/>
      <c r="Y102" s="811"/>
      <c r="Z102" s="811"/>
    </row>
    <row r="103" spans="1:26" ht="15" thickBot="1">
      <c r="A103" s="811"/>
      <c r="B103" s="811"/>
      <c r="C103" s="811"/>
      <c r="D103" s="811"/>
      <c r="E103" s="811"/>
      <c r="F103" s="811"/>
      <c r="G103" s="811"/>
      <c r="H103" s="811"/>
      <c r="I103" s="811"/>
      <c r="J103" s="811"/>
      <c r="K103" s="811"/>
      <c r="L103" s="811"/>
      <c r="M103" s="811"/>
      <c r="N103" s="811"/>
      <c r="O103" s="811"/>
      <c r="P103" s="811"/>
      <c r="Q103" s="811"/>
      <c r="R103" s="811"/>
      <c r="S103" s="811"/>
      <c r="T103" s="811"/>
      <c r="U103" s="811"/>
      <c r="V103" s="811"/>
      <c r="W103" s="811"/>
      <c r="X103" s="811"/>
      <c r="Y103" s="811"/>
      <c r="Z103" s="811"/>
    </row>
    <row r="104" spans="1:26" ht="15" thickBot="1">
      <c r="A104" s="811"/>
      <c r="B104" s="811"/>
      <c r="C104" s="811"/>
      <c r="D104" s="811"/>
      <c r="E104" s="811"/>
      <c r="F104" s="811"/>
      <c r="G104" s="811"/>
      <c r="H104" s="811"/>
      <c r="I104" s="811"/>
      <c r="J104" s="811"/>
      <c r="K104" s="811"/>
      <c r="L104" s="811"/>
      <c r="M104" s="811"/>
      <c r="N104" s="811"/>
      <c r="O104" s="811"/>
      <c r="P104" s="811"/>
      <c r="Q104" s="811"/>
      <c r="R104" s="811"/>
      <c r="S104" s="811"/>
      <c r="T104" s="811"/>
      <c r="U104" s="811"/>
      <c r="V104" s="811"/>
      <c r="W104" s="811"/>
      <c r="X104" s="811"/>
      <c r="Y104" s="811"/>
      <c r="Z104" s="811"/>
    </row>
    <row r="105" spans="1:26" ht="15" thickBot="1">
      <c r="A105" s="811"/>
      <c r="B105" s="811"/>
      <c r="C105" s="811"/>
      <c r="D105" s="811"/>
      <c r="E105" s="811"/>
      <c r="F105" s="811"/>
      <c r="G105" s="811"/>
      <c r="H105" s="811"/>
      <c r="I105" s="811"/>
      <c r="J105" s="811"/>
      <c r="K105" s="811"/>
      <c r="L105" s="811"/>
      <c r="M105" s="811"/>
      <c r="N105" s="811"/>
      <c r="O105" s="811"/>
      <c r="P105" s="811"/>
      <c r="Q105" s="811"/>
      <c r="R105" s="811"/>
      <c r="S105" s="811"/>
      <c r="T105" s="811"/>
      <c r="U105" s="811"/>
      <c r="V105" s="811"/>
      <c r="W105" s="811"/>
      <c r="X105" s="811"/>
      <c r="Y105" s="811"/>
      <c r="Z105" s="811"/>
    </row>
    <row r="106" spans="1:26" ht="15" thickBot="1">
      <c r="A106" s="811"/>
      <c r="B106" s="811"/>
      <c r="C106" s="811"/>
      <c r="D106" s="811"/>
      <c r="E106" s="811"/>
      <c r="F106" s="811"/>
      <c r="G106" s="811"/>
      <c r="H106" s="811"/>
      <c r="I106" s="811"/>
      <c r="J106" s="811"/>
      <c r="K106" s="811"/>
      <c r="L106" s="811"/>
      <c r="M106" s="811"/>
      <c r="N106" s="811"/>
      <c r="O106" s="811"/>
      <c r="P106" s="811"/>
      <c r="Q106" s="811"/>
      <c r="R106" s="811"/>
      <c r="S106" s="811"/>
      <c r="T106" s="811"/>
      <c r="U106" s="811"/>
      <c r="V106" s="811"/>
      <c r="W106" s="811"/>
      <c r="X106" s="811"/>
      <c r="Y106" s="811"/>
      <c r="Z106" s="811"/>
    </row>
    <row r="107" spans="1:26" ht="15" thickBot="1">
      <c r="A107" s="811"/>
      <c r="B107" s="811"/>
      <c r="C107" s="811"/>
      <c r="D107" s="811"/>
      <c r="E107" s="811"/>
      <c r="F107" s="811"/>
      <c r="G107" s="811"/>
      <c r="H107" s="811"/>
      <c r="I107" s="811"/>
      <c r="J107" s="811"/>
      <c r="K107" s="811"/>
      <c r="L107" s="811"/>
      <c r="M107" s="811"/>
      <c r="N107" s="811"/>
      <c r="O107" s="811"/>
      <c r="P107" s="811"/>
      <c r="Q107" s="811"/>
      <c r="R107" s="811"/>
      <c r="S107" s="811"/>
      <c r="T107" s="811"/>
      <c r="U107" s="811"/>
      <c r="V107" s="811"/>
      <c r="W107" s="811"/>
      <c r="X107" s="811"/>
      <c r="Y107" s="811"/>
      <c r="Z107" s="811"/>
    </row>
    <row r="108" spans="1:26" ht="15" thickBot="1">
      <c r="A108" s="811"/>
      <c r="B108" s="811"/>
      <c r="C108" s="811"/>
      <c r="D108" s="811"/>
      <c r="E108" s="811"/>
      <c r="F108" s="811"/>
      <c r="G108" s="811"/>
      <c r="H108" s="811"/>
      <c r="I108" s="811"/>
      <c r="J108" s="811"/>
      <c r="K108" s="811"/>
      <c r="L108" s="811"/>
      <c r="M108" s="811"/>
      <c r="N108" s="811"/>
      <c r="O108" s="811"/>
      <c r="P108" s="811"/>
      <c r="Q108" s="811"/>
      <c r="R108" s="811"/>
      <c r="S108" s="811"/>
      <c r="T108" s="811"/>
      <c r="U108" s="811"/>
      <c r="V108" s="811"/>
      <c r="W108" s="811"/>
      <c r="X108" s="811"/>
      <c r="Y108" s="811"/>
      <c r="Z108" s="811"/>
    </row>
    <row r="109" spans="1:26" ht="15" thickBot="1">
      <c r="A109" s="811"/>
      <c r="B109" s="811"/>
      <c r="C109" s="811"/>
      <c r="D109" s="811"/>
      <c r="E109" s="811"/>
      <c r="F109" s="811"/>
      <c r="G109" s="811"/>
      <c r="H109" s="811"/>
      <c r="I109" s="811"/>
      <c r="J109" s="811"/>
      <c r="K109" s="811"/>
      <c r="L109" s="811"/>
      <c r="M109" s="811"/>
      <c r="N109" s="811"/>
      <c r="O109" s="811"/>
      <c r="P109" s="811"/>
      <c r="Q109" s="811"/>
      <c r="R109" s="811"/>
      <c r="S109" s="811"/>
      <c r="T109" s="811"/>
      <c r="U109" s="811"/>
      <c r="V109" s="811"/>
      <c r="W109" s="811"/>
      <c r="X109" s="811"/>
      <c r="Y109" s="811"/>
      <c r="Z109" s="811"/>
    </row>
    <row r="110" spans="1:26" ht="15" thickBot="1">
      <c r="A110" s="811"/>
      <c r="B110" s="811"/>
      <c r="C110" s="811"/>
      <c r="D110" s="811"/>
      <c r="E110" s="811"/>
      <c r="F110" s="811"/>
      <c r="G110" s="811"/>
      <c r="H110" s="811"/>
      <c r="I110" s="811"/>
      <c r="J110" s="811"/>
      <c r="K110" s="811"/>
      <c r="L110" s="811"/>
      <c r="M110" s="811"/>
      <c r="N110" s="811"/>
      <c r="O110" s="811"/>
      <c r="P110" s="811"/>
      <c r="Q110" s="811"/>
      <c r="R110" s="811"/>
      <c r="S110" s="811"/>
      <c r="T110" s="811"/>
      <c r="U110" s="811"/>
      <c r="V110" s="811"/>
      <c r="W110" s="811"/>
      <c r="X110" s="811"/>
      <c r="Y110" s="811"/>
      <c r="Z110" s="811"/>
    </row>
    <row r="111" spans="1:26" ht="15" thickBot="1">
      <c r="A111" s="811"/>
      <c r="B111" s="811"/>
      <c r="C111" s="811"/>
      <c r="D111" s="811"/>
      <c r="E111" s="811"/>
      <c r="F111" s="811"/>
      <c r="G111" s="811"/>
      <c r="H111" s="811"/>
      <c r="I111" s="811"/>
      <c r="J111" s="811"/>
      <c r="K111" s="811"/>
      <c r="L111" s="811"/>
      <c r="M111" s="811"/>
      <c r="N111" s="811"/>
      <c r="O111" s="811"/>
      <c r="P111" s="811"/>
      <c r="Q111" s="811"/>
      <c r="R111" s="811"/>
      <c r="S111" s="811"/>
      <c r="T111" s="811"/>
      <c r="U111" s="811"/>
      <c r="V111" s="811"/>
      <c r="W111" s="811"/>
      <c r="X111" s="811"/>
      <c r="Y111" s="811"/>
      <c r="Z111" s="811"/>
    </row>
    <row r="112" spans="1:26" ht="15" thickBot="1">
      <c r="A112" s="811"/>
      <c r="B112" s="811"/>
      <c r="C112" s="811"/>
      <c r="D112" s="811"/>
      <c r="E112" s="811"/>
      <c r="F112" s="811"/>
      <c r="G112" s="811"/>
      <c r="H112" s="811"/>
      <c r="I112" s="811"/>
      <c r="J112" s="811"/>
      <c r="K112" s="811"/>
      <c r="L112" s="811"/>
      <c r="M112" s="811"/>
      <c r="N112" s="811"/>
      <c r="O112" s="811"/>
      <c r="P112" s="811"/>
      <c r="Q112" s="811"/>
      <c r="R112" s="811"/>
      <c r="S112" s="811"/>
      <c r="T112" s="811"/>
      <c r="U112" s="811"/>
      <c r="V112" s="811"/>
      <c r="W112" s="811"/>
      <c r="X112" s="811"/>
      <c r="Y112" s="811"/>
      <c r="Z112" s="811"/>
    </row>
    <row r="113" spans="1:26" ht="15" thickBot="1">
      <c r="A113" s="811"/>
      <c r="B113" s="811"/>
      <c r="C113" s="811"/>
      <c r="D113" s="811"/>
      <c r="E113" s="811"/>
      <c r="F113" s="811"/>
      <c r="G113" s="811"/>
      <c r="H113" s="811"/>
      <c r="I113" s="811"/>
      <c r="J113" s="811"/>
      <c r="K113" s="811"/>
      <c r="L113" s="811"/>
      <c r="M113" s="811"/>
      <c r="N113" s="811"/>
      <c r="O113" s="811"/>
      <c r="P113" s="811"/>
      <c r="Q113" s="811"/>
      <c r="R113" s="811"/>
      <c r="S113" s="811"/>
      <c r="T113" s="811"/>
      <c r="U113" s="811"/>
      <c r="V113" s="811"/>
      <c r="W113" s="811"/>
      <c r="X113" s="811"/>
      <c r="Y113" s="811"/>
      <c r="Z113" s="811"/>
    </row>
    <row r="114" spans="1:26" ht="15" thickBot="1">
      <c r="A114" s="811"/>
      <c r="B114" s="811"/>
      <c r="C114" s="811"/>
      <c r="D114" s="811"/>
      <c r="E114" s="811"/>
      <c r="F114" s="811"/>
      <c r="G114" s="811"/>
      <c r="H114" s="811"/>
      <c r="I114" s="811"/>
      <c r="J114" s="811"/>
      <c r="K114" s="811"/>
      <c r="L114" s="811"/>
      <c r="M114" s="811"/>
      <c r="N114" s="811"/>
      <c r="O114" s="811"/>
      <c r="P114" s="811"/>
      <c r="Q114" s="811"/>
      <c r="R114" s="811"/>
      <c r="S114" s="811"/>
      <c r="T114" s="811"/>
      <c r="U114" s="811"/>
      <c r="V114" s="811"/>
      <c r="W114" s="811"/>
      <c r="X114" s="811"/>
      <c r="Y114" s="811"/>
      <c r="Z114" s="811"/>
    </row>
    <row r="115" spans="1:26" ht="15" thickBot="1">
      <c r="A115" s="811"/>
      <c r="B115" s="811"/>
      <c r="C115" s="811"/>
      <c r="D115" s="811"/>
      <c r="E115" s="811"/>
      <c r="F115" s="811"/>
      <c r="G115" s="811"/>
      <c r="H115" s="811"/>
      <c r="I115" s="811"/>
      <c r="J115" s="811"/>
      <c r="K115" s="811"/>
      <c r="L115" s="811"/>
      <c r="M115" s="811"/>
      <c r="N115" s="811"/>
      <c r="O115" s="811"/>
      <c r="P115" s="811"/>
      <c r="Q115" s="811"/>
      <c r="R115" s="811"/>
      <c r="S115" s="811"/>
      <c r="T115" s="811"/>
      <c r="U115" s="811"/>
      <c r="V115" s="811"/>
      <c r="W115" s="811"/>
      <c r="X115" s="811"/>
      <c r="Y115" s="811"/>
      <c r="Z115" s="811"/>
    </row>
    <row r="116" spans="1:26" ht="15" thickBot="1">
      <c r="A116" s="811"/>
      <c r="B116" s="811"/>
      <c r="C116" s="811"/>
      <c r="D116" s="811"/>
      <c r="E116" s="811"/>
      <c r="F116" s="811"/>
      <c r="G116" s="811"/>
      <c r="H116" s="811"/>
      <c r="I116" s="811"/>
      <c r="J116" s="811"/>
      <c r="K116" s="811"/>
      <c r="L116" s="811"/>
      <c r="M116" s="811"/>
      <c r="N116" s="811"/>
      <c r="O116" s="811"/>
      <c r="P116" s="811"/>
      <c r="Q116" s="811"/>
      <c r="R116" s="811"/>
      <c r="S116" s="811"/>
      <c r="T116" s="811"/>
      <c r="U116" s="811"/>
      <c r="V116" s="811"/>
      <c r="W116" s="811"/>
      <c r="X116" s="811"/>
      <c r="Y116" s="811"/>
      <c r="Z116" s="811"/>
    </row>
    <row r="117" spans="1:26" ht="15" thickBot="1">
      <c r="A117" s="811"/>
      <c r="B117" s="811"/>
      <c r="C117" s="811"/>
      <c r="D117" s="811"/>
      <c r="E117" s="811"/>
      <c r="F117" s="811"/>
      <c r="G117" s="811"/>
      <c r="H117" s="811"/>
      <c r="I117" s="811"/>
      <c r="J117" s="811"/>
      <c r="K117" s="811"/>
      <c r="L117" s="811"/>
      <c r="M117" s="811"/>
      <c r="N117" s="811"/>
      <c r="O117" s="811"/>
      <c r="P117" s="811"/>
      <c r="Q117" s="811"/>
      <c r="R117" s="811"/>
      <c r="S117" s="811"/>
      <c r="T117" s="811"/>
      <c r="U117" s="811"/>
      <c r="V117" s="811"/>
      <c r="W117" s="811"/>
      <c r="X117" s="811"/>
      <c r="Y117" s="811"/>
      <c r="Z117" s="811"/>
    </row>
    <row r="118" spans="1:26" ht="15" thickBot="1">
      <c r="A118" s="811"/>
      <c r="B118" s="811"/>
      <c r="C118" s="811"/>
      <c r="D118" s="811"/>
      <c r="E118" s="811"/>
      <c r="F118" s="811"/>
      <c r="G118" s="811"/>
      <c r="H118" s="811"/>
      <c r="I118" s="811"/>
      <c r="J118" s="811"/>
      <c r="K118" s="811"/>
      <c r="L118" s="811"/>
      <c r="M118" s="811"/>
      <c r="N118" s="811"/>
      <c r="O118" s="811"/>
      <c r="P118" s="811"/>
      <c r="Q118" s="811"/>
      <c r="R118" s="811"/>
      <c r="S118" s="811"/>
      <c r="T118" s="811"/>
      <c r="U118" s="811"/>
      <c r="V118" s="811"/>
      <c r="W118" s="811"/>
      <c r="X118" s="811"/>
      <c r="Y118" s="811"/>
      <c r="Z118" s="811"/>
    </row>
    <row r="119" spans="1:26" ht="15" thickBot="1">
      <c r="A119" s="811"/>
      <c r="B119" s="811"/>
      <c r="C119" s="811"/>
      <c r="D119" s="811"/>
      <c r="E119" s="811"/>
      <c r="F119" s="811"/>
      <c r="G119" s="811"/>
      <c r="H119" s="811"/>
      <c r="I119" s="811"/>
      <c r="J119" s="811"/>
      <c r="K119" s="811"/>
      <c r="L119" s="811"/>
      <c r="M119" s="811"/>
      <c r="N119" s="811"/>
      <c r="O119" s="811"/>
      <c r="P119" s="811"/>
      <c r="Q119" s="811"/>
      <c r="R119" s="811"/>
      <c r="S119" s="811"/>
      <c r="T119" s="811"/>
      <c r="U119" s="811"/>
      <c r="V119" s="811"/>
      <c r="W119" s="811"/>
      <c r="X119" s="811"/>
      <c r="Y119" s="811"/>
      <c r="Z119" s="811"/>
    </row>
    <row r="120" spans="1:26" ht="15" thickBot="1">
      <c r="A120" s="811"/>
      <c r="B120" s="811"/>
      <c r="C120" s="811"/>
      <c r="D120" s="811"/>
      <c r="E120" s="811"/>
      <c r="F120" s="811"/>
      <c r="G120" s="811"/>
      <c r="H120" s="811"/>
      <c r="I120" s="811"/>
      <c r="J120" s="811"/>
      <c r="K120" s="811"/>
      <c r="L120" s="811"/>
      <c r="M120" s="811"/>
      <c r="N120" s="811"/>
      <c r="O120" s="811"/>
      <c r="P120" s="811"/>
      <c r="Q120" s="811"/>
      <c r="R120" s="811"/>
      <c r="S120" s="811"/>
      <c r="T120" s="811"/>
      <c r="U120" s="811"/>
      <c r="V120" s="811"/>
      <c r="W120" s="811"/>
      <c r="X120" s="811"/>
      <c r="Y120" s="811"/>
      <c r="Z120" s="811"/>
    </row>
    <row r="121" spans="1:26" ht="15" thickBot="1">
      <c r="A121" s="811"/>
      <c r="B121" s="811"/>
      <c r="C121" s="811"/>
      <c r="D121" s="811"/>
      <c r="E121" s="811"/>
      <c r="F121" s="811"/>
      <c r="G121" s="811"/>
      <c r="H121" s="811"/>
      <c r="I121" s="811"/>
      <c r="J121" s="811"/>
      <c r="K121" s="811"/>
      <c r="L121" s="811"/>
      <c r="M121" s="811"/>
      <c r="N121" s="811"/>
      <c r="O121" s="811"/>
      <c r="P121" s="811"/>
      <c r="Q121" s="811"/>
      <c r="R121" s="811"/>
      <c r="S121" s="811"/>
      <c r="T121" s="811"/>
      <c r="U121" s="811"/>
      <c r="V121" s="811"/>
      <c r="W121" s="811"/>
      <c r="X121" s="811"/>
      <c r="Y121" s="811"/>
      <c r="Z121" s="811"/>
    </row>
    <row r="122" spans="1:26" ht="15" thickBot="1">
      <c r="A122" s="811"/>
      <c r="B122" s="811"/>
      <c r="C122" s="811"/>
      <c r="D122" s="811"/>
      <c r="E122" s="811"/>
      <c r="F122" s="811"/>
      <c r="G122" s="811"/>
      <c r="H122" s="811"/>
      <c r="I122" s="811"/>
      <c r="J122" s="811"/>
      <c r="K122" s="811"/>
      <c r="L122" s="811"/>
      <c r="M122" s="811"/>
      <c r="N122" s="811"/>
      <c r="O122" s="811"/>
      <c r="P122" s="811"/>
      <c r="Q122" s="811"/>
      <c r="R122" s="811"/>
      <c r="S122" s="811"/>
      <c r="T122" s="811"/>
      <c r="U122" s="811"/>
      <c r="V122" s="811"/>
      <c r="W122" s="811"/>
      <c r="X122" s="811"/>
      <c r="Y122" s="811"/>
      <c r="Z122" s="811"/>
    </row>
    <row r="123" spans="1:26" ht="15" thickBot="1">
      <c r="A123" s="811"/>
      <c r="B123" s="811"/>
      <c r="C123" s="811"/>
      <c r="D123" s="811"/>
      <c r="E123" s="811"/>
      <c r="F123" s="811"/>
      <c r="G123" s="811"/>
      <c r="H123" s="811"/>
      <c r="I123" s="811"/>
      <c r="J123" s="811"/>
      <c r="K123" s="811"/>
      <c r="L123" s="811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11"/>
      <c r="X123" s="811"/>
      <c r="Y123" s="811"/>
      <c r="Z123" s="811"/>
    </row>
    <row r="124" spans="1:26" ht="15" thickBot="1">
      <c r="A124" s="811"/>
      <c r="B124" s="811"/>
      <c r="C124" s="811"/>
      <c r="D124" s="811"/>
      <c r="E124" s="811"/>
      <c r="F124" s="811"/>
      <c r="G124" s="811"/>
      <c r="H124" s="811"/>
      <c r="I124" s="811"/>
      <c r="J124" s="811"/>
      <c r="K124" s="811"/>
      <c r="L124" s="811"/>
      <c r="M124" s="811"/>
      <c r="N124" s="811"/>
      <c r="O124" s="811"/>
      <c r="P124" s="811"/>
      <c r="Q124" s="811"/>
      <c r="R124" s="811"/>
      <c r="S124" s="811"/>
      <c r="T124" s="811"/>
      <c r="U124" s="811"/>
      <c r="V124" s="811"/>
      <c r="W124" s="811"/>
      <c r="X124" s="811"/>
      <c r="Y124" s="811"/>
      <c r="Z124" s="811"/>
    </row>
    <row r="125" spans="1:26" ht="15" thickBot="1">
      <c r="A125" s="811"/>
      <c r="B125" s="811"/>
      <c r="C125" s="811"/>
      <c r="D125" s="811"/>
      <c r="E125" s="811"/>
      <c r="F125" s="811"/>
      <c r="G125" s="811"/>
      <c r="H125" s="811"/>
      <c r="I125" s="811"/>
      <c r="J125" s="811"/>
      <c r="K125" s="811"/>
      <c r="L125" s="811"/>
      <c r="M125" s="811"/>
      <c r="N125" s="811"/>
      <c r="O125" s="811"/>
      <c r="P125" s="811"/>
      <c r="Q125" s="811"/>
      <c r="R125" s="811"/>
      <c r="S125" s="811"/>
      <c r="T125" s="811"/>
      <c r="U125" s="811"/>
      <c r="V125" s="811"/>
      <c r="W125" s="811"/>
      <c r="X125" s="811"/>
      <c r="Y125" s="811"/>
      <c r="Z125" s="811"/>
    </row>
    <row r="126" spans="1:26" ht="15" thickBot="1">
      <c r="A126" s="811"/>
      <c r="B126" s="811"/>
      <c r="C126" s="811"/>
      <c r="D126" s="811"/>
      <c r="E126" s="811"/>
      <c r="F126" s="811"/>
      <c r="G126" s="811"/>
      <c r="H126" s="811"/>
      <c r="I126" s="811"/>
      <c r="J126" s="811"/>
      <c r="K126" s="811"/>
      <c r="L126" s="811"/>
      <c r="M126" s="811"/>
      <c r="N126" s="811"/>
      <c r="O126" s="811"/>
      <c r="P126" s="811"/>
      <c r="Q126" s="811"/>
      <c r="R126" s="811"/>
      <c r="S126" s="811"/>
      <c r="T126" s="811"/>
      <c r="U126" s="811"/>
      <c r="V126" s="811"/>
      <c r="W126" s="811"/>
      <c r="X126" s="811"/>
      <c r="Y126" s="811"/>
      <c r="Z126" s="811"/>
    </row>
    <row r="127" spans="1:26" ht="15" thickBot="1">
      <c r="A127" s="811"/>
      <c r="B127" s="811"/>
      <c r="C127" s="811"/>
      <c r="D127" s="811"/>
      <c r="E127" s="811"/>
      <c r="F127" s="811"/>
      <c r="G127" s="811"/>
      <c r="H127" s="811"/>
      <c r="I127" s="811"/>
      <c r="J127" s="811"/>
      <c r="K127" s="811"/>
      <c r="L127" s="811"/>
      <c r="M127" s="811"/>
      <c r="N127" s="811"/>
      <c r="O127" s="811"/>
      <c r="P127" s="811"/>
      <c r="Q127" s="811"/>
      <c r="R127" s="811"/>
      <c r="S127" s="811"/>
      <c r="T127" s="811"/>
      <c r="U127" s="811"/>
      <c r="V127" s="811"/>
      <c r="W127" s="811"/>
      <c r="X127" s="811"/>
      <c r="Y127" s="811"/>
      <c r="Z127" s="811"/>
    </row>
    <row r="128" spans="1:26" ht="15" thickBot="1">
      <c r="A128" s="811"/>
      <c r="B128" s="811"/>
      <c r="C128" s="811"/>
      <c r="D128" s="811"/>
      <c r="E128" s="811"/>
      <c r="F128" s="811"/>
      <c r="G128" s="811"/>
      <c r="H128" s="811"/>
      <c r="I128" s="811"/>
      <c r="J128" s="811"/>
      <c r="K128" s="811"/>
      <c r="L128" s="811"/>
      <c r="M128" s="811"/>
      <c r="N128" s="811"/>
      <c r="O128" s="811"/>
      <c r="P128" s="811"/>
      <c r="Q128" s="811"/>
      <c r="R128" s="811"/>
      <c r="S128" s="811"/>
      <c r="T128" s="811"/>
      <c r="U128" s="811"/>
      <c r="V128" s="811"/>
      <c r="W128" s="811"/>
      <c r="X128" s="811"/>
      <c r="Y128" s="811"/>
      <c r="Z128" s="811"/>
    </row>
    <row r="129" spans="1:26" ht="15" thickBot="1">
      <c r="A129" s="811"/>
      <c r="B129" s="811"/>
      <c r="C129" s="811"/>
      <c r="D129" s="811"/>
      <c r="E129" s="811"/>
      <c r="F129" s="811"/>
      <c r="G129" s="811"/>
      <c r="H129" s="811"/>
      <c r="I129" s="811"/>
      <c r="J129" s="811"/>
      <c r="K129" s="811"/>
      <c r="L129" s="811"/>
      <c r="M129" s="811"/>
      <c r="N129" s="811"/>
      <c r="O129" s="811"/>
      <c r="P129" s="811"/>
      <c r="Q129" s="811"/>
      <c r="R129" s="811"/>
      <c r="S129" s="811"/>
      <c r="T129" s="811"/>
      <c r="U129" s="811"/>
      <c r="V129" s="811"/>
      <c r="W129" s="811"/>
      <c r="X129" s="811"/>
      <c r="Y129" s="811"/>
      <c r="Z129" s="811"/>
    </row>
    <row r="130" spans="1:26" ht="15" thickBot="1">
      <c r="A130" s="811"/>
      <c r="B130" s="811"/>
      <c r="C130" s="811"/>
      <c r="D130" s="811"/>
      <c r="E130" s="811"/>
      <c r="F130" s="811"/>
      <c r="G130" s="811"/>
      <c r="H130" s="811"/>
      <c r="I130" s="811"/>
      <c r="J130" s="811"/>
      <c r="K130" s="811"/>
      <c r="L130" s="811"/>
      <c r="M130" s="811"/>
      <c r="N130" s="811"/>
      <c r="O130" s="811"/>
      <c r="P130" s="811"/>
      <c r="Q130" s="811"/>
      <c r="R130" s="811"/>
      <c r="S130" s="811"/>
      <c r="T130" s="811"/>
      <c r="U130" s="811"/>
      <c r="V130" s="811"/>
      <c r="W130" s="811"/>
      <c r="X130" s="811"/>
      <c r="Y130" s="811"/>
      <c r="Z130" s="811"/>
    </row>
    <row r="131" spans="1:26" ht="15" thickBot="1">
      <c r="A131" s="811"/>
      <c r="B131" s="811"/>
      <c r="C131" s="811"/>
      <c r="D131" s="811"/>
      <c r="E131" s="811"/>
      <c r="F131" s="811"/>
      <c r="G131" s="811"/>
      <c r="H131" s="811"/>
      <c r="I131" s="811"/>
      <c r="J131" s="811"/>
      <c r="K131" s="811"/>
      <c r="L131" s="811"/>
      <c r="M131" s="811"/>
      <c r="N131" s="811"/>
      <c r="O131" s="811"/>
      <c r="P131" s="811"/>
      <c r="Q131" s="811"/>
      <c r="R131" s="811"/>
      <c r="S131" s="811"/>
      <c r="T131" s="811"/>
      <c r="U131" s="811"/>
      <c r="V131" s="811"/>
      <c r="W131" s="811"/>
      <c r="X131" s="811"/>
      <c r="Y131" s="811"/>
      <c r="Z131" s="811"/>
    </row>
    <row r="132" spans="1:26" ht="15" thickBot="1">
      <c r="A132" s="811"/>
      <c r="B132" s="811"/>
      <c r="C132" s="811"/>
      <c r="D132" s="811"/>
      <c r="E132" s="811"/>
      <c r="F132" s="811"/>
      <c r="G132" s="811"/>
      <c r="H132" s="811"/>
      <c r="I132" s="811"/>
      <c r="J132" s="811"/>
      <c r="K132" s="811"/>
      <c r="L132" s="811"/>
      <c r="M132" s="811"/>
      <c r="N132" s="811"/>
      <c r="O132" s="811"/>
      <c r="P132" s="811"/>
      <c r="Q132" s="811"/>
      <c r="R132" s="811"/>
      <c r="S132" s="811"/>
      <c r="T132" s="811"/>
      <c r="U132" s="811"/>
      <c r="V132" s="811"/>
      <c r="W132" s="811"/>
      <c r="X132" s="811"/>
      <c r="Y132" s="811"/>
      <c r="Z132" s="811"/>
    </row>
    <row r="133" spans="1:26" ht="15" thickBot="1">
      <c r="A133" s="811"/>
      <c r="B133" s="811"/>
      <c r="C133" s="811"/>
      <c r="D133" s="811"/>
      <c r="E133" s="811"/>
      <c r="F133" s="811"/>
      <c r="G133" s="811"/>
      <c r="H133" s="811"/>
      <c r="I133" s="811"/>
      <c r="J133" s="811"/>
      <c r="K133" s="811"/>
      <c r="L133" s="811"/>
      <c r="M133" s="811"/>
      <c r="N133" s="811"/>
      <c r="O133" s="811"/>
      <c r="P133" s="811"/>
      <c r="Q133" s="811"/>
      <c r="R133" s="811"/>
      <c r="S133" s="811"/>
      <c r="T133" s="811"/>
      <c r="U133" s="811"/>
      <c r="V133" s="811"/>
      <c r="W133" s="811"/>
      <c r="X133" s="811"/>
      <c r="Y133" s="811"/>
      <c r="Z133" s="811"/>
    </row>
    <row r="134" spans="1:26" ht="15" thickBot="1">
      <c r="A134" s="811"/>
      <c r="B134" s="811"/>
      <c r="C134" s="811"/>
      <c r="D134" s="811"/>
      <c r="E134" s="811"/>
      <c r="F134" s="811"/>
      <c r="G134" s="811"/>
      <c r="H134" s="811"/>
      <c r="I134" s="811"/>
      <c r="J134" s="811"/>
      <c r="K134" s="811"/>
      <c r="L134" s="811"/>
      <c r="M134" s="811"/>
      <c r="N134" s="811"/>
      <c r="O134" s="811"/>
      <c r="P134" s="811"/>
      <c r="Q134" s="811"/>
      <c r="R134" s="811"/>
      <c r="S134" s="811"/>
      <c r="T134" s="811"/>
      <c r="U134" s="811"/>
      <c r="V134" s="811"/>
      <c r="W134" s="811"/>
      <c r="X134" s="811"/>
      <c r="Y134" s="811"/>
      <c r="Z134" s="811"/>
    </row>
    <row r="135" spans="1:26" ht="15" thickBot="1">
      <c r="A135" s="811"/>
      <c r="B135" s="811"/>
      <c r="C135" s="811"/>
      <c r="D135" s="811"/>
      <c r="E135" s="811"/>
      <c r="F135" s="811"/>
      <c r="G135" s="811"/>
      <c r="H135" s="811"/>
      <c r="I135" s="811"/>
      <c r="J135" s="811"/>
      <c r="K135" s="811"/>
      <c r="L135" s="811"/>
      <c r="M135" s="811"/>
      <c r="N135" s="811"/>
      <c r="O135" s="811"/>
      <c r="P135" s="811"/>
      <c r="Q135" s="811"/>
      <c r="R135" s="811"/>
      <c r="S135" s="811"/>
      <c r="T135" s="811"/>
      <c r="U135" s="811"/>
      <c r="V135" s="811"/>
      <c r="W135" s="811"/>
      <c r="X135" s="811"/>
      <c r="Y135" s="811"/>
      <c r="Z135" s="811"/>
    </row>
    <row r="136" spans="1:26" ht="15" thickBot="1">
      <c r="A136" s="811"/>
      <c r="B136" s="811"/>
      <c r="C136" s="811"/>
      <c r="D136" s="811"/>
      <c r="E136" s="811"/>
      <c r="F136" s="811"/>
      <c r="G136" s="811"/>
      <c r="H136" s="811"/>
      <c r="I136" s="811"/>
      <c r="J136" s="811"/>
      <c r="K136" s="811"/>
      <c r="L136" s="811"/>
      <c r="M136" s="811"/>
      <c r="N136" s="811"/>
      <c r="O136" s="811"/>
      <c r="P136" s="811"/>
      <c r="Q136" s="811"/>
      <c r="R136" s="811"/>
      <c r="S136" s="811"/>
      <c r="T136" s="811"/>
      <c r="U136" s="811"/>
      <c r="V136" s="811"/>
      <c r="W136" s="811"/>
      <c r="X136" s="811"/>
      <c r="Y136" s="811"/>
      <c r="Z136" s="811"/>
    </row>
    <row r="137" spans="1:26" ht="15" thickBot="1">
      <c r="A137" s="811"/>
      <c r="B137" s="811"/>
      <c r="C137" s="811"/>
      <c r="D137" s="811"/>
      <c r="E137" s="811"/>
      <c r="F137" s="811"/>
      <c r="G137" s="811"/>
      <c r="H137" s="811"/>
      <c r="I137" s="811"/>
      <c r="J137" s="811"/>
      <c r="K137" s="811"/>
      <c r="L137" s="811"/>
      <c r="M137" s="811"/>
      <c r="N137" s="811"/>
      <c r="O137" s="811"/>
      <c r="P137" s="811"/>
      <c r="Q137" s="811"/>
      <c r="R137" s="811"/>
      <c r="S137" s="811"/>
      <c r="T137" s="811"/>
      <c r="U137" s="811"/>
      <c r="V137" s="811"/>
      <c r="W137" s="811"/>
      <c r="X137" s="811"/>
      <c r="Y137" s="811"/>
      <c r="Z137" s="811"/>
    </row>
    <row r="138" spans="1:26" ht="15" thickBot="1">
      <c r="A138" s="811"/>
      <c r="B138" s="811"/>
      <c r="C138" s="811"/>
      <c r="D138" s="811"/>
      <c r="E138" s="811"/>
      <c r="F138" s="811"/>
      <c r="G138" s="811"/>
      <c r="H138" s="811"/>
      <c r="I138" s="811"/>
      <c r="J138" s="811"/>
      <c r="K138" s="811"/>
      <c r="L138" s="811"/>
      <c r="M138" s="811"/>
      <c r="N138" s="811"/>
      <c r="O138" s="811"/>
      <c r="P138" s="811"/>
      <c r="Q138" s="811"/>
      <c r="R138" s="811"/>
      <c r="S138" s="811"/>
      <c r="T138" s="811"/>
      <c r="U138" s="811"/>
      <c r="V138" s="811"/>
      <c r="W138" s="811"/>
      <c r="X138" s="811"/>
      <c r="Y138" s="811"/>
      <c r="Z138" s="811"/>
    </row>
    <row r="139" spans="1:26" ht="15" thickBot="1">
      <c r="A139" s="811"/>
      <c r="B139" s="811"/>
      <c r="C139" s="811"/>
      <c r="D139" s="811"/>
      <c r="E139" s="811"/>
      <c r="F139" s="811"/>
      <c r="G139" s="811"/>
      <c r="H139" s="811"/>
      <c r="I139" s="811"/>
      <c r="J139" s="811"/>
      <c r="K139" s="811"/>
      <c r="L139" s="811"/>
      <c r="M139" s="811"/>
      <c r="N139" s="811"/>
      <c r="O139" s="811"/>
      <c r="P139" s="811"/>
      <c r="Q139" s="811"/>
      <c r="R139" s="811"/>
      <c r="S139" s="811"/>
      <c r="T139" s="811"/>
      <c r="U139" s="811"/>
      <c r="V139" s="811"/>
      <c r="W139" s="811"/>
      <c r="X139" s="811"/>
      <c r="Y139" s="811"/>
      <c r="Z139" s="811"/>
    </row>
    <row r="140" spans="1:26" ht="15" thickBot="1">
      <c r="A140" s="811"/>
      <c r="B140" s="811"/>
      <c r="C140" s="811"/>
      <c r="D140" s="811"/>
      <c r="E140" s="811"/>
      <c r="F140" s="811"/>
      <c r="G140" s="811"/>
      <c r="H140" s="811"/>
      <c r="I140" s="811"/>
      <c r="J140" s="811"/>
      <c r="K140" s="811"/>
      <c r="L140" s="811"/>
      <c r="M140" s="811"/>
      <c r="N140" s="811"/>
      <c r="O140" s="811"/>
      <c r="P140" s="811"/>
      <c r="Q140" s="811"/>
      <c r="R140" s="811"/>
      <c r="S140" s="811"/>
      <c r="T140" s="811"/>
      <c r="U140" s="811"/>
      <c r="V140" s="811"/>
      <c r="W140" s="811"/>
      <c r="X140" s="811"/>
      <c r="Y140" s="811"/>
      <c r="Z140" s="811"/>
    </row>
    <row r="141" spans="1:26" ht="15" thickBot="1">
      <c r="A141" s="811"/>
      <c r="B141" s="811"/>
      <c r="C141" s="811"/>
      <c r="D141" s="811"/>
      <c r="E141" s="811"/>
      <c r="F141" s="811"/>
      <c r="G141" s="811"/>
      <c r="H141" s="811"/>
      <c r="I141" s="811"/>
      <c r="J141" s="811"/>
      <c r="K141" s="811"/>
      <c r="L141" s="811"/>
      <c r="M141" s="811"/>
      <c r="N141" s="811"/>
      <c r="O141" s="811"/>
      <c r="P141" s="811"/>
      <c r="Q141" s="811"/>
      <c r="R141" s="811"/>
      <c r="S141" s="811"/>
      <c r="T141" s="811"/>
      <c r="U141" s="811"/>
      <c r="V141" s="811"/>
      <c r="W141" s="811"/>
      <c r="X141" s="811"/>
      <c r="Y141" s="811"/>
      <c r="Z141" s="811"/>
    </row>
    <row r="142" spans="1:26" ht="15" thickBot="1">
      <c r="A142" s="811"/>
      <c r="B142" s="811"/>
      <c r="C142" s="811"/>
      <c r="D142" s="811"/>
      <c r="E142" s="811"/>
      <c r="F142" s="811"/>
      <c r="G142" s="811"/>
      <c r="H142" s="811"/>
      <c r="I142" s="811"/>
      <c r="J142" s="811"/>
      <c r="K142" s="811"/>
      <c r="L142" s="811"/>
      <c r="M142" s="811"/>
      <c r="N142" s="811"/>
      <c r="O142" s="811"/>
      <c r="P142" s="811"/>
      <c r="Q142" s="811"/>
      <c r="R142" s="811"/>
      <c r="S142" s="811"/>
      <c r="T142" s="811"/>
      <c r="U142" s="811"/>
      <c r="V142" s="811"/>
      <c r="W142" s="811"/>
      <c r="X142" s="811"/>
      <c r="Y142" s="811"/>
      <c r="Z142" s="811"/>
    </row>
    <row r="143" spans="1:26" ht="15" thickBot="1">
      <c r="A143" s="811"/>
      <c r="B143" s="811"/>
      <c r="C143" s="811"/>
      <c r="D143" s="811"/>
      <c r="E143" s="811"/>
      <c r="F143" s="811"/>
      <c r="G143" s="811"/>
      <c r="H143" s="811"/>
      <c r="I143" s="811"/>
      <c r="J143" s="811"/>
      <c r="K143" s="811"/>
      <c r="L143" s="811"/>
      <c r="M143" s="811"/>
      <c r="N143" s="811"/>
      <c r="O143" s="811"/>
      <c r="P143" s="811"/>
      <c r="Q143" s="811"/>
      <c r="R143" s="811"/>
      <c r="S143" s="811"/>
      <c r="T143" s="811"/>
      <c r="U143" s="811"/>
      <c r="V143" s="811"/>
      <c r="W143" s="811"/>
      <c r="X143" s="811"/>
      <c r="Y143" s="811"/>
      <c r="Z143" s="811"/>
    </row>
    <row r="144" spans="1:26" ht="15" thickBot="1">
      <c r="A144" s="811"/>
      <c r="B144" s="811"/>
      <c r="C144" s="811"/>
      <c r="D144" s="811"/>
      <c r="E144" s="811"/>
      <c r="F144" s="811"/>
      <c r="G144" s="811"/>
      <c r="H144" s="811"/>
      <c r="I144" s="811"/>
      <c r="J144" s="811"/>
      <c r="K144" s="811"/>
      <c r="L144" s="811"/>
      <c r="M144" s="811"/>
      <c r="N144" s="811"/>
      <c r="O144" s="811"/>
      <c r="P144" s="811"/>
      <c r="Q144" s="811"/>
      <c r="R144" s="811"/>
      <c r="S144" s="811"/>
      <c r="T144" s="811"/>
      <c r="U144" s="811"/>
      <c r="V144" s="811"/>
      <c r="W144" s="811"/>
      <c r="X144" s="811"/>
      <c r="Y144" s="811"/>
      <c r="Z144" s="811"/>
    </row>
    <row r="145" spans="1:26" ht="15" thickBot="1">
      <c r="A145" s="811"/>
      <c r="B145" s="811"/>
      <c r="C145" s="811"/>
      <c r="D145" s="811"/>
      <c r="E145" s="811"/>
      <c r="F145" s="811"/>
      <c r="G145" s="811"/>
      <c r="H145" s="811"/>
      <c r="I145" s="811"/>
      <c r="J145" s="811"/>
      <c r="K145" s="811"/>
      <c r="L145" s="811"/>
      <c r="M145" s="811"/>
      <c r="N145" s="811"/>
      <c r="O145" s="811"/>
      <c r="P145" s="811"/>
      <c r="Q145" s="811"/>
      <c r="R145" s="811"/>
      <c r="S145" s="811"/>
      <c r="T145" s="811"/>
      <c r="U145" s="811"/>
      <c r="V145" s="811"/>
      <c r="W145" s="811"/>
      <c r="X145" s="811"/>
      <c r="Y145" s="811"/>
      <c r="Z145" s="811"/>
    </row>
    <row r="146" spans="1:26" ht="15" thickBot="1">
      <c r="A146" s="811"/>
      <c r="B146" s="811"/>
      <c r="C146" s="811"/>
      <c r="D146" s="811"/>
      <c r="E146" s="811"/>
      <c r="F146" s="811"/>
      <c r="G146" s="811"/>
      <c r="H146" s="811"/>
      <c r="I146" s="811"/>
      <c r="J146" s="811"/>
      <c r="K146" s="811"/>
      <c r="L146" s="811"/>
      <c r="M146" s="811"/>
      <c r="N146" s="811"/>
      <c r="O146" s="811"/>
      <c r="P146" s="811"/>
      <c r="Q146" s="811"/>
      <c r="R146" s="811"/>
      <c r="S146" s="811"/>
      <c r="T146" s="811"/>
      <c r="U146" s="811"/>
      <c r="V146" s="811"/>
      <c r="W146" s="811"/>
      <c r="X146" s="811"/>
      <c r="Y146" s="811"/>
      <c r="Z146" s="811"/>
    </row>
    <row r="147" spans="1:26" ht="15" thickBot="1">
      <c r="A147" s="811"/>
      <c r="B147" s="811"/>
      <c r="C147" s="811"/>
      <c r="D147" s="811"/>
      <c r="E147" s="811"/>
      <c r="F147" s="811"/>
      <c r="G147" s="811"/>
      <c r="H147" s="811"/>
      <c r="I147" s="811"/>
      <c r="J147" s="811"/>
      <c r="K147" s="811"/>
      <c r="L147" s="811"/>
      <c r="M147" s="811"/>
      <c r="N147" s="811"/>
      <c r="O147" s="811"/>
      <c r="P147" s="811"/>
      <c r="Q147" s="811"/>
      <c r="R147" s="811"/>
      <c r="S147" s="811"/>
      <c r="T147" s="811"/>
      <c r="U147" s="811"/>
      <c r="V147" s="811"/>
      <c r="W147" s="811"/>
      <c r="X147" s="811"/>
      <c r="Y147" s="811"/>
      <c r="Z147" s="811"/>
    </row>
    <row r="148" spans="1:26" ht="15" thickBot="1">
      <c r="A148" s="811"/>
      <c r="B148" s="811"/>
      <c r="C148" s="811"/>
      <c r="D148" s="811"/>
      <c r="E148" s="811"/>
      <c r="F148" s="811"/>
      <c r="G148" s="811"/>
      <c r="H148" s="811"/>
      <c r="I148" s="811"/>
      <c r="J148" s="811"/>
      <c r="K148" s="811"/>
      <c r="L148" s="811"/>
      <c r="M148" s="811"/>
      <c r="N148" s="811"/>
      <c r="O148" s="811"/>
      <c r="P148" s="811"/>
      <c r="Q148" s="811"/>
      <c r="R148" s="811"/>
      <c r="S148" s="811"/>
      <c r="T148" s="811"/>
      <c r="U148" s="811"/>
      <c r="V148" s="811"/>
      <c r="W148" s="811"/>
      <c r="X148" s="811"/>
      <c r="Y148" s="811"/>
      <c r="Z148" s="811"/>
    </row>
    <row r="149" spans="1:26" ht="15" thickBot="1">
      <c r="A149" s="811"/>
      <c r="B149" s="811"/>
      <c r="C149" s="811"/>
      <c r="D149" s="811"/>
      <c r="E149" s="811"/>
      <c r="F149" s="811"/>
      <c r="G149" s="811"/>
      <c r="H149" s="811"/>
      <c r="I149" s="811"/>
      <c r="J149" s="811"/>
      <c r="K149" s="811"/>
      <c r="L149" s="811"/>
      <c r="M149" s="811"/>
      <c r="N149" s="811"/>
      <c r="O149" s="811"/>
      <c r="P149" s="811"/>
      <c r="Q149" s="811"/>
      <c r="R149" s="811"/>
      <c r="S149" s="811"/>
      <c r="T149" s="811"/>
      <c r="U149" s="811"/>
      <c r="V149" s="811"/>
      <c r="W149" s="811"/>
      <c r="X149" s="811"/>
      <c r="Y149" s="811"/>
      <c r="Z149" s="811"/>
    </row>
    <row r="150" spans="1:26" ht="15" thickBot="1">
      <c r="A150" s="811"/>
      <c r="B150" s="811"/>
      <c r="C150" s="811"/>
      <c r="D150" s="811"/>
      <c r="E150" s="811"/>
      <c r="F150" s="811"/>
      <c r="G150" s="811"/>
      <c r="H150" s="811"/>
      <c r="I150" s="811"/>
      <c r="J150" s="811"/>
      <c r="K150" s="811"/>
      <c r="L150" s="811"/>
      <c r="M150" s="811"/>
      <c r="N150" s="811"/>
      <c r="O150" s="811"/>
      <c r="P150" s="811"/>
      <c r="Q150" s="811"/>
      <c r="R150" s="811"/>
      <c r="S150" s="811"/>
      <c r="T150" s="811"/>
      <c r="U150" s="811"/>
      <c r="V150" s="811"/>
      <c r="W150" s="811"/>
      <c r="X150" s="811"/>
      <c r="Y150" s="811"/>
      <c r="Z150" s="811"/>
    </row>
    <row r="151" spans="1:26" ht="15" thickBot="1">
      <c r="A151" s="811"/>
      <c r="B151" s="811"/>
      <c r="C151" s="811"/>
      <c r="D151" s="811"/>
      <c r="E151" s="811"/>
      <c r="F151" s="811"/>
      <c r="G151" s="811"/>
      <c r="H151" s="811"/>
      <c r="I151" s="811"/>
      <c r="J151" s="811"/>
      <c r="K151" s="811"/>
      <c r="L151" s="811"/>
      <c r="M151" s="811"/>
      <c r="N151" s="811"/>
      <c r="O151" s="811"/>
      <c r="P151" s="811"/>
      <c r="Q151" s="811"/>
      <c r="R151" s="811"/>
      <c r="S151" s="811"/>
      <c r="T151" s="811"/>
      <c r="U151" s="811"/>
      <c r="V151" s="811"/>
      <c r="W151" s="811"/>
      <c r="X151" s="811"/>
      <c r="Y151" s="811"/>
      <c r="Z151" s="811"/>
    </row>
    <row r="152" spans="1:26" ht="15" thickBot="1">
      <c r="A152" s="811"/>
      <c r="B152" s="811"/>
      <c r="C152" s="811"/>
      <c r="D152" s="811"/>
      <c r="E152" s="811"/>
      <c r="F152" s="811"/>
      <c r="G152" s="811"/>
      <c r="H152" s="811"/>
      <c r="I152" s="811"/>
      <c r="J152" s="811"/>
      <c r="K152" s="811"/>
      <c r="L152" s="811"/>
      <c r="M152" s="811"/>
      <c r="N152" s="811"/>
      <c r="O152" s="811"/>
      <c r="P152" s="811"/>
      <c r="Q152" s="811"/>
      <c r="R152" s="811"/>
      <c r="S152" s="811"/>
      <c r="T152" s="811"/>
      <c r="U152" s="811"/>
      <c r="V152" s="811"/>
      <c r="W152" s="811"/>
      <c r="X152" s="811"/>
      <c r="Y152" s="811"/>
      <c r="Z152" s="811"/>
    </row>
    <row r="153" spans="1:26" ht="15" thickBot="1">
      <c r="A153" s="811"/>
      <c r="B153" s="811"/>
      <c r="C153" s="811"/>
      <c r="D153" s="811"/>
      <c r="E153" s="811"/>
      <c r="F153" s="811"/>
      <c r="G153" s="811"/>
      <c r="H153" s="811"/>
      <c r="I153" s="811"/>
      <c r="J153" s="811"/>
      <c r="K153" s="811"/>
      <c r="L153" s="811"/>
      <c r="M153" s="811"/>
      <c r="N153" s="811"/>
      <c r="O153" s="811"/>
      <c r="P153" s="811"/>
      <c r="Q153" s="811"/>
      <c r="R153" s="811"/>
      <c r="S153" s="811"/>
      <c r="T153" s="811"/>
      <c r="U153" s="811"/>
      <c r="V153" s="811"/>
      <c r="W153" s="811"/>
      <c r="X153" s="811"/>
      <c r="Y153" s="811"/>
      <c r="Z153" s="811"/>
    </row>
    <row r="154" spans="1:26" ht="15" thickBot="1">
      <c r="A154" s="811"/>
      <c r="B154" s="811"/>
      <c r="C154" s="811"/>
      <c r="D154" s="811"/>
      <c r="E154" s="811"/>
      <c r="F154" s="811"/>
      <c r="G154" s="811"/>
      <c r="H154" s="811"/>
      <c r="I154" s="811"/>
      <c r="J154" s="811"/>
      <c r="K154" s="811"/>
      <c r="L154" s="811"/>
      <c r="M154" s="811"/>
      <c r="N154" s="811"/>
      <c r="O154" s="811"/>
      <c r="P154" s="811"/>
      <c r="Q154" s="811"/>
      <c r="R154" s="811"/>
      <c r="S154" s="811"/>
      <c r="T154" s="811"/>
      <c r="U154" s="811"/>
      <c r="V154" s="811"/>
      <c r="W154" s="811"/>
      <c r="X154" s="811"/>
      <c r="Y154" s="811"/>
      <c r="Z154" s="811"/>
    </row>
    <row r="155" spans="1:26" ht="15" thickBot="1">
      <c r="A155" s="811"/>
      <c r="B155" s="811"/>
      <c r="C155" s="811"/>
      <c r="D155" s="811"/>
      <c r="E155" s="811"/>
      <c r="F155" s="811"/>
      <c r="G155" s="811"/>
      <c r="H155" s="811"/>
      <c r="I155" s="811"/>
      <c r="J155" s="811"/>
      <c r="K155" s="811"/>
      <c r="L155" s="811"/>
      <c r="M155" s="811"/>
      <c r="N155" s="811"/>
      <c r="O155" s="811"/>
      <c r="P155" s="811"/>
      <c r="Q155" s="811"/>
      <c r="R155" s="811"/>
      <c r="S155" s="811"/>
      <c r="T155" s="811"/>
      <c r="U155" s="811"/>
      <c r="V155" s="811"/>
      <c r="W155" s="811"/>
      <c r="X155" s="811"/>
      <c r="Y155" s="811"/>
      <c r="Z155" s="811"/>
    </row>
    <row r="156" spans="1:26" ht="15" thickBot="1">
      <c r="A156" s="811"/>
      <c r="B156" s="811"/>
      <c r="C156" s="811"/>
      <c r="D156" s="811"/>
      <c r="E156" s="811"/>
      <c r="F156" s="811"/>
      <c r="G156" s="811"/>
      <c r="H156" s="811"/>
      <c r="I156" s="811"/>
      <c r="J156" s="811"/>
      <c r="K156" s="811"/>
      <c r="L156" s="811"/>
      <c r="M156" s="811"/>
      <c r="N156" s="811"/>
      <c r="O156" s="811"/>
      <c r="P156" s="811"/>
      <c r="Q156" s="811"/>
      <c r="R156" s="811"/>
      <c r="S156" s="811"/>
      <c r="T156" s="811"/>
      <c r="U156" s="811"/>
      <c r="V156" s="811"/>
      <c r="W156" s="811"/>
      <c r="X156" s="811"/>
      <c r="Y156" s="811"/>
      <c r="Z156" s="811"/>
    </row>
    <row r="157" spans="1:26" ht="15" thickBot="1">
      <c r="A157" s="811"/>
      <c r="B157" s="811"/>
      <c r="C157" s="811"/>
      <c r="D157" s="811"/>
      <c r="E157" s="811"/>
      <c r="F157" s="811"/>
      <c r="G157" s="811"/>
      <c r="H157" s="811"/>
      <c r="I157" s="811"/>
      <c r="J157" s="811"/>
      <c r="K157" s="811"/>
      <c r="L157" s="811"/>
      <c r="M157" s="811"/>
      <c r="N157" s="811"/>
      <c r="O157" s="811"/>
      <c r="P157" s="811"/>
      <c r="Q157" s="811"/>
      <c r="R157" s="811"/>
      <c r="S157" s="811"/>
      <c r="T157" s="811"/>
      <c r="U157" s="811"/>
      <c r="V157" s="811"/>
      <c r="W157" s="811"/>
      <c r="X157" s="811"/>
      <c r="Y157" s="811"/>
      <c r="Z157" s="811"/>
    </row>
    <row r="158" spans="1:26" ht="15" thickBot="1">
      <c r="A158" s="811"/>
      <c r="B158" s="811"/>
      <c r="C158" s="811"/>
      <c r="D158" s="811"/>
      <c r="E158" s="811"/>
      <c r="F158" s="811"/>
      <c r="G158" s="811"/>
      <c r="H158" s="811"/>
      <c r="I158" s="811"/>
      <c r="J158" s="811"/>
      <c r="K158" s="811"/>
      <c r="L158" s="811"/>
      <c r="M158" s="811"/>
      <c r="N158" s="811"/>
      <c r="O158" s="811"/>
      <c r="P158" s="811"/>
      <c r="Q158" s="811"/>
      <c r="R158" s="811"/>
      <c r="S158" s="811"/>
      <c r="T158" s="811"/>
      <c r="U158" s="811"/>
      <c r="V158" s="811"/>
      <c r="W158" s="811"/>
      <c r="X158" s="811"/>
      <c r="Y158" s="811"/>
      <c r="Z158" s="811"/>
    </row>
    <row r="159" spans="1:26" ht="15" thickBot="1">
      <c r="A159" s="811"/>
      <c r="B159" s="811"/>
      <c r="C159" s="811"/>
      <c r="D159" s="811"/>
      <c r="E159" s="811"/>
      <c r="F159" s="811"/>
      <c r="G159" s="811"/>
      <c r="H159" s="811"/>
      <c r="I159" s="811"/>
      <c r="J159" s="811"/>
      <c r="K159" s="811"/>
      <c r="L159" s="811"/>
      <c r="M159" s="811"/>
      <c r="N159" s="811"/>
      <c r="O159" s="811"/>
      <c r="P159" s="811"/>
      <c r="Q159" s="811"/>
      <c r="R159" s="811"/>
      <c r="S159" s="811"/>
      <c r="T159" s="811"/>
      <c r="U159" s="811"/>
      <c r="V159" s="811"/>
      <c r="W159" s="811"/>
      <c r="X159" s="811"/>
      <c r="Y159" s="811"/>
      <c r="Z159" s="811"/>
    </row>
    <row r="160" spans="1:26" ht="15" thickBot="1">
      <c r="A160" s="811"/>
      <c r="B160" s="811"/>
      <c r="C160" s="811"/>
      <c r="D160" s="811"/>
      <c r="E160" s="811"/>
      <c r="F160" s="811"/>
      <c r="G160" s="811"/>
      <c r="H160" s="811"/>
      <c r="I160" s="811"/>
      <c r="J160" s="811"/>
      <c r="K160" s="811"/>
      <c r="L160" s="811"/>
      <c r="M160" s="811"/>
      <c r="N160" s="811"/>
      <c r="O160" s="811"/>
      <c r="P160" s="811"/>
      <c r="Q160" s="811"/>
      <c r="R160" s="811"/>
      <c r="S160" s="811"/>
      <c r="T160" s="811"/>
      <c r="U160" s="811"/>
      <c r="V160" s="811"/>
      <c r="W160" s="811"/>
      <c r="X160" s="811"/>
      <c r="Y160" s="811"/>
      <c r="Z160" s="811"/>
    </row>
    <row r="161" spans="1:26" ht="15" thickBot="1">
      <c r="A161" s="811"/>
      <c r="B161" s="811"/>
      <c r="C161" s="811"/>
      <c r="D161" s="811"/>
      <c r="E161" s="811"/>
      <c r="F161" s="811"/>
      <c r="G161" s="811"/>
      <c r="H161" s="811"/>
      <c r="I161" s="811"/>
      <c r="J161" s="811"/>
      <c r="K161" s="811"/>
      <c r="L161" s="811"/>
      <c r="M161" s="811"/>
      <c r="N161" s="811"/>
      <c r="O161" s="811"/>
      <c r="P161" s="811"/>
      <c r="Q161" s="811"/>
      <c r="R161" s="811"/>
      <c r="S161" s="811"/>
      <c r="T161" s="811"/>
      <c r="U161" s="811"/>
      <c r="V161" s="811"/>
      <c r="W161" s="811"/>
      <c r="X161" s="811"/>
      <c r="Y161" s="811"/>
      <c r="Z161" s="811"/>
    </row>
    <row r="162" spans="1:26" ht="15" thickBot="1">
      <c r="A162" s="811"/>
      <c r="B162" s="811"/>
      <c r="C162" s="811"/>
      <c r="D162" s="811"/>
      <c r="E162" s="811"/>
      <c r="F162" s="811"/>
      <c r="G162" s="811"/>
      <c r="H162" s="811"/>
      <c r="I162" s="811"/>
      <c r="J162" s="811"/>
      <c r="K162" s="811"/>
      <c r="L162" s="811"/>
      <c r="M162" s="811"/>
      <c r="N162" s="811"/>
      <c r="O162" s="811"/>
      <c r="P162" s="811"/>
      <c r="Q162" s="811"/>
      <c r="R162" s="811"/>
      <c r="S162" s="811"/>
      <c r="T162" s="811"/>
      <c r="U162" s="811"/>
      <c r="V162" s="811"/>
      <c r="W162" s="811"/>
      <c r="X162" s="811"/>
      <c r="Y162" s="811"/>
      <c r="Z162" s="811"/>
    </row>
    <row r="163" spans="1:26" ht="15" thickBot="1">
      <c r="A163" s="811"/>
      <c r="B163" s="811"/>
      <c r="C163" s="811"/>
      <c r="D163" s="811"/>
      <c r="E163" s="811"/>
      <c r="F163" s="811"/>
      <c r="G163" s="811"/>
      <c r="H163" s="811"/>
      <c r="I163" s="811"/>
      <c r="J163" s="811"/>
      <c r="K163" s="811"/>
      <c r="L163" s="811"/>
      <c r="M163" s="811"/>
      <c r="N163" s="811"/>
      <c r="O163" s="811"/>
      <c r="P163" s="811"/>
      <c r="Q163" s="811"/>
      <c r="R163" s="811"/>
      <c r="S163" s="811"/>
      <c r="T163" s="811"/>
      <c r="U163" s="811"/>
      <c r="V163" s="811"/>
      <c r="W163" s="811"/>
      <c r="X163" s="811"/>
      <c r="Y163" s="811"/>
      <c r="Z163" s="811"/>
    </row>
    <row r="164" spans="1:26" ht="15" thickBot="1">
      <c r="A164" s="811"/>
      <c r="B164" s="811"/>
      <c r="C164" s="811"/>
      <c r="D164" s="811"/>
      <c r="E164" s="811"/>
      <c r="F164" s="811"/>
      <c r="G164" s="811"/>
      <c r="H164" s="811"/>
      <c r="I164" s="811"/>
      <c r="J164" s="811"/>
      <c r="K164" s="811"/>
      <c r="L164" s="811"/>
      <c r="M164" s="811"/>
      <c r="N164" s="811"/>
      <c r="O164" s="811"/>
      <c r="P164" s="811"/>
      <c r="Q164" s="811"/>
      <c r="R164" s="811"/>
      <c r="S164" s="811"/>
      <c r="T164" s="811"/>
      <c r="U164" s="811"/>
      <c r="V164" s="811"/>
      <c r="W164" s="811"/>
      <c r="X164" s="811"/>
      <c r="Y164" s="811"/>
      <c r="Z164" s="811"/>
    </row>
    <row r="165" spans="1:26" ht="15" thickBot="1">
      <c r="A165" s="811"/>
      <c r="B165" s="811"/>
      <c r="C165" s="811"/>
      <c r="D165" s="811"/>
      <c r="E165" s="811"/>
      <c r="F165" s="811"/>
      <c r="G165" s="811"/>
      <c r="H165" s="811"/>
      <c r="I165" s="811"/>
      <c r="J165" s="811"/>
      <c r="K165" s="811"/>
      <c r="L165" s="811"/>
      <c r="M165" s="811"/>
      <c r="N165" s="811"/>
      <c r="O165" s="811"/>
      <c r="P165" s="811"/>
      <c r="Q165" s="811"/>
      <c r="R165" s="811"/>
      <c r="S165" s="811"/>
      <c r="T165" s="811"/>
      <c r="U165" s="811"/>
      <c r="V165" s="811"/>
      <c r="W165" s="811"/>
      <c r="X165" s="811"/>
      <c r="Y165" s="811"/>
      <c r="Z165" s="811"/>
    </row>
    <row r="166" spans="1:26" ht="15" thickBot="1">
      <c r="A166" s="811"/>
      <c r="B166" s="811"/>
      <c r="C166" s="811"/>
      <c r="D166" s="811"/>
      <c r="E166" s="811"/>
      <c r="F166" s="811"/>
      <c r="G166" s="811"/>
      <c r="H166" s="811"/>
      <c r="I166" s="811"/>
      <c r="J166" s="811"/>
      <c r="K166" s="811"/>
      <c r="L166" s="811"/>
      <c r="M166" s="811"/>
      <c r="N166" s="811"/>
      <c r="O166" s="811"/>
      <c r="P166" s="811"/>
      <c r="Q166" s="811"/>
      <c r="R166" s="811"/>
      <c r="S166" s="811"/>
      <c r="T166" s="811"/>
      <c r="U166" s="811"/>
      <c r="V166" s="811"/>
      <c r="W166" s="811"/>
      <c r="X166" s="811"/>
      <c r="Y166" s="811"/>
      <c r="Z166" s="811"/>
    </row>
    <row r="167" spans="1:26" ht="15" thickBot="1">
      <c r="A167" s="811"/>
      <c r="B167" s="811"/>
      <c r="C167" s="811"/>
      <c r="D167" s="811"/>
      <c r="E167" s="811"/>
      <c r="F167" s="811"/>
      <c r="G167" s="811"/>
      <c r="H167" s="811"/>
      <c r="I167" s="811"/>
      <c r="J167" s="811"/>
      <c r="K167" s="811"/>
      <c r="L167" s="811"/>
      <c r="M167" s="811"/>
      <c r="N167" s="811"/>
      <c r="O167" s="811"/>
      <c r="P167" s="811"/>
      <c r="Q167" s="811"/>
      <c r="R167" s="811"/>
      <c r="S167" s="811"/>
      <c r="T167" s="811"/>
      <c r="U167" s="811"/>
      <c r="V167" s="811"/>
      <c r="W167" s="811"/>
      <c r="X167" s="811"/>
      <c r="Y167" s="811"/>
      <c r="Z167" s="811"/>
    </row>
    <row r="168" spans="1:26" ht="15" thickBot="1">
      <c r="A168" s="811"/>
      <c r="B168" s="811"/>
      <c r="C168" s="811"/>
      <c r="D168" s="811"/>
      <c r="E168" s="811"/>
      <c r="F168" s="811"/>
      <c r="G168" s="811"/>
      <c r="H168" s="811"/>
      <c r="I168" s="811"/>
      <c r="J168" s="811"/>
      <c r="K168" s="811"/>
      <c r="L168" s="811"/>
      <c r="M168" s="811"/>
      <c r="N168" s="811"/>
      <c r="O168" s="811"/>
      <c r="P168" s="811"/>
      <c r="Q168" s="811"/>
      <c r="R168" s="811"/>
      <c r="S168" s="811"/>
      <c r="T168" s="811"/>
      <c r="U168" s="811"/>
      <c r="V168" s="811"/>
      <c r="W168" s="811"/>
      <c r="X168" s="811"/>
      <c r="Y168" s="811"/>
      <c r="Z168" s="811"/>
    </row>
    <row r="169" spans="1:26" ht="15" thickBot="1">
      <c r="A169" s="811"/>
      <c r="B169" s="811"/>
      <c r="C169" s="811"/>
      <c r="D169" s="811"/>
      <c r="E169" s="811"/>
      <c r="F169" s="811"/>
      <c r="G169" s="811"/>
      <c r="H169" s="811"/>
      <c r="I169" s="811"/>
      <c r="J169" s="811"/>
      <c r="K169" s="811"/>
      <c r="L169" s="811"/>
      <c r="M169" s="811"/>
      <c r="N169" s="811"/>
      <c r="O169" s="811"/>
      <c r="P169" s="811"/>
      <c r="Q169" s="811"/>
      <c r="R169" s="811"/>
      <c r="S169" s="811"/>
      <c r="T169" s="811"/>
      <c r="U169" s="811"/>
      <c r="V169" s="811"/>
      <c r="W169" s="811"/>
      <c r="X169" s="811"/>
      <c r="Y169" s="811"/>
      <c r="Z169" s="811"/>
    </row>
    <row r="170" spans="1:26" ht="15" thickBot="1">
      <c r="A170" s="811"/>
      <c r="B170" s="811"/>
      <c r="C170" s="811"/>
      <c r="D170" s="811"/>
      <c r="E170" s="811"/>
      <c r="F170" s="811"/>
      <c r="G170" s="811"/>
      <c r="H170" s="811"/>
      <c r="I170" s="811"/>
      <c r="J170" s="811"/>
      <c r="K170" s="811"/>
      <c r="L170" s="811"/>
      <c r="M170" s="811"/>
      <c r="N170" s="811"/>
      <c r="O170" s="811"/>
      <c r="P170" s="811"/>
      <c r="Q170" s="811"/>
      <c r="R170" s="811"/>
      <c r="S170" s="811"/>
      <c r="T170" s="811"/>
      <c r="U170" s="811"/>
      <c r="V170" s="811"/>
      <c r="W170" s="811"/>
      <c r="X170" s="811"/>
      <c r="Y170" s="811"/>
      <c r="Z170" s="811"/>
    </row>
    <row r="171" spans="1:26" ht="15" thickBot="1">
      <c r="A171" s="811"/>
      <c r="B171" s="811"/>
      <c r="C171" s="811"/>
      <c r="D171" s="811"/>
      <c r="E171" s="811"/>
      <c r="F171" s="811"/>
      <c r="G171" s="811"/>
      <c r="H171" s="811"/>
      <c r="I171" s="811"/>
      <c r="J171" s="811"/>
      <c r="K171" s="811"/>
      <c r="L171" s="811"/>
      <c r="M171" s="811"/>
      <c r="N171" s="811"/>
      <c r="O171" s="811"/>
      <c r="P171" s="811"/>
      <c r="Q171" s="811"/>
      <c r="R171" s="811"/>
      <c r="S171" s="811"/>
      <c r="T171" s="811"/>
      <c r="U171" s="811"/>
      <c r="V171" s="811"/>
      <c r="W171" s="811"/>
      <c r="X171" s="811"/>
      <c r="Y171" s="811"/>
      <c r="Z171" s="811"/>
    </row>
    <row r="172" spans="1:26" ht="15" thickBot="1">
      <c r="A172" s="811"/>
      <c r="B172" s="811"/>
      <c r="C172" s="811"/>
      <c r="D172" s="811"/>
      <c r="E172" s="811"/>
      <c r="F172" s="811"/>
      <c r="G172" s="811"/>
      <c r="H172" s="811"/>
      <c r="I172" s="811"/>
      <c r="J172" s="811"/>
      <c r="K172" s="811"/>
      <c r="L172" s="811"/>
      <c r="M172" s="811"/>
      <c r="N172" s="811"/>
      <c r="O172" s="811"/>
      <c r="P172" s="811"/>
      <c r="Q172" s="811"/>
      <c r="R172" s="811"/>
      <c r="S172" s="811"/>
      <c r="T172" s="811"/>
      <c r="U172" s="811"/>
      <c r="V172" s="811"/>
      <c r="W172" s="811"/>
      <c r="X172" s="811"/>
      <c r="Y172" s="811"/>
      <c r="Z172" s="811"/>
    </row>
    <row r="173" spans="1:26" ht="15" thickBot="1">
      <c r="A173" s="811"/>
      <c r="B173" s="811"/>
      <c r="C173" s="811"/>
      <c r="D173" s="811"/>
      <c r="E173" s="811"/>
      <c r="F173" s="811"/>
      <c r="G173" s="811"/>
      <c r="H173" s="811"/>
      <c r="I173" s="811"/>
      <c r="J173" s="811"/>
      <c r="K173" s="811"/>
      <c r="L173" s="811"/>
      <c r="M173" s="811"/>
      <c r="N173" s="811"/>
      <c r="O173" s="811"/>
      <c r="P173" s="811"/>
      <c r="Q173" s="811"/>
      <c r="R173" s="811"/>
      <c r="S173" s="811"/>
      <c r="T173" s="811"/>
      <c r="U173" s="811"/>
      <c r="V173" s="811"/>
      <c r="W173" s="811"/>
      <c r="X173" s="811"/>
      <c r="Y173" s="811"/>
      <c r="Z173" s="811"/>
    </row>
    <row r="174" spans="1:26" ht="15" thickBot="1">
      <c r="A174" s="811"/>
      <c r="B174" s="811"/>
      <c r="C174" s="811"/>
      <c r="D174" s="811"/>
      <c r="E174" s="811"/>
      <c r="F174" s="811"/>
      <c r="G174" s="811"/>
      <c r="H174" s="811"/>
      <c r="I174" s="811"/>
      <c r="J174" s="811"/>
      <c r="K174" s="811"/>
      <c r="L174" s="811"/>
      <c r="M174" s="811"/>
      <c r="N174" s="811"/>
      <c r="O174" s="811"/>
      <c r="P174" s="811"/>
      <c r="Q174" s="811"/>
      <c r="R174" s="811"/>
      <c r="S174" s="811"/>
      <c r="T174" s="811"/>
      <c r="U174" s="811"/>
      <c r="V174" s="811"/>
      <c r="W174" s="811"/>
      <c r="X174" s="811"/>
      <c r="Y174" s="811"/>
      <c r="Z174" s="811"/>
    </row>
    <row r="175" spans="1:26" ht="15" thickBot="1">
      <c r="A175" s="811"/>
      <c r="B175" s="811"/>
      <c r="C175" s="811"/>
      <c r="D175" s="811"/>
      <c r="E175" s="811"/>
      <c r="F175" s="811"/>
      <c r="G175" s="811"/>
      <c r="H175" s="811"/>
      <c r="I175" s="811"/>
      <c r="J175" s="811"/>
      <c r="K175" s="811"/>
      <c r="L175" s="811"/>
      <c r="M175" s="811"/>
      <c r="N175" s="811"/>
      <c r="O175" s="811"/>
      <c r="P175" s="811"/>
      <c r="Q175" s="811"/>
      <c r="R175" s="811"/>
      <c r="S175" s="811"/>
      <c r="T175" s="811"/>
      <c r="U175" s="811"/>
      <c r="V175" s="811"/>
      <c r="W175" s="811"/>
      <c r="X175" s="811"/>
      <c r="Y175" s="811"/>
      <c r="Z175" s="811"/>
    </row>
    <row r="176" spans="1:26" ht="15" thickBot="1">
      <c r="A176" s="811"/>
      <c r="B176" s="811"/>
      <c r="C176" s="811"/>
      <c r="D176" s="811"/>
      <c r="E176" s="811"/>
      <c r="F176" s="811"/>
      <c r="G176" s="811"/>
      <c r="H176" s="811"/>
      <c r="I176" s="811"/>
      <c r="J176" s="811"/>
      <c r="K176" s="811"/>
      <c r="L176" s="811"/>
      <c r="M176" s="811"/>
      <c r="N176" s="811"/>
      <c r="O176" s="811"/>
      <c r="P176" s="811"/>
      <c r="Q176" s="811"/>
      <c r="R176" s="811"/>
      <c r="S176" s="811"/>
      <c r="T176" s="811"/>
      <c r="U176" s="811"/>
      <c r="V176" s="811"/>
      <c r="W176" s="811"/>
      <c r="X176" s="811"/>
      <c r="Y176" s="811"/>
      <c r="Z176" s="811"/>
    </row>
    <row r="177" spans="1:26" ht="15" thickBot="1">
      <c r="A177" s="811"/>
      <c r="B177" s="811"/>
      <c r="C177" s="811"/>
      <c r="D177" s="811"/>
      <c r="E177" s="811"/>
      <c r="F177" s="811"/>
      <c r="G177" s="811"/>
      <c r="H177" s="811"/>
      <c r="I177" s="811"/>
      <c r="J177" s="811"/>
      <c r="K177" s="811"/>
      <c r="L177" s="811"/>
      <c r="M177" s="811"/>
      <c r="N177" s="811"/>
      <c r="O177" s="811"/>
      <c r="P177" s="811"/>
      <c r="Q177" s="811"/>
      <c r="R177" s="811"/>
      <c r="S177" s="811"/>
      <c r="T177" s="811"/>
      <c r="U177" s="811"/>
      <c r="V177" s="811"/>
      <c r="W177" s="811"/>
      <c r="X177" s="811"/>
      <c r="Y177" s="811"/>
      <c r="Z177" s="811"/>
    </row>
    <row r="178" spans="1:26" ht="15" thickBot="1">
      <c r="A178" s="811"/>
      <c r="B178" s="811"/>
      <c r="C178" s="811"/>
      <c r="D178" s="811"/>
      <c r="E178" s="811"/>
      <c r="F178" s="811"/>
      <c r="G178" s="811"/>
      <c r="H178" s="811"/>
      <c r="I178" s="811"/>
      <c r="J178" s="811"/>
      <c r="K178" s="811"/>
      <c r="L178" s="811"/>
      <c r="M178" s="811"/>
      <c r="N178" s="811"/>
      <c r="O178" s="811"/>
      <c r="P178" s="811"/>
      <c r="Q178" s="811"/>
      <c r="R178" s="811"/>
      <c r="S178" s="811"/>
      <c r="T178" s="811"/>
      <c r="U178" s="811"/>
      <c r="V178" s="811"/>
      <c r="W178" s="811"/>
      <c r="X178" s="811"/>
      <c r="Y178" s="811"/>
      <c r="Z178" s="811"/>
    </row>
    <row r="179" spans="1:26" ht="15" thickBot="1">
      <c r="A179" s="811"/>
      <c r="B179" s="811"/>
      <c r="C179" s="811"/>
      <c r="D179" s="811"/>
      <c r="E179" s="811"/>
      <c r="F179" s="811"/>
      <c r="G179" s="811"/>
      <c r="H179" s="811"/>
      <c r="I179" s="811"/>
      <c r="J179" s="811"/>
      <c r="K179" s="811"/>
      <c r="L179" s="811"/>
      <c r="M179" s="811"/>
      <c r="N179" s="811"/>
      <c r="O179" s="811"/>
      <c r="P179" s="811"/>
      <c r="Q179" s="811"/>
      <c r="R179" s="811"/>
      <c r="S179" s="811"/>
      <c r="T179" s="811"/>
      <c r="U179" s="811"/>
      <c r="V179" s="811"/>
      <c r="W179" s="811"/>
      <c r="X179" s="811"/>
      <c r="Y179" s="811"/>
      <c r="Z179" s="811"/>
    </row>
    <row r="180" spans="1:26" ht="15" thickBot="1">
      <c r="A180" s="811"/>
      <c r="B180" s="811"/>
      <c r="C180" s="811"/>
      <c r="D180" s="811"/>
      <c r="E180" s="811"/>
      <c r="F180" s="811"/>
      <c r="G180" s="811"/>
      <c r="H180" s="811"/>
      <c r="I180" s="811"/>
      <c r="J180" s="811"/>
      <c r="K180" s="811"/>
      <c r="L180" s="811"/>
      <c r="M180" s="811"/>
      <c r="N180" s="811"/>
      <c r="O180" s="811"/>
      <c r="P180" s="811"/>
      <c r="Q180" s="811"/>
      <c r="R180" s="811"/>
      <c r="S180" s="811"/>
      <c r="T180" s="811"/>
      <c r="U180" s="811"/>
      <c r="V180" s="811"/>
      <c r="W180" s="811"/>
      <c r="X180" s="811"/>
      <c r="Y180" s="811"/>
      <c r="Z180" s="811"/>
    </row>
    <row r="181" spans="1:26" ht="15" thickBot="1">
      <c r="A181" s="811"/>
      <c r="B181" s="811"/>
      <c r="C181" s="811"/>
      <c r="D181" s="811"/>
      <c r="E181" s="811"/>
      <c r="F181" s="811"/>
      <c r="G181" s="811"/>
      <c r="H181" s="811"/>
      <c r="I181" s="811"/>
      <c r="J181" s="811"/>
      <c r="K181" s="811"/>
      <c r="L181" s="811"/>
      <c r="M181" s="811"/>
      <c r="N181" s="811"/>
      <c r="O181" s="811"/>
      <c r="P181" s="811"/>
      <c r="Q181" s="811"/>
      <c r="R181" s="811"/>
      <c r="S181" s="811"/>
      <c r="T181" s="811"/>
      <c r="U181" s="811"/>
      <c r="V181" s="811"/>
      <c r="W181" s="811"/>
      <c r="X181" s="811"/>
      <c r="Y181" s="811"/>
      <c r="Z181" s="811"/>
    </row>
    <row r="182" spans="1:26" ht="15" thickBot="1">
      <c r="A182" s="811"/>
      <c r="B182" s="811"/>
      <c r="C182" s="811"/>
      <c r="D182" s="811"/>
      <c r="E182" s="811"/>
      <c r="F182" s="811"/>
      <c r="G182" s="811"/>
      <c r="H182" s="811"/>
      <c r="I182" s="811"/>
      <c r="J182" s="811"/>
      <c r="K182" s="811"/>
      <c r="L182" s="811"/>
      <c r="M182" s="811"/>
      <c r="N182" s="811"/>
      <c r="O182" s="811"/>
      <c r="P182" s="811"/>
      <c r="Q182" s="811"/>
      <c r="R182" s="811"/>
      <c r="S182" s="811"/>
      <c r="T182" s="811"/>
      <c r="U182" s="811"/>
      <c r="V182" s="811"/>
      <c r="W182" s="811"/>
      <c r="X182" s="811"/>
      <c r="Y182" s="811"/>
      <c r="Z182" s="811"/>
    </row>
    <row r="183" spans="1:26" ht="15" thickBot="1">
      <c r="A183" s="811"/>
      <c r="B183" s="811"/>
      <c r="C183" s="811"/>
      <c r="D183" s="811"/>
      <c r="E183" s="811"/>
      <c r="F183" s="811"/>
      <c r="G183" s="811"/>
      <c r="H183" s="811"/>
      <c r="I183" s="811"/>
      <c r="J183" s="811"/>
      <c r="K183" s="811"/>
      <c r="L183" s="811"/>
      <c r="M183" s="811"/>
      <c r="N183" s="811"/>
      <c r="O183" s="811"/>
      <c r="P183" s="811"/>
      <c r="Q183" s="811"/>
      <c r="R183" s="811"/>
      <c r="S183" s="811"/>
      <c r="T183" s="811"/>
      <c r="U183" s="811"/>
      <c r="V183" s="811"/>
      <c r="W183" s="811"/>
      <c r="X183" s="811"/>
      <c r="Y183" s="811"/>
      <c r="Z183" s="811"/>
    </row>
    <row r="184" spans="1:26" ht="15" thickBot="1">
      <c r="A184" s="811"/>
      <c r="B184" s="811"/>
      <c r="C184" s="811"/>
      <c r="D184" s="811"/>
      <c r="E184" s="811"/>
      <c r="F184" s="811"/>
      <c r="G184" s="811"/>
      <c r="H184" s="811"/>
      <c r="I184" s="811"/>
      <c r="J184" s="811"/>
      <c r="K184" s="811"/>
      <c r="L184" s="811"/>
      <c r="M184" s="811"/>
      <c r="N184" s="811"/>
      <c r="O184" s="811"/>
      <c r="P184" s="811"/>
      <c r="Q184" s="811"/>
      <c r="R184" s="811"/>
      <c r="S184" s="811"/>
      <c r="T184" s="811"/>
      <c r="U184" s="811"/>
      <c r="V184" s="811"/>
      <c r="W184" s="811"/>
      <c r="X184" s="811"/>
      <c r="Y184" s="811"/>
      <c r="Z184" s="811"/>
    </row>
    <row r="185" spans="1:26" ht="15" thickBot="1">
      <c r="A185" s="811"/>
      <c r="B185" s="811"/>
      <c r="C185" s="811"/>
      <c r="D185" s="811"/>
      <c r="E185" s="811"/>
      <c r="F185" s="811"/>
      <c r="G185" s="811"/>
      <c r="H185" s="811"/>
      <c r="I185" s="811"/>
      <c r="J185" s="811"/>
      <c r="K185" s="811"/>
      <c r="L185" s="811"/>
      <c r="M185" s="811"/>
      <c r="N185" s="811"/>
      <c r="O185" s="811"/>
      <c r="P185" s="811"/>
      <c r="Q185" s="811"/>
      <c r="R185" s="811"/>
      <c r="S185" s="811"/>
      <c r="T185" s="811"/>
      <c r="U185" s="811"/>
      <c r="V185" s="811"/>
      <c r="W185" s="811"/>
      <c r="X185" s="811"/>
      <c r="Y185" s="811"/>
      <c r="Z185" s="811"/>
    </row>
    <row r="186" spans="1:26" ht="15" thickBot="1">
      <c r="A186" s="811"/>
      <c r="B186" s="811"/>
      <c r="C186" s="811"/>
      <c r="D186" s="811"/>
      <c r="E186" s="811"/>
      <c r="F186" s="811"/>
      <c r="G186" s="811"/>
      <c r="H186" s="811"/>
      <c r="I186" s="811"/>
      <c r="J186" s="811"/>
      <c r="K186" s="811"/>
      <c r="L186" s="811"/>
      <c r="M186" s="811"/>
      <c r="N186" s="811"/>
      <c r="O186" s="811"/>
      <c r="P186" s="811"/>
      <c r="Q186" s="811"/>
      <c r="R186" s="811"/>
      <c r="S186" s="811"/>
      <c r="T186" s="811"/>
      <c r="U186" s="811"/>
      <c r="V186" s="811"/>
      <c r="W186" s="811"/>
      <c r="X186" s="811"/>
      <c r="Y186" s="811"/>
      <c r="Z186" s="811"/>
    </row>
    <row r="187" spans="1:26" ht="15" thickBot="1">
      <c r="A187" s="811"/>
      <c r="B187" s="811"/>
      <c r="C187" s="811"/>
      <c r="D187" s="811"/>
      <c r="E187" s="811"/>
      <c r="F187" s="811"/>
      <c r="G187" s="811"/>
      <c r="H187" s="811"/>
      <c r="I187" s="811"/>
      <c r="J187" s="811"/>
      <c r="K187" s="811"/>
      <c r="L187" s="811"/>
      <c r="M187" s="811"/>
      <c r="N187" s="811"/>
      <c r="O187" s="811"/>
      <c r="P187" s="811"/>
      <c r="Q187" s="811"/>
      <c r="R187" s="811"/>
      <c r="S187" s="811"/>
      <c r="T187" s="811"/>
      <c r="U187" s="811"/>
      <c r="V187" s="811"/>
      <c r="W187" s="811"/>
      <c r="X187" s="811"/>
      <c r="Y187" s="811"/>
      <c r="Z187" s="811"/>
    </row>
    <row r="188" spans="1:26" ht="15" thickBot="1">
      <c r="A188" s="811"/>
      <c r="B188" s="811"/>
      <c r="C188" s="811"/>
      <c r="D188" s="811"/>
      <c r="E188" s="811"/>
      <c r="F188" s="811"/>
      <c r="G188" s="811"/>
      <c r="H188" s="811"/>
      <c r="I188" s="811"/>
      <c r="J188" s="811"/>
      <c r="K188" s="811"/>
      <c r="L188" s="811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11"/>
      <c r="X188" s="811"/>
      <c r="Y188" s="811"/>
      <c r="Z188" s="811"/>
    </row>
    <row r="189" spans="1:26" ht="15" thickBot="1">
      <c r="A189" s="811"/>
      <c r="B189" s="811"/>
      <c r="C189" s="811"/>
      <c r="D189" s="811"/>
      <c r="E189" s="811"/>
      <c r="F189" s="811"/>
      <c r="G189" s="811"/>
      <c r="H189" s="811"/>
      <c r="I189" s="811"/>
      <c r="J189" s="811"/>
      <c r="K189" s="811"/>
      <c r="L189" s="811"/>
      <c r="M189" s="811"/>
      <c r="N189" s="811"/>
      <c r="O189" s="811"/>
      <c r="P189" s="811"/>
      <c r="Q189" s="811"/>
      <c r="R189" s="811"/>
      <c r="S189" s="811"/>
      <c r="T189" s="811"/>
      <c r="U189" s="811"/>
      <c r="V189" s="811"/>
      <c r="W189" s="811"/>
      <c r="X189" s="811"/>
      <c r="Y189" s="811"/>
      <c r="Z189" s="811"/>
    </row>
    <row r="190" spans="1:26" ht="15" thickBot="1">
      <c r="A190" s="811"/>
      <c r="B190" s="811"/>
      <c r="C190" s="811"/>
      <c r="D190" s="811"/>
      <c r="E190" s="811"/>
      <c r="F190" s="811"/>
      <c r="G190" s="811"/>
      <c r="H190" s="811"/>
      <c r="I190" s="811"/>
      <c r="J190" s="811"/>
      <c r="K190" s="811"/>
      <c r="L190" s="811"/>
      <c r="M190" s="811"/>
      <c r="N190" s="811"/>
      <c r="O190" s="811"/>
      <c r="P190" s="811"/>
      <c r="Q190" s="811"/>
      <c r="R190" s="811"/>
      <c r="S190" s="811"/>
      <c r="T190" s="811"/>
      <c r="U190" s="811"/>
      <c r="V190" s="811"/>
      <c r="W190" s="811"/>
      <c r="X190" s="811"/>
      <c r="Y190" s="811"/>
      <c r="Z190" s="811"/>
    </row>
    <row r="191" spans="1:26" ht="15" thickBot="1">
      <c r="A191" s="811"/>
      <c r="B191" s="811"/>
      <c r="C191" s="811"/>
      <c r="D191" s="811"/>
      <c r="E191" s="811"/>
      <c r="F191" s="811"/>
      <c r="G191" s="811"/>
      <c r="H191" s="811"/>
      <c r="I191" s="811"/>
      <c r="J191" s="811"/>
      <c r="K191" s="811"/>
      <c r="L191" s="811"/>
      <c r="M191" s="811"/>
      <c r="N191" s="811"/>
      <c r="O191" s="811"/>
      <c r="P191" s="811"/>
      <c r="Q191" s="811"/>
      <c r="R191" s="811"/>
      <c r="S191" s="811"/>
      <c r="T191" s="811"/>
      <c r="U191" s="811"/>
      <c r="V191" s="811"/>
      <c r="W191" s="811"/>
      <c r="X191" s="811"/>
      <c r="Y191" s="811"/>
      <c r="Z191" s="811"/>
    </row>
    <row r="192" spans="1:26" ht="15" thickBot="1">
      <c r="A192" s="811"/>
      <c r="B192" s="811"/>
      <c r="C192" s="811"/>
      <c r="D192" s="811"/>
      <c r="E192" s="811"/>
      <c r="F192" s="811"/>
      <c r="G192" s="811"/>
      <c r="H192" s="811"/>
      <c r="I192" s="811"/>
      <c r="J192" s="811"/>
      <c r="K192" s="811"/>
      <c r="L192" s="811"/>
      <c r="M192" s="811"/>
      <c r="N192" s="811"/>
      <c r="O192" s="811"/>
      <c r="P192" s="811"/>
      <c r="Q192" s="811"/>
      <c r="R192" s="811"/>
      <c r="S192" s="811"/>
      <c r="T192" s="811"/>
      <c r="U192" s="811"/>
      <c r="V192" s="811"/>
      <c r="W192" s="811"/>
      <c r="X192" s="811"/>
      <c r="Y192" s="811"/>
      <c r="Z192" s="811"/>
    </row>
    <row r="193" spans="1:26" ht="15" thickBot="1">
      <c r="A193" s="811"/>
      <c r="B193" s="811"/>
      <c r="C193" s="811"/>
      <c r="D193" s="811"/>
      <c r="E193" s="811"/>
      <c r="F193" s="811"/>
      <c r="G193" s="811"/>
      <c r="H193" s="811"/>
      <c r="I193" s="811"/>
      <c r="J193" s="811"/>
      <c r="K193" s="811"/>
      <c r="L193" s="811"/>
      <c r="M193" s="811"/>
      <c r="N193" s="811"/>
      <c r="O193" s="811"/>
      <c r="P193" s="811"/>
      <c r="Q193" s="811"/>
      <c r="R193" s="811"/>
      <c r="S193" s="811"/>
      <c r="T193" s="811"/>
      <c r="U193" s="811"/>
      <c r="V193" s="811"/>
      <c r="W193" s="811"/>
      <c r="X193" s="811"/>
      <c r="Y193" s="811"/>
      <c r="Z193" s="811"/>
    </row>
    <row r="194" spans="1:26" ht="15" thickBot="1">
      <c r="A194" s="811"/>
      <c r="B194" s="811"/>
      <c r="C194" s="811"/>
      <c r="D194" s="811"/>
      <c r="E194" s="811"/>
      <c r="F194" s="811"/>
      <c r="G194" s="811"/>
      <c r="H194" s="811"/>
      <c r="I194" s="811"/>
      <c r="J194" s="811"/>
      <c r="K194" s="811"/>
      <c r="L194" s="811"/>
      <c r="M194" s="811"/>
      <c r="N194" s="811"/>
      <c r="O194" s="811"/>
      <c r="P194" s="811"/>
      <c r="Q194" s="811"/>
      <c r="R194" s="811"/>
      <c r="S194" s="811"/>
      <c r="T194" s="811"/>
      <c r="U194" s="811"/>
      <c r="V194" s="811"/>
      <c r="W194" s="811"/>
      <c r="X194" s="811"/>
      <c r="Y194" s="811"/>
      <c r="Z194" s="811"/>
    </row>
    <row r="195" spans="1:26" ht="15" thickBot="1">
      <c r="A195" s="811"/>
      <c r="B195" s="811"/>
      <c r="C195" s="811"/>
      <c r="D195" s="811"/>
      <c r="E195" s="811"/>
      <c r="F195" s="811"/>
      <c r="G195" s="811"/>
      <c r="H195" s="811"/>
      <c r="I195" s="811"/>
      <c r="J195" s="811"/>
      <c r="K195" s="811"/>
      <c r="L195" s="811"/>
      <c r="M195" s="811"/>
      <c r="N195" s="811"/>
      <c r="O195" s="811"/>
      <c r="P195" s="811"/>
      <c r="Q195" s="811"/>
      <c r="R195" s="811"/>
      <c r="S195" s="811"/>
      <c r="T195" s="811"/>
      <c r="U195" s="811"/>
      <c r="V195" s="811"/>
      <c r="W195" s="811"/>
      <c r="X195" s="811"/>
      <c r="Y195" s="811"/>
      <c r="Z195" s="811"/>
    </row>
    <row r="196" spans="1:26" ht="15" thickBot="1">
      <c r="A196" s="811"/>
      <c r="B196" s="811"/>
      <c r="C196" s="811"/>
      <c r="D196" s="811"/>
      <c r="E196" s="811"/>
      <c r="F196" s="811"/>
      <c r="G196" s="811"/>
      <c r="H196" s="811"/>
      <c r="I196" s="811"/>
      <c r="J196" s="811"/>
      <c r="K196" s="811"/>
      <c r="L196" s="811"/>
      <c r="M196" s="811"/>
      <c r="N196" s="811"/>
      <c r="O196" s="811"/>
      <c r="P196" s="811"/>
      <c r="Q196" s="811"/>
      <c r="R196" s="811"/>
      <c r="S196" s="811"/>
      <c r="T196" s="811"/>
      <c r="U196" s="811"/>
      <c r="V196" s="811"/>
      <c r="W196" s="811"/>
      <c r="X196" s="811"/>
      <c r="Y196" s="811"/>
      <c r="Z196" s="811"/>
    </row>
    <row r="197" spans="1:26" ht="15" thickBot="1">
      <c r="A197" s="811"/>
      <c r="B197" s="811"/>
      <c r="C197" s="811"/>
      <c r="D197" s="811"/>
      <c r="E197" s="811"/>
      <c r="F197" s="811"/>
      <c r="G197" s="811"/>
      <c r="H197" s="811"/>
      <c r="I197" s="811"/>
      <c r="J197" s="811"/>
      <c r="K197" s="811"/>
      <c r="L197" s="811"/>
      <c r="M197" s="811"/>
      <c r="N197" s="811"/>
      <c r="O197" s="811"/>
      <c r="P197" s="811"/>
      <c r="Q197" s="811"/>
      <c r="R197" s="811"/>
      <c r="S197" s="811"/>
      <c r="T197" s="811"/>
      <c r="U197" s="811"/>
      <c r="V197" s="811"/>
      <c r="W197" s="811"/>
      <c r="X197" s="811"/>
      <c r="Y197" s="811"/>
      <c r="Z197" s="811"/>
    </row>
    <row r="198" spans="1:26" ht="15" thickBot="1">
      <c r="A198" s="811"/>
      <c r="B198" s="811"/>
      <c r="C198" s="811"/>
      <c r="D198" s="811"/>
      <c r="E198" s="811"/>
      <c r="F198" s="811"/>
      <c r="G198" s="811"/>
      <c r="H198" s="811"/>
      <c r="I198" s="811"/>
      <c r="J198" s="811"/>
      <c r="K198" s="811"/>
      <c r="L198" s="811"/>
      <c r="M198" s="811"/>
      <c r="N198" s="811"/>
      <c r="O198" s="811"/>
      <c r="P198" s="811"/>
      <c r="Q198" s="811"/>
      <c r="R198" s="811"/>
      <c r="S198" s="811"/>
      <c r="T198" s="811"/>
      <c r="U198" s="811"/>
      <c r="V198" s="811"/>
      <c r="W198" s="811"/>
      <c r="X198" s="811"/>
      <c r="Y198" s="811"/>
      <c r="Z198" s="811"/>
    </row>
    <row r="199" spans="1:26" ht="15" thickBot="1">
      <c r="A199" s="811"/>
      <c r="B199" s="811"/>
      <c r="C199" s="811"/>
      <c r="D199" s="811"/>
      <c r="E199" s="811"/>
      <c r="F199" s="811"/>
      <c r="G199" s="811"/>
      <c r="H199" s="811"/>
      <c r="I199" s="811"/>
      <c r="J199" s="811"/>
      <c r="K199" s="811"/>
      <c r="L199" s="811"/>
      <c r="M199" s="811"/>
      <c r="N199" s="811"/>
      <c r="O199" s="811"/>
      <c r="P199" s="811"/>
      <c r="Q199" s="811"/>
      <c r="R199" s="811"/>
      <c r="S199" s="811"/>
      <c r="T199" s="811"/>
      <c r="U199" s="811"/>
      <c r="V199" s="811"/>
      <c r="W199" s="811"/>
      <c r="X199" s="811"/>
      <c r="Y199" s="811"/>
      <c r="Z199" s="811"/>
    </row>
    <row r="200" spans="1:26" ht="15" thickBot="1">
      <c r="A200" s="811"/>
      <c r="B200" s="811"/>
      <c r="C200" s="811"/>
      <c r="D200" s="811"/>
      <c r="E200" s="811"/>
      <c r="F200" s="811"/>
      <c r="G200" s="811"/>
      <c r="H200" s="811"/>
      <c r="I200" s="811"/>
      <c r="J200" s="811"/>
      <c r="K200" s="811"/>
      <c r="L200" s="811"/>
      <c r="M200" s="811"/>
      <c r="N200" s="811"/>
      <c r="O200" s="811"/>
      <c r="P200" s="811"/>
      <c r="Q200" s="811"/>
      <c r="R200" s="811"/>
      <c r="S200" s="811"/>
      <c r="T200" s="811"/>
      <c r="U200" s="811"/>
      <c r="V200" s="811"/>
      <c r="W200" s="811"/>
      <c r="X200" s="811"/>
      <c r="Y200" s="811"/>
      <c r="Z200" s="811"/>
    </row>
    <row r="201" spans="1:26" ht="15" thickBot="1">
      <c r="A201" s="811"/>
      <c r="B201" s="811"/>
      <c r="C201" s="811"/>
      <c r="D201" s="811"/>
      <c r="E201" s="811"/>
      <c r="F201" s="811"/>
      <c r="G201" s="811"/>
      <c r="H201" s="811"/>
      <c r="I201" s="811"/>
      <c r="J201" s="811"/>
      <c r="K201" s="811"/>
      <c r="L201" s="811"/>
      <c r="M201" s="811"/>
      <c r="N201" s="811"/>
      <c r="O201" s="811"/>
      <c r="P201" s="811"/>
      <c r="Q201" s="811"/>
      <c r="R201" s="811"/>
      <c r="S201" s="811"/>
      <c r="T201" s="811"/>
      <c r="U201" s="811"/>
      <c r="V201" s="811"/>
      <c r="W201" s="811"/>
      <c r="X201" s="811"/>
      <c r="Y201" s="811"/>
      <c r="Z201" s="811"/>
    </row>
    <row r="202" spans="1:26" ht="15" thickBot="1">
      <c r="A202" s="811"/>
      <c r="B202" s="811"/>
      <c r="C202" s="811"/>
      <c r="D202" s="811"/>
      <c r="E202" s="811"/>
      <c r="F202" s="811"/>
      <c r="G202" s="811"/>
      <c r="H202" s="811"/>
      <c r="I202" s="811"/>
      <c r="J202" s="811"/>
      <c r="K202" s="811"/>
      <c r="L202" s="811"/>
      <c r="M202" s="811"/>
      <c r="N202" s="811"/>
      <c r="O202" s="811"/>
      <c r="P202" s="811"/>
      <c r="Q202" s="811"/>
      <c r="R202" s="811"/>
      <c r="S202" s="811"/>
      <c r="T202" s="811"/>
      <c r="U202" s="811"/>
      <c r="V202" s="811"/>
      <c r="W202" s="811"/>
      <c r="X202" s="811"/>
      <c r="Y202" s="811"/>
      <c r="Z202" s="811"/>
    </row>
    <row r="203" spans="1:26" ht="15" thickBot="1">
      <c r="A203" s="811"/>
      <c r="B203" s="811"/>
      <c r="C203" s="811"/>
      <c r="D203" s="811"/>
      <c r="E203" s="811"/>
      <c r="F203" s="811"/>
      <c r="G203" s="811"/>
      <c r="H203" s="811"/>
      <c r="I203" s="811"/>
      <c r="J203" s="811"/>
      <c r="K203" s="811"/>
      <c r="L203" s="811"/>
      <c r="M203" s="811"/>
      <c r="N203" s="811"/>
      <c r="O203" s="811"/>
      <c r="P203" s="811"/>
      <c r="Q203" s="811"/>
      <c r="R203" s="811"/>
      <c r="S203" s="811"/>
      <c r="T203" s="811"/>
      <c r="U203" s="811"/>
      <c r="V203" s="811"/>
      <c r="W203" s="811"/>
      <c r="X203" s="811"/>
      <c r="Y203" s="811"/>
      <c r="Z203" s="811"/>
    </row>
    <row r="204" spans="1:26" ht="15" thickBot="1">
      <c r="A204" s="811"/>
      <c r="B204" s="811"/>
      <c r="C204" s="811"/>
      <c r="D204" s="811"/>
      <c r="E204" s="811"/>
      <c r="F204" s="811"/>
      <c r="G204" s="811"/>
      <c r="H204" s="811"/>
      <c r="I204" s="811"/>
      <c r="J204" s="811"/>
      <c r="K204" s="811"/>
      <c r="L204" s="811"/>
      <c r="M204" s="811"/>
      <c r="N204" s="811"/>
      <c r="O204" s="811"/>
      <c r="P204" s="811"/>
      <c r="Q204" s="811"/>
      <c r="R204" s="811"/>
      <c r="S204" s="811"/>
      <c r="T204" s="811"/>
      <c r="U204" s="811"/>
      <c r="V204" s="811"/>
      <c r="W204" s="811"/>
      <c r="X204" s="811"/>
      <c r="Y204" s="811"/>
      <c r="Z204" s="811"/>
    </row>
    <row r="205" spans="1:26" ht="15" thickBot="1">
      <c r="A205" s="811"/>
      <c r="B205" s="811"/>
      <c r="C205" s="811"/>
      <c r="D205" s="811"/>
      <c r="E205" s="811"/>
      <c r="F205" s="811"/>
      <c r="G205" s="811"/>
      <c r="H205" s="811"/>
      <c r="I205" s="811"/>
      <c r="J205" s="811"/>
      <c r="K205" s="811"/>
      <c r="L205" s="811"/>
      <c r="M205" s="811"/>
      <c r="N205" s="811"/>
      <c r="O205" s="811"/>
      <c r="P205" s="811"/>
      <c r="Q205" s="811"/>
      <c r="R205" s="811"/>
      <c r="S205" s="811"/>
      <c r="T205" s="811"/>
      <c r="U205" s="811"/>
      <c r="V205" s="811"/>
      <c r="W205" s="811"/>
      <c r="X205" s="811"/>
      <c r="Y205" s="811"/>
      <c r="Z205" s="811"/>
    </row>
    <row r="206" spans="1:26" ht="15" thickBot="1">
      <c r="A206" s="811"/>
      <c r="B206" s="811"/>
      <c r="C206" s="811"/>
      <c r="D206" s="811"/>
      <c r="E206" s="811"/>
      <c r="F206" s="811"/>
      <c r="G206" s="811"/>
      <c r="H206" s="811"/>
      <c r="I206" s="811"/>
      <c r="J206" s="811"/>
      <c r="K206" s="811"/>
      <c r="L206" s="811"/>
      <c r="M206" s="811"/>
      <c r="N206" s="811"/>
      <c r="O206" s="811"/>
      <c r="P206" s="811"/>
      <c r="Q206" s="811"/>
      <c r="R206" s="811"/>
      <c r="S206" s="811"/>
      <c r="T206" s="811"/>
      <c r="U206" s="811"/>
      <c r="V206" s="811"/>
      <c r="W206" s="811"/>
      <c r="X206" s="811"/>
      <c r="Y206" s="811"/>
      <c r="Z206" s="811"/>
    </row>
    <row r="207" spans="1:26" ht="15" thickBot="1">
      <c r="A207" s="811"/>
      <c r="B207" s="811"/>
      <c r="C207" s="811"/>
      <c r="D207" s="811"/>
      <c r="E207" s="811"/>
      <c r="F207" s="811"/>
      <c r="G207" s="811"/>
      <c r="H207" s="811"/>
      <c r="I207" s="811"/>
      <c r="J207" s="811"/>
      <c r="K207" s="811"/>
      <c r="L207" s="811"/>
      <c r="M207" s="811"/>
      <c r="N207" s="811"/>
      <c r="O207" s="811"/>
      <c r="P207" s="811"/>
      <c r="Q207" s="811"/>
      <c r="R207" s="811"/>
      <c r="S207" s="811"/>
      <c r="T207" s="811"/>
      <c r="U207" s="811"/>
      <c r="V207" s="811"/>
      <c r="W207" s="811"/>
      <c r="X207" s="811"/>
      <c r="Y207" s="811"/>
      <c r="Z207" s="811"/>
    </row>
    <row r="208" spans="1:26" ht="15" thickBot="1">
      <c r="A208" s="811"/>
      <c r="B208" s="811"/>
      <c r="C208" s="811"/>
      <c r="D208" s="811"/>
      <c r="E208" s="811"/>
      <c r="F208" s="811"/>
      <c r="G208" s="811"/>
      <c r="H208" s="811"/>
      <c r="I208" s="811"/>
      <c r="J208" s="811"/>
      <c r="K208" s="811"/>
      <c r="L208" s="811"/>
      <c r="M208" s="811"/>
      <c r="N208" s="811"/>
      <c r="O208" s="811"/>
      <c r="P208" s="811"/>
      <c r="Q208" s="811"/>
      <c r="R208" s="811"/>
      <c r="S208" s="811"/>
      <c r="T208" s="811"/>
      <c r="U208" s="811"/>
      <c r="V208" s="811"/>
      <c r="W208" s="811"/>
      <c r="X208" s="811"/>
      <c r="Y208" s="811"/>
      <c r="Z208" s="811"/>
    </row>
    <row r="209" spans="1:26" ht="15" thickBot="1">
      <c r="A209" s="811"/>
      <c r="B209" s="811"/>
      <c r="C209" s="811"/>
      <c r="D209" s="811"/>
      <c r="E209" s="811"/>
      <c r="F209" s="811"/>
      <c r="G209" s="811"/>
      <c r="H209" s="811"/>
      <c r="I209" s="811"/>
      <c r="J209" s="811"/>
      <c r="K209" s="811"/>
      <c r="L209" s="811"/>
      <c r="M209" s="811"/>
      <c r="N209" s="811"/>
      <c r="O209" s="811"/>
      <c r="P209" s="811"/>
      <c r="Q209" s="811"/>
      <c r="R209" s="811"/>
      <c r="S209" s="811"/>
      <c r="T209" s="811"/>
      <c r="U209" s="811"/>
      <c r="V209" s="811"/>
      <c r="W209" s="811"/>
      <c r="X209" s="811"/>
      <c r="Y209" s="811"/>
      <c r="Z209" s="811"/>
    </row>
    <row r="210" spans="1:26" ht="15" thickBot="1">
      <c r="A210" s="811"/>
      <c r="B210" s="811"/>
      <c r="C210" s="811"/>
      <c r="D210" s="811"/>
      <c r="E210" s="811"/>
      <c r="F210" s="811"/>
      <c r="G210" s="811"/>
      <c r="H210" s="811"/>
      <c r="I210" s="811"/>
      <c r="J210" s="811"/>
      <c r="K210" s="811"/>
      <c r="L210" s="811"/>
      <c r="M210" s="811"/>
      <c r="N210" s="811"/>
      <c r="O210" s="811"/>
      <c r="P210" s="811"/>
      <c r="Q210" s="811"/>
      <c r="R210" s="811"/>
      <c r="S210" s="811"/>
      <c r="T210" s="811"/>
      <c r="U210" s="811"/>
      <c r="V210" s="811"/>
      <c r="W210" s="811"/>
      <c r="X210" s="811"/>
      <c r="Y210" s="811"/>
      <c r="Z210" s="811"/>
    </row>
    <row r="211" spans="1:26" ht="15" thickBot="1">
      <c r="A211" s="811"/>
      <c r="B211" s="811"/>
      <c r="C211" s="811"/>
      <c r="D211" s="811"/>
      <c r="E211" s="811"/>
      <c r="F211" s="811"/>
      <c r="G211" s="811"/>
      <c r="H211" s="811"/>
      <c r="I211" s="811"/>
      <c r="J211" s="811"/>
      <c r="K211" s="811"/>
      <c r="L211" s="811"/>
      <c r="M211" s="811"/>
      <c r="N211" s="811"/>
      <c r="O211" s="811"/>
      <c r="P211" s="811"/>
      <c r="Q211" s="811"/>
      <c r="R211" s="811"/>
      <c r="S211" s="811"/>
      <c r="T211" s="811"/>
      <c r="U211" s="811"/>
      <c r="V211" s="811"/>
      <c r="W211" s="811"/>
      <c r="X211" s="811"/>
      <c r="Y211" s="811"/>
      <c r="Z211" s="811"/>
    </row>
    <row r="212" spans="1:26" ht="15" thickBot="1">
      <c r="A212" s="811"/>
      <c r="B212" s="811"/>
      <c r="C212" s="811"/>
      <c r="D212" s="811"/>
      <c r="E212" s="811"/>
      <c r="F212" s="811"/>
      <c r="G212" s="811"/>
      <c r="H212" s="811"/>
      <c r="I212" s="811"/>
      <c r="J212" s="811"/>
      <c r="K212" s="811"/>
      <c r="L212" s="811"/>
      <c r="M212" s="811"/>
      <c r="N212" s="811"/>
      <c r="O212" s="811"/>
      <c r="P212" s="811"/>
      <c r="Q212" s="811"/>
      <c r="R212" s="811"/>
      <c r="S212" s="811"/>
      <c r="T212" s="811"/>
      <c r="U212" s="811"/>
      <c r="V212" s="811"/>
      <c r="W212" s="811"/>
      <c r="X212" s="811"/>
      <c r="Y212" s="811"/>
      <c r="Z212" s="811"/>
    </row>
    <row r="213" spans="1:26" ht="15" thickBot="1">
      <c r="A213" s="811"/>
      <c r="B213" s="811"/>
      <c r="C213" s="811"/>
      <c r="D213" s="811"/>
      <c r="E213" s="811"/>
      <c r="F213" s="811"/>
      <c r="G213" s="811"/>
      <c r="H213" s="811"/>
      <c r="I213" s="811"/>
      <c r="J213" s="811"/>
      <c r="K213" s="811"/>
      <c r="L213" s="811"/>
      <c r="M213" s="811"/>
      <c r="N213" s="811"/>
      <c r="O213" s="811"/>
      <c r="P213" s="811"/>
      <c r="Q213" s="811"/>
      <c r="R213" s="811"/>
      <c r="S213" s="811"/>
      <c r="T213" s="811"/>
      <c r="U213" s="811"/>
      <c r="V213" s="811"/>
      <c r="W213" s="811"/>
      <c r="X213" s="811"/>
      <c r="Y213" s="811"/>
      <c r="Z213" s="811"/>
    </row>
    <row r="214" spans="1:26" ht="15" thickBot="1">
      <c r="A214" s="811"/>
      <c r="B214" s="811"/>
      <c r="C214" s="811"/>
      <c r="D214" s="811"/>
      <c r="E214" s="811"/>
      <c r="F214" s="811"/>
      <c r="G214" s="811"/>
      <c r="H214" s="811"/>
      <c r="I214" s="811"/>
      <c r="J214" s="811"/>
      <c r="K214" s="811"/>
      <c r="L214" s="811"/>
      <c r="M214" s="811"/>
      <c r="N214" s="811"/>
      <c r="O214" s="811"/>
      <c r="P214" s="811"/>
      <c r="Q214" s="811"/>
      <c r="R214" s="811"/>
      <c r="S214" s="811"/>
      <c r="T214" s="811"/>
      <c r="U214" s="811"/>
      <c r="V214" s="811"/>
      <c r="W214" s="811"/>
      <c r="X214" s="811"/>
      <c r="Y214" s="811"/>
      <c r="Z214" s="811"/>
    </row>
    <row r="215" spans="1:26" ht="15" thickBot="1">
      <c r="A215" s="811"/>
      <c r="B215" s="811"/>
      <c r="C215" s="811"/>
      <c r="D215" s="811"/>
      <c r="E215" s="811"/>
      <c r="F215" s="811"/>
      <c r="G215" s="811"/>
      <c r="H215" s="811"/>
      <c r="I215" s="811"/>
      <c r="J215" s="811"/>
      <c r="K215" s="811"/>
      <c r="L215" s="811"/>
      <c r="M215" s="811"/>
      <c r="N215" s="811"/>
      <c r="O215" s="811"/>
      <c r="P215" s="811"/>
      <c r="Q215" s="811"/>
      <c r="R215" s="811"/>
      <c r="S215" s="811"/>
      <c r="T215" s="811"/>
      <c r="U215" s="811"/>
      <c r="V215" s="811"/>
      <c r="W215" s="811"/>
      <c r="X215" s="811"/>
      <c r="Y215" s="811"/>
      <c r="Z215" s="811"/>
    </row>
    <row r="216" spans="1:26" ht="15" thickBot="1">
      <c r="A216" s="811"/>
      <c r="B216" s="811"/>
      <c r="C216" s="811"/>
      <c r="D216" s="811"/>
      <c r="E216" s="811"/>
      <c r="F216" s="811"/>
      <c r="G216" s="811"/>
      <c r="H216" s="811"/>
      <c r="I216" s="811"/>
      <c r="J216" s="811"/>
      <c r="K216" s="811"/>
      <c r="L216" s="811"/>
      <c r="M216" s="811"/>
      <c r="N216" s="811"/>
      <c r="O216" s="811"/>
      <c r="P216" s="811"/>
      <c r="Q216" s="811"/>
      <c r="R216" s="811"/>
      <c r="S216" s="811"/>
      <c r="T216" s="811"/>
      <c r="U216" s="811"/>
      <c r="V216" s="811"/>
      <c r="W216" s="811"/>
      <c r="X216" s="811"/>
      <c r="Y216" s="811"/>
      <c r="Z216" s="811"/>
    </row>
    <row r="217" spans="1:26" ht="15" thickBot="1">
      <c r="A217" s="811"/>
      <c r="B217" s="811"/>
      <c r="C217" s="811"/>
      <c r="D217" s="811"/>
      <c r="E217" s="811"/>
      <c r="F217" s="811"/>
      <c r="G217" s="811"/>
      <c r="H217" s="811"/>
      <c r="I217" s="811"/>
      <c r="J217" s="811"/>
      <c r="K217" s="811"/>
      <c r="L217" s="811"/>
      <c r="M217" s="811"/>
      <c r="N217" s="811"/>
      <c r="O217" s="811"/>
      <c r="P217" s="811"/>
      <c r="Q217" s="811"/>
      <c r="R217" s="811"/>
      <c r="S217" s="811"/>
      <c r="T217" s="811"/>
      <c r="U217" s="811"/>
      <c r="V217" s="811"/>
      <c r="W217" s="811"/>
      <c r="X217" s="811"/>
      <c r="Y217" s="811"/>
      <c r="Z217" s="811"/>
    </row>
    <row r="218" spans="1:26" ht="15" thickBot="1">
      <c r="A218" s="811"/>
      <c r="B218" s="811"/>
      <c r="C218" s="811"/>
      <c r="D218" s="811"/>
      <c r="E218" s="811"/>
      <c r="F218" s="811"/>
      <c r="G218" s="811"/>
      <c r="H218" s="811"/>
      <c r="I218" s="811"/>
      <c r="J218" s="811"/>
      <c r="K218" s="811"/>
      <c r="L218" s="811"/>
      <c r="M218" s="811"/>
      <c r="N218" s="811"/>
      <c r="O218" s="811"/>
      <c r="P218" s="811"/>
      <c r="Q218" s="811"/>
      <c r="R218" s="811"/>
      <c r="S218" s="811"/>
      <c r="T218" s="811"/>
      <c r="U218" s="811"/>
      <c r="V218" s="811"/>
      <c r="W218" s="811"/>
      <c r="X218" s="811"/>
      <c r="Y218" s="811"/>
      <c r="Z218" s="811"/>
    </row>
    <row r="219" spans="1:26" ht="15" thickBot="1">
      <c r="A219" s="811"/>
      <c r="B219" s="811"/>
      <c r="C219" s="811"/>
      <c r="D219" s="811"/>
      <c r="E219" s="811"/>
      <c r="F219" s="811"/>
      <c r="G219" s="811"/>
      <c r="H219" s="811"/>
      <c r="I219" s="811"/>
      <c r="J219" s="811"/>
      <c r="K219" s="811"/>
      <c r="L219" s="811"/>
      <c r="M219" s="811"/>
      <c r="N219" s="811"/>
      <c r="O219" s="811"/>
      <c r="P219" s="811"/>
      <c r="Q219" s="811"/>
      <c r="R219" s="811"/>
      <c r="S219" s="811"/>
      <c r="T219" s="811"/>
      <c r="U219" s="811"/>
      <c r="V219" s="811"/>
      <c r="W219" s="811"/>
      <c r="X219" s="811"/>
      <c r="Y219" s="811"/>
      <c r="Z219" s="811"/>
    </row>
    <row r="220" spans="1:26" ht="15" thickBot="1">
      <c r="A220" s="811"/>
      <c r="B220" s="811"/>
      <c r="C220" s="811"/>
      <c r="D220" s="811"/>
      <c r="E220" s="811"/>
      <c r="F220" s="811"/>
      <c r="G220" s="811"/>
      <c r="H220" s="811"/>
      <c r="I220" s="811"/>
      <c r="J220" s="811"/>
      <c r="K220" s="811"/>
      <c r="L220" s="811"/>
      <c r="M220" s="811"/>
      <c r="N220" s="811"/>
      <c r="O220" s="811"/>
      <c r="P220" s="811"/>
      <c r="Q220" s="811"/>
      <c r="R220" s="811"/>
      <c r="S220" s="811"/>
      <c r="T220" s="811"/>
      <c r="U220" s="811"/>
      <c r="V220" s="811"/>
      <c r="W220" s="811"/>
      <c r="X220" s="811"/>
      <c r="Y220" s="811"/>
      <c r="Z220" s="811"/>
    </row>
    <row r="221" spans="1:26" ht="15" thickBot="1">
      <c r="A221" s="811"/>
      <c r="B221" s="811"/>
      <c r="C221" s="811"/>
      <c r="D221" s="811"/>
      <c r="E221" s="811"/>
      <c r="F221" s="811"/>
      <c r="G221" s="811"/>
      <c r="H221" s="811"/>
      <c r="I221" s="811"/>
      <c r="J221" s="811"/>
      <c r="K221" s="811"/>
      <c r="L221" s="811"/>
      <c r="M221" s="811"/>
      <c r="N221" s="811"/>
      <c r="O221" s="811"/>
      <c r="P221" s="811"/>
      <c r="Q221" s="811"/>
      <c r="R221" s="811"/>
      <c r="S221" s="811"/>
      <c r="T221" s="811"/>
      <c r="U221" s="811"/>
      <c r="V221" s="811"/>
      <c r="W221" s="811"/>
      <c r="X221" s="811"/>
      <c r="Y221" s="811"/>
      <c r="Z221" s="811"/>
    </row>
    <row r="222" spans="1:26" ht="15" thickBot="1">
      <c r="A222" s="811"/>
      <c r="B222" s="811"/>
      <c r="C222" s="811"/>
      <c r="D222" s="811"/>
      <c r="E222" s="811"/>
      <c r="F222" s="811"/>
      <c r="G222" s="811"/>
      <c r="H222" s="811"/>
      <c r="I222" s="811"/>
      <c r="J222" s="811"/>
      <c r="K222" s="811"/>
      <c r="L222" s="811"/>
      <c r="M222" s="811"/>
      <c r="N222" s="811"/>
      <c r="O222" s="811"/>
      <c r="P222" s="811"/>
      <c r="Q222" s="811"/>
      <c r="R222" s="811"/>
      <c r="S222" s="811"/>
      <c r="T222" s="811"/>
      <c r="U222" s="811"/>
      <c r="V222" s="811"/>
      <c r="W222" s="811"/>
      <c r="X222" s="811"/>
      <c r="Y222" s="811"/>
      <c r="Z222" s="811"/>
    </row>
    <row r="223" spans="1:26" ht="15" thickBot="1">
      <c r="A223" s="811"/>
      <c r="B223" s="811"/>
      <c r="C223" s="811"/>
      <c r="D223" s="811"/>
      <c r="E223" s="811"/>
      <c r="F223" s="811"/>
      <c r="G223" s="811"/>
      <c r="H223" s="811"/>
      <c r="I223" s="811"/>
      <c r="J223" s="811"/>
      <c r="K223" s="811"/>
      <c r="L223" s="811"/>
      <c r="M223" s="811"/>
      <c r="N223" s="811"/>
      <c r="O223" s="811"/>
      <c r="P223" s="811"/>
      <c r="Q223" s="811"/>
      <c r="R223" s="811"/>
      <c r="S223" s="811"/>
      <c r="T223" s="811"/>
      <c r="U223" s="811"/>
      <c r="V223" s="811"/>
      <c r="W223" s="811"/>
      <c r="X223" s="811"/>
      <c r="Y223" s="811"/>
      <c r="Z223" s="811"/>
    </row>
    <row r="224" spans="1:26" ht="15" thickBot="1">
      <c r="A224" s="811"/>
      <c r="B224" s="811"/>
      <c r="C224" s="811"/>
      <c r="D224" s="811"/>
      <c r="E224" s="811"/>
      <c r="F224" s="811"/>
      <c r="G224" s="811"/>
      <c r="H224" s="811"/>
      <c r="I224" s="811"/>
      <c r="J224" s="811"/>
      <c r="K224" s="811"/>
      <c r="L224" s="811"/>
      <c r="M224" s="811"/>
      <c r="N224" s="811"/>
      <c r="O224" s="811"/>
      <c r="P224" s="811"/>
      <c r="Q224" s="811"/>
      <c r="R224" s="811"/>
      <c r="S224" s="811"/>
      <c r="T224" s="811"/>
      <c r="U224" s="811"/>
      <c r="V224" s="811"/>
      <c r="W224" s="811"/>
      <c r="X224" s="811"/>
      <c r="Y224" s="811"/>
      <c r="Z224" s="811"/>
    </row>
    <row r="225" spans="1:26" ht="15" thickBot="1">
      <c r="A225" s="811"/>
      <c r="B225" s="811"/>
      <c r="C225" s="811"/>
      <c r="D225" s="811"/>
      <c r="E225" s="811"/>
      <c r="F225" s="811"/>
      <c r="G225" s="811"/>
      <c r="H225" s="811"/>
      <c r="I225" s="811"/>
      <c r="J225" s="811"/>
      <c r="K225" s="811"/>
      <c r="L225" s="811"/>
      <c r="M225" s="811"/>
      <c r="N225" s="811"/>
      <c r="O225" s="811"/>
      <c r="P225" s="811"/>
      <c r="Q225" s="811"/>
      <c r="R225" s="811"/>
      <c r="S225" s="811"/>
      <c r="T225" s="811"/>
      <c r="U225" s="811"/>
      <c r="V225" s="811"/>
      <c r="W225" s="811"/>
      <c r="X225" s="811"/>
      <c r="Y225" s="811"/>
      <c r="Z225" s="811"/>
    </row>
    <row r="226" spans="1:26" ht="15" thickBot="1">
      <c r="A226" s="811"/>
      <c r="B226" s="811"/>
      <c r="C226" s="811"/>
      <c r="D226" s="811"/>
      <c r="E226" s="811"/>
      <c r="F226" s="811"/>
      <c r="G226" s="811"/>
      <c r="H226" s="811"/>
      <c r="I226" s="811"/>
      <c r="J226" s="811"/>
      <c r="K226" s="811"/>
      <c r="L226" s="811"/>
      <c r="M226" s="811"/>
      <c r="N226" s="811"/>
      <c r="O226" s="811"/>
      <c r="P226" s="811"/>
      <c r="Q226" s="811"/>
      <c r="R226" s="811"/>
      <c r="S226" s="811"/>
      <c r="T226" s="811"/>
      <c r="U226" s="811"/>
      <c r="V226" s="811"/>
      <c r="W226" s="811"/>
      <c r="X226" s="811"/>
      <c r="Y226" s="811"/>
      <c r="Z226" s="811"/>
    </row>
    <row r="227" spans="1:26" ht="15" thickBot="1">
      <c r="A227" s="811"/>
      <c r="B227" s="811"/>
      <c r="C227" s="811"/>
      <c r="D227" s="811"/>
      <c r="E227" s="811"/>
      <c r="F227" s="811"/>
      <c r="G227" s="811"/>
      <c r="H227" s="811"/>
      <c r="I227" s="811"/>
      <c r="J227" s="811"/>
      <c r="K227" s="811"/>
      <c r="L227" s="811"/>
      <c r="M227" s="811"/>
      <c r="N227" s="811"/>
      <c r="O227" s="811"/>
      <c r="P227" s="811"/>
      <c r="Q227" s="811"/>
      <c r="R227" s="811"/>
      <c r="S227" s="811"/>
      <c r="T227" s="811"/>
      <c r="U227" s="811"/>
      <c r="V227" s="811"/>
      <c r="W227" s="811"/>
      <c r="X227" s="811"/>
      <c r="Y227" s="811"/>
      <c r="Z227" s="811"/>
    </row>
    <row r="228" spans="1:26" ht="15" thickBot="1">
      <c r="A228" s="811"/>
      <c r="B228" s="811"/>
      <c r="C228" s="811"/>
      <c r="D228" s="811"/>
      <c r="E228" s="811"/>
      <c r="F228" s="811"/>
      <c r="G228" s="811"/>
      <c r="H228" s="811"/>
      <c r="I228" s="811"/>
      <c r="J228" s="811"/>
      <c r="K228" s="811"/>
      <c r="L228" s="811"/>
      <c r="M228" s="811"/>
      <c r="N228" s="811"/>
      <c r="O228" s="811"/>
      <c r="P228" s="811"/>
      <c r="Q228" s="811"/>
      <c r="R228" s="811"/>
      <c r="S228" s="811"/>
      <c r="T228" s="811"/>
      <c r="U228" s="811"/>
      <c r="V228" s="811"/>
      <c r="W228" s="811"/>
      <c r="X228" s="811"/>
      <c r="Y228" s="811"/>
      <c r="Z228" s="811"/>
    </row>
    <row r="229" spans="1:26" ht="15" thickBot="1">
      <c r="A229" s="811"/>
      <c r="B229" s="811"/>
      <c r="C229" s="811"/>
      <c r="D229" s="811"/>
      <c r="E229" s="811"/>
      <c r="F229" s="811"/>
      <c r="G229" s="811"/>
      <c r="H229" s="811"/>
      <c r="I229" s="811"/>
      <c r="J229" s="811"/>
      <c r="K229" s="811"/>
      <c r="L229" s="811"/>
      <c r="M229" s="811"/>
      <c r="N229" s="811"/>
      <c r="O229" s="811"/>
      <c r="P229" s="811"/>
      <c r="Q229" s="811"/>
      <c r="R229" s="811"/>
      <c r="S229" s="811"/>
      <c r="T229" s="811"/>
      <c r="U229" s="811"/>
      <c r="V229" s="811"/>
      <c r="W229" s="811"/>
      <c r="X229" s="811"/>
      <c r="Y229" s="811"/>
      <c r="Z229" s="811"/>
    </row>
    <row r="230" spans="1:26" ht="15" thickBot="1">
      <c r="A230" s="811"/>
      <c r="B230" s="811"/>
      <c r="C230" s="811"/>
      <c r="D230" s="811"/>
      <c r="E230" s="811"/>
      <c r="F230" s="811"/>
      <c r="G230" s="811"/>
      <c r="H230" s="811"/>
      <c r="I230" s="811"/>
      <c r="J230" s="811"/>
      <c r="K230" s="811"/>
      <c r="L230" s="811"/>
      <c r="M230" s="811"/>
      <c r="N230" s="811"/>
      <c r="O230" s="811"/>
      <c r="P230" s="811"/>
      <c r="Q230" s="811"/>
      <c r="R230" s="811"/>
      <c r="S230" s="811"/>
      <c r="T230" s="811"/>
      <c r="U230" s="811"/>
      <c r="V230" s="811"/>
      <c r="W230" s="811"/>
      <c r="X230" s="811"/>
      <c r="Y230" s="811"/>
      <c r="Z230" s="811"/>
    </row>
    <row r="231" spans="1:26" ht="15" thickBot="1">
      <c r="A231" s="811"/>
      <c r="B231" s="811"/>
      <c r="C231" s="811"/>
      <c r="D231" s="811"/>
      <c r="E231" s="811"/>
      <c r="F231" s="811"/>
      <c r="G231" s="811"/>
      <c r="H231" s="811"/>
      <c r="I231" s="811"/>
      <c r="J231" s="811"/>
      <c r="K231" s="811"/>
      <c r="L231" s="811"/>
      <c r="M231" s="811"/>
      <c r="N231" s="811"/>
      <c r="O231" s="811"/>
      <c r="P231" s="811"/>
      <c r="Q231" s="811"/>
      <c r="R231" s="811"/>
      <c r="S231" s="811"/>
      <c r="T231" s="811"/>
      <c r="U231" s="811"/>
      <c r="V231" s="811"/>
      <c r="W231" s="811"/>
      <c r="X231" s="811"/>
      <c r="Y231" s="811"/>
      <c r="Z231" s="811"/>
    </row>
    <row r="232" spans="1:26" ht="15" thickBot="1">
      <c r="A232" s="811"/>
      <c r="B232" s="811"/>
      <c r="C232" s="811"/>
      <c r="D232" s="811"/>
      <c r="E232" s="811"/>
      <c r="F232" s="811"/>
      <c r="G232" s="811"/>
      <c r="H232" s="811"/>
      <c r="I232" s="811"/>
      <c r="J232" s="811"/>
      <c r="K232" s="811"/>
      <c r="L232" s="811"/>
      <c r="M232" s="811"/>
      <c r="N232" s="811"/>
      <c r="O232" s="811"/>
      <c r="P232" s="811"/>
      <c r="Q232" s="811"/>
      <c r="R232" s="811"/>
      <c r="S232" s="811"/>
      <c r="T232" s="811"/>
      <c r="U232" s="811"/>
      <c r="V232" s="811"/>
      <c r="W232" s="811"/>
      <c r="X232" s="811"/>
      <c r="Y232" s="811"/>
      <c r="Z232" s="811"/>
    </row>
    <row r="233" spans="1:26" ht="15" thickBot="1">
      <c r="A233" s="811"/>
      <c r="B233" s="811"/>
      <c r="C233" s="811"/>
      <c r="D233" s="811"/>
      <c r="E233" s="811"/>
      <c r="F233" s="811"/>
      <c r="G233" s="811"/>
      <c r="H233" s="811"/>
      <c r="I233" s="811"/>
      <c r="J233" s="811"/>
      <c r="K233" s="811"/>
      <c r="L233" s="811"/>
      <c r="M233" s="811"/>
      <c r="N233" s="811"/>
      <c r="O233" s="811"/>
      <c r="P233" s="811"/>
      <c r="Q233" s="811"/>
      <c r="R233" s="811"/>
      <c r="S233" s="811"/>
      <c r="T233" s="811"/>
      <c r="U233" s="811"/>
      <c r="V233" s="811"/>
      <c r="W233" s="811"/>
      <c r="X233" s="811"/>
      <c r="Y233" s="811"/>
      <c r="Z233" s="811"/>
    </row>
    <row r="234" spans="1:26" ht="15" thickBot="1">
      <c r="A234" s="811"/>
      <c r="B234" s="811"/>
      <c r="C234" s="811"/>
      <c r="D234" s="811"/>
      <c r="E234" s="811"/>
      <c r="F234" s="811"/>
      <c r="G234" s="811"/>
      <c r="H234" s="811"/>
      <c r="I234" s="811"/>
      <c r="J234" s="811"/>
      <c r="K234" s="811"/>
      <c r="L234" s="811"/>
      <c r="M234" s="811"/>
      <c r="N234" s="811"/>
      <c r="O234" s="811"/>
      <c r="P234" s="811"/>
      <c r="Q234" s="811"/>
      <c r="R234" s="811"/>
      <c r="S234" s="811"/>
      <c r="T234" s="811"/>
      <c r="U234" s="811"/>
      <c r="V234" s="811"/>
      <c r="W234" s="811"/>
      <c r="X234" s="811"/>
      <c r="Y234" s="811"/>
      <c r="Z234" s="811"/>
    </row>
    <row r="235" spans="1:26" ht="15" thickBot="1">
      <c r="A235" s="811"/>
      <c r="B235" s="811"/>
      <c r="C235" s="811"/>
      <c r="D235" s="811"/>
      <c r="E235" s="811"/>
      <c r="F235" s="811"/>
      <c r="G235" s="811"/>
      <c r="H235" s="811"/>
      <c r="I235" s="811"/>
      <c r="J235" s="811"/>
      <c r="K235" s="811"/>
      <c r="L235" s="811"/>
      <c r="M235" s="811"/>
      <c r="N235" s="811"/>
      <c r="O235" s="811"/>
      <c r="P235" s="811"/>
      <c r="Q235" s="811"/>
      <c r="R235" s="811"/>
      <c r="S235" s="811"/>
      <c r="T235" s="811"/>
      <c r="U235" s="811"/>
      <c r="V235" s="811"/>
      <c r="W235" s="811"/>
      <c r="X235" s="811"/>
      <c r="Y235" s="811"/>
      <c r="Z235" s="811"/>
    </row>
    <row r="236" spans="1:26" ht="15" thickBot="1">
      <c r="A236" s="811"/>
      <c r="B236" s="811"/>
      <c r="C236" s="811"/>
      <c r="D236" s="811"/>
      <c r="E236" s="811"/>
      <c r="F236" s="811"/>
      <c r="G236" s="811"/>
      <c r="H236" s="811"/>
      <c r="I236" s="811"/>
      <c r="J236" s="811"/>
      <c r="K236" s="811"/>
      <c r="L236" s="811"/>
      <c r="M236" s="811"/>
      <c r="N236" s="811"/>
      <c r="O236" s="811"/>
      <c r="P236" s="811"/>
      <c r="Q236" s="811"/>
      <c r="R236" s="811"/>
      <c r="S236" s="811"/>
      <c r="T236" s="811"/>
      <c r="U236" s="811"/>
      <c r="V236" s="811"/>
      <c r="W236" s="811"/>
      <c r="X236" s="811"/>
      <c r="Y236" s="811"/>
      <c r="Z236" s="811"/>
    </row>
    <row r="237" spans="1:26" ht="15" thickBot="1">
      <c r="A237" s="811"/>
      <c r="B237" s="811"/>
      <c r="C237" s="811"/>
      <c r="D237" s="811"/>
      <c r="E237" s="811"/>
      <c r="F237" s="811"/>
      <c r="G237" s="811"/>
      <c r="H237" s="811"/>
      <c r="I237" s="811"/>
      <c r="J237" s="811"/>
      <c r="K237" s="811"/>
      <c r="L237" s="811"/>
      <c r="M237" s="811"/>
      <c r="N237" s="811"/>
      <c r="O237" s="811"/>
      <c r="P237" s="811"/>
      <c r="Q237" s="811"/>
      <c r="R237" s="811"/>
      <c r="S237" s="811"/>
      <c r="T237" s="811"/>
      <c r="U237" s="811"/>
      <c r="V237" s="811"/>
      <c r="W237" s="811"/>
      <c r="X237" s="811"/>
      <c r="Y237" s="811"/>
      <c r="Z237" s="811"/>
    </row>
    <row r="238" spans="1:26" ht="15" thickBot="1">
      <c r="A238" s="811"/>
      <c r="B238" s="811"/>
      <c r="C238" s="811"/>
      <c r="D238" s="811"/>
      <c r="E238" s="811"/>
      <c r="F238" s="811"/>
      <c r="G238" s="811"/>
      <c r="H238" s="811"/>
      <c r="I238" s="811"/>
      <c r="J238" s="811"/>
      <c r="K238" s="811"/>
      <c r="L238" s="811"/>
      <c r="M238" s="811"/>
      <c r="N238" s="811"/>
      <c r="O238" s="811"/>
      <c r="P238" s="811"/>
      <c r="Q238" s="811"/>
      <c r="R238" s="811"/>
      <c r="S238" s="811"/>
      <c r="T238" s="811"/>
      <c r="U238" s="811"/>
      <c r="V238" s="811"/>
      <c r="W238" s="811"/>
      <c r="X238" s="811"/>
      <c r="Y238" s="811"/>
      <c r="Z238" s="811"/>
    </row>
    <row r="239" spans="1:26" ht="15" thickBot="1">
      <c r="A239" s="811"/>
      <c r="B239" s="811"/>
      <c r="C239" s="811"/>
      <c r="D239" s="811"/>
      <c r="E239" s="811"/>
      <c r="F239" s="811"/>
      <c r="G239" s="811"/>
      <c r="H239" s="811"/>
      <c r="I239" s="811"/>
      <c r="J239" s="811"/>
      <c r="K239" s="811"/>
      <c r="L239" s="811"/>
      <c r="M239" s="811"/>
      <c r="N239" s="811"/>
      <c r="O239" s="811"/>
      <c r="P239" s="811"/>
      <c r="Q239" s="811"/>
      <c r="R239" s="811"/>
      <c r="S239" s="811"/>
      <c r="T239" s="811"/>
      <c r="U239" s="811"/>
      <c r="V239" s="811"/>
      <c r="W239" s="811"/>
      <c r="X239" s="811"/>
      <c r="Y239" s="811"/>
      <c r="Z239" s="811"/>
    </row>
    <row r="240" spans="1:26" ht="15" thickBot="1">
      <c r="A240" s="811"/>
      <c r="B240" s="811"/>
      <c r="C240" s="811"/>
      <c r="D240" s="811"/>
      <c r="E240" s="811"/>
      <c r="F240" s="811"/>
      <c r="G240" s="811"/>
      <c r="H240" s="811"/>
      <c r="I240" s="811"/>
      <c r="J240" s="811"/>
      <c r="K240" s="811"/>
      <c r="L240" s="811"/>
      <c r="M240" s="811"/>
      <c r="N240" s="811"/>
      <c r="O240" s="811"/>
      <c r="P240" s="811"/>
      <c r="Q240" s="811"/>
      <c r="R240" s="811"/>
      <c r="S240" s="811"/>
      <c r="T240" s="811"/>
      <c r="U240" s="811"/>
      <c r="V240" s="811"/>
      <c r="W240" s="811"/>
      <c r="X240" s="811"/>
      <c r="Y240" s="811"/>
      <c r="Z240" s="811"/>
    </row>
    <row r="241" spans="1:26" ht="15" thickBot="1">
      <c r="A241" s="811"/>
      <c r="B241" s="811"/>
      <c r="C241" s="811"/>
      <c r="D241" s="811"/>
      <c r="E241" s="811"/>
      <c r="F241" s="811"/>
      <c r="G241" s="811"/>
      <c r="H241" s="811"/>
      <c r="I241" s="811"/>
      <c r="J241" s="811"/>
      <c r="K241" s="811"/>
      <c r="L241" s="811"/>
      <c r="M241" s="811"/>
      <c r="N241" s="811"/>
      <c r="O241" s="811"/>
      <c r="P241" s="811"/>
      <c r="Q241" s="811"/>
      <c r="R241" s="811"/>
      <c r="S241" s="811"/>
      <c r="T241" s="811"/>
      <c r="U241" s="811"/>
      <c r="V241" s="811"/>
      <c r="W241" s="811"/>
      <c r="X241" s="811"/>
      <c r="Y241" s="811"/>
      <c r="Z241" s="811"/>
    </row>
    <row r="242" spans="1:26" ht="15" thickBot="1">
      <c r="A242" s="811"/>
      <c r="B242" s="811"/>
      <c r="C242" s="811"/>
      <c r="D242" s="811"/>
      <c r="E242" s="811"/>
      <c r="F242" s="811"/>
      <c r="G242" s="811"/>
      <c r="H242" s="811"/>
      <c r="I242" s="811"/>
      <c r="J242" s="811"/>
      <c r="K242" s="811"/>
      <c r="L242" s="811"/>
      <c r="M242" s="811"/>
      <c r="N242" s="811"/>
      <c r="O242" s="811"/>
      <c r="P242" s="811"/>
      <c r="Q242" s="811"/>
      <c r="R242" s="811"/>
      <c r="S242" s="811"/>
      <c r="T242" s="811"/>
      <c r="U242" s="811"/>
      <c r="V242" s="811"/>
      <c r="W242" s="811"/>
      <c r="X242" s="811"/>
      <c r="Y242" s="811"/>
      <c r="Z242" s="811"/>
    </row>
    <row r="243" spans="1:26" ht="15" thickBot="1">
      <c r="A243" s="811"/>
      <c r="B243" s="811"/>
      <c r="C243" s="811"/>
      <c r="D243" s="811"/>
      <c r="E243" s="811"/>
      <c r="F243" s="811"/>
      <c r="G243" s="811"/>
      <c r="H243" s="811"/>
      <c r="I243" s="811"/>
      <c r="J243" s="811"/>
      <c r="K243" s="811"/>
      <c r="L243" s="811"/>
      <c r="M243" s="811"/>
      <c r="N243" s="811"/>
      <c r="O243" s="811"/>
      <c r="P243" s="811"/>
      <c r="Q243" s="811"/>
      <c r="R243" s="811"/>
      <c r="S243" s="811"/>
      <c r="T243" s="811"/>
      <c r="U243" s="811"/>
      <c r="V243" s="811"/>
      <c r="W243" s="811"/>
      <c r="X243" s="811"/>
      <c r="Y243" s="811"/>
      <c r="Z243" s="811"/>
    </row>
    <row r="244" spans="1:26" ht="15" thickBot="1">
      <c r="A244" s="811"/>
      <c r="B244" s="811"/>
      <c r="C244" s="811"/>
      <c r="D244" s="811"/>
      <c r="E244" s="811"/>
      <c r="F244" s="811"/>
      <c r="G244" s="811"/>
      <c r="H244" s="811"/>
      <c r="I244" s="811"/>
      <c r="J244" s="811"/>
      <c r="K244" s="811"/>
      <c r="L244" s="811"/>
      <c r="M244" s="811"/>
      <c r="N244" s="811"/>
      <c r="O244" s="811"/>
      <c r="P244" s="811"/>
      <c r="Q244" s="811"/>
      <c r="R244" s="811"/>
      <c r="S244" s="811"/>
      <c r="T244" s="811"/>
      <c r="U244" s="811"/>
      <c r="V244" s="811"/>
      <c r="W244" s="811"/>
      <c r="X244" s="811"/>
      <c r="Y244" s="811"/>
      <c r="Z244" s="811"/>
    </row>
    <row r="245" spans="1:26" ht="15" thickBot="1">
      <c r="A245" s="811"/>
      <c r="B245" s="811"/>
      <c r="C245" s="811"/>
      <c r="D245" s="811"/>
      <c r="E245" s="811"/>
      <c r="F245" s="811"/>
      <c r="G245" s="811"/>
      <c r="H245" s="811"/>
      <c r="I245" s="811"/>
      <c r="J245" s="811"/>
      <c r="K245" s="811"/>
      <c r="L245" s="811"/>
      <c r="M245" s="811"/>
      <c r="N245" s="811"/>
      <c r="O245" s="811"/>
      <c r="P245" s="811"/>
      <c r="Q245" s="811"/>
      <c r="R245" s="811"/>
      <c r="S245" s="811"/>
      <c r="T245" s="811"/>
      <c r="U245" s="811"/>
      <c r="V245" s="811"/>
      <c r="W245" s="811"/>
      <c r="X245" s="811"/>
      <c r="Y245" s="811"/>
      <c r="Z245" s="811"/>
    </row>
    <row r="246" spans="1:26" ht="15" thickBot="1">
      <c r="A246" s="811"/>
      <c r="B246" s="811"/>
      <c r="C246" s="811"/>
      <c r="D246" s="811"/>
      <c r="E246" s="811"/>
      <c r="F246" s="811"/>
      <c r="G246" s="811"/>
      <c r="H246" s="811"/>
      <c r="I246" s="811"/>
      <c r="J246" s="811"/>
      <c r="K246" s="811"/>
      <c r="L246" s="811"/>
      <c r="M246" s="811"/>
      <c r="N246" s="811"/>
      <c r="O246" s="811"/>
      <c r="P246" s="811"/>
      <c r="Q246" s="811"/>
      <c r="R246" s="811"/>
      <c r="S246" s="811"/>
      <c r="T246" s="811"/>
      <c r="U246" s="811"/>
      <c r="V246" s="811"/>
      <c r="W246" s="811"/>
      <c r="X246" s="811"/>
      <c r="Y246" s="811"/>
      <c r="Z246" s="811"/>
    </row>
    <row r="247" spans="1:26" ht="15" thickBot="1">
      <c r="A247" s="811"/>
      <c r="B247" s="811"/>
      <c r="C247" s="811"/>
      <c r="D247" s="811"/>
      <c r="E247" s="811"/>
      <c r="F247" s="811"/>
      <c r="G247" s="811"/>
      <c r="H247" s="811"/>
      <c r="I247" s="811"/>
      <c r="J247" s="811"/>
      <c r="K247" s="811"/>
      <c r="L247" s="811"/>
      <c r="M247" s="811"/>
      <c r="N247" s="811"/>
      <c r="O247" s="811"/>
      <c r="P247" s="811"/>
      <c r="Q247" s="811"/>
      <c r="R247" s="811"/>
      <c r="S247" s="811"/>
      <c r="T247" s="811"/>
      <c r="U247" s="811"/>
      <c r="V247" s="811"/>
      <c r="W247" s="811"/>
      <c r="X247" s="811"/>
      <c r="Y247" s="811"/>
      <c r="Z247" s="811"/>
    </row>
    <row r="248" spans="1:26" ht="15" thickBot="1">
      <c r="A248" s="811"/>
      <c r="B248" s="811"/>
      <c r="C248" s="811"/>
      <c r="D248" s="811"/>
      <c r="E248" s="811"/>
      <c r="F248" s="811"/>
      <c r="G248" s="811"/>
      <c r="H248" s="811"/>
      <c r="I248" s="811"/>
      <c r="J248" s="811"/>
      <c r="K248" s="811"/>
      <c r="L248" s="811"/>
      <c r="M248" s="811"/>
      <c r="N248" s="811"/>
      <c r="O248" s="811"/>
      <c r="P248" s="811"/>
      <c r="Q248" s="811"/>
      <c r="R248" s="811"/>
      <c r="S248" s="811"/>
      <c r="T248" s="811"/>
      <c r="U248" s="811"/>
      <c r="V248" s="811"/>
      <c r="W248" s="811"/>
      <c r="X248" s="811"/>
      <c r="Y248" s="811"/>
      <c r="Z248" s="811"/>
    </row>
    <row r="249" spans="1:26" ht="15" thickBot="1">
      <c r="A249" s="811"/>
      <c r="B249" s="811"/>
      <c r="C249" s="811"/>
      <c r="D249" s="811"/>
      <c r="E249" s="811"/>
      <c r="F249" s="811"/>
      <c r="G249" s="811"/>
      <c r="H249" s="811"/>
      <c r="I249" s="811"/>
      <c r="J249" s="811"/>
      <c r="K249" s="811"/>
      <c r="L249" s="811"/>
      <c r="M249" s="811"/>
      <c r="N249" s="811"/>
      <c r="O249" s="811"/>
      <c r="P249" s="811"/>
      <c r="Q249" s="811"/>
      <c r="R249" s="811"/>
      <c r="S249" s="811"/>
      <c r="T249" s="811"/>
      <c r="U249" s="811"/>
      <c r="V249" s="811"/>
      <c r="W249" s="811"/>
      <c r="X249" s="811"/>
      <c r="Y249" s="811"/>
      <c r="Z249" s="811"/>
    </row>
    <row r="250" spans="1:26" ht="15" thickBot="1">
      <c r="A250" s="811"/>
      <c r="B250" s="811"/>
      <c r="C250" s="811"/>
      <c r="D250" s="811"/>
      <c r="E250" s="811"/>
      <c r="F250" s="811"/>
      <c r="G250" s="811"/>
      <c r="H250" s="811"/>
      <c r="I250" s="811"/>
      <c r="J250" s="811"/>
      <c r="K250" s="811"/>
      <c r="L250" s="811"/>
      <c r="M250" s="811"/>
      <c r="N250" s="811"/>
      <c r="O250" s="811"/>
      <c r="P250" s="811"/>
      <c r="Q250" s="811"/>
      <c r="R250" s="811"/>
      <c r="S250" s="811"/>
      <c r="T250" s="811"/>
      <c r="U250" s="811"/>
      <c r="V250" s="811"/>
      <c r="W250" s="811"/>
      <c r="X250" s="811"/>
      <c r="Y250" s="811"/>
      <c r="Z250" s="811"/>
    </row>
    <row r="251" spans="1:26" ht="15" thickBot="1">
      <c r="A251" s="811"/>
      <c r="B251" s="811"/>
      <c r="C251" s="811"/>
      <c r="D251" s="811"/>
      <c r="E251" s="811"/>
      <c r="F251" s="811"/>
      <c r="G251" s="811"/>
      <c r="H251" s="811"/>
      <c r="I251" s="811"/>
      <c r="J251" s="811"/>
      <c r="K251" s="811"/>
      <c r="L251" s="811"/>
      <c r="M251" s="811"/>
      <c r="N251" s="811"/>
      <c r="O251" s="811"/>
      <c r="P251" s="811"/>
      <c r="Q251" s="811"/>
      <c r="R251" s="811"/>
      <c r="S251" s="811"/>
      <c r="T251" s="811"/>
      <c r="U251" s="811"/>
      <c r="V251" s="811"/>
      <c r="W251" s="811"/>
      <c r="X251" s="811"/>
      <c r="Y251" s="811"/>
      <c r="Z251" s="811"/>
    </row>
    <row r="252" spans="1:26" ht="15" thickBot="1">
      <c r="A252" s="811"/>
      <c r="B252" s="811"/>
      <c r="C252" s="811"/>
      <c r="D252" s="811"/>
      <c r="E252" s="811"/>
      <c r="F252" s="811"/>
      <c r="G252" s="811"/>
      <c r="H252" s="811"/>
      <c r="I252" s="811"/>
      <c r="J252" s="811"/>
      <c r="K252" s="811"/>
      <c r="L252" s="811"/>
      <c r="M252" s="811"/>
      <c r="N252" s="811"/>
      <c r="O252" s="811"/>
      <c r="P252" s="811"/>
      <c r="Q252" s="811"/>
      <c r="R252" s="811"/>
      <c r="S252" s="811"/>
      <c r="T252" s="811"/>
      <c r="U252" s="811"/>
      <c r="V252" s="811"/>
      <c r="W252" s="811"/>
      <c r="X252" s="811"/>
      <c r="Y252" s="811"/>
      <c r="Z252" s="811"/>
    </row>
    <row r="253" spans="1:26" ht="15" thickBot="1">
      <c r="A253" s="811"/>
      <c r="B253" s="811"/>
      <c r="C253" s="811"/>
      <c r="D253" s="811"/>
      <c r="E253" s="811"/>
      <c r="F253" s="811"/>
      <c r="G253" s="811"/>
      <c r="H253" s="811"/>
      <c r="I253" s="811"/>
      <c r="J253" s="811"/>
      <c r="K253" s="811"/>
      <c r="L253" s="811"/>
      <c r="M253" s="811"/>
      <c r="N253" s="811"/>
      <c r="O253" s="811"/>
      <c r="P253" s="811"/>
      <c r="Q253" s="811"/>
      <c r="R253" s="811"/>
      <c r="S253" s="811"/>
      <c r="T253" s="811"/>
      <c r="U253" s="811"/>
      <c r="V253" s="811"/>
      <c r="W253" s="811"/>
      <c r="X253" s="811"/>
      <c r="Y253" s="811"/>
      <c r="Z253" s="811"/>
    </row>
    <row r="254" spans="1:26" ht="15" thickBot="1">
      <c r="A254" s="811"/>
      <c r="B254" s="811"/>
      <c r="C254" s="811"/>
      <c r="D254" s="811"/>
      <c r="E254" s="811"/>
      <c r="F254" s="811"/>
      <c r="G254" s="811"/>
      <c r="H254" s="811"/>
      <c r="I254" s="811"/>
      <c r="J254" s="811"/>
      <c r="K254" s="811"/>
      <c r="L254" s="811"/>
      <c r="M254" s="811"/>
      <c r="N254" s="811"/>
      <c r="O254" s="811"/>
      <c r="P254" s="811"/>
      <c r="Q254" s="811"/>
      <c r="R254" s="811"/>
      <c r="S254" s="811"/>
      <c r="T254" s="811"/>
      <c r="U254" s="811"/>
      <c r="V254" s="811"/>
      <c r="W254" s="811"/>
      <c r="X254" s="811"/>
      <c r="Y254" s="811"/>
      <c r="Z254" s="811"/>
    </row>
    <row r="255" spans="1:26" ht="15" thickBot="1">
      <c r="A255" s="811"/>
      <c r="B255" s="811"/>
      <c r="C255" s="811"/>
      <c r="D255" s="811"/>
      <c r="E255" s="811"/>
      <c r="F255" s="811"/>
      <c r="G255" s="811"/>
      <c r="H255" s="811"/>
      <c r="I255" s="811"/>
      <c r="J255" s="811"/>
      <c r="K255" s="811"/>
      <c r="L255" s="811"/>
      <c r="M255" s="811"/>
      <c r="N255" s="811"/>
      <c r="O255" s="811"/>
      <c r="P255" s="811"/>
      <c r="Q255" s="811"/>
      <c r="R255" s="811"/>
      <c r="S255" s="811"/>
      <c r="T255" s="811"/>
      <c r="U255" s="811"/>
      <c r="V255" s="811"/>
      <c r="W255" s="811"/>
      <c r="X255" s="811"/>
      <c r="Y255" s="811"/>
      <c r="Z255" s="811"/>
    </row>
    <row r="256" spans="1:26" ht="15" thickBot="1">
      <c r="A256" s="811"/>
      <c r="B256" s="811"/>
      <c r="C256" s="811"/>
      <c r="D256" s="811"/>
      <c r="E256" s="811"/>
      <c r="F256" s="811"/>
      <c r="G256" s="811"/>
      <c r="H256" s="811"/>
      <c r="I256" s="811"/>
      <c r="J256" s="811"/>
      <c r="K256" s="811"/>
      <c r="L256" s="811"/>
      <c r="M256" s="811"/>
      <c r="N256" s="811"/>
      <c r="O256" s="811"/>
      <c r="P256" s="811"/>
      <c r="Q256" s="811"/>
      <c r="R256" s="811"/>
      <c r="S256" s="811"/>
      <c r="T256" s="811"/>
      <c r="U256" s="811"/>
      <c r="V256" s="811"/>
      <c r="W256" s="811"/>
      <c r="X256" s="811"/>
      <c r="Y256" s="811"/>
      <c r="Z256" s="811"/>
    </row>
    <row r="257" spans="1:26" ht="15" thickBot="1">
      <c r="A257" s="811"/>
      <c r="B257" s="811"/>
      <c r="C257" s="811"/>
      <c r="D257" s="811"/>
      <c r="E257" s="811"/>
      <c r="F257" s="811"/>
      <c r="G257" s="811"/>
      <c r="H257" s="811"/>
      <c r="I257" s="811"/>
      <c r="J257" s="811"/>
      <c r="K257" s="811"/>
      <c r="L257" s="811"/>
      <c r="M257" s="811"/>
      <c r="N257" s="811"/>
      <c r="O257" s="811"/>
      <c r="P257" s="811"/>
      <c r="Q257" s="811"/>
      <c r="R257" s="811"/>
      <c r="S257" s="811"/>
      <c r="T257" s="811"/>
      <c r="U257" s="811"/>
      <c r="V257" s="811"/>
      <c r="W257" s="811"/>
      <c r="X257" s="811"/>
      <c r="Y257" s="811"/>
      <c r="Z257" s="811"/>
    </row>
    <row r="258" spans="1:26" ht="15" thickBot="1">
      <c r="A258" s="811"/>
      <c r="B258" s="811"/>
      <c r="C258" s="811"/>
      <c r="D258" s="811"/>
      <c r="E258" s="811"/>
      <c r="F258" s="811"/>
      <c r="G258" s="811"/>
      <c r="H258" s="811"/>
      <c r="I258" s="811"/>
      <c r="J258" s="811"/>
      <c r="K258" s="811"/>
      <c r="L258" s="811"/>
      <c r="M258" s="811"/>
      <c r="N258" s="811"/>
      <c r="O258" s="811"/>
      <c r="P258" s="811"/>
      <c r="Q258" s="811"/>
      <c r="R258" s="811"/>
      <c r="S258" s="811"/>
      <c r="T258" s="811"/>
      <c r="U258" s="811"/>
      <c r="V258" s="811"/>
      <c r="W258" s="811"/>
      <c r="X258" s="811"/>
      <c r="Y258" s="811"/>
      <c r="Z258" s="811"/>
    </row>
    <row r="259" spans="1:26" ht="15" thickBot="1">
      <c r="A259" s="811"/>
      <c r="B259" s="811"/>
      <c r="C259" s="811"/>
      <c r="D259" s="811"/>
      <c r="E259" s="811"/>
      <c r="F259" s="811"/>
      <c r="G259" s="811"/>
      <c r="H259" s="811"/>
      <c r="I259" s="811"/>
      <c r="J259" s="811"/>
      <c r="K259" s="811"/>
      <c r="L259" s="811"/>
      <c r="M259" s="811"/>
      <c r="N259" s="811"/>
      <c r="O259" s="811"/>
      <c r="P259" s="811"/>
      <c r="Q259" s="811"/>
      <c r="R259" s="811"/>
      <c r="S259" s="811"/>
      <c r="T259" s="811"/>
      <c r="U259" s="811"/>
      <c r="V259" s="811"/>
      <c r="W259" s="811"/>
      <c r="X259" s="811"/>
      <c r="Y259" s="811"/>
      <c r="Z259" s="811"/>
    </row>
    <row r="260" spans="1:26" ht="15" thickBot="1">
      <c r="A260" s="811"/>
      <c r="B260" s="811"/>
      <c r="C260" s="811"/>
      <c r="D260" s="811"/>
      <c r="E260" s="811"/>
      <c r="F260" s="811"/>
      <c r="G260" s="811"/>
      <c r="H260" s="811"/>
      <c r="I260" s="811"/>
      <c r="J260" s="811"/>
      <c r="K260" s="811"/>
      <c r="L260" s="811"/>
      <c r="M260" s="811"/>
      <c r="N260" s="811"/>
      <c r="O260" s="811"/>
      <c r="P260" s="811"/>
      <c r="Q260" s="811"/>
      <c r="R260" s="811"/>
      <c r="S260" s="811"/>
      <c r="T260" s="811"/>
      <c r="U260" s="811"/>
      <c r="V260" s="811"/>
      <c r="W260" s="811"/>
      <c r="X260" s="811"/>
      <c r="Y260" s="811"/>
      <c r="Z260" s="811"/>
    </row>
    <row r="261" spans="1:26" ht="15" thickBot="1">
      <c r="A261" s="811"/>
      <c r="B261" s="811"/>
      <c r="C261" s="811"/>
      <c r="D261" s="811"/>
      <c r="E261" s="811"/>
      <c r="F261" s="811"/>
      <c r="G261" s="811"/>
      <c r="H261" s="811"/>
      <c r="I261" s="811"/>
      <c r="J261" s="811"/>
      <c r="K261" s="811"/>
      <c r="L261" s="811"/>
      <c r="M261" s="811"/>
      <c r="N261" s="811"/>
      <c r="O261" s="811"/>
      <c r="P261" s="811"/>
      <c r="Q261" s="811"/>
      <c r="R261" s="811"/>
      <c r="S261" s="811"/>
      <c r="T261" s="811"/>
      <c r="U261" s="811"/>
      <c r="V261" s="811"/>
      <c r="W261" s="811"/>
      <c r="X261" s="811"/>
      <c r="Y261" s="811"/>
      <c r="Z261" s="811"/>
    </row>
    <row r="262" spans="1:26" ht="15" thickBot="1">
      <c r="A262" s="811"/>
      <c r="B262" s="811"/>
      <c r="C262" s="811"/>
      <c r="D262" s="811"/>
      <c r="E262" s="811"/>
      <c r="F262" s="811"/>
      <c r="G262" s="811"/>
      <c r="H262" s="811"/>
      <c r="I262" s="811"/>
      <c r="J262" s="811"/>
      <c r="K262" s="811"/>
      <c r="L262" s="811"/>
      <c r="M262" s="811"/>
      <c r="N262" s="811"/>
      <c r="O262" s="811"/>
      <c r="P262" s="811"/>
      <c r="Q262" s="811"/>
      <c r="R262" s="811"/>
      <c r="S262" s="811"/>
      <c r="T262" s="811"/>
      <c r="U262" s="811"/>
      <c r="V262" s="811"/>
      <c r="W262" s="811"/>
      <c r="X262" s="811"/>
      <c r="Y262" s="811"/>
      <c r="Z262" s="811"/>
    </row>
    <row r="263" spans="1:26" ht="15" thickBot="1">
      <c r="A263" s="811"/>
      <c r="B263" s="811"/>
      <c r="C263" s="811"/>
      <c r="D263" s="811"/>
      <c r="E263" s="811"/>
      <c r="F263" s="811"/>
      <c r="G263" s="811"/>
      <c r="H263" s="811"/>
      <c r="I263" s="811"/>
      <c r="J263" s="811"/>
      <c r="K263" s="811"/>
      <c r="L263" s="811"/>
      <c r="M263" s="811"/>
      <c r="N263" s="811"/>
      <c r="O263" s="811"/>
      <c r="P263" s="811"/>
      <c r="Q263" s="811"/>
      <c r="R263" s="811"/>
      <c r="S263" s="811"/>
      <c r="T263" s="811"/>
      <c r="U263" s="811"/>
      <c r="V263" s="811"/>
      <c r="W263" s="811"/>
      <c r="X263" s="811"/>
      <c r="Y263" s="811"/>
      <c r="Z263" s="811"/>
    </row>
    <row r="264" spans="1:26" ht="15" thickBot="1">
      <c r="A264" s="811"/>
      <c r="B264" s="811"/>
      <c r="C264" s="811"/>
      <c r="D264" s="811"/>
      <c r="E264" s="811"/>
      <c r="F264" s="811"/>
      <c r="G264" s="811"/>
      <c r="H264" s="811"/>
      <c r="I264" s="811"/>
      <c r="J264" s="811"/>
      <c r="K264" s="811"/>
      <c r="L264" s="811"/>
      <c r="M264" s="811"/>
      <c r="N264" s="811"/>
      <c r="O264" s="811"/>
      <c r="P264" s="811"/>
      <c r="Q264" s="811"/>
      <c r="R264" s="811"/>
      <c r="S264" s="811"/>
      <c r="T264" s="811"/>
      <c r="U264" s="811"/>
      <c r="V264" s="811"/>
      <c r="W264" s="811"/>
      <c r="X264" s="811"/>
      <c r="Y264" s="811"/>
      <c r="Z264" s="811"/>
    </row>
    <row r="265" spans="1:26" ht="15" thickBot="1">
      <c r="A265" s="811"/>
      <c r="B265" s="811"/>
      <c r="C265" s="811"/>
      <c r="D265" s="811"/>
      <c r="E265" s="811"/>
      <c r="F265" s="811"/>
      <c r="G265" s="811"/>
      <c r="H265" s="811"/>
      <c r="I265" s="811"/>
      <c r="J265" s="811"/>
      <c r="K265" s="811"/>
      <c r="L265" s="811"/>
      <c r="M265" s="811"/>
      <c r="N265" s="811"/>
      <c r="O265" s="811"/>
      <c r="P265" s="811"/>
      <c r="Q265" s="811"/>
      <c r="R265" s="811"/>
      <c r="S265" s="811"/>
      <c r="T265" s="811"/>
      <c r="U265" s="811"/>
      <c r="V265" s="811"/>
      <c r="W265" s="811"/>
      <c r="X265" s="811"/>
      <c r="Y265" s="811"/>
      <c r="Z265" s="811"/>
    </row>
    <row r="266" spans="1:26" ht="15" thickBot="1">
      <c r="A266" s="811"/>
      <c r="B266" s="811"/>
      <c r="C266" s="811"/>
      <c r="D266" s="811"/>
      <c r="E266" s="811"/>
      <c r="F266" s="811"/>
      <c r="G266" s="811"/>
      <c r="H266" s="811"/>
      <c r="I266" s="811"/>
      <c r="J266" s="811"/>
      <c r="K266" s="811"/>
      <c r="L266" s="811"/>
      <c r="M266" s="811"/>
      <c r="N266" s="811"/>
      <c r="O266" s="811"/>
      <c r="P266" s="811"/>
      <c r="Q266" s="811"/>
      <c r="R266" s="811"/>
      <c r="S266" s="811"/>
      <c r="T266" s="811"/>
      <c r="U266" s="811"/>
      <c r="V266" s="811"/>
      <c r="W266" s="811"/>
      <c r="X266" s="811"/>
      <c r="Y266" s="811"/>
      <c r="Z266" s="811"/>
    </row>
    <row r="267" spans="1:26" ht="15" thickBot="1">
      <c r="A267" s="811"/>
      <c r="B267" s="811"/>
      <c r="C267" s="811"/>
      <c r="D267" s="811"/>
      <c r="E267" s="811"/>
      <c r="F267" s="811"/>
      <c r="G267" s="811"/>
      <c r="H267" s="811"/>
      <c r="I267" s="811"/>
      <c r="J267" s="811"/>
      <c r="K267" s="811"/>
      <c r="L267" s="811"/>
      <c r="M267" s="811"/>
      <c r="N267" s="811"/>
      <c r="O267" s="811"/>
      <c r="P267" s="811"/>
      <c r="Q267" s="811"/>
      <c r="R267" s="811"/>
      <c r="S267" s="811"/>
      <c r="T267" s="811"/>
      <c r="U267" s="811"/>
      <c r="V267" s="811"/>
      <c r="W267" s="811"/>
      <c r="X267" s="811"/>
      <c r="Y267" s="811"/>
      <c r="Z267" s="811"/>
    </row>
    <row r="268" spans="1:26" ht="15" thickBot="1">
      <c r="A268" s="811"/>
      <c r="B268" s="811"/>
      <c r="C268" s="811"/>
      <c r="D268" s="811"/>
      <c r="E268" s="811"/>
      <c r="F268" s="811"/>
      <c r="G268" s="811"/>
      <c r="H268" s="811"/>
      <c r="I268" s="811"/>
      <c r="J268" s="811"/>
      <c r="K268" s="811"/>
      <c r="L268" s="811"/>
      <c r="M268" s="811"/>
      <c r="N268" s="811"/>
      <c r="O268" s="811"/>
      <c r="P268" s="811"/>
      <c r="Q268" s="811"/>
      <c r="R268" s="811"/>
      <c r="S268" s="811"/>
      <c r="T268" s="811"/>
      <c r="U268" s="811"/>
      <c r="V268" s="811"/>
      <c r="W268" s="811"/>
      <c r="X268" s="811"/>
      <c r="Y268" s="811"/>
      <c r="Z268" s="811"/>
    </row>
    <row r="269" spans="1:26" ht="15" thickBot="1">
      <c r="A269" s="811"/>
      <c r="B269" s="811"/>
      <c r="C269" s="811"/>
      <c r="D269" s="811"/>
      <c r="E269" s="811"/>
      <c r="F269" s="811"/>
      <c r="G269" s="811"/>
      <c r="H269" s="811"/>
      <c r="I269" s="811"/>
      <c r="J269" s="811"/>
      <c r="K269" s="811"/>
      <c r="L269" s="811"/>
      <c r="M269" s="811"/>
      <c r="N269" s="811"/>
      <c r="O269" s="811"/>
      <c r="P269" s="811"/>
      <c r="Q269" s="811"/>
      <c r="R269" s="811"/>
      <c r="S269" s="811"/>
      <c r="T269" s="811"/>
      <c r="U269" s="811"/>
      <c r="V269" s="811"/>
      <c r="W269" s="811"/>
      <c r="X269" s="811"/>
      <c r="Y269" s="811"/>
      <c r="Z269" s="811"/>
    </row>
    <row r="270" spans="1:26" ht="15" thickBot="1">
      <c r="A270" s="811"/>
      <c r="B270" s="811"/>
      <c r="C270" s="811"/>
      <c r="D270" s="811"/>
      <c r="E270" s="811"/>
      <c r="F270" s="811"/>
      <c r="G270" s="811"/>
      <c r="H270" s="811"/>
      <c r="I270" s="811"/>
      <c r="J270" s="811"/>
      <c r="K270" s="811"/>
      <c r="L270" s="811"/>
      <c r="M270" s="811"/>
      <c r="N270" s="811"/>
      <c r="O270" s="811"/>
      <c r="P270" s="811"/>
      <c r="Q270" s="811"/>
      <c r="R270" s="811"/>
      <c r="S270" s="811"/>
      <c r="T270" s="811"/>
      <c r="U270" s="811"/>
      <c r="V270" s="811"/>
      <c r="W270" s="811"/>
      <c r="X270" s="811"/>
      <c r="Y270" s="811"/>
      <c r="Z270" s="811"/>
    </row>
    <row r="271" spans="1:26" ht="15" thickBot="1">
      <c r="A271" s="811"/>
      <c r="B271" s="811"/>
      <c r="C271" s="811"/>
      <c r="D271" s="811"/>
      <c r="E271" s="811"/>
      <c r="F271" s="811"/>
      <c r="G271" s="811"/>
      <c r="H271" s="811"/>
      <c r="I271" s="811"/>
      <c r="J271" s="811"/>
      <c r="K271" s="811"/>
      <c r="L271" s="811"/>
      <c r="M271" s="811"/>
      <c r="N271" s="811"/>
      <c r="O271" s="811"/>
      <c r="P271" s="811"/>
      <c r="Q271" s="811"/>
      <c r="R271" s="811"/>
      <c r="S271" s="811"/>
      <c r="T271" s="811"/>
      <c r="U271" s="811"/>
      <c r="V271" s="811"/>
      <c r="W271" s="811"/>
      <c r="X271" s="811"/>
      <c r="Y271" s="811"/>
      <c r="Z271" s="811"/>
    </row>
    <row r="272" spans="1:26" ht="15" thickBot="1">
      <c r="A272" s="811"/>
      <c r="B272" s="811"/>
      <c r="C272" s="811"/>
      <c r="D272" s="811"/>
      <c r="E272" s="811"/>
      <c r="F272" s="811"/>
      <c r="G272" s="811"/>
      <c r="H272" s="811"/>
      <c r="I272" s="811"/>
      <c r="J272" s="811"/>
      <c r="K272" s="811"/>
      <c r="L272" s="811"/>
      <c r="M272" s="811"/>
      <c r="N272" s="811"/>
      <c r="O272" s="811"/>
      <c r="P272" s="811"/>
      <c r="Q272" s="811"/>
      <c r="R272" s="811"/>
      <c r="S272" s="811"/>
      <c r="T272" s="811"/>
      <c r="U272" s="811"/>
      <c r="V272" s="811"/>
      <c r="W272" s="811"/>
      <c r="X272" s="811"/>
      <c r="Y272" s="811"/>
      <c r="Z272" s="811"/>
    </row>
    <row r="273" spans="1:26" ht="15" thickBot="1">
      <c r="A273" s="811"/>
      <c r="B273" s="811"/>
      <c r="C273" s="811"/>
      <c r="D273" s="811"/>
      <c r="E273" s="811"/>
      <c r="F273" s="811"/>
      <c r="G273" s="811"/>
      <c r="H273" s="811"/>
      <c r="I273" s="811"/>
      <c r="J273" s="811"/>
      <c r="K273" s="811"/>
      <c r="L273" s="811"/>
      <c r="M273" s="811"/>
      <c r="N273" s="811"/>
      <c r="O273" s="811"/>
      <c r="P273" s="811"/>
      <c r="Q273" s="811"/>
      <c r="R273" s="811"/>
      <c r="S273" s="811"/>
      <c r="T273" s="811"/>
      <c r="U273" s="811"/>
      <c r="V273" s="811"/>
      <c r="W273" s="811"/>
      <c r="X273" s="811"/>
      <c r="Y273" s="811"/>
      <c r="Z273" s="811"/>
    </row>
    <row r="274" spans="1:26" ht="15" thickBot="1">
      <c r="A274" s="811"/>
      <c r="B274" s="811"/>
      <c r="C274" s="811"/>
      <c r="D274" s="811"/>
      <c r="E274" s="811"/>
      <c r="F274" s="811"/>
      <c r="G274" s="811"/>
      <c r="H274" s="811"/>
      <c r="I274" s="811"/>
      <c r="J274" s="811"/>
      <c r="K274" s="811"/>
      <c r="L274" s="811"/>
      <c r="M274" s="811"/>
      <c r="N274" s="811"/>
      <c r="O274" s="811"/>
      <c r="P274" s="811"/>
      <c r="Q274" s="811"/>
      <c r="R274" s="811"/>
      <c r="S274" s="811"/>
      <c r="T274" s="811"/>
      <c r="U274" s="811"/>
      <c r="V274" s="811"/>
      <c r="W274" s="811"/>
      <c r="X274" s="811"/>
      <c r="Y274" s="811"/>
      <c r="Z274" s="811"/>
    </row>
    <row r="275" spans="1:26" ht="15" thickBot="1">
      <c r="A275" s="811"/>
      <c r="B275" s="811"/>
      <c r="C275" s="811"/>
      <c r="D275" s="811"/>
      <c r="E275" s="811"/>
      <c r="F275" s="811"/>
      <c r="G275" s="811"/>
      <c r="H275" s="811"/>
      <c r="I275" s="811"/>
      <c r="J275" s="811"/>
      <c r="K275" s="811"/>
      <c r="L275" s="811"/>
      <c r="M275" s="811"/>
      <c r="N275" s="811"/>
      <c r="O275" s="811"/>
      <c r="P275" s="811"/>
      <c r="Q275" s="811"/>
      <c r="R275" s="811"/>
      <c r="S275" s="811"/>
      <c r="T275" s="811"/>
      <c r="U275" s="811"/>
      <c r="V275" s="811"/>
      <c r="W275" s="811"/>
      <c r="X275" s="811"/>
      <c r="Y275" s="811"/>
      <c r="Z275" s="811"/>
    </row>
    <row r="276" spans="1:26" ht="15" thickBot="1">
      <c r="A276" s="811"/>
      <c r="B276" s="811"/>
      <c r="C276" s="811"/>
      <c r="D276" s="811"/>
      <c r="E276" s="811"/>
      <c r="F276" s="811"/>
      <c r="G276" s="811"/>
      <c r="H276" s="811"/>
      <c r="I276" s="811"/>
      <c r="J276" s="811"/>
      <c r="K276" s="811"/>
      <c r="L276" s="811"/>
      <c r="M276" s="811"/>
      <c r="N276" s="811"/>
      <c r="O276" s="811"/>
      <c r="P276" s="811"/>
      <c r="Q276" s="811"/>
      <c r="R276" s="811"/>
      <c r="S276" s="811"/>
      <c r="T276" s="811"/>
      <c r="U276" s="811"/>
      <c r="V276" s="811"/>
      <c r="W276" s="811"/>
      <c r="X276" s="811"/>
      <c r="Y276" s="811"/>
      <c r="Z276" s="811"/>
    </row>
    <row r="277" spans="1:26" ht="15" thickBot="1">
      <c r="A277" s="811"/>
      <c r="B277" s="811"/>
      <c r="C277" s="811"/>
      <c r="D277" s="811"/>
      <c r="E277" s="811"/>
      <c r="F277" s="811"/>
      <c r="G277" s="811"/>
      <c r="H277" s="811"/>
      <c r="I277" s="811"/>
      <c r="J277" s="811"/>
      <c r="K277" s="811"/>
      <c r="L277" s="811"/>
      <c r="M277" s="811"/>
      <c r="N277" s="811"/>
      <c r="O277" s="811"/>
      <c r="P277" s="811"/>
      <c r="Q277" s="811"/>
      <c r="R277" s="811"/>
      <c r="S277" s="811"/>
      <c r="T277" s="811"/>
      <c r="U277" s="811"/>
      <c r="V277" s="811"/>
      <c r="W277" s="811"/>
      <c r="X277" s="811"/>
      <c r="Y277" s="811"/>
      <c r="Z277" s="811"/>
    </row>
    <row r="278" spans="1:26" ht="15" thickBot="1">
      <c r="A278" s="811"/>
      <c r="B278" s="811"/>
      <c r="C278" s="811"/>
      <c r="D278" s="811"/>
      <c r="E278" s="811"/>
      <c r="F278" s="811"/>
      <c r="G278" s="811"/>
      <c r="H278" s="811"/>
      <c r="I278" s="811"/>
      <c r="J278" s="811"/>
      <c r="K278" s="811"/>
      <c r="L278" s="811"/>
      <c r="M278" s="811"/>
      <c r="N278" s="811"/>
      <c r="O278" s="811"/>
      <c r="P278" s="811"/>
      <c r="Q278" s="811"/>
      <c r="R278" s="811"/>
      <c r="S278" s="811"/>
      <c r="T278" s="811"/>
      <c r="U278" s="811"/>
      <c r="V278" s="811"/>
      <c r="W278" s="811"/>
      <c r="X278" s="811"/>
      <c r="Y278" s="811"/>
      <c r="Z278" s="811"/>
    </row>
    <row r="279" spans="1:26" ht="15" thickBot="1">
      <c r="A279" s="811"/>
      <c r="B279" s="811"/>
      <c r="C279" s="811"/>
      <c r="D279" s="811"/>
      <c r="E279" s="811"/>
      <c r="F279" s="811"/>
      <c r="G279" s="811"/>
      <c r="H279" s="811"/>
      <c r="I279" s="811"/>
      <c r="J279" s="811"/>
      <c r="K279" s="811"/>
      <c r="L279" s="811"/>
      <c r="M279" s="811"/>
      <c r="N279" s="811"/>
      <c r="O279" s="811"/>
      <c r="P279" s="811"/>
      <c r="Q279" s="811"/>
      <c r="R279" s="811"/>
      <c r="S279" s="811"/>
      <c r="T279" s="811"/>
      <c r="U279" s="811"/>
      <c r="V279" s="811"/>
      <c r="W279" s="811"/>
      <c r="X279" s="811"/>
      <c r="Y279" s="811"/>
      <c r="Z279" s="811"/>
    </row>
    <row r="280" spans="1:26" ht="15" thickBot="1">
      <c r="A280" s="811"/>
      <c r="B280" s="811"/>
      <c r="C280" s="811"/>
      <c r="D280" s="811"/>
      <c r="E280" s="811"/>
      <c r="F280" s="811"/>
      <c r="G280" s="811"/>
      <c r="H280" s="811"/>
      <c r="I280" s="811"/>
      <c r="J280" s="811"/>
      <c r="K280" s="811"/>
      <c r="L280" s="811"/>
      <c r="M280" s="811"/>
      <c r="N280" s="811"/>
      <c r="O280" s="811"/>
      <c r="P280" s="811"/>
      <c r="Q280" s="811"/>
      <c r="R280" s="811"/>
      <c r="S280" s="811"/>
      <c r="T280" s="811"/>
      <c r="U280" s="811"/>
      <c r="V280" s="811"/>
      <c r="W280" s="811"/>
      <c r="X280" s="811"/>
      <c r="Y280" s="811"/>
      <c r="Z280" s="811"/>
    </row>
    <row r="281" spans="1:26" ht="15" thickBot="1">
      <c r="A281" s="811"/>
      <c r="B281" s="811"/>
      <c r="C281" s="811"/>
      <c r="D281" s="811"/>
      <c r="E281" s="811"/>
      <c r="F281" s="811"/>
      <c r="G281" s="811"/>
      <c r="H281" s="811"/>
      <c r="I281" s="811"/>
      <c r="J281" s="811"/>
      <c r="K281" s="811"/>
      <c r="L281" s="811"/>
      <c r="M281" s="811"/>
      <c r="N281" s="811"/>
      <c r="O281" s="811"/>
      <c r="P281" s="811"/>
      <c r="Q281" s="811"/>
      <c r="R281" s="811"/>
      <c r="S281" s="811"/>
      <c r="T281" s="811"/>
      <c r="U281" s="811"/>
      <c r="V281" s="811"/>
      <c r="W281" s="811"/>
      <c r="X281" s="811"/>
      <c r="Y281" s="811"/>
      <c r="Z281" s="811"/>
    </row>
    <row r="282" spans="1:26" ht="15" thickBot="1">
      <c r="A282" s="811"/>
      <c r="B282" s="811"/>
      <c r="C282" s="811"/>
      <c r="D282" s="811"/>
      <c r="E282" s="811"/>
      <c r="F282" s="811"/>
      <c r="G282" s="811"/>
      <c r="H282" s="811"/>
      <c r="I282" s="811"/>
      <c r="J282" s="811"/>
      <c r="K282" s="811"/>
      <c r="L282" s="811"/>
      <c r="M282" s="811"/>
      <c r="N282" s="811"/>
      <c r="O282" s="811"/>
      <c r="P282" s="811"/>
      <c r="Q282" s="811"/>
      <c r="R282" s="811"/>
      <c r="S282" s="811"/>
      <c r="T282" s="811"/>
      <c r="U282" s="811"/>
      <c r="V282" s="811"/>
      <c r="W282" s="811"/>
      <c r="X282" s="811"/>
      <c r="Y282" s="811"/>
      <c r="Z282" s="811"/>
    </row>
    <row r="283" spans="1:26" ht="15" thickBot="1">
      <c r="A283" s="811"/>
      <c r="B283" s="811"/>
      <c r="C283" s="811"/>
      <c r="D283" s="811"/>
      <c r="E283" s="811"/>
      <c r="F283" s="811"/>
      <c r="G283" s="811"/>
      <c r="H283" s="811"/>
      <c r="I283" s="811"/>
      <c r="J283" s="811"/>
      <c r="K283" s="811"/>
      <c r="L283" s="811"/>
      <c r="M283" s="811"/>
      <c r="N283" s="811"/>
      <c r="O283" s="811"/>
      <c r="P283" s="811"/>
      <c r="Q283" s="811"/>
      <c r="R283" s="811"/>
      <c r="S283" s="811"/>
      <c r="T283" s="811"/>
      <c r="U283" s="811"/>
      <c r="V283" s="811"/>
      <c r="W283" s="811"/>
      <c r="X283" s="811"/>
      <c r="Y283" s="811"/>
      <c r="Z283" s="811"/>
    </row>
    <row r="284" spans="1:26" ht="15" thickBot="1">
      <c r="A284" s="811"/>
      <c r="B284" s="811"/>
      <c r="C284" s="811"/>
      <c r="D284" s="811"/>
      <c r="E284" s="811"/>
      <c r="F284" s="811"/>
      <c r="G284" s="811"/>
      <c r="H284" s="811"/>
      <c r="I284" s="811"/>
      <c r="J284" s="811"/>
      <c r="K284" s="811"/>
      <c r="L284" s="811"/>
      <c r="M284" s="811"/>
      <c r="N284" s="811"/>
      <c r="O284" s="811"/>
      <c r="P284" s="811"/>
      <c r="Q284" s="811"/>
      <c r="R284" s="811"/>
      <c r="S284" s="811"/>
      <c r="T284" s="811"/>
      <c r="U284" s="811"/>
      <c r="V284" s="811"/>
      <c r="W284" s="811"/>
      <c r="X284" s="811"/>
      <c r="Y284" s="811"/>
      <c r="Z284" s="811"/>
    </row>
    <row r="285" spans="1:26" ht="15" thickBot="1">
      <c r="A285" s="811"/>
      <c r="B285" s="811"/>
      <c r="C285" s="811"/>
      <c r="D285" s="811"/>
      <c r="E285" s="811"/>
      <c r="F285" s="811"/>
      <c r="G285" s="811"/>
      <c r="H285" s="811"/>
      <c r="I285" s="811"/>
      <c r="J285" s="811"/>
      <c r="K285" s="811"/>
      <c r="L285" s="811"/>
      <c r="M285" s="811"/>
      <c r="N285" s="811"/>
      <c r="O285" s="811"/>
      <c r="P285" s="811"/>
      <c r="Q285" s="811"/>
      <c r="R285" s="811"/>
      <c r="S285" s="811"/>
      <c r="T285" s="811"/>
      <c r="U285" s="811"/>
      <c r="V285" s="811"/>
      <c r="W285" s="811"/>
      <c r="X285" s="811"/>
      <c r="Y285" s="811"/>
      <c r="Z285" s="811"/>
    </row>
    <row r="286" spans="1:26" ht="15" thickBot="1">
      <c r="A286" s="811"/>
      <c r="B286" s="811"/>
      <c r="C286" s="811"/>
      <c r="D286" s="811"/>
      <c r="E286" s="811"/>
      <c r="F286" s="811"/>
      <c r="G286" s="811"/>
      <c r="H286" s="811"/>
      <c r="I286" s="811"/>
      <c r="J286" s="811"/>
      <c r="K286" s="811"/>
      <c r="L286" s="811"/>
      <c r="M286" s="811"/>
      <c r="N286" s="811"/>
      <c r="O286" s="811"/>
      <c r="P286" s="811"/>
      <c r="Q286" s="811"/>
      <c r="R286" s="811"/>
      <c r="S286" s="811"/>
      <c r="T286" s="811"/>
      <c r="U286" s="811"/>
      <c r="V286" s="811"/>
      <c r="W286" s="811"/>
      <c r="X286" s="811"/>
      <c r="Y286" s="811"/>
      <c r="Z286" s="811"/>
    </row>
    <row r="287" spans="1:26" ht="15" thickBot="1">
      <c r="A287" s="811"/>
      <c r="B287" s="811"/>
      <c r="C287" s="811"/>
      <c r="D287" s="811"/>
      <c r="E287" s="811"/>
      <c r="F287" s="811"/>
      <c r="G287" s="811"/>
      <c r="H287" s="811"/>
      <c r="I287" s="811"/>
      <c r="J287" s="811"/>
      <c r="K287" s="811"/>
      <c r="L287" s="811"/>
      <c r="M287" s="811"/>
      <c r="N287" s="811"/>
      <c r="O287" s="811"/>
      <c r="P287" s="811"/>
      <c r="Q287" s="811"/>
      <c r="R287" s="811"/>
      <c r="S287" s="811"/>
      <c r="T287" s="811"/>
      <c r="U287" s="811"/>
      <c r="V287" s="811"/>
      <c r="W287" s="811"/>
      <c r="X287" s="811"/>
      <c r="Y287" s="811"/>
      <c r="Z287" s="811"/>
    </row>
    <row r="288" spans="1:26" ht="15" thickBot="1">
      <c r="A288" s="811"/>
      <c r="B288" s="811"/>
      <c r="C288" s="811"/>
      <c r="D288" s="811"/>
      <c r="E288" s="811"/>
      <c r="F288" s="811"/>
      <c r="G288" s="811"/>
      <c r="H288" s="811"/>
      <c r="I288" s="811"/>
      <c r="J288" s="811"/>
      <c r="K288" s="811"/>
      <c r="L288" s="811"/>
      <c r="M288" s="811"/>
      <c r="N288" s="811"/>
      <c r="O288" s="811"/>
      <c r="P288" s="811"/>
      <c r="Q288" s="811"/>
      <c r="R288" s="811"/>
      <c r="S288" s="811"/>
      <c r="T288" s="811"/>
      <c r="U288" s="811"/>
      <c r="V288" s="811"/>
      <c r="W288" s="811"/>
      <c r="X288" s="811"/>
      <c r="Y288" s="811"/>
      <c r="Z288" s="811"/>
    </row>
    <row r="289" spans="1:26" ht="15" thickBot="1">
      <c r="A289" s="811"/>
      <c r="B289" s="811"/>
      <c r="C289" s="811"/>
      <c r="D289" s="811"/>
      <c r="E289" s="811"/>
      <c r="F289" s="811"/>
      <c r="G289" s="811"/>
      <c r="H289" s="811"/>
      <c r="I289" s="811"/>
      <c r="J289" s="811"/>
      <c r="K289" s="811"/>
      <c r="L289" s="811"/>
      <c r="M289" s="811"/>
      <c r="N289" s="811"/>
      <c r="O289" s="811"/>
      <c r="P289" s="811"/>
      <c r="Q289" s="811"/>
      <c r="R289" s="811"/>
      <c r="S289" s="811"/>
      <c r="T289" s="811"/>
      <c r="U289" s="811"/>
      <c r="V289" s="811"/>
      <c r="W289" s="811"/>
      <c r="X289" s="811"/>
      <c r="Y289" s="811"/>
      <c r="Z289" s="811"/>
    </row>
    <row r="290" spans="1:26" ht="15" thickBot="1">
      <c r="A290" s="811"/>
      <c r="B290" s="811"/>
      <c r="C290" s="811"/>
      <c r="D290" s="811"/>
      <c r="E290" s="811"/>
      <c r="F290" s="811"/>
      <c r="G290" s="811"/>
      <c r="H290" s="811"/>
      <c r="I290" s="811"/>
      <c r="J290" s="811"/>
      <c r="K290" s="811"/>
      <c r="L290" s="811"/>
      <c r="M290" s="811"/>
      <c r="N290" s="811"/>
      <c r="O290" s="811"/>
      <c r="P290" s="811"/>
      <c r="Q290" s="811"/>
      <c r="R290" s="811"/>
      <c r="S290" s="811"/>
      <c r="T290" s="811"/>
      <c r="U290" s="811"/>
      <c r="V290" s="811"/>
      <c r="W290" s="811"/>
      <c r="X290" s="811"/>
      <c r="Y290" s="811"/>
      <c r="Z290" s="811"/>
    </row>
    <row r="291" spans="1:26" ht="15" thickBot="1">
      <c r="A291" s="811"/>
      <c r="B291" s="811"/>
      <c r="C291" s="811"/>
      <c r="D291" s="811"/>
      <c r="E291" s="811"/>
      <c r="F291" s="811"/>
      <c r="G291" s="811"/>
      <c r="H291" s="811"/>
      <c r="I291" s="811"/>
      <c r="J291" s="811"/>
      <c r="K291" s="811"/>
      <c r="L291" s="811"/>
      <c r="M291" s="811"/>
      <c r="N291" s="811"/>
      <c r="O291" s="811"/>
      <c r="P291" s="811"/>
      <c r="Q291" s="811"/>
      <c r="R291" s="811"/>
      <c r="S291" s="811"/>
      <c r="T291" s="811"/>
      <c r="U291" s="811"/>
      <c r="V291" s="811"/>
      <c r="W291" s="811"/>
      <c r="X291" s="811"/>
      <c r="Y291" s="811"/>
      <c r="Z291" s="811"/>
    </row>
    <row r="292" spans="1:26" ht="15" thickBot="1">
      <c r="A292" s="811"/>
      <c r="B292" s="811"/>
      <c r="C292" s="811"/>
      <c r="D292" s="811"/>
      <c r="E292" s="811"/>
      <c r="F292" s="811"/>
      <c r="G292" s="811"/>
      <c r="H292" s="811"/>
      <c r="I292" s="811"/>
      <c r="J292" s="811"/>
      <c r="K292" s="811"/>
      <c r="L292" s="811"/>
      <c r="M292" s="811"/>
      <c r="N292" s="811"/>
      <c r="O292" s="811"/>
      <c r="P292" s="811"/>
      <c r="Q292" s="811"/>
      <c r="R292" s="811"/>
      <c r="S292" s="811"/>
      <c r="T292" s="811"/>
      <c r="U292" s="811"/>
      <c r="V292" s="811"/>
      <c r="W292" s="811"/>
      <c r="X292" s="811"/>
      <c r="Y292" s="811"/>
      <c r="Z292" s="811"/>
    </row>
    <row r="293" spans="1:26" ht="15" thickBot="1">
      <c r="A293" s="811"/>
      <c r="B293" s="811"/>
      <c r="C293" s="811"/>
      <c r="D293" s="811"/>
      <c r="E293" s="811"/>
      <c r="F293" s="811"/>
      <c r="G293" s="811"/>
      <c r="H293" s="811"/>
      <c r="I293" s="811"/>
      <c r="J293" s="811"/>
      <c r="K293" s="811"/>
      <c r="L293" s="811"/>
      <c r="M293" s="811"/>
      <c r="N293" s="811"/>
      <c r="O293" s="811"/>
      <c r="P293" s="811"/>
      <c r="Q293" s="811"/>
      <c r="R293" s="811"/>
      <c r="S293" s="811"/>
      <c r="T293" s="811"/>
      <c r="U293" s="811"/>
      <c r="V293" s="811"/>
      <c r="W293" s="811"/>
      <c r="X293" s="811"/>
      <c r="Y293" s="811"/>
      <c r="Z293" s="811"/>
    </row>
    <row r="294" spans="1:26" ht="15" thickBot="1">
      <c r="A294" s="811"/>
      <c r="B294" s="811"/>
      <c r="C294" s="811"/>
      <c r="D294" s="811"/>
      <c r="E294" s="811"/>
      <c r="F294" s="811"/>
      <c r="G294" s="811"/>
      <c r="H294" s="811"/>
      <c r="I294" s="811"/>
      <c r="J294" s="811"/>
      <c r="K294" s="811"/>
      <c r="L294" s="811"/>
      <c r="M294" s="811"/>
      <c r="N294" s="811"/>
      <c r="O294" s="811"/>
      <c r="P294" s="811"/>
      <c r="Q294" s="811"/>
      <c r="R294" s="811"/>
      <c r="S294" s="811"/>
      <c r="T294" s="811"/>
      <c r="U294" s="811"/>
      <c r="V294" s="811"/>
      <c r="W294" s="811"/>
      <c r="X294" s="811"/>
      <c r="Y294" s="811"/>
      <c r="Z294" s="811"/>
    </row>
    <row r="295" spans="1:26" ht="15" thickBot="1">
      <c r="A295" s="811"/>
      <c r="B295" s="811"/>
      <c r="C295" s="811"/>
      <c r="D295" s="811"/>
      <c r="E295" s="811"/>
      <c r="F295" s="811"/>
      <c r="G295" s="811"/>
      <c r="H295" s="811"/>
      <c r="I295" s="811"/>
      <c r="J295" s="811"/>
      <c r="K295" s="811"/>
      <c r="L295" s="811"/>
      <c r="M295" s="811"/>
      <c r="N295" s="811"/>
      <c r="O295" s="811"/>
      <c r="P295" s="811"/>
      <c r="Q295" s="811"/>
      <c r="R295" s="811"/>
      <c r="S295" s="811"/>
      <c r="T295" s="811"/>
      <c r="U295" s="811"/>
      <c r="V295" s="811"/>
      <c r="W295" s="811"/>
      <c r="X295" s="811"/>
      <c r="Y295" s="811"/>
      <c r="Z295" s="811"/>
    </row>
    <row r="296" spans="1:26" ht="15" thickBot="1">
      <c r="A296" s="811"/>
      <c r="B296" s="811"/>
      <c r="C296" s="811"/>
      <c r="D296" s="811"/>
      <c r="E296" s="811"/>
      <c r="F296" s="811"/>
      <c r="G296" s="811"/>
      <c r="H296" s="811"/>
      <c r="I296" s="811"/>
      <c r="J296" s="811"/>
      <c r="K296" s="811"/>
      <c r="L296" s="811"/>
      <c r="M296" s="811"/>
      <c r="N296" s="811"/>
      <c r="O296" s="811"/>
      <c r="P296" s="811"/>
      <c r="Q296" s="811"/>
      <c r="R296" s="811"/>
      <c r="S296" s="811"/>
      <c r="T296" s="811"/>
      <c r="U296" s="811"/>
      <c r="V296" s="811"/>
      <c r="W296" s="811"/>
      <c r="X296" s="811"/>
      <c r="Y296" s="811"/>
      <c r="Z296" s="811"/>
    </row>
    <row r="297" spans="1:26" ht="15" thickBot="1">
      <c r="A297" s="811"/>
      <c r="B297" s="811"/>
      <c r="C297" s="811"/>
      <c r="D297" s="811"/>
      <c r="E297" s="811"/>
      <c r="F297" s="811"/>
      <c r="G297" s="811"/>
      <c r="H297" s="811"/>
      <c r="I297" s="811"/>
      <c r="J297" s="811"/>
      <c r="K297" s="811"/>
      <c r="L297" s="811"/>
      <c r="M297" s="811"/>
      <c r="N297" s="811"/>
      <c r="O297" s="811"/>
      <c r="P297" s="811"/>
      <c r="Q297" s="811"/>
      <c r="R297" s="811"/>
      <c r="S297" s="811"/>
      <c r="T297" s="811"/>
      <c r="U297" s="811"/>
      <c r="V297" s="811"/>
      <c r="W297" s="811"/>
      <c r="X297" s="811"/>
      <c r="Y297" s="811"/>
      <c r="Z297" s="811"/>
    </row>
    <row r="298" spans="1:26" ht="15" thickBot="1">
      <c r="A298" s="811"/>
      <c r="B298" s="811"/>
      <c r="C298" s="811"/>
      <c r="D298" s="811"/>
      <c r="E298" s="811"/>
      <c r="F298" s="811"/>
      <c r="G298" s="811"/>
      <c r="H298" s="811"/>
      <c r="I298" s="811"/>
      <c r="J298" s="811"/>
      <c r="K298" s="811"/>
      <c r="L298" s="811"/>
      <c r="M298" s="811"/>
      <c r="N298" s="811"/>
      <c r="O298" s="811"/>
      <c r="P298" s="811"/>
      <c r="Q298" s="811"/>
      <c r="R298" s="811"/>
      <c r="S298" s="811"/>
      <c r="T298" s="811"/>
      <c r="U298" s="811"/>
      <c r="V298" s="811"/>
      <c r="W298" s="811"/>
      <c r="X298" s="811"/>
      <c r="Y298" s="811"/>
      <c r="Z298" s="811"/>
    </row>
    <row r="299" spans="1:26" ht="15" thickBot="1">
      <c r="A299" s="811"/>
      <c r="B299" s="811"/>
      <c r="C299" s="811"/>
      <c r="D299" s="811"/>
      <c r="E299" s="811"/>
      <c r="F299" s="811"/>
      <c r="G299" s="811"/>
      <c r="H299" s="811"/>
      <c r="I299" s="811"/>
      <c r="J299" s="811"/>
      <c r="K299" s="811"/>
      <c r="L299" s="811"/>
      <c r="M299" s="811"/>
      <c r="N299" s="811"/>
      <c r="O299" s="811"/>
      <c r="P299" s="811"/>
      <c r="Q299" s="811"/>
      <c r="R299" s="811"/>
      <c r="S299" s="811"/>
      <c r="T299" s="811"/>
      <c r="U299" s="811"/>
      <c r="V299" s="811"/>
      <c r="W299" s="811"/>
      <c r="X299" s="811"/>
      <c r="Y299" s="811"/>
      <c r="Z299" s="811"/>
    </row>
    <row r="300" spans="1:26" ht="15" thickBot="1">
      <c r="A300" s="811"/>
      <c r="B300" s="811"/>
      <c r="C300" s="811"/>
      <c r="D300" s="811"/>
      <c r="E300" s="811"/>
      <c r="F300" s="811"/>
      <c r="G300" s="811"/>
      <c r="H300" s="811"/>
      <c r="I300" s="811"/>
      <c r="J300" s="811"/>
      <c r="K300" s="811"/>
      <c r="L300" s="811"/>
      <c r="M300" s="811"/>
      <c r="N300" s="811"/>
      <c r="O300" s="811"/>
      <c r="P300" s="811"/>
      <c r="Q300" s="811"/>
      <c r="R300" s="811"/>
      <c r="S300" s="811"/>
      <c r="T300" s="811"/>
      <c r="U300" s="811"/>
      <c r="V300" s="811"/>
      <c r="W300" s="811"/>
      <c r="X300" s="811"/>
      <c r="Y300" s="811"/>
      <c r="Z300" s="811"/>
    </row>
    <row r="301" spans="1:26" ht="15" thickBot="1">
      <c r="A301" s="811"/>
      <c r="B301" s="811"/>
      <c r="C301" s="811"/>
      <c r="D301" s="811"/>
      <c r="E301" s="811"/>
      <c r="F301" s="811"/>
      <c r="G301" s="811"/>
      <c r="H301" s="811"/>
      <c r="I301" s="811"/>
      <c r="J301" s="811"/>
      <c r="K301" s="811"/>
      <c r="L301" s="811"/>
      <c r="M301" s="811"/>
      <c r="N301" s="811"/>
      <c r="O301" s="811"/>
      <c r="P301" s="811"/>
      <c r="Q301" s="811"/>
      <c r="R301" s="811"/>
      <c r="S301" s="811"/>
      <c r="T301" s="811"/>
      <c r="U301" s="811"/>
      <c r="V301" s="811"/>
      <c r="W301" s="811"/>
      <c r="X301" s="811"/>
      <c r="Y301" s="811"/>
      <c r="Z301" s="811"/>
    </row>
    <row r="302" spans="1:26" ht="15" thickBot="1">
      <c r="A302" s="811"/>
      <c r="B302" s="811"/>
      <c r="C302" s="811"/>
      <c r="D302" s="811"/>
      <c r="E302" s="811"/>
      <c r="F302" s="811"/>
      <c r="G302" s="811"/>
      <c r="H302" s="811"/>
      <c r="I302" s="811"/>
      <c r="J302" s="811"/>
      <c r="K302" s="811"/>
      <c r="L302" s="811"/>
      <c r="M302" s="811"/>
      <c r="N302" s="811"/>
      <c r="O302" s="811"/>
      <c r="P302" s="811"/>
      <c r="Q302" s="811"/>
      <c r="R302" s="811"/>
      <c r="S302" s="811"/>
      <c r="T302" s="811"/>
      <c r="U302" s="811"/>
      <c r="V302" s="811"/>
      <c r="W302" s="811"/>
      <c r="X302" s="811"/>
      <c r="Y302" s="811"/>
      <c r="Z302" s="811"/>
    </row>
    <row r="303" spans="1:26" ht="15" thickBot="1">
      <c r="A303" s="811"/>
      <c r="B303" s="811"/>
      <c r="C303" s="811"/>
      <c r="D303" s="811"/>
      <c r="E303" s="811"/>
      <c r="F303" s="811"/>
      <c r="G303" s="811"/>
      <c r="H303" s="811"/>
      <c r="I303" s="811"/>
      <c r="J303" s="811"/>
      <c r="K303" s="811"/>
      <c r="L303" s="811"/>
      <c r="M303" s="811"/>
      <c r="N303" s="811"/>
      <c r="O303" s="811"/>
      <c r="P303" s="811"/>
      <c r="Q303" s="811"/>
      <c r="R303" s="811"/>
      <c r="S303" s="811"/>
      <c r="T303" s="811"/>
      <c r="U303" s="811"/>
      <c r="V303" s="811"/>
      <c r="W303" s="811"/>
      <c r="X303" s="811"/>
      <c r="Y303" s="811"/>
      <c r="Z303" s="811"/>
    </row>
    <row r="304" spans="1:26" ht="15" thickBot="1">
      <c r="A304" s="811"/>
      <c r="B304" s="811"/>
      <c r="C304" s="811"/>
      <c r="D304" s="811"/>
      <c r="E304" s="811"/>
      <c r="F304" s="811"/>
      <c r="G304" s="811"/>
      <c r="H304" s="811"/>
      <c r="I304" s="811"/>
      <c r="J304" s="811"/>
      <c r="K304" s="811"/>
      <c r="L304" s="811"/>
      <c r="M304" s="811"/>
      <c r="N304" s="811"/>
      <c r="O304" s="811"/>
      <c r="P304" s="811"/>
      <c r="Q304" s="811"/>
      <c r="R304" s="811"/>
      <c r="S304" s="811"/>
      <c r="T304" s="811"/>
      <c r="U304" s="811"/>
      <c r="V304" s="811"/>
      <c r="W304" s="811"/>
      <c r="X304" s="811"/>
      <c r="Y304" s="811"/>
      <c r="Z304" s="811"/>
    </row>
    <row r="305" spans="1:26" ht="15" thickBot="1">
      <c r="A305" s="811"/>
      <c r="B305" s="811"/>
      <c r="C305" s="811"/>
      <c r="D305" s="811"/>
      <c r="E305" s="811"/>
      <c r="F305" s="811"/>
      <c r="G305" s="811"/>
      <c r="H305" s="811"/>
      <c r="I305" s="811"/>
      <c r="J305" s="811"/>
      <c r="K305" s="811"/>
      <c r="L305" s="811"/>
      <c r="M305" s="811"/>
      <c r="N305" s="811"/>
      <c r="O305" s="811"/>
      <c r="P305" s="811"/>
      <c r="Q305" s="811"/>
      <c r="R305" s="811"/>
      <c r="S305" s="811"/>
      <c r="T305" s="811"/>
      <c r="U305" s="811"/>
      <c r="V305" s="811"/>
      <c r="W305" s="811"/>
      <c r="X305" s="811"/>
      <c r="Y305" s="811"/>
      <c r="Z305" s="811"/>
    </row>
    <row r="306" spans="1:26" ht="15" thickBot="1">
      <c r="A306" s="811"/>
      <c r="B306" s="811"/>
      <c r="C306" s="811"/>
      <c r="D306" s="811"/>
      <c r="E306" s="811"/>
      <c r="F306" s="811"/>
      <c r="G306" s="811"/>
      <c r="H306" s="811"/>
      <c r="I306" s="811"/>
      <c r="J306" s="811"/>
      <c r="K306" s="811"/>
      <c r="L306" s="811"/>
      <c r="M306" s="811"/>
      <c r="N306" s="811"/>
      <c r="O306" s="811"/>
      <c r="P306" s="811"/>
      <c r="Q306" s="811"/>
      <c r="R306" s="811"/>
      <c r="S306" s="811"/>
      <c r="T306" s="811"/>
      <c r="U306" s="811"/>
      <c r="V306" s="811"/>
      <c r="W306" s="811"/>
      <c r="X306" s="811"/>
      <c r="Y306" s="811"/>
      <c r="Z306" s="811"/>
    </row>
    <row r="307" spans="1:26" ht="15" thickBot="1">
      <c r="A307" s="811"/>
      <c r="B307" s="811"/>
      <c r="C307" s="811"/>
      <c r="D307" s="811"/>
      <c r="E307" s="811"/>
      <c r="F307" s="811"/>
      <c r="G307" s="811"/>
      <c r="H307" s="811"/>
      <c r="I307" s="811"/>
      <c r="J307" s="811"/>
      <c r="K307" s="811"/>
      <c r="L307" s="811"/>
      <c r="M307" s="811"/>
      <c r="N307" s="811"/>
      <c r="O307" s="811"/>
      <c r="P307" s="811"/>
      <c r="Q307" s="811"/>
      <c r="R307" s="811"/>
      <c r="S307" s="811"/>
      <c r="T307" s="811"/>
      <c r="U307" s="811"/>
      <c r="V307" s="811"/>
      <c r="W307" s="811"/>
      <c r="X307" s="811"/>
      <c r="Y307" s="811"/>
      <c r="Z307" s="811"/>
    </row>
    <row r="308" spans="1:26" ht="15" thickBot="1">
      <c r="A308" s="811"/>
      <c r="B308" s="811"/>
      <c r="C308" s="811"/>
      <c r="D308" s="811"/>
      <c r="E308" s="811"/>
      <c r="F308" s="811"/>
      <c r="G308" s="811"/>
      <c r="H308" s="811"/>
      <c r="I308" s="811"/>
      <c r="J308" s="811"/>
      <c r="K308" s="811"/>
      <c r="L308" s="811"/>
      <c r="M308" s="811"/>
      <c r="N308" s="811"/>
      <c r="O308" s="811"/>
      <c r="P308" s="811"/>
      <c r="Q308" s="811"/>
      <c r="R308" s="811"/>
      <c r="S308" s="811"/>
      <c r="T308" s="811"/>
      <c r="U308" s="811"/>
      <c r="V308" s="811"/>
      <c r="W308" s="811"/>
      <c r="X308" s="811"/>
      <c r="Y308" s="811"/>
      <c r="Z308" s="811"/>
    </row>
    <row r="309" spans="1:26" ht="15" thickBot="1">
      <c r="A309" s="811"/>
      <c r="B309" s="811"/>
      <c r="C309" s="811"/>
      <c r="D309" s="811"/>
      <c r="E309" s="811"/>
      <c r="F309" s="811"/>
      <c r="G309" s="811"/>
      <c r="H309" s="811"/>
      <c r="I309" s="811"/>
      <c r="J309" s="811"/>
      <c r="K309" s="811"/>
      <c r="L309" s="811"/>
      <c r="M309" s="811"/>
      <c r="N309" s="811"/>
      <c r="O309" s="811"/>
      <c r="P309" s="811"/>
      <c r="Q309" s="811"/>
      <c r="R309" s="811"/>
      <c r="S309" s="811"/>
      <c r="T309" s="811"/>
      <c r="U309" s="811"/>
      <c r="V309" s="811"/>
      <c r="W309" s="811"/>
      <c r="X309" s="811"/>
      <c r="Y309" s="811"/>
      <c r="Z309" s="811"/>
    </row>
    <row r="310" spans="1:26" ht="15" thickBot="1">
      <c r="A310" s="811"/>
      <c r="B310" s="811"/>
      <c r="C310" s="811"/>
      <c r="D310" s="811"/>
      <c r="E310" s="811"/>
      <c r="F310" s="811"/>
      <c r="G310" s="811"/>
      <c r="H310" s="811"/>
      <c r="I310" s="811"/>
      <c r="J310" s="811"/>
      <c r="K310" s="811"/>
      <c r="L310" s="811"/>
      <c r="M310" s="811"/>
      <c r="N310" s="811"/>
      <c r="O310" s="811"/>
      <c r="P310" s="811"/>
      <c r="Q310" s="811"/>
      <c r="R310" s="811"/>
      <c r="S310" s="811"/>
      <c r="T310" s="811"/>
      <c r="U310" s="811"/>
      <c r="V310" s="811"/>
      <c r="W310" s="811"/>
      <c r="X310" s="811"/>
      <c r="Y310" s="811"/>
      <c r="Z310" s="811"/>
    </row>
    <row r="311" spans="1:26" ht="15" thickBot="1">
      <c r="A311" s="811"/>
      <c r="B311" s="811"/>
      <c r="C311" s="811"/>
      <c r="D311" s="811"/>
      <c r="E311" s="811"/>
      <c r="F311" s="811"/>
      <c r="G311" s="811"/>
      <c r="H311" s="811"/>
      <c r="I311" s="811"/>
      <c r="J311" s="811"/>
      <c r="K311" s="811"/>
      <c r="L311" s="811"/>
      <c r="M311" s="811"/>
      <c r="N311" s="811"/>
      <c r="O311" s="811"/>
      <c r="P311" s="811"/>
      <c r="Q311" s="811"/>
      <c r="R311" s="811"/>
      <c r="S311" s="811"/>
      <c r="T311" s="811"/>
      <c r="U311" s="811"/>
      <c r="V311" s="811"/>
      <c r="W311" s="811"/>
      <c r="X311" s="811"/>
      <c r="Y311" s="811"/>
      <c r="Z311" s="811"/>
    </row>
    <row r="312" spans="1:26" ht="15" thickBot="1">
      <c r="A312" s="811"/>
      <c r="B312" s="811"/>
      <c r="C312" s="811"/>
      <c r="D312" s="811"/>
      <c r="E312" s="811"/>
      <c r="F312" s="811"/>
      <c r="G312" s="811"/>
      <c r="H312" s="811"/>
      <c r="I312" s="811"/>
      <c r="J312" s="811"/>
      <c r="K312" s="811"/>
      <c r="L312" s="811"/>
      <c r="M312" s="811"/>
      <c r="N312" s="811"/>
      <c r="O312" s="811"/>
      <c r="P312" s="811"/>
      <c r="Q312" s="811"/>
      <c r="R312" s="811"/>
      <c r="S312" s="811"/>
      <c r="T312" s="811"/>
      <c r="U312" s="811"/>
      <c r="V312" s="811"/>
      <c r="W312" s="811"/>
      <c r="X312" s="811"/>
      <c r="Y312" s="811"/>
      <c r="Z312" s="811"/>
    </row>
    <row r="313" spans="1:26" ht="15" thickBot="1">
      <c r="A313" s="811"/>
      <c r="B313" s="811"/>
      <c r="C313" s="811"/>
      <c r="D313" s="811"/>
      <c r="E313" s="811"/>
      <c r="F313" s="811"/>
      <c r="G313" s="811"/>
      <c r="H313" s="811"/>
      <c r="I313" s="811"/>
      <c r="J313" s="811"/>
      <c r="K313" s="811"/>
      <c r="L313" s="811"/>
      <c r="M313" s="811"/>
      <c r="N313" s="811"/>
      <c r="O313" s="811"/>
      <c r="P313" s="811"/>
      <c r="Q313" s="811"/>
      <c r="R313" s="811"/>
      <c r="S313" s="811"/>
      <c r="T313" s="811"/>
      <c r="U313" s="811"/>
      <c r="V313" s="811"/>
      <c r="W313" s="811"/>
      <c r="X313" s="811"/>
      <c r="Y313" s="811"/>
      <c r="Z313" s="811"/>
    </row>
    <row r="314" spans="1:26" ht="15" thickBot="1">
      <c r="A314" s="811"/>
      <c r="B314" s="811"/>
      <c r="C314" s="811"/>
      <c r="D314" s="811"/>
      <c r="E314" s="811"/>
      <c r="F314" s="811"/>
      <c r="G314" s="811"/>
      <c r="H314" s="811"/>
      <c r="I314" s="811"/>
      <c r="J314" s="811"/>
      <c r="K314" s="811"/>
      <c r="L314" s="811"/>
      <c r="M314" s="811"/>
      <c r="N314" s="811"/>
      <c r="O314" s="811"/>
      <c r="P314" s="811"/>
      <c r="Q314" s="811"/>
      <c r="R314" s="811"/>
      <c r="S314" s="811"/>
      <c r="T314" s="811"/>
      <c r="U314" s="811"/>
      <c r="V314" s="811"/>
      <c r="W314" s="811"/>
      <c r="X314" s="811"/>
      <c r="Y314" s="811"/>
      <c r="Z314" s="811"/>
    </row>
    <row r="315" spans="1:26" ht="15" thickBot="1">
      <c r="A315" s="811"/>
      <c r="B315" s="811"/>
      <c r="C315" s="811"/>
      <c r="D315" s="811"/>
      <c r="E315" s="811"/>
      <c r="F315" s="811"/>
      <c r="G315" s="811"/>
      <c r="H315" s="811"/>
      <c r="I315" s="811"/>
      <c r="J315" s="811"/>
      <c r="K315" s="811"/>
      <c r="L315" s="811"/>
      <c r="M315" s="811"/>
      <c r="N315" s="811"/>
      <c r="O315" s="811"/>
      <c r="P315" s="811"/>
      <c r="Q315" s="811"/>
      <c r="R315" s="811"/>
      <c r="S315" s="811"/>
      <c r="T315" s="811"/>
      <c r="U315" s="811"/>
      <c r="V315" s="811"/>
      <c r="W315" s="811"/>
      <c r="X315" s="811"/>
      <c r="Y315" s="811"/>
      <c r="Z315" s="811"/>
    </row>
    <row r="316" spans="1:26" ht="15" thickBot="1">
      <c r="A316" s="811"/>
      <c r="B316" s="811"/>
      <c r="C316" s="811"/>
      <c r="D316" s="811"/>
      <c r="E316" s="811"/>
      <c r="F316" s="811"/>
      <c r="G316" s="811"/>
      <c r="H316" s="811"/>
      <c r="I316" s="811"/>
      <c r="J316" s="811"/>
      <c r="K316" s="811"/>
      <c r="L316" s="811"/>
      <c r="M316" s="811"/>
      <c r="N316" s="811"/>
      <c r="O316" s="811"/>
      <c r="P316" s="811"/>
      <c r="Q316" s="811"/>
      <c r="R316" s="811"/>
      <c r="S316" s="811"/>
      <c r="T316" s="811"/>
      <c r="U316" s="811"/>
      <c r="V316" s="811"/>
      <c r="W316" s="811"/>
      <c r="X316" s="811"/>
      <c r="Y316" s="811"/>
      <c r="Z316" s="811"/>
    </row>
    <row r="317" spans="1:26" ht="15" thickBot="1">
      <c r="A317" s="811"/>
      <c r="B317" s="811"/>
      <c r="C317" s="811"/>
      <c r="D317" s="811"/>
      <c r="E317" s="811"/>
      <c r="F317" s="811"/>
      <c r="G317" s="811"/>
      <c r="H317" s="811"/>
      <c r="I317" s="811"/>
      <c r="J317" s="811"/>
      <c r="K317" s="811"/>
      <c r="L317" s="811"/>
      <c r="M317" s="811"/>
      <c r="N317" s="811"/>
      <c r="O317" s="811"/>
      <c r="P317" s="811"/>
      <c r="Q317" s="811"/>
      <c r="R317" s="811"/>
      <c r="S317" s="811"/>
      <c r="T317" s="811"/>
      <c r="U317" s="811"/>
      <c r="V317" s="811"/>
      <c r="W317" s="811"/>
      <c r="X317" s="811"/>
      <c r="Y317" s="811"/>
      <c r="Z317" s="811"/>
    </row>
    <row r="318" spans="1:26" ht="15" thickBot="1">
      <c r="A318" s="811"/>
      <c r="B318" s="811"/>
      <c r="C318" s="811"/>
      <c r="D318" s="811"/>
      <c r="E318" s="811"/>
      <c r="F318" s="811"/>
      <c r="G318" s="811"/>
      <c r="H318" s="811"/>
      <c r="I318" s="811"/>
      <c r="J318" s="811"/>
      <c r="K318" s="811"/>
      <c r="L318" s="811"/>
      <c r="M318" s="811"/>
      <c r="N318" s="811"/>
      <c r="O318" s="811"/>
      <c r="P318" s="811"/>
      <c r="Q318" s="811"/>
      <c r="R318" s="811"/>
      <c r="S318" s="811"/>
      <c r="T318" s="811"/>
      <c r="U318" s="811"/>
      <c r="V318" s="811"/>
      <c r="W318" s="811"/>
      <c r="X318" s="811"/>
      <c r="Y318" s="811"/>
      <c r="Z318" s="811"/>
    </row>
    <row r="319" spans="1:26" ht="15" thickBot="1">
      <c r="A319" s="811"/>
      <c r="B319" s="811"/>
      <c r="C319" s="811"/>
      <c r="D319" s="811"/>
      <c r="E319" s="811"/>
      <c r="F319" s="811"/>
      <c r="G319" s="811"/>
      <c r="H319" s="811"/>
      <c r="I319" s="811"/>
      <c r="J319" s="811"/>
      <c r="K319" s="811"/>
      <c r="L319" s="811"/>
      <c r="M319" s="811"/>
      <c r="N319" s="811"/>
      <c r="O319" s="811"/>
      <c r="P319" s="811"/>
      <c r="Q319" s="811"/>
      <c r="R319" s="811"/>
      <c r="S319" s="811"/>
      <c r="T319" s="811"/>
      <c r="U319" s="811"/>
      <c r="V319" s="811"/>
      <c r="W319" s="811"/>
      <c r="X319" s="811"/>
      <c r="Y319" s="811"/>
      <c r="Z319" s="811"/>
    </row>
    <row r="320" spans="1:26" ht="15" thickBot="1">
      <c r="A320" s="811"/>
      <c r="B320" s="811"/>
      <c r="C320" s="811"/>
      <c r="D320" s="811"/>
      <c r="E320" s="811"/>
      <c r="F320" s="811"/>
      <c r="G320" s="811"/>
      <c r="H320" s="811"/>
      <c r="I320" s="811"/>
      <c r="J320" s="811"/>
      <c r="K320" s="811"/>
      <c r="L320" s="811"/>
      <c r="M320" s="811"/>
      <c r="N320" s="811"/>
      <c r="O320" s="811"/>
      <c r="P320" s="811"/>
      <c r="Q320" s="811"/>
      <c r="R320" s="811"/>
      <c r="S320" s="811"/>
      <c r="T320" s="811"/>
      <c r="U320" s="811"/>
      <c r="V320" s="811"/>
      <c r="W320" s="811"/>
      <c r="X320" s="811"/>
      <c r="Y320" s="811"/>
      <c r="Z320" s="811"/>
    </row>
    <row r="321" spans="1:26" ht="15" thickBot="1">
      <c r="A321" s="811"/>
      <c r="B321" s="811"/>
      <c r="C321" s="811"/>
      <c r="D321" s="811"/>
      <c r="E321" s="811"/>
      <c r="F321" s="811"/>
      <c r="G321" s="811"/>
      <c r="H321" s="811"/>
      <c r="I321" s="811"/>
      <c r="J321" s="811"/>
      <c r="K321" s="811"/>
      <c r="L321" s="811"/>
      <c r="M321" s="811"/>
      <c r="N321" s="811"/>
      <c r="O321" s="811"/>
      <c r="P321" s="811"/>
      <c r="Q321" s="811"/>
      <c r="R321" s="811"/>
      <c r="S321" s="811"/>
      <c r="T321" s="811"/>
      <c r="U321" s="811"/>
      <c r="V321" s="811"/>
      <c r="W321" s="811"/>
      <c r="X321" s="811"/>
      <c r="Y321" s="811"/>
      <c r="Z321" s="811"/>
    </row>
    <row r="322" spans="1:26" ht="15" thickBot="1">
      <c r="A322" s="811"/>
      <c r="B322" s="811"/>
      <c r="C322" s="811"/>
      <c r="D322" s="811"/>
      <c r="E322" s="811"/>
      <c r="F322" s="811"/>
      <c r="G322" s="811"/>
      <c r="H322" s="811"/>
      <c r="I322" s="811"/>
      <c r="J322" s="811"/>
      <c r="K322" s="811"/>
      <c r="L322" s="811"/>
      <c r="M322" s="811"/>
      <c r="N322" s="811"/>
      <c r="O322" s="811"/>
      <c r="P322" s="811"/>
      <c r="Q322" s="811"/>
      <c r="R322" s="811"/>
      <c r="S322" s="811"/>
      <c r="T322" s="811"/>
      <c r="U322" s="811"/>
      <c r="V322" s="811"/>
      <c r="W322" s="811"/>
      <c r="X322" s="811"/>
      <c r="Y322" s="811"/>
      <c r="Z322" s="811"/>
    </row>
    <row r="323" spans="1:26" ht="15" thickBot="1">
      <c r="A323" s="811"/>
      <c r="B323" s="811"/>
      <c r="C323" s="811"/>
      <c r="D323" s="811"/>
      <c r="E323" s="811"/>
      <c r="F323" s="811"/>
      <c r="G323" s="811"/>
      <c r="H323" s="811"/>
      <c r="I323" s="811"/>
      <c r="J323" s="811"/>
      <c r="K323" s="811"/>
      <c r="L323" s="811"/>
      <c r="M323" s="811"/>
      <c r="N323" s="811"/>
      <c r="O323" s="811"/>
      <c r="P323" s="811"/>
      <c r="Q323" s="811"/>
      <c r="R323" s="811"/>
      <c r="S323" s="811"/>
      <c r="T323" s="811"/>
      <c r="U323" s="811"/>
      <c r="V323" s="811"/>
      <c r="W323" s="811"/>
      <c r="X323" s="811"/>
      <c r="Y323" s="811"/>
      <c r="Z323" s="811"/>
    </row>
    <row r="324" spans="1:26" ht="15" thickBot="1">
      <c r="A324" s="811"/>
      <c r="B324" s="811"/>
      <c r="C324" s="811"/>
      <c r="D324" s="811"/>
      <c r="E324" s="811"/>
      <c r="F324" s="811"/>
      <c r="G324" s="811"/>
      <c r="H324" s="811"/>
      <c r="I324" s="811"/>
      <c r="J324" s="811"/>
      <c r="K324" s="811"/>
      <c r="L324" s="811"/>
      <c r="M324" s="811"/>
      <c r="N324" s="811"/>
      <c r="O324" s="811"/>
      <c r="P324" s="811"/>
      <c r="Q324" s="811"/>
      <c r="R324" s="811"/>
      <c r="S324" s="811"/>
      <c r="T324" s="811"/>
      <c r="U324" s="811"/>
      <c r="V324" s="811"/>
      <c r="W324" s="811"/>
      <c r="X324" s="811"/>
      <c r="Y324" s="811"/>
      <c r="Z324" s="811"/>
    </row>
    <row r="325" spans="1:26" ht="15" thickBot="1">
      <c r="A325" s="811"/>
      <c r="B325" s="811"/>
      <c r="C325" s="811"/>
      <c r="D325" s="811"/>
      <c r="E325" s="811"/>
      <c r="F325" s="811"/>
      <c r="G325" s="811"/>
      <c r="H325" s="811"/>
      <c r="I325" s="811"/>
      <c r="J325" s="811"/>
      <c r="K325" s="811"/>
      <c r="L325" s="811"/>
      <c r="M325" s="811"/>
      <c r="N325" s="811"/>
      <c r="O325" s="811"/>
      <c r="P325" s="811"/>
      <c r="Q325" s="811"/>
      <c r="R325" s="811"/>
      <c r="S325" s="811"/>
      <c r="T325" s="811"/>
      <c r="U325" s="811"/>
      <c r="V325" s="811"/>
      <c r="W325" s="811"/>
      <c r="X325" s="811"/>
      <c r="Y325" s="811"/>
      <c r="Z325" s="811"/>
    </row>
    <row r="326" spans="1:26" ht="15" thickBot="1">
      <c r="A326" s="811"/>
      <c r="B326" s="811"/>
      <c r="C326" s="811"/>
      <c r="D326" s="811"/>
      <c r="E326" s="811"/>
      <c r="F326" s="811"/>
      <c r="G326" s="811"/>
      <c r="H326" s="811"/>
      <c r="I326" s="811"/>
      <c r="J326" s="811"/>
      <c r="K326" s="811"/>
      <c r="L326" s="811"/>
      <c r="M326" s="811"/>
      <c r="N326" s="811"/>
      <c r="O326" s="811"/>
      <c r="P326" s="811"/>
      <c r="Q326" s="811"/>
      <c r="R326" s="811"/>
      <c r="S326" s="811"/>
      <c r="T326" s="811"/>
      <c r="U326" s="811"/>
      <c r="V326" s="811"/>
      <c r="W326" s="811"/>
      <c r="X326" s="811"/>
      <c r="Y326" s="811"/>
      <c r="Z326" s="811"/>
    </row>
    <row r="327" spans="1:26" ht="15" thickBot="1">
      <c r="A327" s="811"/>
      <c r="B327" s="811"/>
      <c r="C327" s="811"/>
      <c r="D327" s="811"/>
      <c r="E327" s="811"/>
      <c r="F327" s="811"/>
      <c r="G327" s="811"/>
      <c r="H327" s="811"/>
      <c r="I327" s="811"/>
      <c r="J327" s="811"/>
      <c r="K327" s="811"/>
      <c r="L327" s="811"/>
      <c r="M327" s="811"/>
      <c r="N327" s="811"/>
      <c r="O327" s="811"/>
      <c r="P327" s="811"/>
      <c r="Q327" s="811"/>
      <c r="R327" s="811"/>
      <c r="S327" s="811"/>
      <c r="T327" s="811"/>
      <c r="U327" s="811"/>
      <c r="V327" s="811"/>
      <c r="W327" s="811"/>
      <c r="X327" s="811"/>
      <c r="Y327" s="811"/>
      <c r="Z327" s="811"/>
    </row>
    <row r="328" spans="1:26" ht="15" thickBot="1">
      <c r="A328" s="811"/>
      <c r="B328" s="811"/>
      <c r="C328" s="811"/>
      <c r="D328" s="811"/>
      <c r="E328" s="811"/>
      <c r="F328" s="811"/>
      <c r="G328" s="811"/>
      <c r="H328" s="811"/>
      <c r="I328" s="811"/>
      <c r="J328" s="811"/>
      <c r="K328" s="811"/>
      <c r="L328" s="811"/>
      <c r="M328" s="811"/>
      <c r="N328" s="811"/>
      <c r="O328" s="811"/>
      <c r="P328" s="811"/>
      <c r="Q328" s="811"/>
      <c r="R328" s="811"/>
      <c r="S328" s="811"/>
      <c r="T328" s="811"/>
      <c r="U328" s="811"/>
      <c r="V328" s="811"/>
      <c r="W328" s="811"/>
      <c r="X328" s="811"/>
      <c r="Y328" s="811"/>
      <c r="Z328" s="811"/>
    </row>
    <row r="329" spans="1:26" ht="15" thickBot="1">
      <c r="A329" s="811"/>
      <c r="B329" s="811"/>
      <c r="C329" s="811"/>
      <c r="D329" s="811"/>
      <c r="E329" s="811"/>
      <c r="F329" s="811"/>
      <c r="G329" s="811"/>
      <c r="H329" s="811"/>
      <c r="I329" s="811"/>
      <c r="J329" s="811"/>
      <c r="K329" s="811"/>
      <c r="L329" s="811"/>
      <c r="M329" s="811"/>
      <c r="N329" s="811"/>
      <c r="O329" s="811"/>
      <c r="P329" s="811"/>
      <c r="Q329" s="811"/>
      <c r="R329" s="811"/>
      <c r="S329" s="811"/>
      <c r="T329" s="811"/>
      <c r="U329" s="811"/>
      <c r="V329" s="811"/>
      <c r="W329" s="811"/>
      <c r="X329" s="811"/>
      <c r="Y329" s="811"/>
      <c r="Z329" s="811"/>
    </row>
    <row r="330" spans="1:26" ht="15" thickBot="1">
      <c r="A330" s="811"/>
      <c r="B330" s="811"/>
      <c r="C330" s="811"/>
      <c r="D330" s="811"/>
      <c r="E330" s="811"/>
      <c r="F330" s="811"/>
      <c r="G330" s="811"/>
      <c r="H330" s="811"/>
      <c r="I330" s="811"/>
      <c r="J330" s="811"/>
      <c r="K330" s="811"/>
      <c r="L330" s="811"/>
      <c r="M330" s="811"/>
      <c r="N330" s="811"/>
      <c r="O330" s="811"/>
      <c r="P330" s="811"/>
      <c r="Q330" s="811"/>
      <c r="R330" s="811"/>
      <c r="S330" s="811"/>
      <c r="T330" s="811"/>
      <c r="U330" s="811"/>
      <c r="V330" s="811"/>
      <c r="W330" s="811"/>
      <c r="X330" s="811"/>
      <c r="Y330" s="811"/>
      <c r="Z330" s="811"/>
    </row>
    <row r="331" spans="1:26" ht="15" thickBot="1">
      <c r="A331" s="811"/>
      <c r="B331" s="811"/>
      <c r="C331" s="811"/>
      <c r="D331" s="811"/>
      <c r="E331" s="811"/>
      <c r="F331" s="811"/>
      <c r="G331" s="811"/>
      <c r="H331" s="811"/>
      <c r="I331" s="811"/>
      <c r="J331" s="811"/>
      <c r="K331" s="811"/>
      <c r="L331" s="811"/>
      <c r="M331" s="811"/>
      <c r="N331" s="811"/>
      <c r="O331" s="811"/>
      <c r="P331" s="811"/>
      <c r="Q331" s="811"/>
      <c r="R331" s="811"/>
      <c r="S331" s="811"/>
      <c r="T331" s="811"/>
      <c r="U331" s="811"/>
      <c r="V331" s="811"/>
      <c r="W331" s="811"/>
      <c r="X331" s="811"/>
      <c r="Y331" s="811"/>
      <c r="Z331" s="811"/>
    </row>
    <row r="332" spans="1:26" ht="15" thickBot="1">
      <c r="A332" s="811"/>
      <c r="B332" s="811"/>
      <c r="C332" s="811"/>
      <c r="D332" s="811"/>
      <c r="E332" s="811"/>
      <c r="F332" s="811"/>
      <c r="G332" s="811"/>
      <c r="H332" s="811"/>
      <c r="I332" s="811"/>
      <c r="J332" s="811"/>
      <c r="K332" s="811"/>
      <c r="L332" s="811"/>
      <c r="M332" s="811"/>
      <c r="N332" s="811"/>
      <c r="O332" s="811"/>
      <c r="P332" s="811"/>
      <c r="Q332" s="811"/>
      <c r="R332" s="811"/>
      <c r="S332" s="811"/>
      <c r="T332" s="811"/>
      <c r="U332" s="811"/>
      <c r="V332" s="811"/>
      <c r="W332" s="811"/>
      <c r="X332" s="811"/>
      <c r="Y332" s="811"/>
      <c r="Z332" s="811"/>
    </row>
    <row r="333" spans="1:26" ht="15" thickBot="1">
      <c r="A333" s="811"/>
      <c r="B333" s="811"/>
      <c r="C333" s="811"/>
      <c r="D333" s="811"/>
      <c r="E333" s="811"/>
      <c r="F333" s="811"/>
      <c r="G333" s="811"/>
      <c r="H333" s="811"/>
      <c r="I333" s="811"/>
      <c r="J333" s="811"/>
      <c r="K333" s="811"/>
      <c r="L333" s="811"/>
      <c r="M333" s="811"/>
      <c r="N333" s="811"/>
      <c r="O333" s="811"/>
      <c r="P333" s="811"/>
      <c r="Q333" s="811"/>
      <c r="R333" s="811"/>
      <c r="S333" s="811"/>
      <c r="T333" s="811"/>
      <c r="U333" s="811"/>
      <c r="V333" s="811"/>
      <c r="W333" s="811"/>
      <c r="X333" s="811"/>
      <c r="Y333" s="811"/>
      <c r="Z333" s="811"/>
    </row>
    <row r="334" spans="1:26" ht="15" thickBot="1">
      <c r="A334" s="811"/>
      <c r="B334" s="811"/>
      <c r="C334" s="811"/>
      <c r="D334" s="811"/>
      <c r="E334" s="811"/>
      <c r="F334" s="811"/>
      <c r="G334" s="811"/>
      <c r="H334" s="811"/>
      <c r="I334" s="811"/>
      <c r="J334" s="811"/>
      <c r="K334" s="811"/>
      <c r="L334" s="811"/>
      <c r="M334" s="811"/>
      <c r="N334" s="811"/>
      <c r="O334" s="811"/>
      <c r="P334" s="811"/>
      <c r="Q334" s="811"/>
      <c r="R334" s="811"/>
      <c r="S334" s="811"/>
      <c r="T334" s="811"/>
      <c r="U334" s="811"/>
      <c r="V334" s="811"/>
      <c r="W334" s="811"/>
      <c r="X334" s="811"/>
      <c r="Y334" s="811"/>
      <c r="Z334" s="811"/>
    </row>
    <row r="335" spans="1:26" ht="15" thickBot="1">
      <c r="A335" s="811"/>
      <c r="B335" s="811"/>
      <c r="C335" s="811"/>
      <c r="D335" s="811"/>
      <c r="E335" s="811"/>
      <c r="F335" s="811"/>
      <c r="G335" s="811"/>
      <c r="H335" s="811"/>
      <c r="I335" s="811"/>
      <c r="J335" s="811"/>
      <c r="K335" s="811"/>
      <c r="L335" s="811"/>
      <c r="M335" s="811"/>
      <c r="N335" s="811"/>
      <c r="O335" s="811"/>
      <c r="P335" s="811"/>
      <c r="Q335" s="811"/>
      <c r="R335" s="811"/>
      <c r="S335" s="811"/>
      <c r="T335" s="811"/>
      <c r="U335" s="811"/>
      <c r="V335" s="811"/>
      <c r="W335" s="811"/>
      <c r="X335" s="811"/>
      <c r="Y335" s="811"/>
      <c r="Z335" s="811"/>
    </row>
    <row r="336" spans="1:26" ht="15" thickBot="1">
      <c r="A336" s="811"/>
      <c r="B336" s="811"/>
      <c r="C336" s="811"/>
      <c r="D336" s="811"/>
      <c r="E336" s="811"/>
      <c r="F336" s="811"/>
      <c r="G336" s="811"/>
      <c r="H336" s="811"/>
      <c r="I336" s="811"/>
      <c r="J336" s="811"/>
      <c r="K336" s="811"/>
      <c r="L336" s="811"/>
      <c r="M336" s="811"/>
      <c r="N336" s="811"/>
      <c r="O336" s="811"/>
      <c r="P336" s="811"/>
      <c r="Q336" s="811"/>
      <c r="R336" s="811"/>
      <c r="S336" s="811"/>
      <c r="T336" s="811"/>
      <c r="U336" s="811"/>
      <c r="V336" s="811"/>
      <c r="W336" s="811"/>
      <c r="X336" s="811"/>
      <c r="Y336" s="811"/>
      <c r="Z336" s="811"/>
    </row>
    <row r="337" spans="1:26" ht="15" thickBot="1">
      <c r="A337" s="811"/>
      <c r="B337" s="811"/>
      <c r="C337" s="811"/>
      <c r="D337" s="811"/>
      <c r="E337" s="811"/>
      <c r="F337" s="811"/>
      <c r="G337" s="811"/>
      <c r="H337" s="811"/>
      <c r="I337" s="811"/>
      <c r="J337" s="811"/>
      <c r="K337" s="811"/>
      <c r="L337" s="811"/>
      <c r="M337" s="811"/>
      <c r="N337" s="811"/>
      <c r="O337" s="811"/>
      <c r="P337" s="811"/>
      <c r="Q337" s="811"/>
      <c r="R337" s="811"/>
      <c r="S337" s="811"/>
      <c r="T337" s="811"/>
      <c r="U337" s="811"/>
      <c r="V337" s="811"/>
      <c r="W337" s="811"/>
      <c r="X337" s="811"/>
      <c r="Y337" s="811"/>
      <c r="Z337" s="811"/>
    </row>
    <row r="338" spans="1:26" ht="15" thickBot="1">
      <c r="A338" s="811"/>
      <c r="B338" s="811"/>
      <c r="C338" s="811"/>
      <c r="D338" s="811"/>
      <c r="E338" s="811"/>
      <c r="F338" s="811"/>
      <c r="G338" s="811"/>
      <c r="H338" s="811"/>
      <c r="I338" s="811"/>
      <c r="J338" s="811"/>
      <c r="K338" s="811"/>
      <c r="L338" s="811"/>
      <c r="M338" s="811"/>
      <c r="N338" s="811"/>
      <c r="O338" s="811"/>
      <c r="P338" s="811"/>
      <c r="Q338" s="811"/>
      <c r="R338" s="811"/>
      <c r="S338" s="811"/>
      <c r="T338" s="811"/>
      <c r="U338" s="811"/>
      <c r="V338" s="811"/>
      <c r="W338" s="811"/>
      <c r="X338" s="811"/>
      <c r="Y338" s="811"/>
      <c r="Z338" s="811"/>
    </row>
    <row r="339" spans="1:26" ht="15" thickBot="1">
      <c r="A339" s="811"/>
      <c r="B339" s="811"/>
      <c r="C339" s="811"/>
      <c r="D339" s="811"/>
      <c r="E339" s="811"/>
      <c r="F339" s="811"/>
      <c r="G339" s="811"/>
      <c r="H339" s="811"/>
      <c r="I339" s="811"/>
      <c r="J339" s="811"/>
      <c r="K339" s="811"/>
      <c r="L339" s="811"/>
      <c r="M339" s="811"/>
      <c r="N339" s="811"/>
      <c r="O339" s="811"/>
      <c r="P339" s="811"/>
      <c r="Q339" s="811"/>
      <c r="R339" s="811"/>
      <c r="S339" s="811"/>
      <c r="T339" s="811"/>
      <c r="U339" s="811"/>
      <c r="V339" s="811"/>
      <c r="W339" s="811"/>
      <c r="X339" s="811"/>
      <c r="Y339" s="811"/>
      <c r="Z339" s="811"/>
    </row>
    <row r="340" spans="1:26" ht="15" thickBot="1">
      <c r="A340" s="811"/>
      <c r="B340" s="811"/>
      <c r="C340" s="811"/>
      <c r="D340" s="811"/>
      <c r="E340" s="811"/>
      <c r="F340" s="811"/>
      <c r="G340" s="811"/>
      <c r="H340" s="811"/>
      <c r="I340" s="811"/>
      <c r="J340" s="811"/>
      <c r="K340" s="811"/>
      <c r="L340" s="811"/>
      <c r="M340" s="811"/>
      <c r="N340" s="811"/>
      <c r="O340" s="811"/>
      <c r="P340" s="811"/>
      <c r="Q340" s="811"/>
      <c r="R340" s="811"/>
      <c r="S340" s="811"/>
      <c r="T340" s="811"/>
      <c r="U340" s="811"/>
      <c r="V340" s="811"/>
      <c r="W340" s="811"/>
      <c r="X340" s="811"/>
      <c r="Y340" s="811"/>
      <c r="Z340" s="811"/>
    </row>
    <row r="341" spans="1:26" ht="15" thickBot="1">
      <c r="A341" s="811"/>
      <c r="B341" s="811"/>
      <c r="C341" s="811"/>
      <c r="D341" s="811"/>
      <c r="E341" s="811"/>
      <c r="F341" s="811"/>
      <c r="G341" s="811"/>
      <c r="H341" s="811"/>
      <c r="I341" s="811"/>
      <c r="J341" s="811"/>
      <c r="K341" s="811"/>
      <c r="L341" s="811"/>
      <c r="M341" s="811"/>
      <c r="N341" s="811"/>
      <c r="O341" s="811"/>
      <c r="P341" s="811"/>
      <c r="Q341" s="811"/>
      <c r="R341" s="811"/>
      <c r="S341" s="811"/>
      <c r="T341" s="811"/>
      <c r="U341" s="811"/>
      <c r="V341" s="811"/>
      <c r="W341" s="811"/>
      <c r="X341" s="811"/>
      <c r="Y341" s="811"/>
      <c r="Z341" s="811"/>
    </row>
    <row r="342" spans="1:26" ht="15" thickBot="1">
      <c r="A342" s="811"/>
      <c r="B342" s="811"/>
      <c r="C342" s="811"/>
      <c r="D342" s="811"/>
      <c r="E342" s="811"/>
      <c r="F342" s="811"/>
      <c r="G342" s="811"/>
      <c r="H342" s="811"/>
      <c r="I342" s="811"/>
      <c r="J342" s="811"/>
      <c r="K342" s="811"/>
      <c r="L342" s="811"/>
      <c r="M342" s="811"/>
      <c r="N342" s="811"/>
      <c r="O342" s="811"/>
      <c r="P342" s="811"/>
      <c r="Q342" s="811"/>
      <c r="R342" s="811"/>
      <c r="S342" s="811"/>
      <c r="T342" s="811"/>
      <c r="U342" s="811"/>
      <c r="V342" s="811"/>
      <c r="W342" s="811"/>
      <c r="X342" s="811"/>
      <c r="Y342" s="811"/>
      <c r="Z342" s="811"/>
    </row>
    <row r="343" spans="1:26" ht="15" thickBot="1">
      <c r="A343" s="811"/>
      <c r="B343" s="811"/>
      <c r="C343" s="811"/>
      <c r="D343" s="811"/>
      <c r="E343" s="811"/>
      <c r="F343" s="811"/>
      <c r="G343" s="811"/>
      <c r="H343" s="811"/>
      <c r="I343" s="811"/>
      <c r="J343" s="811"/>
      <c r="K343" s="811"/>
      <c r="L343" s="811"/>
      <c r="M343" s="811"/>
      <c r="N343" s="811"/>
      <c r="O343" s="811"/>
      <c r="P343" s="811"/>
      <c r="Q343" s="811"/>
      <c r="R343" s="811"/>
      <c r="S343" s="811"/>
      <c r="T343" s="811"/>
      <c r="U343" s="811"/>
      <c r="V343" s="811"/>
      <c r="W343" s="811"/>
      <c r="X343" s="811"/>
      <c r="Y343" s="811"/>
      <c r="Z343" s="811"/>
    </row>
    <row r="344" spans="1:26" ht="15" thickBot="1">
      <c r="A344" s="811"/>
      <c r="B344" s="811"/>
      <c r="C344" s="811"/>
      <c r="D344" s="811"/>
      <c r="E344" s="811"/>
      <c r="F344" s="811"/>
      <c r="G344" s="811"/>
      <c r="H344" s="811"/>
      <c r="I344" s="811"/>
      <c r="J344" s="811"/>
      <c r="K344" s="811"/>
      <c r="L344" s="811"/>
      <c r="M344" s="811"/>
      <c r="N344" s="811"/>
      <c r="O344" s="811"/>
      <c r="P344" s="811"/>
      <c r="Q344" s="811"/>
      <c r="R344" s="811"/>
      <c r="S344" s="811"/>
      <c r="T344" s="811"/>
      <c r="U344" s="811"/>
      <c r="V344" s="811"/>
      <c r="W344" s="811"/>
      <c r="X344" s="811"/>
      <c r="Y344" s="811"/>
      <c r="Z344" s="811"/>
    </row>
    <row r="345" spans="1:26" ht="15" thickBot="1">
      <c r="A345" s="811"/>
      <c r="B345" s="811"/>
      <c r="C345" s="811"/>
      <c r="D345" s="811"/>
      <c r="E345" s="811"/>
      <c r="F345" s="811"/>
      <c r="G345" s="811"/>
      <c r="H345" s="811"/>
      <c r="I345" s="811"/>
      <c r="J345" s="811"/>
      <c r="K345" s="811"/>
      <c r="L345" s="811"/>
      <c r="M345" s="811"/>
      <c r="N345" s="811"/>
      <c r="O345" s="811"/>
      <c r="P345" s="811"/>
      <c r="Q345" s="811"/>
      <c r="R345" s="811"/>
      <c r="S345" s="811"/>
      <c r="T345" s="811"/>
      <c r="U345" s="811"/>
      <c r="V345" s="811"/>
      <c r="W345" s="811"/>
      <c r="X345" s="811"/>
      <c r="Y345" s="811"/>
      <c r="Z345" s="811"/>
    </row>
    <row r="346" spans="1:26" ht="15" thickBot="1">
      <c r="A346" s="811"/>
      <c r="B346" s="811"/>
      <c r="C346" s="811"/>
      <c r="D346" s="811"/>
      <c r="E346" s="811"/>
      <c r="F346" s="811"/>
      <c r="G346" s="811"/>
      <c r="H346" s="811"/>
      <c r="I346" s="811"/>
      <c r="J346" s="811"/>
      <c r="K346" s="811"/>
      <c r="L346" s="811"/>
      <c r="M346" s="811"/>
      <c r="N346" s="811"/>
      <c r="O346" s="811"/>
      <c r="P346" s="811"/>
      <c r="Q346" s="811"/>
      <c r="R346" s="811"/>
      <c r="S346" s="811"/>
      <c r="T346" s="811"/>
      <c r="U346" s="811"/>
      <c r="V346" s="811"/>
      <c r="W346" s="811"/>
      <c r="X346" s="811"/>
      <c r="Y346" s="811"/>
      <c r="Z346" s="811"/>
    </row>
    <row r="347" spans="1:26" ht="15" thickBot="1">
      <c r="A347" s="811"/>
      <c r="B347" s="811"/>
      <c r="C347" s="811"/>
      <c r="D347" s="811"/>
      <c r="E347" s="811"/>
      <c r="F347" s="811"/>
      <c r="G347" s="811"/>
      <c r="H347" s="811"/>
      <c r="I347" s="811"/>
      <c r="J347" s="811"/>
      <c r="K347" s="811"/>
      <c r="L347" s="811"/>
      <c r="M347" s="811"/>
      <c r="N347" s="811"/>
      <c r="O347" s="811"/>
      <c r="P347" s="811"/>
      <c r="Q347" s="811"/>
      <c r="R347" s="811"/>
      <c r="S347" s="811"/>
      <c r="T347" s="811"/>
      <c r="U347" s="811"/>
      <c r="V347" s="811"/>
      <c r="W347" s="811"/>
      <c r="X347" s="811"/>
      <c r="Y347" s="811"/>
      <c r="Z347" s="811"/>
    </row>
    <row r="348" spans="1:26" ht="15" thickBot="1">
      <c r="A348" s="811"/>
      <c r="B348" s="811"/>
      <c r="C348" s="811"/>
      <c r="D348" s="811"/>
      <c r="E348" s="811"/>
      <c r="F348" s="811"/>
      <c r="G348" s="811"/>
      <c r="H348" s="811"/>
      <c r="I348" s="811"/>
      <c r="J348" s="811"/>
      <c r="K348" s="811"/>
      <c r="L348" s="811"/>
      <c r="M348" s="811"/>
      <c r="N348" s="811"/>
      <c r="O348" s="811"/>
      <c r="P348" s="811"/>
      <c r="Q348" s="811"/>
      <c r="R348" s="811"/>
      <c r="S348" s="811"/>
      <c r="T348" s="811"/>
      <c r="U348" s="811"/>
      <c r="V348" s="811"/>
      <c r="W348" s="811"/>
      <c r="X348" s="811"/>
      <c r="Y348" s="811"/>
      <c r="Z348" s="811"/>
    </row>
    <row r="349" spans="1:26" ht="15" thickBot="1">
      <c r="A349" s="811"/>
      <c r="B349" s="811"/>
      <c r="C349" s="811"/>
      <c r="D349" s="811"/>
      <c r="E349" s="811"/>
      <c r="F349" s="811"/>
      <c r="G349" s="811"/>
      <c r="H349" s="811"/>
      <c r="I349" s="811"/>
      <c r="J349" s="811"/>
      <c r="K349" s="811"/>
      <c r="L349" s="811"/>
      <c r="M349" s="811"/>
      <c r="N349" s="811"/>
      <c r="O349" s="811"/>
      <c r="P349" s="811"/>
      <c r="Q349" s="811"/>
      <c r="R349" s="811"/>
      <c r="S349" s="811"/>
      <c r="T349" s="811"/>
      <c r="U349" s="811"/>
      <c r="V349" s="811"/>
      <c r="W349" s="811"/>
      <c r="X349" s="811"/>
      <c r="Y349" s="811"/>
      <c r="Z349" s="811"/>
    </row>
    <row r="350" spans="1:26" ht="15" thickBot="1">
      <c r="A350" s="811"/>
      <c r="B350" s="811"/>
      <c r="C350" s="811"/>
      <c r="D350" s="811"/>
      <c r="E350" s="811"/>
      <c r="F350" s="811"/>
      <c r="G350" s="811"/>
      <c r="H350" s="811"/>
      <c r="I350" s="811"/>
      <c r="J350" s="811"/>
      <c r="K350" s="811"/>
      <c r="L350" s="811"/>
      <c r="M350" s="811"/>
      <c r="N350" s="811"/>
      <c r="O350" s="811"/>
      <c r="P350" s="811"/>
      <c r="Q350" s="811"/>
      <c r="R350" s="811"/>
      <c r="S350" s="811"/>
      <c r="T350" s="811"/>
      <c r="U350" s="811"/>
      <c r="V350" s="811"/>
      <c r="W350" s="811"/>
      <c r="X350" s="811"/>
      <c r="Y350" s="811"/>
      <c r="Z350" s="811"/>
    </row>
    <row r="351" spans="1:26" ht="15" thickBot="1">
      <c r="A351" s="811"/>
      <c r="B351" s="811"/>
      <c r="C351" s="811"/>
      <c r="D351" s="811"/>
      <c r="E351" s="811"/>
      <c r="F351" s="811"/>
      <c r="G351" s="811"/>
      <c r="H351" s="811"/>
      <c r="I351" s="811"/>
      <c r="J351" s="811"/>
      <c r="K351" s="811"/>
      <c r="L351" s="811"/>
      <c r="M351" s="811"/>
      <c r="N351" s="811"/>
      <c r="O351" s="811"/>
      <c r="P351" s="811"/>
      <c r="Q351" s="811"/>
      <c r="R351" s="811"/>
      <c r="S351" s="811"/>
      <c r="T351" s="811"/>
      <c r="U351" s="811"/>
      <c r="V351" s="811"/>
      <c r="W351" s="811"/>
      <c r="X351" s="811"/>
      <c r="Y351" s="811"/>
      <c r="Z351" s="811"/>
    </row>
    <row r="352" spans="1:26" ht="15" thickBot="1">
      <c r="A352" s="811"/>
      <c r="B352" s="811"/>
      <c r="C352" s="811"/>
      <c r="D352" s="811"/>
      <c r="E352" s="811"/>
      <c r="F352" s="811"/>
      <c r="G352" s="811"/>
      <c r="H352" s="811"/>
      <c r="I352" s="811"/>
      <c r="J352" s="811"/>
      <c r="K352" s="811"/>
      <c r="L352" s="811"/>
      <c r="M352" s="811"/>
      <c r="N352" s="811"/>
      <c r="O352" s="811"/>
      <c r="P352" s="811"/>
      <c r="Q352" s="811"/>
      <c r="R352" s="811"/>
      <c r="S352" s="811"/>
      <c r="T352" s="811"/>
      <c r="U352" s="811"/>
      <c r="V352" s="811"/>
      <c r="W352" s="811"/>
      <c r="X352" s="811"/>
      <c r="Y352" s="811"/>
      <c r="Z352" s="811"/>
    </row>
    <row r="353" spans="1:26" ht="15" thickBot="1">
      <c r="A353" s="811"/>
      <c r="B353" s="811"/>
      <c r="C353" s="811"/>
      <c r="D353" s="811"/>
      <c r="E353" s="811"/>
      <c r="F353" s="811"/>
      <c r="G353" s="811"/>
      <c r="H353" s="811"/>
      <c r="I353" s="811"/>
      <c r="J353" s="811"/>
      <c r="K353" s="811"/>
      <c r="L353" s="811"/>
      <c r="M353" s="811"/>
      <c r="N353" s="811"/>
      <c r="O353" s="811"/>
      <c r="P353" s="811"/>
      <c r="Q353" s="811"/>
      <c r="R353" s="811"/>
      <c r="S353" s="811"/>
      <c r="T353" s="811"/>
      <c r="U353" s="811"/>
      <c r="V353" s="811"/>
      <c r="W353" s="811"/>
      <c r="X353" s="811"/>
      <c r="Y353" s="811"/>
      <c r="Z353" s="811"/>
    </row>
    <row r="354" spans="1:26" ht="15" thickBot="1">
      <c r="A354" s="811"/>
      <c r="B354" s="811"/>
      <c r="C354" s="811"/>
      <c r="D354" s="811"/>
      <c r="E354" s="811"/>
      <c r="F354" s="811"/>
      <c r="G354" s="811"/>
      <c r="H354" s="811"/>
      <c r="I354" s="811"/>
      <c r="J354" s="811"/>
      <c r="K354" s="811"/>
      <c r="L354" s="811"/>
      <c r="M354" s="811"/>
      <c r="N354" s="811"/>
      <c r="O354" s="811"/>
      <c r="P354" s="811"/>
      <c r="Q354" s="811"/>
      <c r="R354" s="811"/>
      <c r="S354" s="811"/>
      <c r="T354" s="811"/>
      <c r="U354" s="811"/>
      <c r="V354" s="811"/>
      <c r="W354" s="811"/>
      <c r="X354" s="811"/>
      <c r="Y354" s="811"/>
      <c r="Z354" s="811"/>
    </row>
    <row r="355" spans="1:26" ht="15" thickBot="1">
      <c r="A355" s="811"/>
      <c r="B355" s="811"/>
      <c r="C355" s="811"/>
      <c r="D355" s="811"/>
      <c r="E355" s="811"/>
      <c r="F355" s="811"/>
      <c r="G355" s="811"/>
      <c r="H355" s="811"/>
      <c r="I355" s="811"/>
      <c r="J355" s="811"/>
      <c r="K355" s="811"/>
      <c r="L355" s="811"/>
      <c r="M355" s="811"/>
      <c r="N355" s="811"/>
      <c r="O355" s="811"/>
      <c r="P355" s="811"/>
      <c r="Q355" s="811"/>
      <c r="R355" s="811"/>
      <c r="S355" s="811"/>
      <c r="T355" s="811"/>
      <c r="U355" s="811"/>
      <c r="V355" s="811"/>
      <c r="W355" s="811"/>
      <c r="X355" s="811"/>
      <c r="Y355" s="811"/>
      <c r="Z355" s="811"/>
    </row>
    <row r="356" spans="1:26" ht="15" thickBot="1">
      <c r="A356" s="811"/>
      <c r="B356" s="811"/>
      <c r="C356" s="811"/>
      <c r="D356" s="811"/>
      <c r="E356" s="811"/>
      <c r="F356" s="811"/>
      <c r="G356" s="811"/>
      <c r="H356" s="811"/>
      <c r="I356" s="811"/>
      <c r="J356" s="811"/>
      <c r="K356" s="811"/>
      <c r="L356" s="811"/>
      <c r="M356" s="811"/>
      <c r="N356" s="811"/>
      <c r="O356" s="811"/>
      <c r="P356" s="811"/>
      <c r="Q356" s="811"/>
      <c r="R356" s="811"/>
      <c r="S356" s="811"/>
      <c r="T356" s="811"/>
      <c r="U356" s="811"/>
      <c r="V356" s="811"/>
      <c r="W356" s="811"/>
      <c r="X356" s="811"/>
      <c r="Y356" s="811"/>
      <c r="Z356" s="811"/>
    </row>
    <row r="357" spans="1:26" ht="15" thickBot="1">
      <c r="A357" s="811"/>
      <c r="B357" s="811"/>
      <c r="C357" s="811"/>
      <c r="D357" s="811"/>
      <c r="E357" s="811"/>
      <c r="F357" s="811"/>
      <c r="G357" s="811"/>
      <c r="H357" s="811"/>
      <c r="I357" s="811"/>
      <c r="J357" s="811"/>
      <c r="K357" s="811"/>
      <c r="L357" s="811"/>
      <c r="M357" s="811"/>
      <c r="N357" s="811"/>
      <c r="O357" s="811"/>
      <c r="P357" s="811"/>
      <c r="Q357" s="811"/>
      <c r="R357" s="811"/>
      <c r="S357" s="811"/>
      <c r="T357" s="811"/>
      <c r="U357" s="811"/>
      <c r="V357" s="811"/>
      <c r="W357" s="811"/>
      <c r="X357" s="811"/>
      <c r="Y357" s="811"/>
      <c r="Z357" s="811"/>
    </row>
    <row r="358" spans="1:26" ht="15" thickBot="1">
      <c r="A358" s="811"/>
      <c r="B358" s="811"/>
      <c r="C358" s="811"/>
      <c r="D358" s="811"/>
      <c r="E358" s="811"/>
      <c r="F358" s="811"/>
      <c r="G358" s="811"/>
      <c r="H358" s="811"/>
      <c r="I358" s="811"/>
      <c r="J358" s="811"/>
      <c r="K358" s="811"/>
      <c r="L358" s="811"/>
      <c r="M358" s="811"/>
      <c r="N358" s="811"/>
      <c r="O358" s="811"/>
      <c r="P358" s="811"/>
      <c r="Q358" s="811"/>
      <c r="R358" s="811"/>
      <c r="S358" s="811"/>
      <c r="T358" s="811"/>
      <c r="U358" s="811"/>
      <c r="V358" s="811"/>
      <c r="W358" s="811"/>
      <c r="X358" s="811"/>
      <c r="Y358" s="811"/>
      <c r="Z358" s="811"/>
    </row>
    <row r="359" spans="1:26" ht="15" thickBot="1">
      <c r="A359" s="811"/>
      <c r="B359" s="811"/>
      <c r="C359" s="811"/>
      <c r="D359" s="811"/>
      <c r="E359" s="811"/>
      <c r="F359" s="811"/>
      <c r="G359" s="811"/>
      <c r="H359" s="811"/>
      <c r="I359" s="811"/>
      <c r="J359" s="811"/>
      <c r="K359" s="811"/>
      <c r="L359" s="811"/>
      <c r="M359" s="811"/>
      <c r="N359" s="811"/>
      <c r="O359" s="811"/>
      <c r="P359" s="811"/>
      <c r="Q359" s="811"/>
      <c r="R359" s="811"/>
      <c r="S359" s="811"/>
      <c r="T359" s="811"/>
      <c r="U359" s="811"/>
      <c r="V359" s="811"/>
      <c r="W359" s="811"/>
      <c r="X359" s="811"/>
      <c r="Y359" s="811"/>
      <c r="Z359" s="811"/>
    </row>
    <row r="360" spans="1:26" ht="15" thickBot="1">
      <c r="A360" s="811"/>
      <c r="B360" s="811"/>
      <c r="C360" s="811"/>
      <c r="D360" s="811"/>
      <c r="E360" s="811"/>
      <c r="F360" s="811"/>
      <c r="G360" s="811"/>
      <c r="H360" s="811"/>
      <c r="I360" s="811"/>
      <c r="J360" s="811"/>
      <c r="K360" s="811"/>
      <c r="L360" s="811"/>
      <c r="M360" s="811"/>
      <c r="N360" s="811"/>
      <c r="O360" s="811"/>
      <c r="P360" s="811"/>
      <c r="Q360" s="811"/>
      <c r="R360" s="811"/>
      <c r="S360" s="811"/>
      <c r="T360" s="811"/>
      <c r="U360" s="811"/>
      <c r="V360" s="811"/>
      <c r="W360" s="811"/>
      <c r="X360" s="811"/>
      <c r="Y360" s="811"/>
      <c r="Z360" s="811"/>
    </row>
    <row r="361" spans="1:26" ht="15" thickBot="1">
      <c r="A361" s="811"/>
      <c r="B361" s="811"/>
      <c r="C361" s="811"/>
      <c r="D361" s="811"/>
      <c r="E361" s="811"/>
      <c r="F361" s="811"/>
      <c r="G361" s="811"/>
      <c r="H361" s="811"/>
      <c r="I361" s="811"/>
      <c r="J361" s="811"/>
      <c r="K361" s="811"/>
      <c r="L361" s="811"/>
      <c r="M361" s="811"/>
      <c r="N361" s="811"/>
      <c r="O361" s="811"/>
      <c r="P361" s="811"/>
      <c r="Q361" s="811"/>
      <c r="R361" s="811"/>
      <c r="S361" s="811"/>
      <c r="T361" s="811"/>
      <c r="U361" s="811"/>
      <c r="V361" s="811"/>
      <c r="W361" s="811"/>
      <c r="X361" s="811"/>
      <c r="Y361" s="811"/>
      <c r="Z361" s="811"/>
    </row>
    <row r="362" spans="1:26" ht="15" thickBot="1">
      <c r="A362" s="811"/>
      <c r="B362" s="811"/>
      <c r="C362" s="811"/>
      <c r="D362" s="811"/>
      <c r="E362" s="811"/>
      <c r="F362" s="811"/>
      <c r="G362" s="811"/>
      <c r="H362" s="811"/>
      <c r="I362" s="811"/>
      <c r="J362" s="811"/>
      <c r="K362" s="811"/>
      <c r="L362" s="811"/>
      <c r="M362" s="811"/>
      <c r="N362" s="811"/>
      <c r="O362" s="811"/>
      <c r="P362" s="811"/>
      <c r="Q362" s="811"/>
      <c r="R362" s="811"/>
      <c r="S362" s="811"/>
      <c r="T362" s="811"/>
      <c r="U362" s="811"/>
      <c r="V362" s="811"/>
      <c r="W362" s="811"/>
      <c r="X362" s="811"/>
      <c r="Y362" s="811"/>
      <c r="Z362" s="811"/>
    </row>
    <row r="363" spans="1:26" ht="15" thickBot="1">
      <c r="A363" s="811"/>
      <c r="B363" s="811"/>
      <c r="C363" s="811"/>
      <c r="D363" s="811"/>
      <c r="E363" s="811"/>
      <c r="F363" s="811"/>
      <c r="G363" s="811"/>
      <c r="H363" s="811"/>
      <c r="I363" s="811"/>
      <c r="J363" s="811"/>
      <c r="K363" s="811"/>
      <c r="L363" s="811"/>
      <c r="M363" s="811"/>
      <c r="N363" s="811"/>
      <c r="O363" s="811"/>
      <c r="P363" s="811"/>
      <c r="Q363" s="811"/>
      <c r="R363" s="811"/>
      <c r="S363" s="811"/>
      <c r="T363" s="811"/>
      <c r="U363" s="811"/>
      <c r="V363" s="811"/>
      <c r="W363" s="811"/>
      <c r="X363" s="811"/>
      <c r="Y363" s="811"/>
      <c r="Z363" s="811"/>
    </row>
    <row r="364" spans="1:26" ht="15" thickBot="1">
      <c r="A364" s="811"/>
      <c r="B364" s="811"/>
      <c r="C364" s="811"/>
      <c r="D364" s="811"/>
      <c r="E364" s="811"/>
      <c r="F364" s="811"/>
      <c r="G364" s="811"/>
      <c r="H364" s="811"/>
      <c r="I364" s="811"/>
      <c r="J364" s="811"/>
      <c r="K364" s="811"/>
      <c r="L364" s="811"/>
      <c r="M364" s="811"/>
      <c r="N364" s="811"/>
      <c r="O364" s="811"/>
      <c r="P364" s="811"/>
      <c r="Q364" s="811"/>
      <c r="R364" s="811"/>
      <c r="S364" s="811"/>
      <c r="T364" s="811"/>
      <c r="U364" s="811"/>
      <c r="V364" s="811"/>
      <c r="W364" s="811"/>
      <c r="X364" s="811"/>
      <c r="Y364" s="811"/>
      <c r="Z364" s="811"/>
    </row>
    <row r="365" spans="1:26" ht="15" thickBot="1">
      <c r="A365" s="811"/>
      <c r="B365" s="811"/>
      <c r="C365" s="811"/>
      <c r="D365" s="811"/>
      <c r="E365" s="811"/>
      <c r="F365" s="811"/>
      <c r="G365" s="811"/>
      <c r="H365" s="811"/>
      <c r="I365" s="811"/>
      <c r="J365" s="811"/>
      <c r="K365" s="811"/>
      <c r="L365" s="811"/>
      <c r="M365" s="811"/>
      <c r="N365" s="811"/>
      <c r="O365" s="811"/>
      <c r="P365" s="811"/>
      <c r="Q365" s="811"/>
      <c r="R365" s="811"/>
      <c r="S365" s="811"/>
      <c r="T365" s="811"/>
      <c r="U365" s="811"/>
      <c r="V365" s="811"/>
      <c r="W365" s="811"/>
      <c r="X365" s="811"/>
      <c r="Y365" s="811"/>
      <c r="Z365" s="811"/>
    </row>
    <row r="366" spans="1:26" ht="15" thickBot="1">
      <c r="A366" s="811"/>
      <c r="B366" s="811"/>
      <c r="C366" s="811"/>
      <c r="D366" s="811"/>
      <c r="E366" s="811"/>
      <c r="F366" s="811"/>
      <c r="G366" s="811"/>
      <c r="H366" s="811"/>
      <c r="I366" s="811"/>
      <c r="J366" s="811"/>
      <c r="K366" s="811"/>
      <c r="L366" s="811"/>
      <c r="M366" s="811"/>
      <c r="N366" s="811"/>
      <c r="O366" s="811"/>
      <c r="P366" s="811"/>
      <c r="Q366" s="811"/>
      <c r="R366" s="811"/>
      <c r="S366" s="811"/>
      <c r="T366" s="811"/>
      <c r="U366" s="811"/>
      <c r="V366" s="811"/>
      <c r="W366" s="811"/>
      <c r="X366" s="811"/>
      <c r="Y366" s="811"/>
      <c r="Z366" s="811"/>
    </row>
    <row r="367" spans="1:26" ht="15" thickBot="1">
      <c r="A367" s="811"/>
      <c r="B367" s="811"/>
      <c r="C367" s="811"/>
      <c r="D367" s="811"/>
      <c r="E367" s="811"/>
      <c r="F367" s="811"/>
      <c r="G367" s="811"/>
      <c r="H367" s="811"/>
      <c r="I367" s="811"/>
      <c r="J367" s="811"/>
      <c r="K367" s="811"/>
      <c r="L367" s="811"/>
      <c r="M367" s="811"/>
      <c r="N367" s="811"/>
      <c r="O367" s="811"/>
      <c r="P367" s="811"/>
      <c r="Q367" s="811"/>
      <c r="R367" s="811"/>
      <c r="S367" s="811"/>
      <c r="T367" s="811"/>
      <c r="U367" s="811"/>
      <c r="V367" s="811"/>
      <c r="W367" s="811"/>
      <c r="X367" s="811"/>
      <c r="Y367" s="811"/>
      <c r="Z367" s="811"/>
    </row>
    <row r="368" spans="1:26" ht="15" thickBot="1">
      <c r="A368" s="811"/>
      <c r="B368" s="811"/>
      <c r="C368" s="811"/>
      <c r="D368" s="811"/>
      <c r="E368" s="811"/>
      <c r="F368" s="811"/>
      <c r="G368" s="811"/>
      <c r="H368" s="811"/>
      <c r="I368" s="811"/>
      <c r="J368" s="811"/>
      <c r="K368" s="811"/>
      <c r="L368" s="811"/>
      <c r="M368" s="811"/>
      <c r="N368" s="811"/>
      <c r="O368" s="811"/>
      <c r="P368" s="811"/>
      <c r="Q368" s="811"/>
      <c r="R368" s="811"/>
      <c r="S368" s="811"/>
      <c r="T368" s="811"/>
      <c r="U368" s="811"/>
      <c r="V368" s="811"/>
      <c r="W368" s="811"/>
      <c r="X368" s="811"/>
      <c r="Y368" s="811"/>
      <c r="Z368" s="811"/>
    </row>
    <row r="369" spans="1:26" ht="15" thickBot="1">
      <c r="A369" s="811"/>
      <c r="B369" s="811"/>
      <c r="C369" s="811"/>
      <c r="D369" s="811"/>
      <c r="E369" s="811"/>
      <c r="F369" s="811"/>
      <c r="G369" s="811"/>
      <c r="H369" s="811"/>
      <c r="I369" s="811"/>
      <c r="J369" s="811"/>
      <c r="K369" s="811"/>
      <c r="L369" s="811"/>
      <c r="M369" s="811"/>
      <c r="N369" s="811"/>
      <c r="O369" s="811"/>
      <c r="P369" s="811"/>
      <c r="Q369" s="811"/>
      <c r="R369" s="811"/>
      <c r="S369" s="811"/>
      <c r="T369" s="811"/>
      <c r="U369" s="811"/>
      <c r="V369" s="811"/>
      <c r="W369" s="811"/>
      <c r="X369" s="811"/>
      <c r="Y369" s="811"/>
      <c r="Z369" s="811"/>
    </row>
    <row r="370" spans="1:26" ht="15" thickBot="1">
      <c r="A370" s="811"/>
      <c r="B370" s="811"/>
      <c r="C370" s="811"/>
      <c r="D370" s="811"/>
      <c r="E370" s="811"/>
      <c r="F370" s="811"/>
      <c r="G370" s="811"/>
      <c r="H370" s="811"/>
      <c r="I370" s="811"/>
      <c r="J370" s="811"/>
      <c r="K370" s="811"/>
      <c r="L370" s="811"/>
      <c r="M370" s="811"/>
      <c r="N370" s="811"/>
      <c r="O370" s="811"/>
      <c r="P370" s="811"/>
      <c r="Q370" s="811"/>
      <c r="R370" s="811"/>
      <c r="S370" s="811"/>
      <c r="T370" s="811"/>
      <c r="U370" s="811"/>
      <c r="V370" s="811"/>
      <c r="W370" s="811"/>
      <c r="X370" s="811"/>
      <c r="Y370" s="811"/>
      <c r="Z370" s="811"/>
    </row>
    <row r="371" spans="1:26" ht="15" thickBot="1">
      <c r="A371" s="811"/>
      <c r="B371" s="811"/>
      <c r="C371" s="811"/>
      <c r="D371" s="811"/>
      <c r="E371" s="811"/>
      <c r="F371" s="811"/>
      <c r="G371" s="811"/>
      <c r="H371" s="811"/>
      <c r="I371" s="811"/>
      <c r="J371" s="811"/>
      <c r="K371" s="811"/>
      <c r="L371" s="811"/>
      <c r="M371" s="811"/>
      <c r="N371" s="811"/>
      <c r="O371" s="811"/>
      <c r="P371" s="811"/>
      <c r="Q371" s="811"/>
      <c r="R371" s="811"/>
      <c r="S371" s="811"/>
      <c r="T371" s="811"/>
      <c r="U371" s="811"/>
      <c r="V371" s="811"/>
      <c r="W371" s="811"/>
      <c r="X371" s="811"/>
      <c r="Y371" s="811"/>
      <c r="Z371" s="811"/>
    </row>
    <row r="372" spans="1:26" ht="15" thickBot="1">
      <c r="A372" s="811"/>
      <c r="B372" s="811"/>
      <c r="C372" s="811"/>
      <c r="D372" s="811"/>
      <c r="E372" s="811"/>
      <c r="F372" s="811"/>
      <c r="G372" s="811"/>
      <c r="H372" s="811"/>
      <c r="I372" s="811"/>
      <c r="J372" s="811"/>
      <c r="K372" s="811"/>
      <c r="L372" s="811"/>
      <c r="M372" s="811"/>
      <c r="N372" s="811"/>
      <c r="O372" s="811"/>
      <c r="P372" s="811"/>
      <c r="Q372" s="811"/>
      <c r="R372" s="811"/>
      <c r="S372" s="811"/>
      <c r="T372" s="811"/>
      <c r="U372" s="811"/>
      <c r="V372" s="811"/>
      <c r="W372" s="811"/>
      <c r="X372" s="811"/>
      <c r="Y372" s="811"/>
      <c r="Z372" s="811"/>
    </row>
    <row r="373" spans="1:26" ht="15" thickBot="1">
      <c r="A373" s="811"/>
      <c r="B373" s="811"/>
      <c r="C373" s="811"/>
      <c r="D373" s="811"/>
      <c r="E373" s="811"/>
      <c r="F373" s="811"/>
      <c r="G373" s="811"/>
      <c r="H373" s="811"/>
      <c r="I373" s="811"/>
      <c r="J373" s="811"/>
      <c r="K373" s="811"/>
      <c r="L373" s="811"/>
      <c r="M373" s="811"/>
      <c r="N373" s="811"/>
      <c r="O373" s="811"/>
      <c r="P373" s="811"/>
      <c r="Q373" s="811"/>
      <c r="R373" s="811"/>
      <c r="S373" s="811"/>
      <c r="T373" s="811"/>
      <c r="U373" s="811"/>
      <c r="V373" s="811"/>
      <c r="W373" s="811"/>
      <c r="X373" s="811"/>
      <c r="Y373" s="811"/>
      <c r="Z373" s="811"/>
    </row>
    <row r="374" spans="1:26" ht="15" thickBot="1">
      <c r="A374" s="811"/>
      <c r="B374" s="811"/>
      <c r="C374" s="811"/>
      <c r="D374" s="811"/>
      <c r="E374" s="811"/>
      <c r="F374" s="811"/>
      <c r="G374" s="811"/>
      <c r="H374" s="811"/>
      <c r="I374" s="811"/>
      <c r="J374" s="811"/>
      <c r="K374" s="811"/>
      <c r="L374" s="811"/>
      <c r="M374" s="811"/>
      <c r="N374" s="811"/>
      <c r="O374" s="811"/>
      <c r="P374" s="811"/>
      <c r="Q374" s="811"/>
      <c r="R374" s="811"/>
      <c r="S374" s="811"/>
      <c r="T374" s="811"/>
      <c r="U374" s="811"/>
      <c r="V374" s="811"/>
      <c r="W374" s="811"/>
      <c r="X374" s="811"/>
      <c r="Y374" s="811"/>
      <c r="Z374" s="811"/>
    </row>
    <row r="375" spans="1:26" ht="15" thickBot="1">
      <c r="A375" s="811"/>
      <c r="B375" s="811"/>
      <c r="C375" s="811"/>
      <c r="D375" s="811"/>
      <c r="E375" s="811"/>
      <c r="F375" s="811"/>
      <c r="G375" s="811"/>
      <c r="H375" s="811"/>
      <c r="I375" s="811"/>
      <c r="J375" s="811"/>
      <c r="K375" s="811"/>
      <c r="L375" s="811"/>
      <c r="M375" s="811"/>
      <c r="N375" s="811"/>
      <c r="O375" s="811"/>
      <c r="P375" s="811"/>
      <c r="Q375" s="811"/>
      <c r="R375" s="811"/>
      <c r="S375" s="811"/>
      <c r="T375" s="811"/>
      <c r="U375" s="811"/>
      <c r="V375" s="811"/>
      <c r="W375" s="811"/>
      <c r="X375" s="811"/>
      <c r="Y375" s="811"/>
      <c r="Z375" s="811"/>
    </row>
    <row r="376" spans="1:26" ht="15" thickBot="1">
      <c r="A376" s="811"/>
      <c r="B376" s="811"/>
      <c r="C376" s="811"/>
      <c r="D376" s="811"/>
      <c r="E376" s="811"/>
      <c r="F376" s="811"/>
      <c r="G376" s="811"/>
      <c r="H376" s="811"/>
      <c r="I376" s="811"/>
      <c r="J376" s="811"/>
      <c r="K376" s="811"/>
      <c r="L376" s="811"/>
      <c r="M376" s="811"/>
      <c r="N376" s="811"/>
      <c r="O376" s="811"/>
      <c r="P376" s="811"/>
      <c r="Q376" s="811"/>
      <c r="R376" s="811"/>
      <c r="S376" s="811"/>
      <c r="T376" s="811"/>
      <c r="U376" s="811"/>
      <c r="V376" s="811"/>
      <c r="W376" s="811"/>
      <c r="X376" s="811"/>
      <c r="Y376" s="811"/>
      <c r="Z376" s="811"/>
    </row>
    <row r="377" spans="1:26" ht="15" thickBot="1">
      <c r="A377" s="811"/>
      <c r="B377" s="811"/>
      <c r="C377" s="811"/>
      <c r="D377" s="811"/>
      <c r="E377" s="811"/>
      <c r="F377" s="811"/>
      <c r="G377" s="811"/>
      <c r="H377" s="811"/>
      <c r="I377" s="811"/>
      <c r="J377" s="811"/>
      <c r="K377" s="811"/>
      <c r="L377" s="811"/>
      <c r="M377" s="811"/>
      <c r="N377" s="811"/>
      <c r="O377" s="811"/>
      <c r="P377" s="811"/>
      <c r="Q377" s="811"/>
      <c r="R377" s="811"/>
      <c r="S377" s="811"/>
      <c r="T377" s="811"/>
      <c r="U377" s="811"/>
      <c r="V377" s="811"/>
      <c r="W377" s="811"/>
      <c r="X377" s="811"/>
      <c r="Y377" s="811"/>
      <c r="Z377" s="811"/>
    </row>
    <row r="378" spans="1:26" ht="15" thickBot="1">
      <c r="A378" s="811"/>
      <c r="B378" s="811"/>
      <c r="C378" s="811"/>
      <c r="D378" s="811"/>
      <c r="E378" s="811"/>
      <c r="F378" s="811"/>
      <c r="G378" s="811"/>
      <c r="H378" s="811"/>
      <c r="I378" s="811"/>
      <c r="J378" s="811"/>
      <c r="K378" s="811"/>
      <c r="L378" s="811"/>
      <c r="M378" s="811"/>
      <c r="N378" s="811"/>
      <c r="O378" s="811"/>
      <c r="P378" s="811"/>
      <c r="Q378" s="811"/>
      <c r="R378" s="811"/>
      <c r="S378" s="811"/>
      <c r="T378" s="811"/>
      <c r="U378" s="811"/>
      <c r="V378" s="811"/>
      <c r="W378" s="811"/>
      <c r="X378" s="811"/>
      <c r="Y378" s="811"/>
      <c r="Z378" s="811"/>
    </row>
    <row r="379" spans="1:26" ht="15" thickBot="1">
      <c r="A379" s="811"/>
      <c r="B379" s="811"/>
      <c r="C379" s="811"/>
      <c r="D379" s="811"/>
      <c r="E379" s="811"/>
      <c r="F379" s="811"/>
      <c r="G379" s="811"/>
      <c r="H379" s="811"/>
      <c r="I379" s="811"/>
      <c r="J379" s="811"/>
      <c r="K379" s="811"/>
      <c r="L379" s="811"/>
      <c r="M379" s="811"/>
      <c r="N379" s="811"/>
      <c r="O379" s="811"/>
      <c r="P379" s="811"/>
      <c r="Q379" s="811"/>
      <c r="R379" s="811"/>
      <c r="S379" s="811"/>
      <c r="T379" s="811"/>
      <c r="U379" s="811"/>
      <c r="V379" s="811"/>
      <c r="W379" s="811"/>
      <c r="X379" s="811"/>
      <c r="Y379" s="811"/>
      <c r="Z379" s="811"/>
    </row>
    <row r="380" spans="1:26" ht="15" thickBot="1">
      <c r="A380" s="811"/>
      <c r="B380" s="811"/>
      <c r="C380" s="811"/>
      <c r="D380" s="811"/>
      <c r="E380" s="811"/>
      <c r="F380" s="811"/>
      <c r="G380" s="811"/>
      <c r="H380" s="811"/>
      <c r="I380" s="811"/>
      <c r="J380" s="811"/>
      <c r="K380" s="811"/>
      <c r="L380" s="811"/>
      <c r="M380" s="811"/>
      <c r="N380" s="811"/>
      <c r="O380" s="811"/>
      <c r="P380" s="811"/>
      <c r="Q380" s="811"/>
      <c r="R380" s="811"/>
      <c r="S380" s="811"/>
      <c r="T380" s="811"/>
      <c r="U380" s="811"/>
      <c r="V380" s="811"/>
      <c r="W380" s="811"/>
      <c r="X380" s="811"/>
      <c r="Y380" s="811"/>
      <c r="Z380" s="811"/>
    </row>
    <row r="381" spans="1:26" ht="15" thickBot="1">
      <c r="A381" s="811"/>
      <c r="B381" s="811"/>
      <c r="C381" s="811"/>
      <c r="D381" s="811"/>
      <c r="E381" s="811"/>
      <c r="F381" s="811"/>
      <c r="G381" s="811"/>
      <c r="H381" s="811"/>
      <c r="I381" s="811"/>
      <c r="J381" s="811"/>
      <c r="K381" s="811"/>
      <c r="L381" s="811"/>
      <c r="M381" s="811"/>
      <c r="N381" s="811"/>
      <c r="O381" s="811"/>
      <c r="P381" s="811"/>
      <c r="Q381" s="811"/>
      <c r="R381" s="811"/>
      <c r="S381" s="811"/>
      <c r="T381" s="811"/>
      <c r="U381" s="811"/>
      <c r="V381" s="811"/>
      <c r="W381" s="811"/>
      <c r="X381" s="811"/>
      <c r="Y381" s="811"/>
      <c r="Z381" s="811"/>
    </row>
    <row r="382" spans="1:26" ht="15" thickBot="1">
      <c r="A382" s="811"/>
      <c r="B382" s="811"/>
      <c r="C382" s="811"/>
      <c r="D382" s="811"/>
      <c r="E382" s="811"/>
      <c r="F382" s="811"/>
      <c r="G382" s="811"/>
      <c r="H382" s="811"/>
      <c r="I382" s="811"/>
      <c r="J382" s="811"/>
      <c r="K382" s="811"/>
      <c r="L382" s="811"/>
      <c r="M382" s="811"/>
      <c r="N382" s="811"/>
      <c r="O382" s="811"/>
      <c r="P382" s="811"/>
      <c r="Q382" s="811"/>
      <c r="R382" s="811"/>
      <c r="S382" s="811"/>
      <c r="T382" s="811"/>
      <c r="U382" s="811"/>
      <c r="V382" s="811"/>
      <c r="W382" s="811"/>
      <c r="X382" s="811"/>
      <c r="Y382" s="811"/>
      <c r="Z382" s="811"/>
    </row>
    <row r="383" spans="1:26" ht="15" thickBot="1">
      <c r="A383" s="811"/>
      <c r="B383" s="811"/>
      <c r="C383" s="811"/>
      <c r="D383" s="811"/>
      <c r="E383" s="811"/>
      <c r="F383" s="811"/>
      <c r="G383" s="811"/>
      <c r="H383" s="811"/>
      <c r="I383" s="811"/>
      <c r="J383" s="811"/>
      <c r="K383" s="811"/>
      <c r="L383" s="811"/>
      <c r="M383" s="811"/>
      <c r="N383" s="811"/>
      <c r="O383" s="811"/>
      <c r="P383" s="811"/>
      <c r="Q383" s="811"/>
      <c r="R383" s="811"/>
      <c r="S383" s="811"/>
      <c r="T383" s="811"/>
      <c r="U383" s="811"/>
      <c r="V383" s="811"/>
      <c r="W383" s="811"/>
      <c r="X383" s="811"/>
      <c r="Y383" s="811"/>
      <c r="Z383" s="811"/>
    </row>
    <row r="384" spans="1:26" ht="15" thickBot="1">
      <c r="A384" s="811"/>
      <c r="B384" s="811"/>
      <c r="C384" s="811"/>
      <c r="D384" s="811"/>
      <c r="E384" s="811"/>
      <c r="F384" s="811"/>
      <c r="G384" s="811"/>
      <c r="H384" s="811"/>
      <c r="I384" s="811"/>
      <c r="J384" s="811"/>
      <c r="K384" s="811"/>
      <c r="L384" s="811"/>
      <c r="M384" s="811"/>
      <c r="N384" s="811"/>
      <c r="O384" s="811"/>
      <c r="P384" s="811"/>
      <c r="Q384" s="811"/>
      <c r="R384" s="811"/>
      <c r="S384" s="811"/>
      <c r="T384" s="811"/>
      <c r="U384" s="811"/>
      <c r="V384" s="811"/>
      <c r="W384" s="811"/>
      <c r="X384" s="811"/>
      <c r="Y384" s="811"/>
      <c r="Z384" s="811"/>
    </row>
    <row r="385" spans="1:26" ht="15" thickBot="1">
      <c r="A385" s="811"/>
      <c r="B385" s="811"/>
      <c r="C385" s="811"/>
      <c r="D385" s="811"/>
      <c r="E385" s="811"/>
      <c r="F385" s="811"/>
      <c r="G385" s="811"/>
      <c r="H385" s="811"/>
      <c r="I385" s="811"/>
      <c r="J385" s="811"/>
      <c r="K385" s="811"/>
      <c r="L385" s="811"/>
      <c r="M385" s="811"/>
      <c r="N385" s="811"/>
      <c r="O385" s="811"/>
      <c r="P385" s="811"/>
      <c r="Q385" s="811"/>
      <c r="R385" s="811"/>
      <c r="S385" s="811"/>
      <c r="T385" s="811"/>
      <c r="U385" s="811"/>
      <c r="V385" s="811"/>
      <c r="W385" s="811"/>
      <c r="X385" s="811"/>
      <c r="Y385" s="811"/>
      <c r="Z385" s="811"/>
    </row>
    <row r="386" spans="1:26" ht="15" thickBot="1">
      <c r="A386" s="811"/>
      <c r="B386" s="811"/>
      <c r="C386" s="811"/>
      <c r="D386" s="811"/>
      <c r="E386" s="811"/>
      <c r="F386" s="811"/>
      <c r="G386" s="811"/>
      <c r="H386" s="811"/>
      <c r="I386" s="811"/>
      <c r="J386" s="811"/>
      <c r="K386" s="811"/>
      <c r="L386" s="811"/>
      <c r="M386" s="811"/>
      <c r="N386" s="811"/>
      <c r="O386" s="811"/>
      <c r="P386" s="811"/>
      <c r="Q386" s="811"/>
      <c r="R386" s="811"/>
      <c r="S386" s="811"/>
      <c r="T386" s="811"/>
      <c r="U386" s="811"/>
      <c r="V386" s="811"/>
      <c r="W386" s="811"/>
      <c r="X386" s="811"/>
      <c r="Y386" s="811"/>
      <c r="Z386" s="811"/>
    </row>
    <row r="387" spans="1:26" ht="15" thickBot="1">
      <c r="A387" s="811"/>
      <c r="B387" s="811"/>
      <c r="C387" s="811"/>
      <c r="D387" s="811"/>
      <c r="E387" s="811"/>
      <c r="F387" s="811"/>
      <c r="G387" s="811"/>
      <c r="H387" s="811"/>
      <c r="I387" s="811"/>
      <c r="J387" s="811"/>
      <c r="K387" s="811"/>
      <c r="L387" s="811"/>
      <c r="M387" s="811"/>
      <c r="N387" s="811"/>
      <c r="O387" s="811"/>
      <c r="P387" s="811"/>
      <c r="Q387" s="811"/>
      <c r="R387" s="811"/>
      <c r="S387" s="811"/>
      <c r="T387" s="811"/>
      <c r="U387" s="811"/>
      <c r="V387" s="811"/>
      <c r="W387" s="811"/>
      <c r="X387" s="811"/>
      <c r="Y387" s="811"/>
      <c r="Z387" s="811"/>
    </row>
    <row r="388" spans="1:26" ht="15" thickBot="1">
      <c r="A388" s="811"/>
      <c r="B388" s="811"/>
      <c r="C388" s="811"/>
      <c r="D388" s="811"/>
      <c r="E388" s="811"/>
      <c r="F388" s="811"/>
      <c r="G388" s="811"/>
      <c r="H388" s="811"/>
      <c r="I388" s="811"/>
      <c r="J388" s="811"/>
      <c r="K388" s="811"/>
      <c r="L388" s="811"/>
      <c r="M388" s="811"/>
      <c r="N388" s="811"/>
      <c r="O388" s="811"/>
      <c r="P388" s="811"/>
      <c r="Q388" s="811"/>
      <c r="R388" s="811"/>
      <c r="S388" s="811"/>
      <c r="T388" s="811"/>
      <c r="U388" s="811"/>
      <c r="V388" s="811"/>
      <c r="W388" s="811"/>
      <c r="X388" s="811"/>
      <c r="Y388" s="811"/>
      <c r="Z388" s="811"/>
    </row>
    <row r="389" spans="1:26" ht="15" thickBot="1">
      <c r="A389" s="811"/>
      <c r="B389" s="811"/>
      <c r="C389" s="811"/>
      <c r="D389" s="811"/>
      <c r="E389" s="811"/>
      <c r="F389" s="811"/>
      <c r="G389" s="811"/>
      <c r="H389" s="811"/>
      <c r="I389" s="811"/>
      <c r="J389" s="811"/>
      <c r="K389" s="811"/>
      <c r="L389" s="811"/>
      <c r="M389" s="811"/>
      <c r="N389" s="811"/>
      <c r="O389" s="811"/>
      <c r="P389" s="811"/>
      <c r="Q389" s="811"/>
      <c r="R389" s="811"/>
      <c r="S389" s="811"/>
      <c r="T389" s="811"/>
      <c r="U389" s="811"/>
      <c r="V389" s="811"/>
      <c r="W389" s="811"/>
      <c r="X389" s="811"/>
      <c r="Y389" s="811"/>
      <c r="Z389" s="811"/>
    </row>
    <row r="390" spans="1:26" ht="15" thickBot="1">
      <c r="A390" s="811"/>
      <c r="B390" s="811"/>
      <c r="C390" s="811"/>
      <c r="D390" s="811"/>
      <c r="E390" s="811"/>
      <c r="F390" s="811"/>
      <c r="G390" s="811"/>
      <c r="H390" s="811"/>
      <c r="I390" s="811"/>
      <c r="J390" s="811"/>
      <c r="K390" s="811"/>
      <c r="L390" s="811"/>
      <c r="M390" s="811"/>
      <c r="N390" s="811"/>
      <c r="O390" s="811"/>
      <c r="P390" s="811"/>
      <c r="Q390" s="811"/>
      <c r="R390" s="811"/>
      <c r="S390" s="811"/>
      <c r="T390" s="811"/>
      <c r="U390" s="811"/>
      <c r="V390" s="811"/>
      <c r="W390" s="811"/>
      <c r="X390" s="811"/>
      <c r="Y390" s="811"/>
      <c r="Z390" s="811"/>
    </row>
    <row r="391" spans="1:26" ht="15" thickBot="1">
      <c r="A391" s="811"/>
      <c r="B391" s="811"/>
      <c r="C391" s="811"/>
      <c r="D391" s="811"/>
      <c r="E391" s="811"/>
      <c r="F391" s="811"/>
      <c r="G391" s="811"/>
      <c r="H391" s="811"/>
      <c r="I391" s="811"/>
      <c r="J391" s="811"/>
      <c r="K391" s="811"/>
      <c r="L391" s="811"/>
      <c r="M391" s="811"/>
      <c r="N391" s="811"/>
      <c r="O391" s="811"/>
      <c r="P391" s="811"/>
      <c r="Q391" s="811"/>
      <c r="R391" s="811"/>
      <c r="S391" s="811"/>
      <c r="T391" s="811"/>
      <c r="U391" s="811"/>
      <c r="V391" s="811"/>
      <c r="W391" s="811"/>
      <c r="X391" s="811"/>
      <c r="Y391" s="811"/>
      <c r="Z391" s="811"/>
    </row>
    <row r="392" spans="1:26" ht="15" thickBot="1">
      <c r="A392" s="811"/>
      <c r="B392" s="811"/>
      <c r="C392" s="811"/>
      <c r="D392" s="811"/>
      <c r="E392" s="811"/>
      <c r="F392" s="811"/>
      <c r="G392" s="811"/>
      <c r="H392" s="811"/>
      <c r="I392" s="811"/>
      <c r="J392" s="811"/>
      <c r="K392" s="811"/>
      <c r="L392" s="811"/>
      <c r="M392" s="811"/>
      <c r="N392" s="811"/>
      <c r="O392" s="811"/>
      <c r="P392" s="811"/>
      <c r="Q392" s="811"/>
      <c r="R392" s="811"/>
      <c r="S392" s="811"/>
      <c r="T392" s="811"/>
      <c r="U392" s="811"/>
      <c r="V392" s="811"/>
      <c r="W392" s="811"/>
      <c r="X392" s="811"/>
      <c r="Y392" s="811"/>
      <c r="Z392" s="811"/>
    </row>
    <row r="393" spans="1:26" ht="15" thickBot="1">
      <c r="A393" s="811"/>
      <c r="B393" s="811"/>
      <c r="C393" s="811"/>
      <c r="D393" s="811"/>
      <c r="E393" s="811"/>
      <c r="F393" s="811"/>
      <c r="G393" s="811"/>
      <c r="H393" s="811"/>
      <c r="I393" s="811"/>
      <c r="J393" s="811"/>
      <c r="K393" s="811"/>
      <c r="L393" s="811"/>
      <c r="M393" s="811"/>
      <c r="N393" s="811"/>
      <c r="O393" s="811"/>
      <c r="P393" s="811"/>
      <c r="Q393" s="811"/>
      <c r="R393" s="811"/>
      <c r="S393" s="811"/>
      <c r="T393" s="811"/>
      <c r="U393" s="811"/>
      <c r="V393" s="811"/>
      <c r="W393" s="811"/>
      <c r="X393" s="811"/>
      <c r="Y393" s="811"/>
      <c r="Z393" s="811"/>
    </row>
    <row r="394" spans="1:26" ht="15" thickBot="1">
      <c r="A394" s="811"/>
      <c r="B394" s="811"/>
      <c r="C394" s="811"/>
      <c r="D394" s="811"/>
      <c r="E394" s="811"/>
      <c r="F394" s="811"/>
      <c r="G394" s="811"/>
      <c r="H394" s="811"/>
      <c r="I394" s="811"/>
      <c r="J394" s="811"/>
      <c r="K394" s="811"/>
      <c r="L394" s="811"/>
      <c r="M394" s="811"/>
      <c r="N394" s="811"/>
      <c r="O394" s="811"/>
      <c r="P394" s="811"/>
      <c r="Q394" s="811"/>
      <c r="R394" s="811"/>
      <c r="S394" s="811"/>
      <c r="T394" s="811"/>
      <c r="U394" s="811"/>
      <c r="V394" s="811"/>
      <c r="W394" s="811"/>
      <c r="X394" s="811"/>
      <c r="Y394" s="811"/>
      <c r="Z394" s="811"/>
    </row>
    <row r="395" spans="1:26" ht="15" thickBot="1">
      <c r="A395" s="811"/>
      <c r="B395" s="811"/>
      <c r="C395" s="811"/>
      <c r="D395" s="811"/>
      <c r="E395" s="811"/>
      <c r="F395" s="811"/>
      <c r="G395" s="811"/>
      <c r="H395" s="811"/>
      <c r="I395" s="811"/>
      <c r="J395" s="811"/>
      <c r="K395" s="811"/>
      <c r="L395" s="811"/>
      <c r="M395" s="811"/>
      <c r="N395" s="811"/>
      <c r="O395" s="811"/>
      <c r="P395" s="811"/>
      <c r="Q395" s="811"/>
      <c r="R395" s="811"/>
      <c r="S395" s="811"/>
      <c r="T395" s="811"/>
      <c r="U395" s="811"/>
      <c r="V395" s="811"/>
      <c r="W395" s="811"/>
      <c r="X395" s="811"/>
      <c r="Y395" s="811"/>
      <c r="Z395" s="811"/>
    </row>
    <row r="396" spans="1:26" ht="15" thickBot="1">
      <c r="A396" s="811"/>
      <c r="B396" s="811"/>
      <c r="C396" s="811"/>
      <c r="D396" s="811"/>
      <c r="E396" s="811"/>
      <c r="F396" s="811"/>
      <c r="G396" s="811"/>
      <c r="H396" s="811"/>
      <c r="I396" s="811"/>
      <c r="J396" s="811"/>
      <c r="K396" s="811"/>
      <c r="L396" s="811"/>
      <c r="M396" s="811"/>
      <c r="N396" s="811"/>
      <c r="O396" s="811"/>
      <c r="P396" s="811"/>
      <c r="Q396" s="811"/>
      <c r="R396" s="811"/>
      <c r="S396" s="811"/>
      <c r="T396" s="811"/>
      <c r="U396" s="811"/>
      <c r="V396" s="811"/>
      <c r="W396" s="811"/>
      <c r="X396" s="811"/>
      <c r="Y396" s="811"/>
      <c r="Z396" s="811"/>
    </row>
    <row r="397" spans="1:26" ht="15" thickBot="1">
      <c r="A397" s="811"/>
      <c r="B397" s="811"/>
      <c r="C397" s="811"/>
      <c r="D397" s="811"/>
      <c r="E397" s="811"/>
      <c r="F397" s="811"/>
      <c r="G397" s="811"/>
      <c r="H397" s="811"/>
      <c r="I397" s="811"/>
      <c r="J397" s="811"/>
      <c r="K397" s="811"/>
      <c r="L397" s="811"/>
      <c r="M397" s="811"/>
      <c r="N397" s="811"/>
      <c r="O397" s="811"/>
      <c r="P397" s="811"/>
      <c r="Q397" s="811"/>
      <c r="R397" s="811"/>
      <c r="S397" s="811"/>
      <c r="T397" s="811"/>
      <c r="U397" s="811"/>
      <c r="V397" s="811"/>
      <c r="W397" s="811"/>
      <c r="X397" s="811"/>
      <c r="Y397" s="811"/>
      <c r="Z397" s="811"/>
    </row>
    <row r="398" spans="1:26" ht="15" thickBot="1">
      <c r="A398" s="811"/>
      <c r="B398" s="811"/>
      <c r="C398" s="811"/>
      <c r="D398" s="811"/>
      <c r="E398" s="811"/>
      <c r="F398" s="811"/>
      <c r="G398" s="811"/>
      <c r="H398" s="811"/>
      <c r="I398" s="811"/>
      <c r="J398" s="811"/>
      <c r="K398" s="811"/>
      <c r="L398" s="811"/>
      <c r="M398" s="811"/>
      <c r="N398" s="811"/>
      <c r="O398" s="811"/>
      <c r="P398" s="811"/>
      <c r="Q398" s="811"/>
      <c r="R398" s="811"/>
      <c r="S398" s="811"/>
      <c r="T398" s="811"/>
      <c r="U398" s="811"/>
      <c r="V398" s="811"/>
      <c r="W398" s="811"/>
      <c r="X398" s="811"/>
      <c r="Y398" s="811"/>
      <c r="Z398" s="811"/>
    </row>
    <row r="399" spans="1:26" ht="15" thickBot="1">
      <c r="A399" s="811"/>
      <c r="B399" s="811"/>
      <c r="C399" s="811"/>
      <c r="D399" s="811"/>
      <c r="E399" s="811"/>
      <c r="F399" s="811"/>
      <c r="G399" s="811"/>
      <c r="H399" s="811"/>
      <c r="I399" s="811"/>
      <c r="J399" s="811"/>
      <c r="K399" s="811"/>
      <c r="L399" s="811"/>
      <c r="M399" s="811"/>
      <c r="N399" s="811"/>
      <c r="O399" s="811"/>
      <c r="P399" s="811"/>
      <c r="Q399" s="811"/>
      <c r="R399" s="811"/>
      <c r="S399" s="811"/>
      <c r="T399" s="811"/>
      <c r="U399" s="811"/>
      <c r="V399" s="811"/>
      <c r="W399" s="811"/>
      <c r="X399" s="811"/>
      <c r="Y399" s="811"/>
      <c r="Z399" s="811"/>
    </row>
    <row r="400" spans="1:26" ht="15" thickBot="1">
      <c r="A400" s="811"/>
      <c r="B400" s="811"/>
      <c r="C400" s="811"/>
      <c r="D400" s="811"/>
      <c r="E400" s="811"/>
      <c r="F400" s="811"/>
      <c r="G400" s="811"/>
      <c r="H400" s="811"/>
      <c r="I400" s="811"/>
      <c r="J400" s="811"/>
      <c r="K400" s="811"/>
      <c r="L400" s="811"/>
      <c r="M400" s="811"/>
      <c r="N400" s="811"/>
      <c r="O400" s="811"/>
      <c r="P400" s="811"/>
      <c r="Q400" s="811"/>
      <c r="R400" s="811"/>
      <c r="S400" s="811"/>
      <c r="T400" s="811"/>
      <c r="U400" s="811"/>
      <c r="V400" s="811"/>
      <c r="W400" s="811"/>
      <c r="X400" s="811"/>
      <c r="Y400" s="811"/>
      <c r="Z400" s="811"/>
    </row>
    <row r="401" spans="1:26" ht="15" thickBot="1">
      <c r="A401" s="811"/>
      <c r="B401" s="811"/>
      <c r="C401" s="811"/>
      <c r="D401" s="811"/>
      <c r="E401" s="811"/>
      <c r="F401" s="811"/>
      <c r="G401" s="811"/>
      <c r="H401" s="811"/>
      <c r="I401" s="811"/>
      <c r="J401" s="811"/>
      <c r="K401" s="811"/>
      <c r="L401" s="811"/>
      <c r="M401" s="811"/>
      <c r="N401" s="811"/>
      <c r="O401" s="811"/>
      <c r="P401" s="811"/>
      <c r="Q401" s="811"/>
      <c r="R401" s="811"/>
      <c r="S401" s="811"/>
      <c r="T401" s="811"/>
      <c r="U401" s="811"/>
      <c r="V401" s="811"/>
      <c r="W401" s="811"/>
      <c r="X401" s="811"/>
      <c r="Y401" s="811"/>
      <c r="Z401" s="811"/>
    </row>
    <row r="402" spans="1:26" ht="15" thickBot="1">
      <c r="A402" s="811"/>
      <c r="B402" s="811"/>
      <c r="C402" s="811"/>
      <c r="D402" s="811"/>
      <c r="E402" s="811"/>
      <c r="F402" s="811"/>
      <c r="G402" s="811"/>
      <c r="H402" s="811"/>
      <c r="I402" s="811"/>
      <c r="J402" s="811"/>
      <c r="K402" s="811"/>
      <c r="L402" s="811"/>
      <c r="M402" s="811"/>
      <c r="N402" s="811"/>
      <c r="O402" s="811"/>
      <c r="P402" s="811"/>
      <c r="Q402" s="811"/>
      <c r="R402" s="811"/>
      <c r="S402" s="811"/>
      <c r="T402" s="811"/>
      <c r="U402" s="811"/>
      <c r="V402" s="811"/>
      <c r="W402" s="811"/>
      <c r="X402" s="811"/>
      <c r="Y402" s="811"/>
      <c r="Z402" s="811"/>
    </row>
    <row r="403" spans="1:26" ht="15" thickBot="1">
      <c r="A403" s="811"/>
      <c r="B403" s="811"/>
      <c r="C403" s="811"/>
      <c r="D403" s="811"/>
      <c r="E403" s="811"/>
      <c r="F403" s="811"/>
      <c r="G403" s="811"/>
      <c r="H403" s="811"/>
      <c r="I403" s="811"/>
      <c r="J403" s="811"/>
      <c r="K403" s="811"/>
      <c r="L403" s="811"/>
      <c r="M403" s="811"/>
      <c r="N403" s="811"/>
      <c r="O403" s="811"/>
      <c r="P403" s="811"/>
      <c r="Q403" s="811"/>
      <c r="R403" s="811"/>
      <c r="S403" s="811"/>
      <c r="T403" s="811"/>
      <c r="U403" s="811"/>
      <c r="V403" s="811"/>
      <c r="W403" s="811"/>
      <c r="X403" s="811"/>
      <c r="Y403" s="811"/>
      <c r="Z403" s="811"/>
    </row>
    <row r="404" spans="1:26" ht="15" thickBot="1">
      <c r="A404" s="811"/>
      <c r="B404" s="811"/>
      <c r="C404" s="811"/>
      <c r="D404" s="811"/>
      <c r="E404" s="811"/>
      <c r="F404" s="811"/>
      <c r="G404" s="811"/>
      <c r="H404" s="811"/>
      <c r="I404" s="811"/>
      <c r="J404" s="811"/>
      <c r="K404" s="811"/>
      <c r="L404" s="811"/>
      <c r="M404" s="811"/>
      <c r="N404" s="811"/>
      <c r="O404" s="811"/>
      <c r="P404" s="811"/>
      <c r="Q404" s="811"/>
      <c r="R404" s="811"/>
      <c r="S404" s="811"/>
      <c r="T404" s="811"/>
      <c r="U404" s="811"/>
      <c r="V404" s="811"/>
      <c r="W404" s="811"/>
      <c r="X404" s="811"/>
      <c r="Y404" s="811"/>
      <c r="Z404" s="811"/>
    </row>
    <row r="405" spans="1:26" ht="15" thickBot="1">
      <c r="A405" s="811"/>
      <c r="B405" s="811"/>
      <c r="C405" s="811"/>
      <c r="D405" s="811"/>
      <c r="E405" s="811"/>
      <c r="F405" s="811"/>
      <c r="G405" s="811"/>
      <c r="H405" s="811"/>
      <c r="I405" s="811"/>
      <c r="J405" s="811"/>
      <c r="K405" s="811"/>
      <c r="L405" s="811"/>
      <c r="M405" s="811"/>
      <c r="N405" s="811"/>
      <c r="O405" s="811"/>
      <c r="P405" s="811"/>
      <c r="Q405" s="811"/>
      <c r="R405" s="811"/>
      <c r="S405" s="811"/>
      <c r="T405" s="811"/>
      <c r="U405" s="811"/>
      <c r="V405" s="811"/>
      <c r="W405" s="811"/>
      <c r="X405" s="811"/>
      <c r="Y405" s="811"/>
      <c r="Z405" s="811"/>
    </row>
    <row r="406" spans="1:26" ht="15" thickBot="1">
      <c r="A406" s="811"/>
      <c r="B406" s="811"/>
      <c r="C406" s="811"/>
      <c r="D406" s="811"/>
      <c r="E406" s="811"/>
      <c r="F406" s="811"/>
      <c r="G406" s="811"/>
      <c r="H406" s="811"/>
      <c r="I406" s="811"/>
      <c r="J406" s="811"/>
      <c r="K406" s="811"/>
      <c r="L406" s="811"/>
      <c r="M406" s="811"/>
      <c r="N406" s="811"/>
      <c r="O406" s="811"/>
      <c r="P406" s="811"/>
      <c r="Q406" s="811"/>
      <c r="R406" s="811"/>
      <c r="S406" s="811"/>
      <c r="T406" s="811"/>
      <c r="U406" s="811"/>
      <c r="V406" s="811"/>
      <c r="W406" s="811"/>
      <c r="X406" s="811"/>
      <c r="Y406" s="811"/>
      <c r="Z406" s="811"/>
    </row>
    <row r="407" spans="1:26" ht="15" thickBot="1">
      <c r="A407" s="811"/>
      <c r="B407" s="811"/>
      <c r="C407" s="811"/>
      <c r="D407" s="811"/>
      <c r="E407" s="811"/>
      <c r="F407" s="811"/>
      <c r="G407" s="811"/>
      <c r="H407" s="811"/>
      <c r="I407" s="811"/>
      <c r="J407" s="811"/>
      <c r="K407" s="811"/>
      <c r="L407" s="811"/>
      <c r="M407" s="811"/>
      <c r="N407" s="811"/>
      <c r="O407" s="811"/>
      <c r="P407" s="811"/>
      <c r="Q407" s="811"/>
      <c r="R407" s="811"/>
      <c r="S407" s="811"/>
      <c r="T407" s="811"/>
      <c r="U407" s="811"/>
      <c r="V407" s="811"/>
      <c r="W407" s="811"/>
      <c r="X407" s="811"/>
      <c r="Y407" s="811"/>
      <c r="Z407" s="811"/>
    </row>
    <row r="408" spans="1:26" ht="15" thickBot="1">
      <c r="A408" s="811"/>
      <c r="B408" s="811"/>
      <c r="C408" s="811"/>
      <c r="D408" s="811"/>
      <c r="E408" s="811"/>
      <c r="F408" s="811"/>
      <c r="G408" s="811"/>
      <c r="H408" s="811"/>
      <c r="I408" s="811"/>
      <c r="J408" s="811"/>
      <c r="K408" s="811"/>
      <c r="L408" s="811"/>
      <c r="M408" s="811"/>
      <c r="N408" s="811"/>
      <c r="O408" s="811"/>
      <c r="P408" s="811"/>
      <c r="Q408" s="811"/>
      <c r="R408" s="811"/>
      <c r="S408" s="811"/>
      <c r="T408" s="811"/>
      <c r="U408" s="811"/>
      <c r="V408" s="811"/>
      <c r="W408" s="811"/>
      <c r="X408" s="811"/>
      <c r="Y408" s="811"/>
      <c r="Z408" s="811"/>
    </row>
    <row r="409" spans="1:26" ht="15" thickBot="1">
      <c r="A409" s="811"/>
      <c r="B409" s="811"/>
      <c r="C409" s="811"/>
      <c r="D409" s="811"/>
      <c r="E409" s="811"/>
      <c r="F409" s="811"/>
      <c r="G409" s="811"/>
      <c r="H409" s="811"/>
      <c r="I409" s="811"/>
      <c r="J409" s="811"/>
      <c r="K409" s="811"/>
      <c r="L409" s="811"/>
      <c r="M409" s="811"/>
      <c r="N409" s="811"/>
      <c r="O409" s="811"/>
      <c r="P409" s="811"/>
      <c r="Q409" s="811"/>
      <c r="R409" s="811"/>
      <c r="S409" s="811"/>
      <c r="T409" s="811"/>
      <c r="U409" s="811"/>
      <c r="V409" s="811"/>
      <c r="W409" s="811"/>
      <c r="X409" s="811"/>
      <c r="Y409" s="811"/>
      <c r="Z409" s="811"/>
    </row>
    <row r="410" spans="1:26" ht="15" thickBot="1">
      <c r="A410" s="811"/>
      <c r="B410" s="811"/>
      <c r="C410" s="811"/>
      <c r="D410" s="811"/>
      <c r="E410" s="811"/>
      <c r="F410" s="811"/>
      <c r="G410" s="811"/>
      <c r="H410" s="811"/>
      <c r="I410" s="811"/>
      <c r="J410" s="811"/>
      <c r="K410" s="811"/>
      <c r="L410" s="811"/>
      <c r="M410" s="811"/>
      <c r="N410" s="811"/>
      <c r="O410" s="811"/>
      <c r="P410" s="811"/>
      <c r="Q410" s="811"/>
      <c r="R410" s="811"/>
      <c r="S410" s="811"/>
      <c r="T410" s="811"/>
      <c r="U410" s="811"/>
      <c r="V410" s="811"/>
      <c r="W410" s="811"/>
      <c r="X410" s="811"/>
      <c r="Y410" s="811"/>
      <c r="Z410" s="811"/>
    </row>
    <row r="411" spans="1:26" ht="15" thickBot="1">
      <c r="A411" s="811"/>
      <c r="B411" s="811"/>
      <c r="C411" s="811"/>
      <c r="D411" s="811"/>
      <c r="E411" s="811"/>
      <c r="F411" s="811"/>
      <c r="G411" s="811"/>
      <c r="H411" s="811"/>
      <c r="I411" s="811"/>
      <c r="J411" s="811"/>
      <c r="K411" s="811"/>
      <c r="L411" s="811"/>
      <c r="M411" s="811"/>
      <c r="N411" s="811"/>
      <c r="O411" s="811"/>
      <c r="P411" s="811"/>
      <c r="Q411" s="811"/>
      <c r="R411" s="811"/>
      <c r="S411" s="811"/>
      <c r="T411" s="811"/>
      <c r="U411" s="811"/>
      <c r="V411" s="811"/>
      <c r="W411" s="811"/>
      <c r="X411" s="811"/>
      <c r="Y411" s="811"/>
      <c r="Z411" s="811"/>
    </row>
    <row r="412" spans="1:26" ht="15" thickBot="1">
      <c r="A412" s="811"/>
      <c r="B412" s="811"/>
      <c r="C412" s="811"/>
      <c r="D412" s="811"/>
      <c r="E412" s="811"/>
      <c r="F412" s="811"/>
      <c r="G412" s="811"/>
      <c r="H412" s="811"/>
      <c r="I412" s="811"/>
      <c r="J412" s="811"/>
      <c r="K412" s="811"/>
      <c r="L412" s="811"/>
      <c r="M412" s="811"/>
      <c r="N412" s="811"/>
      <c r="O412" s="811"/>
      <c r="P412" s="811"/>
      <c r="Q412" s="811"/>
      <c r="R412" s="811"/>
      <c r="S412" s="811"/>
      <c r="T412" s="811"/>
      <c r="U412" s="811"/>
      <c r="V412" s="811"/>
      <c r="W412" s="811"/>
      <c r="X412" s="811"/>
      <c r="Y412" s="811"/>
      <c r="Z412" s="811"/>
    </row>
    <row r="413" spans="1:26" ht="15" thickBot="1">
      <c r="A413" s="811"/>
      <c r="B413" s="811"/>
      <c r="C413" s="811"/>
      <c r="D413" s="811"/>
      <c r="E413" s="811"/>
      <c r="F413" s="811"/>
      <c r="G413" s="811"/>
      <c r="H413" s="811"/>
      <c r="I413" s="811"/>
      <c r="J413" s="811"/>
      <c r="K413" s="811"/>
      <c r="L413" s="811"/>
      <c r="M413" s="811"/>
      <c r="N413" s="811"/>
      <c r="O413" s="811"/>
      <c r="P413" s="811"/>
      <c r="Q413" s="811"/>
      <c r="R413" s="811"/>
      <c r="S413" s="811"/>
      <c r="T413" s="811"/>
      <c r="U413" s="811"/>
      <c r="V413" s="811"/>
      <c r="W413" s="811"/>
      <c r="X413" s="811"/>
      <c r="Y413" s="811"/>
      <c r="Z413" s="811"/>
    </row>
    <row r="414" spans="1:26" ht="15" thickBot="1">
      <c r="A414" s="811"/>
      <c r="B414" s="811"/>
      <c r="C414" s="811"/>
      <c r="D414" s="811"/>
      <c r="E414" s="811"/>
      <c r="F414" s="811"/>
      <c r="G414" s="811"/>
      <c r="H414" s="811"/>
      <c r="I414" s="811"/>
      <c r="J414" s="811"/>
      <c r="K414" s="811"/>
      <c r="L414" s="811"/>
      <c r="M414" s="811"/>
      <c r="N414" s="811"/>
      <c r="O414" s="811"/>
      <c r="P414" s="811"/>
      <c r="Q414" s="811"/>
      <c r="R414" s="811"/>
      <c r="S414" s="811"/>
      <c r="T414" s="811"/>
      <c r="U414" s="811"/>
      <c r="V414" s="811"/>
      <c r="W414" s="811"/>
      <c r="X414" s="811"/>
      <c r="Y414" s="811"/>
      <c r="Z414" s="811"/>
    </row>
    <row r="415" spans="1:26" ht="15" thickBot="1">
      <c r="A415" s="811"/>
      <c r="B415" s="811"/>
      <c r="C415" s="811"/>
      <c r="D415" s="811"/>
      <c r="E415" s="811"/>
      <c r="F415" s="811"/>
      <c r="G415" s="811"/>
      <c r="H415" s="811"/>
      <c r="I415" s="811"/>
      <c r="J415" s="811"/>
      <c r="K415" s="811"/>
      <c r="L415" s="811"/>
      <c r="M415" s="811"/>
      <c r="N415" s="811"/>
      <c r="O415" s="811"/>
      <c r="P415" s="811"/>
      <c r="Q415" s="811"/>
      <c r="R415" s="811"/>
      <c r="S415" s="811"/>
      <c r="T415" s="811"/>
      <c r="U415" s="811"/>
      <c r="V415" s="811"/>
      <c r="W415" s="811"/>
      <c r="X415" s="811"/>
      <c r="Y415" s="811"/>
      <c r="Z415" s="811"/>
    </row>
    <row r="416" spans="1:26" ht="15" thickBot="1">
      <c r="A416" s="811"/>
      <c r="B416" s="811"/>
      <c r="C416" s="811"/>
      <c r="D416" s="811"/>
      <c r="E416" s="811"/>
      <c r="F416" s="811"/>
      <c r="G416" s="811"/>
      <c r="H416" s="811"/>
      <c r="I416" s="811"/>
      <c r="J416" s="811"/>
      <c r="K416" s="811"/>
      <c r="L416" s="811"/>
      <c r="M416" s="811"/>
      <c r="N416" s="811"/>
      <c r="O416" s="811"/>
      <c r="P416" s="811"/>
      <c r="Q416" s="811"/>
      <c r="R416" s="811"/>
      <c r="S416" s="811"/>
      <c r="T416" s="811"/>
      <c r="U416" s="811"/>
      <c r="V416" s="811"/>
      <c r="W416" s="811"/>
      <c r="X416" s="811"/>
      <c r="Y416" s="811"/>
      <c r="Z416" s="811"/>
    </row>
    <row r="417" spans="1:26" ht="15" thickBot="1">
      <c r="A417" s="811"/>
      <c r="B417" s="811"/>
      <c r="C417" s="811"/>
      <c r="D417" s="811"/>
      <c r="E417" s="811"/>
      <c r="F417" s="811"/>
      <c r="G417" s="811"/>
      <c r="H417" s="811"/>
      <c r="I417" s="811"/>
      <c r="J417" s="811"/>
      <c r="K417" s="811"/>
      <c r="L417" s="811"/>
      <c r="M417" s="811"/>
      <c r="N417" s="811"/>
      <c r="O417" s="811"/>
      <c r="P417" s="811"/>
      <c r="Q417" s="811"/>
      <c r="R417" s="811"/>
      <c r="S417" s="811"/>
      <c r="T417" s="811"/>
      <c r="U417" s="811"/>
      <c r="V417" s="811"/>
      <c r="W417" s="811"/>
      <c r="X417" s="811"/>
      <c r="Y417" s="811"/>
      <c r="Z417" s="811"/>
    </row>
    <row r="418" spans="1:26" ht="15" thickBot="1">
      <c r="A418" s="811"/>
      <c r="B418" s="811"/>
      <c r="C418" s="811"/>
      <c r="D418" s="811"/>
      <c r="E418" s="811"/>
      <c r="F418" s="811"/>
      <c r="G418" s="811"/>
      <c r="H418" s="811"/>
      <c r="I418" s="811"/>
      <c r="J418" s="811"/>
      <c r="K418" s="811"/>
      <c r="L418" s="811"/>
      <c r="M418" s="811"/>
      <c r="N418" s="811"/>
      <c r="O418" s="811"/>
      <c r="P418" s="811"/>
      <c r="Q418" s="811"/>
      <c r="R418" s="811"/>
      <c r="S418" s="811"/>
      <c r="T418" s="811"/>
      <c r="U418" s="811"/>
      <c r="V418" s="811"/>
      <c r="W418" s="811"/>
      <c r="X418" s="811"/>
      <c r="Y418" s="811"/>
      <c r="Z418" s="811"/>
    </row>
    <row r="419" spans="1:26" ht="15" thickBot="1">
      <c r="A419" s="811"/>
      <c r="B419" s="811"/>
      <c r="C419" s="811"/>
      <c r="D419" s="811"/>
      <c r="E419" s="811"/>
      <c r="F419" s="811"/>
      <c r="G419" s="811"/>
      <c r="H419" s="811"/>
      <c r="I419" s="811"/>
      <c r="J419" s="811"/>
      <c r="K419" s="811"/>
      <c r="L419" s="811"/>
      <c r="M419" s="811"/>
      <c r="N419" s="811"/>
      <c r="O419" s="811"/>
      <c r="P419" s="811"/>
      <c r="Q419" s="811"/>
      <c r="R419" s="811"/>
      <c r="S419" s="811"/>
      <c r="T419" s="811"/>
      <c r="U419" s="811"/>
      <c r="V419" s="811"/>
      <c r="W419" s="811"/>
      <c r="X419" s="811"/>
      <c r="Y419" s="811"/>
      <c r="Z419" s="811"/>
    </row>
    <row r="420" spans="1:26" ht="15" thickBot="1">
      <c r="A420" s="811"/>
      <c r="B420" s="811"/>
      <c r="C420" s="811"/>
      <c r="D420" s="811"/>
      <c r="E420" s="811"/>
      <c r="F420" s="811"/>
      <c r="G420" s="811"/>
      <c r="H420" s="811"/>
      <c r="I420" s="811"/>
      <c r="J420" s="811"/>
      <c r="K420" s="811"/>
      <c r="L420" s="811"/>
      <c r="M420" s="811"/>
      <c r="N420" s="811"/>
      <c r="O420" s="811"/>
      <c r="P420" s="811"/>
      <c r="Q420" s="811"/>
      <c r="R420" s="811"/>
      <c r="S420" s="811"/>
      <c r="T420" s="811"/>
      <c r="U420" s="811"/>
      <c r="V420" s="811"/>
      <c r="W420" s="811"/>
      <c r="X420" s="811"/>
      <c r="Y420" s="811"/>
      <c r="Z420" s="811"/>
    </row>
    <row r="421" spans="1:26" ht="15" thickBot="1">
      <c r="A421" s="811"/>
      <c r="B421" s="811"/>
      <c r="C421" s="811"/>
      <c r="D421" s="811"/>
      <c r="E421" s="811"/>
      <c r="F421" s="811"/>
      <c r="G421" s="811"/>
      <c r="H421" s="811"/>
      <c r="I421" s="811"/>
      <c r="J421" s="811"/>
      <c r="K421" s="811"/>
      <c r="L421" s="811"/>
      <c r="M421" s="811"/>
      <c r="N421" s="811"/>
      <c r="O421" s="811"/>
      <c r="P421" s="811"/>
      <c r="Q421" s="811"/>
      <c r="R421" s="811"/>
      <c r="S421" s="811"/>
      <c r="T421" s="811"/>
      <c r="U421" s="811"/>
      <c r="V421" s="811"/>
      <c r="W421" s="811"/>
      <c r="X421" s="811"/>
      <c r="Y421" s="811"/>
      <c r="Z421" s="811"/>
    </row>
    <row r="422" spans="1:26" ht="15" thickBot="1">
      <c r="A422" s="811"/>
      <c r="B422" s="811"/>
      <c r="C422" s="811"/>
      <c r="D422" s="811"/>
      <c r="E422" s="811"/>
      <c r="F422" s="811"/>
      <c r="G422" s="811"/>
      <c r="H422" s="811"/>
      <c r="I422" s="811"/>
      <c r="J422" s="811"/>
      <c r="K422" s="811"/>
      <c r="L422" s="811"/>
      <c r="M422" s="811"/>
      <c r="N422" s="811"/>
      <c r="O422" s="811"/>
      <c r="P422" s="811"/>
      <c r="Q422" s="811"/>
      <c r="R422" s="811"/>
      <c r="S422" s="811"/>
      <c r="T422" s="811"/>
      <c r="U422" s="811"/>
      <c r="V422" s="811"/>
      <c r="W422" s="811"/>
      <c r="X422" s="811"/>
      <c r="Y422" s="811"/>
      <c r="Z422" s="811"/>
    </row>
    <row r="423" spans="1:26" ht="15" thickBot="1">
      <c r="A423" s="811"/>
      <c r="B423" s="811"/>
      <c r="C423" s="811"/>
      <c r="D423" s="811"/>
      <c r="E423" s="811"/>
      <c r="F423" s="811"/>
      <c r="G423" s="811"/>
      <c r="H423" s="811"/>
      <c r="I423" s="811"/>
      <c r="J423" s="811"/>
      <c r="K423" s="811"/>
      <c r="L423" s="811"/>
      <c r="M423" s="811"/>
      <c r="N423" s="811"/>
      <c r="O423" s="811"/>
      <c r="P423" s="811"/>
      <c r="Q423" s="811"/>
      <c r="R423" s="811"/>
      <c r="S423" s="811"/>
      <c r="T423" s="811"/>
      <c r="U423" s="811"/>
      <c r="V423" s="811"/>
      <c r="W423" s="811"/>
      <c r="X423" s="811"/>
      <c r="Y423" s="811"/>
      <c r="Z423" s="811"/>
    </row>
    <row r="424" spans="1:26" ht="15" thickBot="1">
      <c r="A424" s="811"/>
      <c r="B424" s="811"/>
      <c r="C424" s="811"/>
      <c r="D424" s="811"/>
      <c r="E424" s="811"/>
      <c r="F424" s="811"/>
      <c r="G424" s="811"/>
      <c r="H424" s="811"/>
      <c r="I424" s="811"/>
      <c r="J424" s="811"/>
      <c r="K424" s="811"/>
      <c r="L424" s="811"/>
      <c r="M424" s="811"/>
      <c r="N424" s="811"/>
      <c r="O424" s="811"/>
      <c r="P424" s="811"/>
      <c r="Q424" s="811"/>
      <c r="R424" s="811"/>
      <c r="S424" s="811"/>
      <c r="T424" s="811"/>
      <c r="U424" s="811"/>
      <c r="V424" s="811"/>
      <c r="W424" s="811"/>
      <c r="X424" s="811"/>
      <c r="Y424" s="811"/>
      <c r="Z424" s="811"/>
    </row>
    <row r="425" spans="1:26" ht="15" thickBot="1">
      <c r="A425" s="811"/>
      <c r="B425" s="811"/>
      <c r="C425" s="811"/>
      <c r="D425" s="811"/>
      <c r="E425" s="811"/>
      <c r="F425" s="811"/>
      <c r="G425" s="811"/>
      <c r="H425" s="811"/>
      <c r="I425" s="811"/>
      <c r="J425" s="811"/>
      <c r="K425" s="811"/>
      <c r="L425" s="811"/>
      <c r="M425" s="811"/>
      <c r="N425" s="811"/>
      <c r="O425" s="811"/>
      <c r="P425" s="811"/>
      <c r="Q425" s="811"/>
      <c r="R425" s="811"/>
      <c r="S425" s="811"/>
      <c r="T425" s="811"/>
      <c r="U425" s="811"/>
      <c r="V425" s="811"/>
      <c r="W425" s="811"/>
      <c r="X425" s="811"/>
      <c r="Y425" s="811"/>
      <c r="Z425" s="811"/>
    </row>
    <row r="426" spans="1:26" ht="15" thickBot="1">
      <c r="A426" s="811"/>
      <c r="B426" s="811"/>
      <c r="C426" s="811"/>
      <c r="D426" s="811"/>
      <c r="E426" s="811"/>
      <c r="F426" s="811"/>
      <c r="G426" s="811"/>
      <c r="H426" s="811"/>
      <c r="I426" s="811"/>
      <c r="J426" s="811"/>
      <c r="K426" s="811"/>
      <c r="L426" s="811"/>
      <c r="M426" s="811"/>
      <c r="N426" s="811"/>
      <c r="O426" s="811"/>
      <c r="P426" s="811"/>
      <c r="Q426" s="811"/>
      <c r="R426" s="811"/>
      <c r="S426" s="811"/>
      <c r="T426" s="811"/>
      <c r="U426" s="811"/>
      <c r="V426" s="811"/>
      <c r="W426" s="811"/>
      <c r="X426" s="811"/>
      <c r="Y426" s="811"/>
      <c r="Z426" s="811"/>
    </row>
    <row r="427" spans="1:26" ht="15" thickBot="1">
      <c r="A427" s="811"/>
      <c r="B427" s="811"/>
      <c r="C427" s="811"/>
      <c r="D427" s="811"/>
      <c r="E427" s="811"/>
      <c r="F427" s="811"/>
      <c r="G427" s="811"/>
      <c r="H427" s="811"/>
      <c r="I427" s="811"/>
      <c r="J427" s="811"/>
      <c r="K427" s="811"/>
      <c r="L427" s="811"/>
      <c r="M427" s="811"/>
      <c r="N427" s="811"/>
      <c r="O427" s="811"/>
      <c r="P427" s="811"/>
      <c r="Q427" s="811"/>
      <c r="R427" s="811"/>
      <c r="S427" s="811"/>
      <c r="T427" s="811"/>
      <c r="U427" s="811"/>
      <c r="V427" s="811"/>
      <c r="W427" s="811"/>
      <c r="X427" s="811"/>
      <c r="Y427" s="811"/>
      <c r="Z427" s="811"/>
    </row>
    <row r="428" spans="1:26" ht="15" thickBot="1">
      <c r="A428" s="811"/>
      <c r="B428" s="811"/>
      <c r="C428" s="811"/>
      <c r="D428" s="811"/>
      <c r="E428" s="811"/>
      <c r="F428" s="811"/>
      <c r="G428" s="811"/>
      <c r="H428" s="811"/>
      <c r="I428" s="811"/>
      <c r="J428" s="811"/>
      <c r="K428" s="811"/>
      <c r="L428" s="811"/>
      <c r="M428" s="811"/>
      <c r="N428" s="811"/>
      <c r="O428" s="811"/>
      <c r="P428" s="811"/>
      <c r="Q428" s="811"/>
      <c r="R428" s="811"/>
      <c r="S428" s="811"/>
      <c r="T428" s="811"/>
      <c r="U428" s="811"/>
      <c r="V428" s="811"/>
      <c r="W428" s="811"/>
      <c r="X428" s="811"/>
      <c r="Y428" s="811"/>
      <c r="Z428" s="811"/>
    </row>
    <row r="429" spans="1:26" ht="15" thickBot="1">
      <c r="A429" s="811"/>
      <c r="B429" s="811"/>
      <c r="C429" s="811"/>
      <c r="D429" s="811"/>
      <c r="E429" s="811"/>
      <c r="F429" s="811"/>
      <c r="G429" s="811"/>
      <c r="H429" s="811"/>
      <c r="I429" s="811"/>
      <c r="J429" s="811"/>
      <c r="K429" s="811"/>
      <c r="L429" s="811"/>
      <c r="M429" s="811"/>
      <c r="N429" s="811"/>
      <c r="O429" s="811"/>
      <c r="P429" s="811"/>
      <c r="Q429" s="811"/>
      <c r="R429" s="811"/>
      <c r="S429" s="811"/>
      <c r="T429" s="811"/>
      <c r="U429" s="811"/>
      <c r="V429" s="811"/>
      <c r="W429" s="811"/>
      <c r="X429" s="811"/>
      <c r="Y429" s="811"/>
      <c r="Z429" s="811"/>
    </row>
    <row r="430" spans="1:26" ht="15" thickBot="1">
      <c r="A430" s="811"/>
      <c r="B430" s="811"/>
      <c r="C430" s="811"/>
      <c r="D430" s="811"/>
      <c r="E430" s="811"/>
      <c r="F430" s="811"/>
      <c r="G430" s="811"/>
      <c r="H430" s="811"/>
      <c r="I430" s="811"/>
      <c r="J430" s="811"/>
      <c r="K430" s="811"/>
      <c r="L430" s="811"/>
      <c r="M430" s="811"/>
      <c r="N430" s="811"/>
      <c r="O430" s="811"/>
      <c r="P430" s="811"/>
      <c r="Q430" s="811"/>
      <c r="R430" s="811"/>
      <c r="S430" s="811"/>
      <c r="T430" s="811"/>
      <c r="U430" s="811"/>
      <c r="V430" s="811"/>
      <c r="W430" s="811"/>
      <c r="X430" s="811"/>
      <c r="Y430" s="811"/>
      <c r="Z430" s="811"/>
    </row>
    <row r="431" spans="1:26" ht="15" thickBot="1">
      <c r="A431" s="811"/>
      <c r="B431" s="811"/>
      <c r="C431" s="811"/>
      <c r="D431" s="811"/>
      <c r="E431" s="811"/>
      <c r="F431" s="811"/>
      <c r="G431" s="811"/>
      <c r="H431" s="811"/>
      <c r="I431" s="811"/>
      <c r="J431" s="811"/>
      <c r="K431" s="811"/>
      <c r="L431" s="811"/>
      <c r="M431" s="811"/>
      <c r="N431" s="811"/>
      <c r="O431" s="811"/>
      <c r="P431" s="811"/>
      <c r="Q431" s="811"/>
      <c r="R431" s="811"/>
      <c r="S431" s="811"/>
      <c r="T431" s="811"/>
      <c r="U431" s="811"/>
      <c r="V431" s="811"/>
      <c r="W431" s="811"/>
      <c r="X431" s="811"/>
      <c r="Y431" s="811"/>
      <c r="Z431" s="811"/>
    </row>
    <row r="432" spans="1:26" ht="15" thickBot="1">
      <c r="A432" s="811"/>
      <c r="B432" s="811"/>
      <c r="C432" s="811"/>
      <c r="D432" s="811"/>
      <c r="E432" s="811"/>
      <c r="F432" s="811"/>
      <c r="G432" s="811"/>
      <c r="H432" s="811"/>
      <c r="I432" s="811"/>
      <c r="J432" s="811"/>
      <c r="K432" s="811"/>
      <c r="L432" s="811"/>
      <c r="M432" s="811"/>
      <c r="N432" s="811"/>
      <c r="O432" s="811"/>
      <c r="P432" s="811"/>
      <c r="Q432" s="811"/>
      <c r="R432" s="811"/>
      <c r="S432" s="811"/>
      <c r="T432" s="811"/>
      <c r="U432" s="811"/>
      <c r="V432" s="811"/>
      <c r="W432" s="811"/>
      <c r="X432" s="811"/>
      <c r="Y432" s="811"/>
      <c r="Z432" s="811"/>
    </row>
    <row r="433" spans="1:26" ht="15" thickBot="1">
      <c r="A433" s="811"/>
      <c r="B433" s="811"/>
      <c r="C433" s="811"/>
      <c r="D433" s="811"/>
      <c r="E433" s="811"/>
      <c r="F433" s="811"/>
      <c r="G433" s="811"/>
      <c r="H433" s="811"/>
      <c r="I433" s="811"/>
      <c r="J433" s="811"/>
      <c r="K433" s="811"/>
      <c r="L433" s="811"/>
      <c r="M433" s="811"/>
      <c r="N433" s="811"/>
      <c r="O433" s="811"/>
      <c r="P433" s="811"/>
      <c r="Q433" s="811"/>
      <c r="R433" s="811"/>
      <c r="S433" s="811"/>
      <c r="T433" s="811"/>
      <c r="U433" s="811"/>
      <c r="V433" s="811"/>
      <c r="W433" s="811"/>
      <c r="X433" s="811"/>
      <c r="Y433" s="811"/>
      <c r="Z433" s="811"/>
    </row>
    <row r="434" spans="1:26" ht="15" thickBot="1">
      <c r="A434" s="811"/>
      <c r="B434" s="811"/>
      <c r="C434" s="811"/>
      <c r="D434" s="811"/>
      <c r="E434" s="811"/>
      <c r="F434" s="811"/>
      <c r="G434" s="811"/>
      <c r="H434" s="811"/>
      <c r="I434" s="811"/>
      <c r="J434" s="811"/>
      <c r="K434" s="811"/>
      <c r="L434" s="811"/>
      <c r="M434" s="811"/>
      <c r="N434" s="811"/>
      <c r="O434" s="811"/>
      <c r="P434" s="811"/>
      <c r="Q434" s="811"/>
      <c r="R434" s="811"/>
      <c r="S434" s="811"/>
      <c r="T434" s="811"/>
      <c r="U434" s="811"/>
      <c r="V434" s="811"/>
      <c r="W434" s="811"/>
      <c r="X434" s="811"/>
      <c r="Y434" s="811"/>
      <c r="Z434" s="811"/>
    </row>
    <row r="435" spans="1:26" ht="15" thickBot="1">
      <c r="A435" s="811"/>
      <c r="B435" s="811"/>
      <c r="C435" s="811"/>
      <c r="D435" s="811"/>
      <c r="E435" s="811"/>
      <c r="F435" s="811"/>
      <c r="G435" s="811"/>
      <c r="H435" s="811"/>
      <c r="I435" s="811"/>
      <c r="J435" s="811"/>
      <c r="K435" s="811"/>
      <c r="L435" s="811"/>
      <c r="M435" s="811"/>
      <c r="N435" s="811"/>
      <c r="O435" s="811"/>
      <c r="P435" s="811"/>
      <c r="Q435" s="811"/>
      <c r="R435" s="811"/>
      <c r="S435" s="811"/>
      <c r="T435" s="811"/>
      <c r="U435" s="811"/>
      <c r="V435" s="811"/>
      <c r="W435" s="811"/>
      <c r="X435" s="811"/>
      <c r="Y435" s="811"/>
      <c r="Z435" s="811"/>
    </row>
    <row r="436" spans="1:26" ht="15" thickBot="1">
      <c r="A436" s="811"/>
      <c r="B436" s="811"/>
      <c r="C436" s="811"/>
      <c r="D436" s="811"/>
      <c r="E436" s="811"/>
      <c r="F436" s="811"/>
      <c r="G436" s="811"/>
      <c r="H436" s="811"/>
      <c r="I436" s="811"/>
      <c r="J436" s="811"/>
      <c r="K436" s="811"/>
      <c r="L436" s="811"/>
      <c r="M436" s="811"/>
      <c r="N436" s="811"/>
      <c r="O436" s="811"/>
      <c r="P436" s="811"/>
      <c r="Q436" s="811"/>
      <c r="R436" s="811"/>
      <c r="S436" s="811"/>
      <c r="T436" s="811"/>
      <c r="U436" s="811"/>
      <c r="V436" s="811"/>
      <c r="W436" s="811"/>
      <c r="X436" s="811"/>
      <c r="Y436" s="811"/>
      <c r="Z436" s="811"/>
    </row>
    <row r="437" spans="1:26" ht="15" thickBot="1">
      <c r="A437" s="811"/>
      <c r="B437" s="811"/>
      <c r="C437" s="811"/>
      <c r="D437" s="811"/>
      <c r="E437" s="811"/>
      <c r="F437" s="811"/>
      <c r="G437" s="811"/>
      <c r="H437" s="811"/>
      <c r="I437" s="811"/>
      <c r="J437" s="811"/>
      <c r="K437" s="811"/>
      <c r="L437" s="811"/>
      <c r="M437" s="811"/>
      <c r="N437" s="811"/>
      <c r="O437" s="811"/>
      <c r="P437" s="811"/>
      <c r="Q437" s="811"/>
      <c r="R437" s="811"/>
      <c r="S437" s="811"/>
      <c r="T437" s="811"/>
      <c r="U437" s="811"/>
      <c r="V437" s="811"/>
      <c r="W437" s="811"/>
      <c r="X437" s="811"/>
      <c r="Y437" s="811"/>
      <c r="Z437" s="811"/>
    </row>
    <row r="438" spans="1:26" ht="15" thickBot="1">
      <c r="A438" s="811"/>
      <c r="B438" s="811"/>
      <c r="C438" s="811"/>
      <c r="D438" s="811"/>
      <c r="E438" s="811"/>
      <c r="F438" s="811"/>
      <c r="G438" s="811"/>
      <c r="H438" s="811"/>
      <c r="I438" s="811"/>
      <c r="J438" s="811"/>
      <c r="K438" s="811"/>
      <c r="L438" s="811"/>
      <c r="M438" s="811"/>
      <c r="N438" s="811"/>
      <c r="O438" s="811"/>
      <c r="P438" s="811"/>
      <c r="Q438" s="811"/>
      <c r="R438" s="811"/>
      <c r="S438" s="811"/>
      <c r="T438" s="811"/>
      <c r="U438" s="811"/>
      <c r="V438" s="811"/>
      <c r="W438" s="811"/>
      <c r="X438" s="811"/>
      <c r="Y438" s="811"/>
      <c r="Z438" s="811"/>
    </row>
    <row r="439" spans="1:26" ht="15" thickBot="1">
      <c r="A439" s="811"/>
      <c r="B439" s="811"/>
      <c r="C439" s="811"/>
      <c r="D439" s="811"/>
      <c r="E439" s="811"/>
      <c r="F439" s="811"/>
      <c r="G439" s="811"/>
      <c r="H439" s="811"/>
      <c r="I439" s="811"/>
      <c r="J439" s="811"/>
      <c r="K439" s="811"/>
      <c r="L439" s="811"/>
      <c r="M439" s="811"/>
      <c r="N439" s="811"/>
      <c r="O439" s="811"/>
      <c r="P439" s="811"/>
      <c r="Q439" s="811"/>
      <c r="R439" s="811"/>
      <c r="S439" s="811"/>
      <c r="T439" s="811"/>
      <c r="U439" s="811"/>
      <c r="V439" s="811"/>
      <c r="W439" s="811"/>
      <c r="X439" s="811"/>
      <c r="Y439" s="811"/>
      <c r="Z439" s="811"/>
    </row>
    <row r="440" spans="1:26" ht="15" thickBot="1">
      <c r="A440" s="811"/>
      <c r="B440" s="811"/>
      <c r="C440" s="811"/>
      <c r="D440" s="811"/>
      <c r="E440" s="811"/>
      <c r="F440" s="811"/>
      <c r="G440" s="811"/>
      <c r="H440" s="811"/>
      <c r="I440" s="811"/>
      <c r="J440" s="811"/>
      <c r="K440" s="811"/>
      <c r="L440" s="811"/>
      <c r="M440" s="811"/>
      <c r="N440" s="811"/>
      <c r="O440" s="811"/>
      <c r="P440" s="811"/>
      <c r="Q440" s="811"/>
      <c r="R440" s="811"/>
      <c r="S440" s="811"/>
      <c r="T440" s="811"/>
      <c r="U440" s="811"/>
      <c r="V440" s="811"/>
      <c r="W440" s="811"/>
      <c r="X440" s="811"/>
      <c r="Y440" s="811"/>
      <c r="Z440" s="811"/>
    </row>
    <row r="441" spans="1:26" ht="15" thickBot="1">
      <c r="A441" s="811"/>
      <c r="B441" s="811"/>
      <c r="C441" s="811"/>
      <c r="D441" s="811"/>
      <c r="E441" s="811"/>
      <c r="F441" s="811"/>
      <c r="G441" s="811"/>
      <c r="H441" s="811"/>
      <c r="I441" s="811"/>
      <c r="J441" s="811"/>
      <c r="K441" s="811"/>
      <c r="L441" s="811"/>
      <c r="M441" s="811"/>
      <c r="N441" s="811"/>
      <c r="O441" s="811"/>
      <c r="P441" s="811"/>
      <c r="Q441" s="811"/>
      <c r="R441" s="811"/>
      <c r="S441" s="811"/>
      <c r="T441" s="811"/>
      <c r="U441" s="811"/>
      <c r="V441" s="811"/>
      <c r="W441" s="811"/>
      <c r="X441" s="811"/>
      <c r="Y441" s="811"/>
      <c r="Z441" s="811"/>
    </row>
    <row r="442" spans="1:26" ht="15" thickBot="1">
      <c r="A442" s="811"/>
      <c r="B442" s="811"/>
      <c r="C442" s="811"/>
      <c r="D442" s="811"/>
      <c r="E442" s="811"/>
      <c r="F442" s="811"/>
      <c r="G442" s="811"/>
      <c r="H442" s="811"/>
      <c r="I442" s="811"/>
      <c r="J442" s="811"/>
      <c r="K442" s="811"/>
      <c r="L442" s="811"/>
      <c r="M442" s="811"/>
      <c r="N442" s="811"/>
      <c r="O442" s="811"/>
      <c r="P442" s="811"/>
      <c r="Q442" s="811"/>
      <c r="R442" s="811"/>
      <c r="S442" s="811"/>
      <c r="T442" s="811"/>
      <c r="U442" s="811"/>
      <c r="V442" s="811"/>
      <c r="W442" s="811"/>
      <c r="X442" s="811"/>
      <c r="Y442" s="811"/>
      <c r="Z442" s="811"/>
    </row>
    <row r="443" spans="1:26" ht="15" thickBot="1">
      <c r="A443" s="811"/>
      <c r="B443" s="811"/>
      <c r="C443" s="811"/>
      <c r="D443" s="811"/>
      <c r="E443" s="811"/>
      <c r="F443" s="811"/>
      <c r="G443" s="811"/>
      <c r="H443" s="811"/>
      <c r="I443" s="811"/>
      <c r="J443" s="811"/>
      <c r="K443" s="811"/>
      <c r="L443" s="811"/>
      <c r="M443" s="811"/>
      <c r="N443" s="811"/>
      <c r="O443" s="811"/>
      <c r="P443" s="811"/>
      <c r="Q443" s="811"/>
      <c r="R443" s="811"/>
      <c r="S443" s="811"/>
      <c r="T443" s="811"/>
      <c r="U443" s="811"/>
      <c r="V443" s="811"/>
      <c r="W443" s="811"/>
      <c r="X443" s="811"/>
      <c r="Y443" s="811"/>
      <c r="Z443" s="811"/>
    </row>
    <row r="444" spans="1:26" ht="15" thickBot="1">
      <c r="A444" s="811"/>
      <c r="B444" s="811"/>
      <c r="C444" s="811"/>
      <c r="D444" s="811"/>
      <c r="E444" s="811"/>
      <c r="F444" s="811"/>
      <c r="G444" s="811"/>
      <c r="H444" s="811"/>
      <c r="I444" s="811"/>
      <c r="J444" s="811"/>
      <c r="K444" s="811"/>
      <c r="L444" s="811"/>
      <c r="M444" s="811"/>
      <c r="N444" s="811"/>
      <c r="O444" s="811"/>
      <c r="P444" s="811"/>
      <c r="Q444" s="811"/>
      <c r="R444" s="811"/>
      <c r="S444" s="811"/>
      <c r="T444" s="811"/>
      <c r="U444" s="811"/>
      <c r="V444" s="811"/>
      <c r="W444" s="811"/>
      <c r="X444" s="811"/>
      <c r="Y444" s="811"/>
      <c r="Z444" s="811"/>
    </row>
    <row r="445" spans="1:26" ht="15" thickBot="1">
      <c r="A445" s="811"/>
      <c r="B445" s="811"/>
      <c r="C445" s="811"/>
      <c r="D445" s="811"/>
      <c r="E445" s="811"/>
      <c r="F445" s="811"/>
      <c r="G445" s="811"/>
      <c r="H445" s="811"/>
      <c r="I445" s="811"/>
      <c r="J445" s="811"/>
      <c r="K445" s="811"/>
      <c r="L445" s="811"/>
      <c r="M445" s="811"/>
      <c r="N445" s="811"/>
      <c r="O445" s="811"/>
      <c r="P445" s="811"/>
      <c r="Q445" s="811"/>
      <c r="R445" s="811"/>
      <c r="S445" s="811"/>
      <c r="T445" s="811"/>
      <c r="U445" s="811"/>
      <c r="V445" s="811"/>
      <c r="W445" s="811"/>
      <c r="X445" s="811"/>
      <c r="Y445" s="811"/>
      <c r="Z445" s="811"/>
    </row>
    <row r="446" spans="1:26" ht="15" thickBot="1">
      <c r="A446" s="811"/>
      <c r="B446" s="811"/>
      <c r="C446" s="811"/>
      <c r="D446" s="811"/>
      <c r="E446" s="811"/>
      <c r="F446" s="811"/>
      <c r="G446" s="811"/>
      <c r="H446" s="811"/>
      <c r="I446" s="811"/>
      <c r="J446" s="811"/>
      <c r="K446" s="811"/>
      <c r="L446" s="811"/>
      <c r="M446" s="811"/>
      <c r="N446" s="811"/>
      <c r="O446" s="811"/>
      <c r="P446" s="811"/>
      <c r="Q446" s="811"/>
      <c r="R446" s="811"/>
      <c r="S446" s="811"/>
      <c r="T446" s="811"/>
      <c r="U446" s="811"/>
      <c r="V446" s="811"/>
      <c r="W446" s="811"/>
      <c r="X446" s="811"/>
      <c r="Y446" s="811"/>
      <c r="Z446" s="811"/>
    </row>
    <row r="447" spans="1:26" ht="15" thickBot="1">
      <c r="A447" s="811"/>
      <c r="B447" s="811"/>
      <c r="C447" s="811"/>
      <c r="D447" s="811"/>
      <c r="E447" s="811"/>
      <c r="F447" s="811"/>
      <c r="G447" s="811"/>
      <c r="H447" s="811"/>
      <c r="I447" s="811"/>
      <c r="J447" s="811"/>
      <c r="K447" s="811"/>
      <c r="L447" s="811"/>
      <c r="M447" s="811"/>
      <c r="N447" s="811"/>
      <c r="O447" s="811"/>
      <c r="P447" s="811"/>
      <c r="Q447" s="811"/>
      <c r="R447" s="811"/>
      <c r="S447" s="811"/>
      <c r="T447" s="811"/>
      <c r="U447" s="811"/>
      <c r="V447" s="811"/>
      <c r="W447" s="811"/>
      <c r="X447" s="811"/>
      <c r="Y447" s="811"/>
      <c r="Z447" s="811"/>
    </row>
    <row r="448" spans="1:26" ht="15" thickBot="1">
      <c r="A448" s="811"/>
      <c r="B448" s="811"/>
      <c r="C448" s="811"/>
      <c r="D448" s="811"/>
      <c r="E448" s="811"/>
      <c r="F448" s="811"/>
      <c r="G448" s="811"/>
      <c r="H448" s="811"/>
      <c r="I448" s="811"/>
      <c r="J448" s="811"/>
      <c r="K448" s="811"/>
      <c r="L448" s="811"/>
      <c r="M448" s="811"/>
      <c r="N448" s="811"/>
      <c r="O448" s="811"/>
      <c r="P448" s="811"/>
      <c r="Q448" s="811"/>
      <c r="R448" s="811"/>
      <c r="S448" s="811"/>
      <c r="T448" s="811"/>
      <c r="U448" s="811"/>
      <c r="V448" s="811"/>
      <c r="W448" s="811"/>
      <c r="X448" s="811"/>
      <c r="Y448" s="811"/>
      <c r="Z448" s="811"/>
    </row>
    <row r="449" spans="1:26" ht="15" thickBot="1">
      <c r="A449" s="811"/>
      <c r="B449" s="811"/>
      <c r="C449" s="811"/>
      <c r="D449" s="811"/>
      <c r="E449" s="811"/>
      <c r="F449" s="811"/>
      <c r="G449" s="811"/>
      <c r="H449" s="811"/>
      <c r="I449" s="811"/>
      <c r="J449" s="811"/>
      <c r="K449" s="811"/>
      <c r="L449" s="811"/>
      <c r="M449" s="811"/>
      <c r="N449" s="811"/>
      <c r="O449" s="811"/>
      <c r="P449" s="811"/>
      <c r="Q449" s="811"/>
      <c r="R449" s="811"/>
      <c r="S449" s="811"/>
      <c r="T449" s="811"/>
      <c r="U449" s="811"/>
      <c r="V449" s="811"/>
      <c r="W449" s="811"/>
      <c r="X449" s="811"/>
      <c r="Y449" s="811"/>
      <c r="Z449" s="811"/>
    </row>
    <row r="450" spans="1:26" ht="15" thickBot="1">
      <c r="A450" s="811"/>
      <c r="B450" s="811"/>
      <c r="C450" s="811"/>
      <c r="D450" s="811"/>
      <c r="E450" s="811"/>
      <c r="F450" s="811"/>
      <c r="G450" s="811"/>
      <c r="H450" s="811"/>
      <c r="I450" s="811"/>
      <c r="J450" s="811"/>
      <c r="K450" s="811"/>
      <c r="L450" s="811"/>
      <c r="M450" s="811"/>
      <c r="N450" s="811"/>
      <c r="O450" s="811"/>
      <c r="P450" s="811"/>
      <c r="Q450" s="811"/>
      <c r="R450" s="811"/>
      <c r="S450" s="811"/>
      <c r="T450" s="811"/>
      <c r="U450" s="811"/>
      <c r="V450" s="811"/>
      <c r="W450" s="811"/>
      <c r="X450" s="811"/>
      <c r="Y450" s="811"/>
      <c r="Z450" s="811"/>
    </row>
    <row r="451" spans="1:26" ht="15" thickBot="1">
      <c r="A451" s="811"/>
      <c r="B451" s="811"/>
      <c r="C451" s="811"/>
      <c r="D451" s="811"/>
      <c r="E451" s="811"/>
      <c r="F451" s="811"/>
      <c r="G451" s="811"/>
      <c r="H451" s="811"/>
      <c r="I451" s="811"/>
      <c r="J451" s="811"/>
      <c r="K451" s="811"/>
      <c r="L451" s="811"/>
      <c r="M451" s="811"/>
      <c r="N451" s="811"/>
      <c r="O451" s="811"/>
      <c r="P451" s="811"/>
      <c r="Q451" s="811"/>
      <c r="R451" s="811"/>
      <c r="S451" s="811"/>
      <c r="T451" s="811"/>
      <c r="U451" s="811"/>
      <c r="V451" s="811"/>
      <c r="W451" s="811"/>
      <c r="X451" s="811"/>
      <c r="Y451" s="811"/>
      <c r="Z451" s="811"/>
    </row>
    <row r="452" spans="1:26" ht="15" thickBot="1">
      <c r="A452" s="811"/>
      <c r="B452" s="811"/>
      <c r="C452" s="811"/>
      <c r="D452" s="811"/>
      <c r="E452" s="811"/>
      <c r="F452" s="811"/>
      <c r="G452" s="811"/>
      <c r="H452" s="811"/>
      <c r="I452" s="811"/>
      <c r="J452" s="811"/>
      <c r="K452" s="811"/>
      <c r="L452" s="811"/>
      <c r="M452" s="811"/>
      <c r="N452" s="811"/>
      <c r="O452" s="811"/>
      <c r="P452" s="811"/>
      <c r="Q452" s="811"/>
      <c r="R452" s="811"/>
      <c r="S452" s="811"/>
      <c r="T452" s="811"/>
      <c r="U452" s="811"/>
      <c r="V452" s="811"/>
      <c r="W452" s="811"/>
      <c r="X452" s="811"/>
      <c r="Y452" s="811"/>
      <c r="Z452" s="811"/>
    </row>
    <row r="453" spans="1:26" ht="15" thickBot="1">
      <c r="A453" s="811"/>
      <c r="B453" s="811"/>
      <c r="C453" s="811"/>
      <c r="D453" s="811"/>
      <c r="E453" s="811"/>
      <c r="F453" s="811"/>
      <c r="G453" s="811"/>
      <c r="H453" s="811"/>
      <c r="I453" s="811"/>
      <c r="J453" s="811"/>
      <c r="K453" s="811"/>
      <c r="L453" s="811"/>
      <c r="M453" s="811"/>
      <c r="N453" s="811"/>
      <c r="O453" s="811"/>
      <c r="P453" s="811"/>
      <c r="Q453" s="811"/>
      <c r="R453" s="811"/>
      <c r="S453" s="811"/>
      <c r="T453" s="811"/>
      <c r="U453" s="811"/>
      <c r="V453" s="811"/>
      <c r="W453" s="811"/>
      <c r="X453" s="811"/>
      <c r="Y453" s="811"/>
      <c r="Z453" s="811"/>
    </row>
    <row r="454" spans="1:26" ht="15" thickBot="1">
      <c r="A454" s="811"/>
      <c r="B454" s="811"/>
      <c r="C454" s="811"/>
      <c r="D454" s="811"/>
      <c r="E454" s="811"/>
      <c r="F454" s="811"/>
      <c r="G454" s="811"/>
      <c r="H454" s="811"/>
      <c r="I454" s="811"/>
      <c r="J454" s="811"/>
      <c r="K454" s="811"/>
      <c r="L454" s="811"/>
      <c r="M454" s="811"/>
      <c r="N454" s="811"/>
      <c r="O454" s="811"/>
      <c r="P454" s="811"/>
      <c r="Q454" s="811"/>
      <c r="R454" s="811"/>
      <c r="S454" s="811"/>
      <c r="T454" s="811"/>
      <c r="U454" s="811"/>
      <c r="V454" s="811"/>
      <c r="W454" s="811"/>
      <c r="X454" s="811"/>
      <c r="Y454" s="811"/>
      <c r="Z454" s="811"/>
    </row>
    <row r="455" spans="1:26" ht="15" thickBot="1">
      <c r="A455" s="811"/>
      <c r="B455" s="811"/>
      <c r="C455" s="811"/>
      <c r="D455" s="811"/>
      <c r="E455" s="811"/>
      <c r="F455" s="811"/>
      <c r="G455" s="811"/>
      <c r="H455" s="811"/>
      <c r="I455" s="811"/>
      <c r="J455" s="811"/>
      <c r="K455" s="811"/>
      <c r="L455" s="811"/>
      <c r="M455" s="811"/>
      <c r="N455" s="811"/>
      <c r="O455" s="811"/>
      <c r="P455" s="811"/>
      <c r="Q455" s="811"/>
      <c r="R455" s="811"/>
      <c r="S455" s="811"/>
      <c r="T455" s="811"/>
      <c r="U455" s="811"/>
      <c r="V455" s="811"/>
      <c r="W455" s="811"/>
      <c r="X455" s="811"/>
      <c r="Y455" s="811"/>
      <c r="Z455" s="811"/>
    </row>
    <row r="456" spans="1:26" ht="15" thickBot="1">
      <c r="A456" s="811"/>
      <c r="B456" s="811"/>
      <c r="C456" s="811"/>
      <c r="D456" s="811"/>
      <c r="E456" s="811"/>
      <c r="F456" s="811"/>
      <c r="G456" s="811"/>
      <c r="H456" s="811"/>
      <c r="I456" s="811"/>
      <c r="J456" s="811"/>
      <c r="K456" s="811"/>
      <c r="L456" s="811"/>
      <c r="M456" s="811"/>
      <c r="N456" s="811"/>
      <c r="O456" s="811"/>
      <c r="P456" s="811"/>
      <c r="Q456" s="811"/>
      <c r="R456" s="811"/>
      <c r="S456" s="811"/>
      <c r="T456" s="811"/>
      <c r="U456" s="811"/>
      <c r="V456" s="811"/>
      <c r="W456" s="811"/>
      <c r="X456" s="811"/>
      <c r="Y456" s="811"/>
      <c r="Z456" s="811"/>
    </row>
    <row r="457" spans="1:26" ht="15" thickBot="1">
      <c r="A457" s="811"/>
      <c r="B457" s="811"/>
      <c r="C457" s="811"/>
      <c r="D457" s="811"/>
      <c r="E457" s="811"/>
      <c r="F457" s="811"/>
      <c r="G457" s="811"/>
      <c r="H457" s="811"/>
      <c r="I457" s="811"/>
      <c r="J457" s="811"/>
      <c r="K457" s="811"/>
      <c r="L457" s="811"/>
      <c r="M457" s="811"/>
      <c r="N457" s="811"/>
      <c r="O457" s="811"/>
      <c r="P457" s="811"/>
      <c r="Q457" s="811"/>
      <c r="R457" s="811"/>
      <c r="S457" s="811"/>
      <c r="T457" s="811"/>
      <c r="U457" s="811"/>
      <c r="V457" s="811"/>
      <c r="W457" s="811"/>
      <c r="X457" s="811"/>
      <c r="Y457" s="811"/>
      <c r="Z457" s="811"/>
    </row>
    <row r="458" spans="1:26" ht="15" thickBot="1">
      <c r="A458" s="811"/>
      <c r="B458" s="811"/>
      <c r="C458" s="811"/>
      <c r="D458" s="811"/>
      <c r="E458" s="811"/>
      <c r="F458" s="811"/>
      <c r="G458" s="811"/>
      <c r="H458" s="811"/>
      <c r="I458" s="811"/>
      <c r="J458" s="811"/>
      <c r="K458" s="811"/>
      <c r="L458" s="811"/>
      <c r="M458" s="811"/>
      <c r="N458" s="811"/>
      <c r="O458" s="811"/>
      <c r="P458" s="811"/>
      <c r="Q458" s="811"/>
      <c r="R458" s="811"/>
      <c r="S458" s="811"/>
      <c r="T458" s="811"/>
      <c r="U458" s="811"/>
      <c r="V458" s="811"/>
      <c r="W458" s="811"/>
      <c r="X458" s="811"/>
      <c r="Y458" s="811"/>
      <c r="Z458" s="811"/>
    </row>
    <row r="459" spans="1:26" ht="15" thickBot="1">
      <c r="A459" s="811"/>
      <c r="B459" s="811"/>
      <c r="C459" s="811"/>
      <c r="D459" s="811"/>
      <c r="E459" s="811"/>
      <c r="F459" s="811"/>
      <c r="G459" s="811"/>
      <c r="H459" s="811"/>
      <c r="I459" s="811"/>
      <c r="J459" s="811"/>
      <c r="K459" s="811"/>
      <c r="L459" s="811"/>
      <c r="M459" s="811"/>
      <c r="N459" s="811"/>
      <c r="O459" s="811"/>
      <c r="P459" s="811"/>
      <c r="Q459" s="811"/>
      <c r="R459" s="811"/>
      <c r="S459" s="811"/>
      <c r="T459" s="811"/>
      <c r="U459" s="811"/>
      <c r="V459" s="811"/>
      <c r="W459" s="811"/>
      <c r="X459" s="811"/>
      <c r="Y459" s="811"/>
      <c r="Z459" s="811"/>
    </row>
    <row r="460" spans="1:26" ht="15" thickBot="1">
      <c r="A460" s="811"/>
      <c r="B460" s="811"/>
      <c r="C460" s="811"/>
      <c r="D460" s="811"/>
      <c r="E460" s="811"/>
      <c r="F460" s="811"/>
      <c r="G460" s="811"/>
      <c r="H460" s="811"/>
      <c r="I460" s="811"/>
      <c r="J460" s="811"/>
      <c r="K460" s="811"/>
      <c r="L460" s="811"/>
      <c r="M460" s="811"/>
      <c r="N460" s="811"/>
      <c r="O460" s="811"/>
      <c r="P460" s="811"/>
      <c r="Q460" s="811"/>
      <c r="R460" s="811"/>
      <c r="S460" s="811"/>
      <c r="T460" s="811"/>
      <c r="U460" s="811"/>
      <c r="V460" s="811"/>
      <c r="W460" s="811"/>
      <c r="X460" s="811"/>
      <c r="Y460" s="811"/>
      <c r="Z460" s="811"/>
    </row>
    <row r="461" spans="1:26" ht="15" thickBot="1">
      <c r="A461" s="811"/>
      <c r="B461" s="811"/>
      <c r="C461" s="811"/>
      <c r="D461" s="811"/>
      <c r="E461" s="811"/>
      <c r="F461" s="811"/>
      <c r="G461" s="811"/>
      <c r="H461" s="811"/>
      <c r="I461" s="811"/>
      <c r="J461" s="811"/>
      <c r="K461" s="811"/>
      <c r="L461" s="811"/>
      <c r="M461" s="811"/>
      <c r="N461" s="811"/>
      <c r="O461" s="811"/>
      <c r="P461" s="811"/>
      <c r="Q461" s="811"/>
      <c r="R461" s="811"/>
      <c r="S461" s="811"/>
      <c r="T461" s="811"/>
      <c r="U461" s="811"/>
      <c r="V461" s="811"/>
      <c r="W461" s="811"/>
      <c r="X461" s="811"/>
      <c r="Y461" s="811"/>
      <c r="Z461" s="811"/>
    </row>
    <row r="462" spans="1:26" ht="15" thickBot="1">
      <c r="A462" s="811"/>
      <c r="B462" s="811"/>
      <c r="C462" s="811"/>
      <c r="D462" s="811"/>
      <c r="E462" s="811"/>
      <c r="F462" s="811"/>
      <c r="G462" s="811"/>
      <c r="H462" s="811"/>
      <c r="I462" s="811"/>
      <c r="J462" s="811"/>
      <c r="K462" s="811"/>
      <c r="L462" s="811"/>
      <c r="M462" s="811"/>
      <c r="N462" s="811"/>
      <c r="O462" s="811"/>
      <c r="P462" s="811"/>
      <c r="Q462" s="811"/>
      <c r="R462" s="811"/>
      <c r="S462" s="811"/>
      <c r="T462" s="811"/>
      <c r="U462" s="811"/>
      <c r="V462" s="811"/>
      <c r="W462" s="811"/>
      <c r="X462" s="811"/>
      <c r="Y462" s="811"/>
      <c r="Z462" s="811"/>
    </row>
    <row r="463" spans="1:26" ht="15" thickBot="1">
      <c r="A463" s="811"/>
      <c r="B463" s="811"/>
      <c r="C463" s="811"/>
      <c r="D463" s="811"/>
      <c r="E463" s="811"/>
      <c r="F463" s="811"/>
      <c r="G463" s="811"/>
      <c r="H463" s="811"/>
      <c r="I463" s="811"/>
      <c r="J463" s="811"/>
      <c r="K463" s="811"/>
      <c r="L463" s="811"/>
      <c r="M463" s="811"/>
      <c r="N463" s="811"/>
      <c r="O463" s="811"/>
      <c r="P463" s="811"/>
      <c r="Q463" s="811"/>
      <c r="R463" s="811"/>
      <c r="S463" s="811"/>
      <c r="T463" s="811"/>
      <c r="U463" s="811"/>
      <c r="V463" s="811"/>
      <c r="W463" s="811"/>
      <c r="X463" s="811"/>
      <c r="Y463" s="811"/>
      <c r="Z463" s="811"/>
    </row>
    <row r="464" spans="1:26" ht="15" thickBot="1">
      <c r="A464" s="811"/>
      <c r="B464" s="811"/>
      <c r="C464" s="811"/>
      <c r="D464" s="811"/>
      <c r="E464" s="811"/>
      <c r="F464" s="811"/>
      <c r="G464" s="811"/>
      <c r="H464" s="811"/>
      <c r="I464" s="811"/>
      <c r="J464" s="811"/>
      <c r="K464" s="811"/>
      <c r="L464" s="811"/>
      <c r="M464" s="811"/>
      <c r="N464" s="811"/>
      <c r="O464" s="811"/>
      <c r="P464" s="811"/>
      <c r="Q464" s="811"/>
      <c r="R464" s="811"/>
      <c r="S464" s="811"/>
      <c r="T464" s="811"/>
      <c r="U464" s="811"/>
      <c r="V464" s="811"/>
      <c r="W464" s="811"/>
      <c r="X464" s="811"/>
      <c r="Y464" s="811"/>
      <c r="Z464" s="811"/>
    </row>
    <row r="465" spans="1:26" ht="15" thickBot="1">
      <c r="A465" s="811"/>
      <c r="B465" s="811"/>
      <c r="C465" s="811"/>
      <c r="D465" s="811"/>
      <c r="E465" s="811"/>
      <c r="F465" s="811"/>
      <c r="G465" s="811"/>
      <c r="H465" s="811"/>
      <c r="I465" s="811"/>
      <c r="J465" s="811"/>
      <c r="K465" s="811"/>
      <c r="L465" s="811"/>
      <c r="M465" s="811"/>
      <c r="N465" s="811"/>
      <c r="O465" s="811"/>
      <c r="P465" s="811"/>
      <c r="Q465" s="811"/>
      <c r="R465" s="811"/>
      <c r="S465" s="811"/>
      <c r="T465" s="811"/>
      <c r="U465" s="811"/>
      <c r="V465" s="811"/>
      <c r="W465" s="811"/>
      <c r="X465" s="811"/>
      <c r="Y465" s="811"/>
      <c r="Z465" s="811"/>
    </row>
    <row r="466" spans="1:26" ht="15" thickBot="1">
      <c r="A466" s="811"/>
      <c r="B466" s="811"/>
      <c r="C466" s="811"/>
      <c r="D466" s="811"/>
      <c r="E466" s="811"/>
      <c r="F466" s="811"/>
      <c r="G466" s="811"/>
      <c r="H466" s="811"/>
      <c r="I466" s="811"/>
      <c r="J466" s="811"/>
      <c r="K466" s="811"/>
      <c r="L466" s="811"/>
      <c r="M466" s="811"/>
      <c r="N466" s="811"/>
      <c r="O466" s="811"/>
      <c r="P466" s="811"/>
      <c r="Q466" s="811"/>
      <c r="R466" s="811"/>
      <c r="S466" s="811"/>
      <c r="T466" s="811"/>
      <c r="U466" s="811"/>
      <c r="V466" s="811"/>
      <c r="W466" s="811"/>
      <c r="X466" s="811"/>
      <c r="Y466" s="811"/>
      <c r="Z466" s="811"/>
    </row>
    <row r="467" spans="1:26" ht="15" thickBot="1">
      <c r="A467" s="811"/>
      <c r="B467" s="811"/>
      <c r="C467" s="811"/>
      <c r="D467" s="811"/>
      <c r="E467" s="811"/>
      <c r="F467" s="811"/>
      <c r="G467" s="811"/>
      <c r="H467" s="811"/>
      <c r="I467" s="811"/>
      <c r="J467" s="811"/>
      <c r="K467" s="811"/>
      <c r="L467" s="811"/>
      <c r="M467" s="811"/>
      <c r="N467" s="811"/>
      <c r="O467" s="811"/>
      <c r="P467" s="811"/>
      <c r="Q467" s="811"/>
      <c r="R467" s="811"/>
      <c r="S467" s="811"/>
      <c r="T467" s="811"/>
      <c r="U467" s="811"/>
      <c r="V467" s="811"/>
      <c r="W467" s="811"/>
      <c r="X467" s="811"/>
      <c r="Y467" s="811"/>
      <c r="Z467" s="811"/>
    </row>
    <row r="468" spans="1:26" ht="15" thickBot="1">
      <c r="A468" s="811"/>
      <c r="B468" s="811"/>
      <c r="C468" s="811"/>
      <c r="D468" s="811"/>
      <c r="E468" s="811"/>
      <c r="F468" s="811"/>
      <c r="G468" s="811"/>
      <c r="H468" s="811"/>
      <c r="I468" s="811"/>
      <c r="J468" s="811"/>
      <c r="K468" s="811"/>
      <c r="L468" s="811"/>
      <c r="M468" s="811"/>
      <c r="N468" s="811"/>
      <c r="O468" s="811"/>
      <c r="P468" s="811"/>
      <c r="Q468" s="811"/>
      <c r="R468" s="811"/>
      <c r="S468" s="811"/>
      <c r="T468" s="811"/>
      <c r="U468" s="811"/>
      <c r="V468" s="811"/>
      <c r="W468" s="811"/>
      <c r="X468" s="811"/>
      <c r="Y468" s="811"/>
      <c r="Z468" s="811"/>
    </row>
    <row r="469" spans="1:26" ht="15" thickBot="1">
      <c r="A469" s="811"/>
      <c r="B469" s="811"/>
      <c r="C469" s="811"/>
      <c r="D469" s="811"/>
      <c r="E469" s="811"/>
      <c r="F469" s="811"/>
      <c r="G469" s="811"/>
      <c r="H469" s="811"/>
      <c r="I469" s="811"/>
      <c r="J469" s="811"/>
      <c r="K469" s="811"/>
      <c r="L469" s="811"/>
      <c r="M469" s="811"/>
      <c r="N469" s="811"/>
      <c r="O469" s="811"/>
      <c r="P469" s="811"/>
      <c r="Q469" s="811"/>
      <c r="R469" s="811"/>
      <c r="S469" s="811"/>
      <c r="T469" s="811"/>
      <c r="U469" s="811"/>
      <c r="V469" s="811"/>
      <c r="W469" s="811"/>
      <c r="X469" s="811"/>
      <c r="Y469" s="811"/>
      <c r="Z469" s="811"/>
    </row>
    <row r="470" spans="1:26" ht="15" thickBot="1">
      <c r="A470" s="811"/>
      <c r="B470" s="811"/>
      <c r="C470" s="811"/>
      <c r="D470" s="811"/>
      <c r="E470" s="811"/>
      <c r="F470" s="811"/>
      <c r="G470" s="811"/>
      <c r="H470" s="811"/>
      <c r="I470" s="811"/>
      <c r="J470" s="811"/>
      <c r="K470" s="811"/>
      <c r="L470" s="811"/>
      <c r="M470" s="811"/>
      <c r="N470" s="811"/>
      <c r="O470" s="811"/>
      <c r="P470" s="811"/>
      <c r="Q470" s="811"/>
      <c r="R470" s="811"/>
      <c r="S470" s="811"/>
      <c r="T470" s="811"/>
      <c r="U470" s="811"/>
      <c r="V470" s="811"/>
      <c r="W470" s="811"/>
      <c r="X470" s="811"/>
      <c r="Y470" s="811"/>
      <c r="Z470" s="811"/>
    </row>
    <row r="471" spans="1:26" ht="15" thickBot="1">
      <c r="A471" s="811"/>
      <c r="B471" s="811"/>
      <c r="C471" s="811"/>
      <c r="D471" s="811"/>
      <c r="E471" s="811"/>
      <c r="F471" s="811"/>
      <c r="G471" s="811"/>
      <c r="H471" s="811"/>
      <c r="I471" s="811"/>
      <c r="J471" s="811"/>
      <c r="K471" s="811"/>
      <c r="L471" s="811"/>
      <c r="M471" s="811"/>
      <c r="N471" s="811"/>
      <c r="O471" s="811"/>
      <c r="P471" s="811"/>
      <c r="Q471" s="811"/>
      <c r="R471" s="811"/>
      <c r="S471" s="811"/>
      <c r="T471" s="811"/>
      <c r="U471" s="811"/>
      <c r="V471" s="811"/>
      <c r="W471" s="811"/>
      <c r="X471" s="811"/>
      <c r="Y471" s="811"/>
      <c r="Z471" s="811"/>
    </row>
    <row r="472" spans="1:26" ht="15" thickBot="1">
      <c r="A472" s="811"/>
      <c r="B472" s="811"/>
      <c r="C472" s="811"/>
      <c r="D472" s="811"/>
      <c r="E472" s="811"/>
      <c r="F472" s="811"/>
      <c r="G472" s="811"/>
      <c r="H472" s="811"/>
      <c r="I472" s="811"/>
      <c r="J472" s="811"/>
      <c r="K472" s="811"/>
      <c r="L472" s="811"/>
      <c r="M472" s="811"/>
      <c r="N472" s="811"/>
      <c r="O472" s="811"/>
      <c r="P472" s="811"/>
      <c r="Q472" s="811"/>
      <c r="R472" s="811"/>
      <c r="S472" s="811"/>
      <c r="T472" s="811"/>
      <c r="U472" s="811"/>
      <c r="V472" s="811"/>
      <c r="W472" s="811"/>
      <c r="X472" s="811"/>
      <c r="Y472" s="811"/>
      <c r="Z472" s="811"/>
    </row>
    <row r="473" spans="1:26" ht="15" thickBot="1">
      <c r="A473" s="811"/>
      <c r="B473" s="811"/>
      <c r="C473" s="811"/>
      <c r="D473" s="811"/>
      <c r="E473" s="811"/>
      <c r="F473" s="811"/>
      <c r="G473" s="811"/>
      <c r="H473" s="811"/>
      <c r="I473" s="811"/>
      <c r="J473" s="811"/>
      <c r="K473" s="811"/>
      <c r="L473" s="811"/>
      <c r="M473" s="811"/>
      <c r="N473" s="811"/>
      <c r="O473" s="811"/>
      <c r="P473" s="811"/>
      <c r="Q473" s="811"/>
      <c r="R473" s="811"/>
      <c r="S473" s="811"/>
      <c r="T473" s="811"/>
      <c r="U473" s="811"/>
      <c r="V473" s="811"/>
      <c r="W473" s="811"/>
      <c r="X473" s="811"/>
      <c r="Y473" s="811"/>
      <c r="Z473" s="811"/>
    </row>
    <row r="474" spans="1:26" ht="15" thickBot="1">
      <c r="A474" s="811"/>
      <c r="B474" s="811"/>
      <c r="C474" s="811"/>
      <c r="D474" s="811"/>
      <c r="E474" s="811"/>
      <c r="F474" s="811"/>
      <c r="G474" s="811"/>
      <c r="H474" s="811"/>
      <c r="I474" s="811"/>
      <c r="J474" s="811"/>
      <c r="K474" s="811"/>
      <c r="L474" s="811"/>
      <c r="M474" s="811"/>
      <c r="N474" s="811"/>
      <c r="O474" s="811"/>
      <c r="P474" s="811"/>
      <c r="Q474" s="811"/>
      <c r="R474" s="811"/>
      <c r="S474" s="811"/>
      <c r="T474" s="811"/>
      <c r="U474" s="811"/>
      <c r="V474" s="811"/>
      <c r="W474" s="811"/>
      <c r="X474" s="811"/>
      <c r="Y474" s="811"/>
      <c r="Z474" s="811"/>
    </row>
    <row r="475" spans="1:26" ht="15" thickBot="1">
      <c r="A475" s="811"/>
      <c r="B475" s="811"/>
      <c r="C475" s="811"/>
      <c r="D475" s="811"/>
      <c r="E475" s="811"/>
      <c r="F475" s="811"/>
      <c r="G475" s="811"/>
      <c r="H475" s="811"/>
      <c r="I475" s="811"/>
      <c r="J475" s="811"/>
      <c r="K475" s="811"/>
      <c r="L475" s="811"/>
      <c r="M475" s="811"/>
      <c r="N475" s="811"/>
      <c r="O475" s="811"/>
      <c r="P475" s="811"/>
      <c r="Q475" s="811"/>
      <c r="R475" s="811"/>
      <c r="S475" s="811"/>
      <c r="T475" s="811"/>
      <c r="U475" s="811"/>
      <c r="V475" s="811"/>
      <c r="W475" s="811"/>
      <c r="X475" s="811"/>
      <c r="Y475" s="811"/>
      <c r="Z475" s="811"/>
    </row>
    <row r="476" spans="1:26" ht="15" thickBot="1">
      <c r="A476" s="811"/>
      <c r="B476" s="811"/>
      <c r="C476" s="811"/>
      <c r="D476" s="811"/>
      <c r="E476" s="811"/>
      <c r="F476" s="811"/>
      <c r="G476" s="811"/>
      <c r="H476" s="811"/>
      <c r="I476" s="811"/>
      <c r="J476" s="811"/>
      <c r="K476" s="811"/>
      <c r="L476" s="811"/>
      <c r="M476" s="811"/>
      <c r="N476" s="811"/>
      <c r="O476" s="811"/>
      <c r="P476" s="811"/>
      <c r="Q476" s="811"/>
      <c r="R476" s="811"/>
      <c r="S476" s="811"/>
      <c r="T476" s="811"/>
      <c r="U476" s="811"/>
      <c r="V476" s="811"/>
      <c r="W476" s="811"/>
      <c r="X476" s="811"/>
      <c r="Y476" s="811"/>
      <c r="Z476" s="811"/>
    </row>
    <row r="477" spans="1:26" ht="15" thickBot="1">
      <c r="A477" s="811"/>
      <c r="B477" s="811"/>
      <c r="C477" s="811"/>
      <c r="D477" s="811"/>
      <c r="E477" s="811"/>
      <c r="F477" s="811"/>
      <c r="G477" s="811"/>
      <c r="H477" s="811"/>
      <c r="I477" s="811"/>
      <c r="J477" s="811"/>
      <c r="K477" s="811"/>
      <c r="L477" s="811"/>
      <c r="M477" s="811"/>
      <c r="N477" s="811"/>
      <c r="O477" s="811"/>
      <c r="P477" s="811"/>
      <c r="Q477" s="811"/>
      <c r="R477" s="811"/>
      <c r="S477" s="811"/>
      <c r="T477" s="811"/>
      <c r="U477" s="811"/>
      <c r="V477" s="811"/>
      <c r="W477" s="811"/>
      <c r="X477" s="811"/>
      <c r="Y477" s="811"/>
      <c r="Z477" s="811"/>
    </row>
    <row r="478" spans="1:26" ht="15" thickBot="1">
      <c r="A478" s="811"/>
      <c r="B478" s="811"/>
      <c r="C478" s="811"/>
      <c r="D478" s="811"/>
      <c r="E478" s="811"/>
      <c r="F478" s="811"/>
      <c r="G478" s="811"/>
      <c r="H478" s="811"/>
      <c r="I478" s="811"/>
      <c r="J478" s="811"/>
      <c r="K478" s="811"/>
      <c r="L478" s="811"/>
      <c r="M478" s="811"/>
      <c r="N478" s="811"/>
      <c r="O478" s="811"/>
      <c r="P478" s="811"/>
      <c r="Q478" s="811"/>
      <c r="R478" s="811"/>
      <c r="S478" s="811"/>
      <c r="T478" s="811"/>
      <c r="U478" s="811"/>
      <c r="V478" s="811"/>
      <c r="W478" s="811"/>
      <c r="X478" s="811"/>
      <c r="Y478" s="811"/>
      <c r="Z478" s="811"/>
    </row>
    <row r="479" spans="1:26" ht="15" thickBot="1">
      <c r="A479" s="811"/>
      <c r="B479" s="811"/>
      <c r="C479" s="811"/>
      <c r="D479" s="811"/>
      <c r="E479" s="811"/>
      <c r="F479" s="811"/>
      <c r="G479" s="811"/>
      <c r="H479" s="811"/>
      <c r="I479" s="811"/>
      <c r="J479" s="811"/>
      <c r="K479" s="811"/>
      <c r="L479" s="811"/>
      <c r="M479" s="811"/>
      <c r="N479" s="811"/>
      <c r="O479" s="811"/>
      <c r="P479" s="811"/>
      <c r="Q479" s="811"/>
      <c r="R479" s="811"/>
      <c r="S479" s="811"/>
      <c r="T479" s="811"/>
      <c r="U479" s="811"/>
      <c r="V479" s="811"/>
      <c r="W479" s="811"/>
      <c r="X479" s="811"/>
      <c r="Y479" s="811"/>
      <c r="Z479" s="811"/>
    </row>
    <row r="480" spans="1:26" ht="15" thickBot="1">
      <c r="A480" s="811"/>
      <c r="B480" s="811"/>
      <c r="C480" s="811"/>
      <c r="D480" s="811"/>
      <c r="E480" s="811"/>
      <c r="F480" s="811"/>
      <c r="G480" s="811"/>
      <c r="H480" s="811"/>
      <c r="I480" s="811"/>
      <c r="J480" s="811"/>
      <c r="K480" s="811"/>
      <c r="L480" s="811"/>
      <c r="M480" s="811"/>
      <c r="N480" s="811"/>
      <c r="O480" s="811"/>
      <c r="P480" s="811"/>
      <c r="Q480" s="811"/>
      <c r="R480" s="811"/>
      <c r="S480" s="811"/>
      <c r="T480" s="811"/>
      <c r="U480" s="811"/>
      <c r="V480" s="811"/>
      <c r="W480" s="811"/>
      <c r="X480" s="811"/>
      <c r="Y480" s="811"/>
      <c r="Z480" s="811"/>
    </row>
    <row r="481" spans="1:26" ht="15" thickBot="1">
      <c r="A481" s="811"/>
      <c r="B481" s="811"/>
      <c r="C481" s="811"/>
      <c r="D481" s="811"/>
      <c r="E481" s="811"/>
      <c r="F481" s="811"/>
      <c r="G481" s="811"/>
      <c r="H481" s="811"/>
      <c r="I481" s="811"/>
      <c r="J481" s="811"/>
      <c r="K481" s="811"/>
      <c r="L481" s="811"/>
      <c r="M481" s="811"/>
      <c r="N481" s="811"/>
      <c r="O481" s="811"/>
      <c r="P481" s="811"/>
      <c r="Q481" s="811"/>
      <c r="R481" s="811"/>
      <c r="S481" s="811"/>
      <c r="T481" s="811"/>
      <c r="U481" s="811"/>
      <c r="V481" s="811"/>
      <c r="W481" s="811"/>
      <c r="X481" s="811"/>
      <c r="Y481" s="811"/>
      <c r="Z481" s="811"/>
    </row>
    <row r="482" spans="1:26" ht="15" thickBot="1">
      <c r="A482" s="811"/>
      <c r="B482" s="811"/>
      <c r="C482" s="811"/>
      <c r="D482" s="811"/>
      <c r="E482" s="811"/>
      <c r="F482" s="811"/>
      <c r="G482" s="811"/>
      <c r="H482" s="811"/>
      <c r="I482" s="811"/>
      <c r="J482" s="811"/>
      <c r="K482" s="811"/>
      <c r="L482" s="811"/>
      <c r="M482" s="811"/>
      <c r="N482" s="811"/>
      <c r="O482" s="811"/>
      <c r="P482" s="811"/>
      <c r="Q482" s="811"/>
      <c r="R482" s="811"/>
      <c r="S482" s="811"/>
      <c r="T482" s="811"/>
      <c r="U482" s="811"/>
      <c r="V482" s="811"/>
      <c r="W482" s="811"/>
      <c r="X482" s="811"/>
      <c r="Y482" s="811"/>
      <c r="Z482" s="811"/>
    </row>
    <row r="483" spans="1:26" ht="15" thickBot="1">
      <c r="A483" s="811"/>
      <c r="B483" s="811"/>
      <c r="C483" s="811"/>
      <c r="D483" s="811"/>
      <c r="E483" s="811"/>
      <c r="F483" s="811"/>
      <c r="G483" s="811"/>
      <c r="H483" s="811"/>
      <c r="I483" s="811"/>
      <c r="J483" s="811"/>
      <c r="K483" s="811"/>
      <c r="L483" s="811"/>
      <c r="M483" s="811"/>
      <c r="N483" s="811"/>
      <c r="O483" s="811"/>
      <c r="P483" s="811"/>
      <c r="Q483" s="811"/>
      <c r="R483" s="811"/>
      <c r="S483" s="811"/>
      <c r="T483" s="811"/>
      <c r="U483" s="811"/>
      <c r="V483" s="811"/>
      <c r="W483" s="811"/>
      <c r="X483" s="811"/>
      <c r="Y483" s="811"/>
      <c r="Z483" s="811"/>
    </row>
    <row r="484" spans="1:26" ht="15" thickBot="1">
      <c r="A484" s="811"/>
      <c r="B484" s="811"/>
      <c r="C484" s="811"/>
      <c r="D484" s="811"/>
      <c r="E484" s="811"/>
      <c r="F484" s="811"/>
      <c r="G484" s="811"/>
      <c r="H484" s="811"/>
      <c r="I484" s="811"/>
      <c r="J484" s="811"/>
      <c r="K484" s="811"/>
      <c r="L484" s="811"/>
      <c r="M484" s="811"/>
      <c r="N484" s="811"/>
      <c r="O484" s="811"/>
      <c r="P484" s="811"/>
      <c r="Q484" s="811"/>
      <c r="R484" s="811"/>
      <c r="S484" s="811"/>
      <c r="T484" s="811"/>
      <c r="U484" s="811"/>
      <c r="V484" s="811"/>
      <c r="W484" s="811"/>
      <c r="X484" s="811"/>
      <c r="Y484" s="811"/>
      <c r="Z484" s="811"/>
    </row>
    <row r="485" spans="1:26" ht="15" thickBot="1">
      <c r="A485" s="811"/>
      <c r="B485" s="811"/>
      <c r="C485" s="811"/>
      <c r="D485" s="811"/>
      <c r="E485" s="811"/>
      <c r="F485" s="811"/>
      <c r="G485" s="811"/>
      <c r="H485" s="811"/>
      <c r="I485" s="811"/>
      <c r="J485" s="811"/>
      <c r="K485" s="811"/>
      <c r="L485" s="811"/>
      <c r="M485" s="811"/>
      <c r="N485" s="811"/>
      <c r="O485" s="811"/>
      <c r="P485" s="811"/>
      <c r="Q485" s="811"/>
      <c r="R485" s="811"/>
      <c r="S485" s="811"/>
      <c r="T485" s="811"/>
      <c r="U485" s="811"/>
      <c r="V485" s="811"/>
      <c r="W485" s="811"/>
      <c r="X485" s="811"/>
      <c r="Y485" s="811"/>
      <c r="Z485" s="811"/>
    </row>
    <row r="486" spans="1:26" ht="15" thickBot="1">
      <c r="A486" s="811"/>
      <c r="B486" s="811"/>
      <c r="C486" s="811"/>
      <c r="D486" s="811"/>
      <c r="E486" s="811"/>
      <c r="F486" s="811"/>
      <c r="G486" s="811"/>
      <c r="H486" s="811"/>
      <c r="I486" s="811"/>
      <c r="J486" s="811"/>
      <c r="K486" s="811"/>
      <c r="L486" s="811"/>
      <c r="M486" s="811"/>
      <c r="N486" s="811"/>
      <c r="O486" s="811"/>
      <c r="P486" s="811"/>
      <c r="Q486" s="811"/>
      <c r="R486" s="811"/>
      <c r="S486" s="811"/>
      <c r="T486" s="811"/>
      <c r="U486" s="811"/>
      <c r="V486" s="811"/>
      <c r="W486" s="811"/>
      <c r="X486" s="811"/>
      <c r="Y486" s="811"/>
      <c r="Z486" s="811"/>
    </row>
    <row r="487" spans="1:26" ht="15" thickBot="1">
      <c r="A487" s="811"/>
      <c r="B487" s="811"/>
      <c r="C487" s="811"/>
      <c r="D487" s="811"/>
      <c r="E487" s="811"/>
      <c r="F487" s="811"/>
      <c r="G487" s="811"/>
      <c r="H487" s="811"/>
      <c r="I487" s="811"/>
      <c r="J487" s="811"/>
      <c r="K487" s="811"/>
      <c r="L487" s="811"/>
      <c r="M487" s="811"/>
      <c r="N487" s="811"/>
      <c r="O487" s="811"/>
      <c r="P487" s="811"/>
      <c r="Q487" s="811"/>
      <c r="R487" s="811"/>
      <c r="S487" s="811"/>
      <c r="T487" s="811"/>
      <c r="U487" s="811"/>
      <c r="V487" s="811"/>
      <c r="W487" s="811"/>
      <c r="X487" s="811"/>
      <c r="Y487" s="811"/>
      <c r="Z487" s="811"/>
    </row>
    <row r="488" spans="1:26" ht="15" thickBot="1">
      <c r="A488" s="811"/>
      <c r="B488" s="811"/>
      <c r="C488" s="811"/>
      <c r="D488" s="811"/>
      <c r="E488" s="811"/>
      <c r="F488" s="811"/>
      <c r="G488" s="811"/>
      <c r="H488" s="811"/>
      <c r="I488" s="811"/>
      <c r="J488" s="811"/>
      <c r="K488" s="811"/>
      <c r="L488" s="811"/>
      <c r="M488" s="811"/>
      <c r="N488" s="811"/>
      <c r="O488" s="811"/>
      <c r="P488" s="811"/>
      <c r="Q488" s="811"/>
      <c r="R488" s="811"/>
      <c r="S488" s="811"/>
      <c r="T488" s="811"/>
      <c r="U488" s="811"/>
      <c r="V488" s="811"/>
      <c r="W488" s="811"/>
      <c r="X488" s="811"/>
      <c r="Y488" s="811"/>
      <c r="Z488" s="811"/>
    </row>
    <row r="489" spans="1:26" ht="15" thickBot="1">
      <c r="A489" s="811"/>
      <c r="B489" s="811"/>
      <c r="C489" s="811"/>
      <c r="D489" s="811"/>
      <c r="E489" s="811"/>
      <c r="F489" s="811"/>
      <c r="G489" s="811"/>
      <c r="H489" s="811"/>
      <c r="I489" s="811"/>
      <c r="J489" s="811"/>
      <c r="K489" s="811"/>
      <c r="L489" s="811"/>
      <c r="M489" s="811"/>
      <c r="N489" s="811"/>
      <c r="O489" s="811"/>
      <c r="P489" s="811"/>
      <c r="Q489" s="811"/>
      <c r="R489" s="811"/>
      <c r="S489" s="811"/>
      <c r="T489" s="811"/>
      <c r="U489" s="811"/>
      <c r="V489" s="811"/>
      <c r="W489" s="811"/>
      <c r="X489" s="811"/>
      <c r="Y489" s="811"/>
      <c r="Z489" s="811"/>
    </row>
    <row r="490" spans="1:26" ht="15" thickBot="1">
      <c r="A490" s="811"/>
      <c r="B490" s="811"/>
      <c r="C490" s="811"/>
      <c r="D490" s="811"/>
      <c r="E490" s="811"/>
      <c r="F490" s="811"/>
      <c r="G490" s="811"/>
      <c r="H490" s="811"/>
      <c r="I490" s="811"/>
      <c r="J490" s="811"/>
      <c r="K490" s="811"/>
      <c r="L490" s="811"/>
      <c r="M490" s="811"/>
      <c r="N490" s="811"/>
      <c r="O490" s="811"/>
      <c r="P490" s="811"/>
      <c r="Q490" s="811"/>
      <c r="R490" s="811"/>
      <c r="S490" s="811"/>
      <c r="T490" s="811"/>
      <c r="U490" s="811"/>
      <c r="V490" s="811"/>
      <c r="W490" s="811"/>
      <c r="X490" s="811"/>
      <c r="Y490" s="811"/>
      <c r="Z490" s="811"/>
    </row>
    <row r="491" spans="1:26" ht="15" thickBot="1">
      <c r="A491" s="811"/>
      <c r="B491" s="811"/>
      <c r="C491" s="811"/>
      <c r="D491" s="811"/>
      <c r="E491" s="811"/>
      <c r="F491" s="811"/>
      <c r="G491" s="811"/>
      <c r="H491" s="811"/>
      <c r="I491" s="811"/>
      <c r="J491" s="811"/>
      <c r="K491" s="811"/>
      <c r="L491" s="811"/>
      <c r="M491" s="811"/>
      <c r="N491" s="811"/>
      <c r="O491" s="811"/>
      <c r="P491" s="811"/>
      <c r="Q491" s="811"/>
      <c r="R491" s="811"/>
      <c r="S491" s="811"/>
      <c r="T491" s="811"/>
      <c r="U491" s="811"/>
      <c r="V491" s="811"/>
      <c r="W491" s="811"/>
      <c r="X491" s="811"/>
      <c r="Y491" s="811"/>
      <c r="Z491" s="811"/>
    </row>
    <row r="492" spans="1:26" ht="15" thickBot="1">
      <c r="A492" s="811"/>
      <c r="B492" s="811"/>
      <c r="C492" s="811"/>
      <c r="D492" s="811"/>
      <c r="E492" s="811"/>
      <c r="F492" s="811"/>
      <c r="G492" s="811"/>
      <c r="H492" s="811"/>
      <c r="I492" s="811"/>
      <c r="J492" s="811"/>
      <c r="K492" s="811"/>
      <c r="L492" s="811"/>
      <c r="M492" s="811"/>
      <c r="N492" s="811"/>
      <c r="O492" s="811"/>
      <c r="P492" s="811"/>
      <c r="Q492" s="811"/>
      <c r="R492" s="811"/>
      <c r="S492" s="811"/>
      <c r="T492" s="811"/>
      <c r="U492" s="811"/>
      <c r="V492" s="811"/>
      <c r="W492" s="811"/>
      <c r="X492" s="811"/>
      <c r="Y492" s="811"/>
      <c r="Z492" s="811"/>
    </row>
    <row r="493" spans="1:26" ht="15" thickBot="1">
      <c r="A493" s="811"/>
      <c r="B493" s="811"/>
      <c r="C493" s="811"/>
      <c r="D493" s="811"/>
      <c r="E493" s="811"/>
      <c r="F493" s="811"/>
      <c r="G493" s="811"/>
      <c r="H493" s="811"/>
      <c r="I493" s="811"/>
      <c r="J493" s="811"/>
      <c r="K493" s="811"/>
      <c r="L493" s="811"/>
      <c r="M493" s="811"/>
      <c r="N493" s="811"/>
      <c r="O493" s="811"/>
      <c r="P493" s="811"/>
      <c r="Q493" s="811"/>
      <c r="R493" s="811"/>
      <c r="S493" s="811"/>
      <c r="T493" s="811"/>
      <c r="U493" s="811"/>
      <c r="V493" s="811"/>
      <c r="W493" s="811"/>
      <c r="X493" s="811"/>
      <c r="Y493" s="811"/>
      <c r="Z493" s="811"/>
    </row>
    <row r="494" spans="1:26" ht="15" thickBot="1">
      <c r="A494" s="811"/>
      <c r="B494" s="811"/>
      <c r="C494" s="811"/>
      <c r="D494" s="811"/>
      <c r="E494" s="811"/>
      <c r="F494" s="811"/>
      <c r="G494" s="811"/>
      <c r="H494" s="811"/>
      <c r="I494" s="811"/>
      <c r="J494" s="811"/>
      <c r="K494" s="811"/>
      <c r="L494" s="811"/>
      <c r="M494" s="811"/>
      <c r="N494" s="811"/>
      <c r="O494" s="811"/>
      <c r="P494" s="811"/>
      <c r="Q494" s="811"/>
      <c r="R494" s="811"/>
      <c r="S494" s="811"/>
      <c r="T494" s="811"/>
      <c r="U494" s="811"/>
      <c r="V494" s="811"/>
      <c r="W494" s="811"/>
      <c r="X494" s="811"/>
      <c r="Y494" s="811"/>
      <c r="Z494" s="811"/>
    </row>
    <row r="495" spans="1:26" ht="15" thickBot="1">
      <c r="A495" s="811"/>
      <c r="B495" s="811"/>
      <c r="C495" s="811"/>
      <c r="D495" s="811"/>
      <c r="E495" s="811"/>
      <c r="F495" s="811"/>
      <c r="G495" s="811"/>
      <c r="H495" s="811"/>
      <c r="I495" s="811"/>
      <c r="J495" s="811"/>
      <c r="K495" s="811"/>
      <c r="L495" s="811"/>
      <c r="M495" s="811"/>
      <c r="N495" s="811"/>
      <c r="O495" s="811"/>
      <c r="P495" s="811"/>
      <c r="Q495" s="811"/>
      <c r="R495" s="811"/>
      <c r="S495" s="811"/>
      <c r="T495" s="811"/>
      <c r="U495" s="811"/>
      <c r="V495" s="811"/>
      <c r="W495" s="811"/>
      <c r="X495" s="811"/>
      <c r="Y495" s="811"/>
      <c r="Z495" s="811"/>
    </row>
    <row r="496" spans="1:26" ht="15" thickBot="1">
      <c r="A496" s="811"/>
      <c r="B496" s="811"/>
      <c r="C496" s="811"/>
      <c r="D496" s="811"/>
      <c r="E496" s="811"/>
      <c r="F496" s="811"/>
      <c r="G496" s="811"/>
      <c r="H496" s="811"/>
      <c r="I496" s="811"/>
      <c r="J496" s="811"/>
      <c r="K496" s="811"/>
      <c r="L496" s="811"/>
      <c r="M496" s="811"/>
      <c r="N496" s="811"/>
      <c r="O496" s="811"/>
      <c r="P496" s="811"/>
      <c r="Q496" s="811"/>
      <c r="R496" s="811"/>
      <c r="S496" s="811"/>
      <c r="T496" s="811"/>
      <c r="U496" s="811"/>
      <c r="V496" s="811"/>
      <c r="W496" s="811"/>
      <c r="X496" s="811"/>
      <c r="Y496" s="811"/>
      <c r="Z496" s="811"/>
    </row>
    <row r="497" spans="1:26" ht="15" thickBot="1">
      <c r="A497" s="811"/>
      <c r="B497" s="811"/>
      <c r="C497" s="811"/>
      <c r="D497" s="811"/>
      <c r="E497" s="811"/>
      <c r="F497" s="811"/>
      <c r="G497" s="811"/>
      <c r="H497" s="811"/>
      <c r="I497" s="811"/>
      <c r="J497" s="811"/>
      <c r="K497" s="811"/>
      <c r="L497" s="811"/>
      <c r="M497" s="811"/>
      <c r="N497" s="811"/>
      <c r="O497" s="811"/>
      <c r="P497" s="811"/>
      <c r="Q497" s="811"/>
      <c r="R497" s="811"/>
      <c r="S497" s="811"/>
      <c r="T497" s="811"/>
      <c r="U497" s="811"/>
      <c r="V497" s="811"/>
      <c r="W497" s="811"/>
      <c r="X497" s="811"/>
      <c r="Y497" s="811"/>
      <c r="Z497" s="811"/>
    </row>
    <row r="498" spans="1:26" ht="15" thickBot="1">
      <c r="A498" s="811"/>
      <c r="B498" s="811"/>
      <c r="C498" s="811"/>
      <c r="D498" s="811"/>
      <c r="E498" s="811"/>
      <c r="F498" s="811"/>
      <c r="G498" s="811"/>
      <c r="H498" s="811"/>
      <c r="I498" s="811"/>
      <c r="J498" s="811"/>
      <c r="K498" s="811"/>
      <c r="L498" s="811"/>
      <c r="M498" s="811"/>
      <c r="N498" s="811"/>
      <c r="O498" s="811"/>
      <c r="P498" s="811"/>
      <c r="Q498" s="811"/>
      <c r="R498" s="811"/>
      <c r="S498" s="811"/>
      <c r="T498" s="811"/>
      <c r="U498" s="811"/>
      <c r="V498" s="811"/>
      <c r="W498" s="811"/>
      <c r="X498" s="811"/>
      <c r="Y498" s="811"/>
      <c r="Z498" s="811"/>
    </row>
    <row r="499" spans="1:26" ht="15" thickBot="1">
      <c r="A499" s="811"/>
      <c r="B499" s="811"/>
      <c r="C499" s="811"/>
      <c r="D499" s="811"/>
      <c r="E499" s="811"/>
      <c r="F499" s="811"/>
      <c r="G499" s="811"/>
      <c r="H499" s="811"/>
      <c r="I499" s="811"/>
      <c r="J499" s="811"/>
      <c r="K499" s="811"/>
      <c r="L499" s="811"/>
      <c r="M499" s="811"/>
      <c r="N499" s="811"/>
      <c r="O499" s="811"/>
      <c r="P499" s="811"/>
      <c r="Q499" s="811"/>
      <c r="R499" s="811"/>
      <c r="S499" s="811"/>
      <c r="T499" s="811"/>
      <c r="U499" s="811"/>
      <c r="V499" s="811"/>
      <c r="W499" s="811"/>
      <c r="X499" s="811"/>
      <c r="Y499" s="811"/>
      <c r="Z499" s="811"/>
    </row>
    <row r="500" spans="1:26" ht="15" thickBot="1">
      <c r="A500" s="811"/>
      <c r="B500" s="811"/>
      <c r="C500" s="811"/>
      <c r="D500" s="811"/>
      <c r="E500" s="811"/>
      <c r="F500" s="811"/>
      <c r="G500" s="811"/>
      <c r="H500" s="811"/>
      <c r="I500" s="811"/>
      <c r="J500" s="811"/>
      <c r="K500" s="811"/>
      <c r="L500" s="811"/>
      <c r="M500" s="811"/>
      <c r="N500" s="811"/>
      <c r="O500" s="811"/>
      <c r="P500" s="811"/>
      <c r="Q500" s="811"/>
      <c r="R500" s="811"/>
      <c r="S500" s="811"/>
      <c r="T500" s="811"/>
      <c r="U500" s="811"/>
      <c r="V500" s="811"/>
      <c r="W500" s="811"/>
      <c r="X500" s="811"/>
      <c r="Y500" s="811"/>
      <c r="Z500" s="811"/>
    </row>
    <row r="501" spans="1:26" ht="15" thickBot="1">
      <c r="A501" s="811"/>
      <c r="B501" s="811"/>
      <c r="C501" s="811"/>
      <c r="D501" s="811"/>
      <c r="E501" s="811"/>
      <c r="F501" s="811"/>
      <c r="G501" s="811"/>
      <c r="H501" s="811"/>
      <c r="I501" s="811"/>
      <c r="J501" s="811"/>
      <c r="K501" s="811"/>
      <c r="L501" s="811"/>
      <c r="M501" s="811"/>
      <c r="N501" s="811"/>
      <c r="O501" s="811"/>
      <c r="P501" s="811"/>
      <c r="Q501" s="811"/>
      <c r="R501" s="811"/>
      <c r="S501" s="811"/>
      <c r="T501" s="811"/>
      <c r="U501" s="811"/>
      <c r="V501" s="811"/>
      <c r="W501" s="811"/>
      <c r="X501" s="811"/>
      <c r="Y501" s="811"/>
      <c r="Z501" s="811"/>
    </row>
    <row r="502" spans="1:26" ht="15" thickBot="1">
      <c r="A502" s="811"/>
      <c r="B502" s="811"/>
      <c r="C502" s="811"/>
      <c r="D502" s="811"/>
      <c r="E502" s="811"/>
      <c r="F502" s="811"/>
      <c r="G502" s="811"/>
      <c r="H502" s="811"/>
      <c r="I502" s="811"/>
      <c r="J502" s="811"/>
      <c r="K502" s="811"/>
      <c r="L502" s="811"/>
      <c r="M502" s="811"/>
      <c r="N502" s="811"/>
      <c r="O502" s="811"/>
      <c r="P502" s="811"/>
      <c r="Q502" s="811"/>
      <c r="R502" s="811"/>
      <c r="S502" s="811"/>
      <c r="T502" s="811"/>
      <c r="U502" s="811"/>
      <c r="V502" s="811"/>
      <c r="W502" s="811"/>
      <c r="X502" s="811"/>
      <c r="Y502" s="811"/>
      <c r="Z502" s="811"/>
    </row>
    <row r="503" spans="1:26" ht="15" thickBot="1">
      <c r="A503" s="811"/>
      <c r="B503" s="811"/>
      <c r="C503" s="811"/>
      <c r="D503" s="811"/>
      <c r="E503" s="811"/>
      <c r="F503" s="811"/>
      <c r="G503" s="811"/>
      <c r="H503" s="811"/>
      <c r="I503" s="811"/>
      <c r="J503" s="811"/>
      <c r="K503" s="811"/>
      <c r="L503" s="811"/>
      <c r="M503" s="811"/>
      <c r="N503" s="811"/>
      <c r="O503" s="811"/>
      <c r="P503" s="811"/>
      <c r="Q503" s="811"/>
      <c r="R503" s="811"/>
      <c r="S503" s="811"/>
      <c r="T503" s="811"/>
      <c r="U503" s="811"/>
      <c r="V503" s="811"/>
      <c r="W503" s="811"/>
      <c r="X503" s="811"/>
      <c r="Y503" s="811"/>
      <c r="Z503" s="811"/>
    </row>
    <row r="504" spans="1:26" ht="15" thickBot="1">
      <c r="A504" s="811"/>
      <c r="B504" s="811"/>
      <c r="C504" s="811"/>
      <c r="D504" s="811"/>
      <c r="E504" s="811"/>
      <c r="F504" s="811"/>
      <c r="G504" s="811"/>
      <c r="H504" s="811"/>
      <c r="I504" s="811"/>
      <c r="J504" s="811"/>
      <c r="K504" s="811"/>
      <c r="L504" s="811"/>
      <c r="M504" s="811"/>
      <c r="N504" s="811"/>
      <c r="O504" s="811"/>
      <c r="P504" s="811"/>
      <c r="Q504" s="811"/>
      <c r="R504" s="811"/>
      <c r="S504" s="811"/>
      <c r="T504" s="811"/>
      <c r="U504" s="811"/>
      <c r="V504" s="811"/>
      <c r="W504" s="811"/>
      <c r="X504" s="811"/>
      <c r="Y504" s="811"/>
      <c r="Z504" s="811"/>
    </row>
    <row r="505" spans="1:26" ht="15" thickBot="1">
      <c r="A505" s="811"/>
      <c r="B505" s="811"/>
      <c r="C505" s="811"/>
      <c r="D505" s="811"/>
      <c r="E505" s="811"/>
      <c r="F505" s="811"/>
      <c r="G505" s="811"/>
      <c r="H505" s="811"/>
      <c r="I505" s="811"/>
      <c r="J505" s="811"/>
      <c r="K505" s="811"/>
      <c r="L505" s="811"/>
      <c r="M505" s="811"/>
      <c r="N505" s="811"/>
      <c r="O505" s="811"/>
      <c r="P505" s="811"/>
      <c r="Q505" s="811"/>
      <c r="R505" s="811"/>
      <c r="S505" s="811"/>
      <c r="T505" s="811"/>
      <c r="U505" s="811"/>
      <c r="V505" s="811"/>
      <c r="W505" s="811"/>
      <c r="X505" s="811"/>
      <c r="Y505" s="811"/>
      <c r="Z505" s="811"/>
    </row>
    <row r="506" spans="1:26" ht="15" thickBot="1">
      <c r="A506" s="811"/>
      <c r="B506" s="811"/>
      <c r="C506" s="811"/>
      <c r="D506" s="811"/>
      <c r="E506" s="811"/>
      <c r="F506" s="811"/>
      <c r="G506" s="811"/>
      <c r="H506" s="811"/>
      <c r="I506" s="811"/>
      <c r="J506" s="811"/>
      <c r="K506" s="811"/>
      <c r="L506" s="811"/>
      <c r="M506" s="811"/>
      <c r="N506" s="811"/>
      <c r="O506" s="811"/>
      <c r="P506" s="811"/>
      <c r="Q506" s="811"/>
      <c r="R506" s="811"/>
      <c r="S506" s="811"/>
      <c r="T506" s="811"/>
      <c r="U506" s="811"/>
      <c r="V506" s="811"/>
      <c r="W506" s="811"/>
      <c r="X506" s="811"/>
      <c r="Y506" s="811"/>
      <c r="Z506" s="811"/>
    </row>
    <row r="507" spans="1:26" ht="15" thickBot="1">
      <c r="A507" s="811"/>
      <c r="B507" s="811"/>
      <c r="C507" s="811"/>
      <c r="D507" s="811"/>
      <c r="E507" s="811"/>
      <c r="F507" s="811"/>
      <c r="G507" s="811"/>
      <c r="H507" s="811"/>
      <c r="I507" s="811"/>
      <c r="J507" s="811"/>
      <c r="K507" s="811"/>
      <c r="L507" s="811"/>
      <c r="M507" s="811"/>
      <c r="N507" s="811"/>
      <c r="O507" s="811"/>
      <c r="P507" s="811"/>
      <c r="Q507" s="811"/>
      <c r="R507" s="811"/>
      <c r="S507" s="811"/>
      <c r="T507" s="811"/>
      <c r="U507" s="811"/>
      <c r="V507" s="811"/>
      <c r="W507" s="811"/>
      <c r="X507" s="811"/>
      <c r="Y507" s="811"/>
      <c r="Z507" s="811"/>
    </row>
    <row r="508" spans="1:26" ht="15" thickBot="1">
      <c r="A508" s="811"/>
      <c r="B508" s="811"/>
      <c r="C508" s="811"/>
      <c r="D508" s="811"/>
      <c r="E508" s="811"/>
      <c r="F508" s="811"/>
      <c r="G508" s="811"/>
      <c r="H508" s="811"/>
      <c r="I508" s="811"/>
      <c r="J508" s="811"/>
      <c r="K508" s="811"/>
      <c r="L508" s="811"/>
      <c r="M508" s="811"/>
      <c r="N508" s="811"/>
      <c r="O508" s="811"/>
      <c r="P508" s="811"/>
      <c r="Q508" s="811"/>
      <c r="R508" s="811"/>
      <c r="S508" s="811"/>
      <c r="T508" s="811"/>
      <c r="U508" s="811"/>
      <c r="V508" s="811"/>
      <c r="W508" s="811"/>
      <c r="X508" s="811"/>
      <c r="Y508" s="811"/>
      <c r="Z508" s="811"/>
    </row>
    <row r="509" spans="1:26" ht="15" thickBot="1">
      <c r="A509" s="811"/>
      <c r="B509" s="811"/>
      <c r="C509" s="811"/>
      <c r="D509" s="811"/>
      <c r="E509" s="811"/>
      <c r="F509" s="811"/>
      <c r="G509" s="811"/>
      <c r="H509" s="811"/>
      <c r="I509" s="811"/>
      <c r="J509" s="811"/>
      <c r="K509" s="811"/>
      <c r="L509" s="811"/>
      <c r="M509" s="811"/>
      <c r="N509" s="811"/>
      <c r="O509" s="811"/>
      <c r="P509" s="811"/>
      <c r="Q509" s="811"/>
      <c r="R509" s="811"/>
      <c r="S509" s="811"/>
      <c r="T509" s="811"/>
      <c r="U509" s="811"/>
      <c r="V509" s="811"/>
      <c r="W509" s="811"/>
      <c r="X509" s="811"/>
      <c r="Y509" s="811"/>
      <c r="Z509" s="811"/>
    </row>
    <row r="510" spans="1:26" ht="15" thickBot="1">
      <c r="A510" s="811"/>
      <c r="B510" s="811"/>
      <c r="C510" s="811"/>
      <c r="D510" s="811"/>
      <c r="E510" s="811"/>
      <c r="F510" s="811"/>
      <c r="G510" s="811"/>
      <c r="H510" s="811"/>
      <c r="I510" s="811"/>
      <c r="J510" s="811"/>
      <c r="K510" s="811"/>
      <c r="L510" s="811"/>
      <c r="M510" s="811"/>
      <c r="N510" s="811"/>
      <c r="O510" s="811"/>
      <c r="P510" s="811"/>
      <c r="Q510" s="811"/>
      <c r="R510" s="811"/>
      <c r="S510" s="811"/>
      <c r="T510" s="811"/>
      <c r="U510" s="811"/>
      <c r="V510" s="811"/>
      <c r="W510" s="811"/>
      <c r="X510" s="811"/>
      <c r="Y510" s="811"/>
      <c r="Z510" s="811"/>
    </row>
    <row r="511" spans="1:26" ht="15" thickBot="1">
      <c r="A511" s="811"/>
      <c r="B511" s="811"/>
      <c r="C511" s="811"/>
      <c r="D511" s="811"/>
      <c r="E511" s="811"/>
      <c r="F511" s="811"/>
      <c r="G511" s="811"/>
      <c r="H511" s="811"/>
      <c r="I511" s="811"/>
      <c r="J511" s="811"/>
      <c r="K511" s="811"/>
      <c r="L511" s="811"/>
      <c r="M511" s="811"/>
      <c r="N511" s="811"/>
      <c r="O511" s="811"/>
      <c r="P511" s="811"/>
      <c r="Q511" s="811"/>
      <c r="R511" s="811"/>
      <c r="S511" s="811"/>
      <c r="T511" s="811"/>
      <c r="U511" s="811"/>
      <c r="V511" s="811"/>
      <c r="W511" s="811"/>
      <c r="X511" s="811"/>
      <c r="Y511" s="811"/>
      <c r="Z511" s="811"/>
    </row>
    <row r="512" spans="1:26" ht="15" thickBot="1">
      <c r="A512" s="811"/>
      <c r="B512" s="811"/>
      <c r="C512" s="811"/>
      <c r="D512" s="811"/>
      <c r="E512" s="811"/>
      <c r="F512" s="811"/>
      <c r="G512" s="811"/>
      <c r="H512" s="811"/>
      <c r="I512" s="811"/>
      <c r="J512" s="811"/>
      <c r="K512" s="811"/>
      <c r="L512" s="811"/>
      <c r="M512" s="811"/>
      <c r="N512" s="811"/>
      <c r="O512" s="811"/>
      <c r="P512" s="811"/>
      <c r="Q512" s="811"/>
      <c r="R512" s="811"/>
      <c r="S512" s="811"/>
      <c r="T512" s="811"/>
      <c r="U512" s="811"/>
      <c r="V512" s="811"/>
      <c r="W512" s="811"/>
      <c r="X512" s="811"/>
      <c r="Y512" s="811"/>
      <c r="Z512" s="811"/>
    </row>
    <row r="513" spans="1:26" ht="15" thickBot="1">
      <c r="A513" s="811"/>
      <c r="B513" s="811"/>
      <c r="C513" s="811"/>
      <c r="D513" s="811"/>
      <c r="E513" s="811"/>
      <c r="F513" s="811"/>
      <c r="G513" s="811"/>
      <c r="H513" s="811"/>
      <c r="I513" s="811"/>
      <c r="J513" s="811"/>
      <c r="K513" s="811"/>
      <c r="L513" s="811"/>
      <c r="M513" s="811"/>
      <c r="N513" s="811"/>
      <c r="O513" s="811"/>
      <c r="P513" s="811"/>
      <c r="Q513" s="811"/>
      <c r="R513" s="811"/>
      <c r="S513" s="811"/>
      <c r="T513" s="811"/>
      <c r="U513" s="811"/>
      <c r="V513" s="811"/>
      <c r="W513" s="811"/>
      <c r="X513" s="811"/>
      <c r="Y513" s="811"/>
      <c r="Z513" s="811"/>
    </row>
    <row r="514" spans="1:26" ht="15" thickBot="1">
      <c r="A514" s="811"/>
      <c r="B514" s="811"/>
      <c r="C514" s="811"/>
      <c r="D514" s="811"/>
      <c r="E514" s="811"/>
      <c r="F514" s="811"/>
      <c r="G514" s="811"/>
      <c r="H514" s="811"/>
      <c r="I514" s="811"/>
      <c r="J514" s="811"/>
      <c r="K514" s="811"/>
      <c r="L514" s="811"/>
      <c r="M514" s="811"/>
      <c r="N514" s="811"/>
      <c r="O514" s="811"/>
      <c r="P514" s="811"/>
      <c r="Q514" s="811"/>
      <c r="R514" s="811"/>
      <c r="S514" s="811"/>
      <c r="T514" s="811"/>
      <c r="U514" s="811"/>
      <c r="V514" s="811"/>
      <c r="W514" s="811"/>
      <c r="X514" s="811"/>
      <c r="Y514" s="811"/>
      <c r="Z514" s="811"/>
    </row>
    <row r="515" spans="1:26" ht="15" thickBot="1">
      <c r="A515" s="811"/>
      <c r="B515" s="811"/>
      <c r="C515" s="811"/>
      <c r="D515" s="811"/>
      <c r="E515" s="811"/>
      <c r="F515" s="811"/>
      <c r="G515" s="811"/>
      <c r="H515" s="811"/>
      <c r="I515" s="811"/>
      <c r="J515" s="811"/>
      <c r="K515" s="811"/>
      <c r="L515" s="811"/>
      <c r="M515" s="811"/>
      <c r="N515" s="811"/>
      <c r="O515" s="811"/>
      <c r="P515" s="811"/>
      <c r="Q515" s="811"/>
      <c r="R515" s="811"/>
      <c r="S515" s="811"/>
      <c r="T515" s="811"/>
      <c r="U515" s="811"/>
      <c r="V515" s="811"/>
      <c r="W515" s="811"/>
      <c r="X515" s="811"/>
      <c r="Y515" s="811"/>
      <c r="Z515" s="811"/>
    </row>
    <row r="516" spans="1:26" ht="15" thickBot="1">
      <c r="A516" s="811"/>
      <c r="B516" s="811"/>
      <c r="C516" s="811"/>
      <c r="D516" s="811"/>
      <c r="E516" s="811"/>
      <c r="F516" s="811"/>
      <c r="G516" s="811"/>
      <c r="H516" s="811"/>
      <c r="I516" s="811"/>
      <c r="J516" s="811"/>
      <c r="K516" s="811"/>
      <c r="L516" s="811"/>
      <c r="M516" s="811"/>
      <c r="N516" s="811"/>
      <c r="O516" s="811"/>
      <c r="P516" s="811"/>
      <c r="Q516" s="811"/>
      <c r="R516" s="811"/>
      <c r="S516" s="811"/>
      <c r="T516" s="811"/>
      <c r="U516" s="811"/>
      <c r="V516" s="811"/>
      <c r="W516" s="811"/>
      <c r="X516" s="811"/>
      <c r="Y516" s="811"/>
      <c r="Z516" s="811"/>
    </row>
    <row r="517" spans="1:26" ht="15" thickBot="1">
      <c r="A517" s="811"/>
      <c r="B517" s="811"/>
      <c r="C517" s="811"/>
      <c r="D517" s="811"/>
      <c r="E517" s="811"/>
      <c r="F517" s="811"/>
      <c r="G517" s="811"/>
      <c r="H517" s="811"/>
      <c r="I517" s="811"/>
      <c r="J517" s="811"/>
      <c r="K517" s="811"/>
      <c r="L517" s="811"/>
      <c r="M517" s="811"/>
      <c r="N517" s="811"/>
      <c r="O517" s="811"/>
      <c r="P517" s="811"/>
      <c r="Q517" s="811"/>
      <c r="R517" s="811"/>
      <c r="S517" s="811"/>
      <c r="T517" s="811"/>
      <c r="U517" s="811"/>
      <c r="V517" s="811"/>
      <c r="W517" s="811"/>
      <c r="X517" s="811"/>
      <c r="Y517" s="811"/>
      <c r="Z517" s="811"/>
    </row>
    <row r="518" spans="1:26" ht="15" thickBot="1">
      <c r="A518" s="811"/>
      <c r="B518" s="811"/>
      <c r="C518" s="811"/>
      <c r="D518" s="811"/>
      <c r="E518" s="811"/>
      <c r="F518" s="811"/>
      <c r="G518" s="811"/>
      <c r="H518" s="811"/>
      <c r="I518" s="811"/>
      <c r="J518" s="811"/>
      <c r="K518" s="811"/>
      <c r="L518" s="811"/>
      <c r="M518" s="811"/>
      <c r="N518" s="811"/>
      <c r="O518" s="811"/>
      <c r="P518" s="811"/>
      <c r="Q518" s="811"/>
      <c r="R518" s="811"/>
      <c r="S518" s="811"/>
      <c r="T518" s="811"/>
      <c r="U518" s="811"/>
      <c r="V518" s="811"/>
      <c r="W518" s="811"/>
      <c r="X518" s="811"/>
      <c r="Y518" s="811"/>
      <c r="Z518" s="811"/>
    </row>
    <row r="519" spans="1:26" ht="15" thickBot="1">
      <c r="A519" s="811"/>
      <c r="B519" s="811"/>
      <c r="C519" s="811"/>
      <c r="D519" s="811"/>
      <c r="E519" s="811"/>
      <c r="F519" s="811"/>
      <c r="G519" s="811"/>
      <c r="H519" s="811"/>
      <c r="I519" s="811"/>
      <c r="J519" s="811"/>
      <c r="K519" s="811"/>
      <c r="L519" s="811"/>
      <c r="M519" s="811"/>
      <c r="N519" s="811"/>
      <c r="O519" s="811"/>
      <c r="P519" s="811"/>
      <c r="Q519" s="811"/>
      <c r="R519" s="811"/>
      <c r="S519" s="811"/>
      <c r="T519" s="811"/>
      <c r="U519" s="811"/>
      <c r="V519" s="811"/>
      <c r="W519" s="811"/>
      <c r="X519" s="811"/>
      <c r="Y519" s="811"/>
      <c r="Z519" s="811"/>
    </row>
    <row r="520" spans="1:26" ht="15" thickBot="1">
      <c r="A520" s="811"/>
      <c r="B520" s="811"/>
      <c r="C520" s="811"/>
      <c r="D520" s="811"/>
      <c r="E520" s="811"/>
      <c r="F520" s="811"/>
      <c r="G520" s="811"/>
      <c r="H520" s="811"/>
      <c r="I520" s="811"/>
      <c r="J520" s="811"/>
      <c r="K520" s="811"/>
      <c r="L520" s="811"/>
      <c r="M520" s="811"/>
      <c r="N520" s="811"/>
      <c r="O520" s="811"/>
      <c r="P520" s="811"/>
      <c r="Q520" s="811"/>
      <c r="R520" s="811"/>
      <c r="S520" s="811"/>
      <c r="T520" s="811"/>
      <c r="U520" s="811"/>
      <c r="V520" s="811"/>
      <c r="W520" s="811"/>
      <c r="X520" s="811"/>
      <c r="Y520" s="811"/>
      <c r="Z520" s="811"/>
    </row>
    <row r="521" spans="1:26" ht="15" thickBot="1">
      <c r="A521" s="811"/>
      <c r="B521" s="811"/>
      <c r="C521" s="811"/>
      <c r="D521" s="811"/>
      <c r="E521" s="811"/>
      <c r="F521" s="811"/>
      <c r="G521" s="811"/>
      <c r="H521" s="811"/>
      <c r="I521" s="811"/>
      <c r="J521" s="811"/>
      <c r="K521" s="811"/>
      <c r="L521" s="811"/>
      <c r="M521" s="811"/>
      <c r="N521" s="811"/>
      <c r="O521" s="811"/>
      <c r="P521" s="811"/>
      <c r="Q521" s="811"/>
      <c r="R521" s="811"/>
      <c r="S521" s="811"/>
      <c r="T521" s="811"/>
      <c r="U521" s="811"/>
      <c r="V521" s="811"/>
      <c r="W521" s="811"/>
      <c r="X521" s="811"/>
      <c r="Y521" s="811"/>
      <c r="Z521" s="811"/>
    </row>
    <row r="522" spans="1:26" ht="15" thickBot="1">
      <c r="A522" s="811"/>
      <c r="B522" s="811"/>
      <c r="C522" s="811"/>
      <c r="D522" s="811"/>
      <c r="E522" s="811"/>
      <c r="F522" s="811"/>
      <c r="G522" s="811"/>
      <c r="H522" s="811"/>
      <c r="I522" s="811"/>
      <c r="J522" s="811"/>
      <c r="K522" s="811"/>
      <c r="L522" s="811"/>
      <c r="M522" s="811"/>
      <c r="N522" s="811"/>
      <c r="O522" s="811"/>
      <c r="P522" s="811"/>
      <c r="Q522" s="811"/>
      <c r="R522" s="811"/>
      <c r="S522" s="811"/>
      <c r="T522" s="811"/>
      <c r="U522" s="811"/>
      <c r="V522" s="811"/>
      <c r="W522" s="811"/>
      <c r="X522" s="811"/>
      <c r="Y522" s="811"/>
      <c r="Z522" s="811"/>
    </row>
    <row r="523" spans="1:26" ht="15" thickBot="1">
      <c r="A523" s="811"/>
      <c r="B523" s="811"/>
      <c r="C523" s="811"/>
      <c r="D523" s="811"/>
      <c r="E523" s="811"/>
      <c r="F523" s="811"/>
      <c r="G523" s="811"/>
      <c r="H523" s="811"/>
      <c r="I523" s="811"/>
      <c r="J523" s="811"/>
      <c r="K523" s="811"/>
      <c r="L523" s="811"/>
      <c r="M523" s="811"/>
      <c r="N523" s="811"/>
      <c r="O523" s="811"/>
      <c r="P523" s="811"/>
      <c r="Q523" s="811"/>
      <c r="R523" s="811"/>
      <c r="S523" s="811"/>
      <c r="T523" s="811"/>
      <c r="U523" s="811"/>
      <c r="V523" s="811"/>
      <c r="W523" s="811"/>
      <c r="X523" s="811"/>
      <c r="Y523" s="811"/>
      <c r="Z523" s="811"/>
    </row>
    <row r="524" spans="1:26" ht="15" thickBot="1">
      <c r="A524" s="811"/>
      <c r="B524" s="811"/>
      <c r="C524" s="811"/>
      <c r="D524" s="811"/>
      <c r="E524" s="811"/>
      <c r="F524" s="811"/>
      <c r="G524" s="811"/>
      <c r="H524" s="811"/>
      <c r="I524" s="811"/>
      <c r="J524" s="811"/>
      <c r="K524" s="811"/>
      <c r="L524" s="811"/>
      <c r="M524" s="811"/>
      <c r="N524" s="811"/>
      <c r="O524" s="811"/>
      <c r="P524" s="811"/>
      <c r="Q524" s="811"/>
      <c r="R524" s="811"/>
      <c r="S524" s="811"/>
      <c r="T524" s="811"/>
      <c r="U524" s="811"/>
      <c r="V524" s="811"/>
      <c r="W524" s="811"/>
      <c r="X524" s="811"/>
      <c r="Y524" s="811"/>
      <c r="Z524" s="811"/>
    </row>
    <row r="525" spans="1:26" ht="15" thickBot="1">
      <c r="A525" s="811"/>
      <c r="B525" s="811"/>
      <c r="C525" s="811"/>
      <c r="D525" s="811"/>
      <c r="E525" s="811"/>
      <c r="F525" s="811"/>
      <c r="G525" s="811"/>
      <c r="H525" s="811"/>
      <c r="I525" s="811"/>
      <c r="J525" s="811"/>
      <c r="K525" s="811"/>
      <c r="L525" s="811"/>
      <c r="M525" s="811"/>
      <c r="N525" s="811"/>
      <c r="O525" s="811"/>
      <c r="P525" s="811"/>
      <c r="Q525" s="811"/>
      <c r="R525" s="811"/>
      <c r="S525" s="811"/>
      <c r="T525" s="811"/>
      <c r="U525" s="811"/>
      <c r="V525" s="811"/>
      <c r="W525" s="811"/>
      <c r="X525" s="811"/>
      <c r="Y525" s="811"/>
      <c r="Z525" s="811"/>
    </row>
    <row r="526" spans="1:26" ht="15" thickBot="1">
      <c r="A526" s="811"/>
      <c r="B526" s="811"/>
      <c r="C526" s="811"/>
      <c r="D526" s="811"/>
      <c r="E526" s="811"/>
      <c r="F526" s="811"/>
      <c r="G526" s="811"/>
      <c r="H526" s="811"/>
      <c r="I526" s="811"/>
      <c r="J526" s="811"/>
      <c r="K526" s="811"/>
      <c r="L526" s="811"/>
      <c r="M526" s="811"/>
      <c r="N526" s="811"/>
      <c r="O526" s="811"/>
      <c r="P526" s="811"/>
      <c r="Q526" s="811"/>
      <c r="R526" s="811"/>
      <c r="S526" s="811"/>
      <c r="T526" s="811"/>
      <c r="U526" s="811"/>
      <c r="V526" s="811"/>
      <c r="W526" s="811"/>
      <c r="X526" s="811"/>
      <c r="Y526" s="811"/>
      <c r="Z526" s="811"/>
    </row>
    <row r="527" spans="1:26" ht="15" thickBot="1">
      <c r="A527" s="811"/>
      <c r="B527" s="811"/>
      <c r="C527" s="811"/>
      <c r="D527" s="811"/>
      <c r="E527" s="811"/>
      <c r="F527" s="811"/>
      <c r="G527" s="811"/>
      <c r="H527" s="811"/>
      <c r="I527" s="811"/>
      <c r="J527" s="811"/>
      <c r="K527" s="811"/>
      <c r="L527" s="811"/>
      <c r="M527" s="811"/>
      <c r="N527" s="811"/>
      <c r="O527" s="811"/>
      <c r="P527" s="811"/>
      <c r="Q527" s="811"/>
      <c r="R527" s="811"/>
      <c r="S527" s="811"/>
      <c r="T527" s="811"/>
      <c r="U527" s="811"/>
      <c r="V527" s="811"/>
      <c r="W527" s="811"/>
      <c r="X527" s="811"/>
      <c r="Y527" s="811"/>
      <c r="Z527" s="811"/>
    </row>
    <row r="528" spans="1:26" ht="15" thickBot="1">
      <c r="A528" s="811"/>
      <c r="B528" s="811"/>
      <c r="C528" s="811"/>
      <c r="D528" s="811"/>
      <c r="E528" s="811"/>
      <c r="F528" s="811"/>
      <c r="G528" s="811"/>
      <c r="H528" s="811"/>
      <c r="I528" s="811"/>
      <c r="J528" s="811"/>
      <c r="K528" s="811"/>
      <c r="L528" s="811"/>
      <c r="M528" s="811"/>
      <c r="N528" s="811"/>
      <c r="O528" s="811"/>
      <c r="P528" s="811"/>
      <c r="Q528" s="811"/>
      <c r="R528" s="811"/>
      <c r="S528" s="811"/>
      <c r="T528" s="811"/>
      <c r="U528" s="811"/>
      <c r="V528" s="811"/>
      <c r="W528" s="811"/>
      <c r="X528" s="811"/>
      <c r="Y528" s="811"/>
      <c r="Z528" s="811"/>
    </row>
    <row r="529" spans="1:26" ht="15" thickBot="1">
      <c r="A529" s="811"/>
      <c r="B529" s="811"/>
      <c r="C529" s="811"/>
      <c r="D529" s="811"/>
      <c r="E529" s="811"/>
      <c r="F529" s="811"/>
      <c r="G529" s="811"/>
      <c r="H529" s="811"/>
      <c r="I529" s="811"/>
      <c r="J529" s="811"/>
      <c r="K529" s="811"/>
      <c r="L529" s="811"/>
      <c r="M529" s="811"/>
      <c r="N529" s="811"/>
      <c r="O529" s="811"/>
      <c r="P529" s="811"/>
      <c r="Q529" s="811"/>
      <c r="R529" s="811"/>
      <c r="S529" s="811"/>
      <c r="T529" s="811"/>
      <c r="U529" s="811"/>
      <c r="V529" s="811"/>
      <c r="W529" s="811"/>
      <c r="X529" s="811"/>
      <c r="Y529" s="811"/>
      <c r="Z529" s="811"/>
    </row>
    <row r="530" spans="1:26" ht="15" thickBot="1">
      <c r="A530" s="811"/>
      <c r="B530" s="811"/>
      <c r="C530" s="811"/>
      <c r="D530" s="811"/>
      <c r="E530" s="811"/>
      <c r="F530" s="811"/>
      <c r="G530" s="811"/>
      <c r="H530" s="811"/>
      <c r="I530" s="811"/>
      <c r="J530" s="811"/>
      <c r="K530" s="811"/>
      <c r="L530" s="811"/>
      <c r="M530" s="811"/>
      <c r="N530" s="811"/>
      <c r="O530" s="811"/>
      <c r="P530" s="811"/>
      <c r="Q530" s="811"/>
      <c r="R530" s="811"/>
      <c r="S530" s="811"/>
      <c r="T530" s="811"/>
      <c r="U530" s="811"/>
      <c r="V530" s="811"/>
      <c r="W530" s="811"/>
      <c r="X530" s="811"/>
      <c r="Y530" s="811"/>
      <c r="Z530" s="811"/>
    </row>
    <row r="531" spans="1:26" ht="15" thickBot="1">
      <c r="A531" s="811"/>
      <c r="B531" s="811"/>
      <c r="C531" s="811"/>
      <c r="D531" s="811"/>
      <c r="E531" s="811"/>
      <c r="F531" s="811"/>
      <c r="G531" s="811"/>
      <c r="H531" s="811"/>
      <c r="I531" s="811"/>
      <c r="J531" s="811"/>
      <c r="K531" s="811"/>
      <c r="L531" s="811"/>
      <c r="M531" s="811"/>
      <c r="N531" s="811"/>
      <c r="O531" s="811"/>
      <c r="P531" s="811"/>
      <c r="Q531" s="811"/>
      <c r="R531" s="811"/>
      <c r="S531" s="811"/>
      <c r="T531" s="811"/>
      <c r="U531" s="811"/>
      <c r="V531" s="811"/>
      <c r="W531" s="811"/>
      <c r="X531" s="811"/>
      <c r="Y531" s="811"/>
      <c r="Z531" s="811"/>
    </row>
    <row r="532" spans="1:26" ht="15" thickBot="1">
      <c r="A532" s="811"/>
      <c r="B532" s="811"/>
      <c r="C532" s="811"/>
      <c r="D532" s="811"/>
      <c r="E532" s="811"/>
      <c r="F532" s="811"/>
      <c r="G532" s="811"/>
      <c r="H532" s="811"/>
      <c r="I532" s="811"/>
      <c r="J532" s="811"/>
      <c r="K532" s="811"/>
      <c r="L532" s="811"/>
      <c r="M532" s="811"/>
      <c r="N532" s="811"/>
      <c r="O532" s="811"/>
      <c r="P532" s="811"/>
      <c r="Q532" s="811"/>
      <c r="R532" s="811"/>
      <c r="S532" s="811"/>
      <c r="T532" s="811"/>
      <c r="U532" s="811"/>
      <c r="V532" s="811"/>
      <c r="W532" s="811"/>
      <c r="X532" s="811"/>
      <c r="Y532" s="811"/>
      <c r="Z532" s="811"/>
    </row>
    <row r="533" spans="1:26" ht="15" thickBot="1">
      <c r="A533" s="811"/>
      <c r="B533" s="811"/>
      <c r="C533" s="811"/>
      <c r="D533" s="811"/>
      <c r="E533" s="811"/>
      <c r="F533" s="811"/>
      <c r="G533" s="811"/>
      <c r="H533" s="811"/>
      <c r="I533" s="811"/>
      <c r="J533" s="811"/>
      <c r="K533" s="811"/>
      <c r="L533" s="811"/>
      <c r="M533" s="811"/>
      <c r="N533" s="811"/>
      <c r="O533" s="811"/>
      <c r="P533" s="811"/>
      <c r="Q533" s="811"/>
      <c r="R533" s="811"/>
      <c r="S533" s="811"/>
      <c r="T533" s="811"/>
      <c r="U533" s="811"/>
      <c r="V533" s="811"/>
      <c r="W533" s="811"/>
      <c r="X533" s="811"/>
      <c r="Y533" s="811"/>
      <c r="Z533" s="811"/>
    </row>
    <row r="534" spans="1:26" ht="15" thickBot="1">
      <c r="A534" s="811"/>
      <c r="B534" s="811"/>
      <c r="C534" s="811"/>
      <c r="D534" s="811"/>
      <c r="E534" s="811"/>
      <c r="F534" s="811"/>
      <c r="G534" s="811"/>
      <c r="H534" s="811"/>
      <c r="I534" s="811"/>
      <c r="J534" s="811"/>
      <c r="K534" s="811"/>
      <c r="L534" s="811"/>
      <c r="M534" s="811"/>
      <c r="N534" s="811"/>
      <c r="O534" s="811"/>
      <c r="P534" s="811"/>
      <c r="Q534" s="811"/>
      <c r="R534" s="811"/>
      <c r="S534" s="811"/>
      <c r="T534" s="811"/>
      <c r="U534" s="811"/>
      <c r="V534" s="811"/>
      <c r="W534" s="811"/>
      <c r="X534" s="811"/>
      <c r="Y534" s="811"/>
      <c r="Z534" s="811"/>
    </row>
    <row r="535" spans="1:26" ht="15" thickBot="1">
      <c r="A535" s="811"/>
      <c r="B535" s="811"/>
      <c r="C535" s="811"/>
      <c r="D535" s="811"/>
      <c r="E535" s="811"/>
      <c r="F535" s="811"/>
      <c r="G535" s="811"/>
      <c r="H535" s="811"/>
      <c r="I535" s="811"/>
      <c r="J535" s="811"/>
      <c r="K535" s="811"/>
      <c r="L535" s="811"/>
      <c r="M535" s="811"/>
      <c r="N535" s="811"/>
      <c r="O535" s="811"/>
      <c r="P535" s="811"/>
      <c r="Q535" s="811"/>
      <c r="R535" s="811"/>
      <c r="S535" s="811"/>
      <c r="T535" s="811"/>
      <c r="U535" s="811"/>
      <c r="V535" s="811"/>
      <c r="W535" s="811"/>
      <c r="X535" s="811"/>
      <c r="Y535" s="811"/>
      <c r="Z535" s="811"/>
    </row>
    <row r="536" spans="1:26" ht="15" thickBot="1">
      <c r="A536" s="811"/>
      <c r="B536" s="811"/>
      <c r="C536" s="811"/>
      <c r="D536" s="811"/>
      <c r="E536" s="811"/>
      <c r="F536" s="811"/>
      <c r="G536" s="811"/>
      <c r="H536" s="811"/>
      <c r="I536" s="811"/>
      <c r="J536" s="811"/>
      <c r="K536" s="811"/>
      <c r="L536" s="811"/>
      <c r="M536" s="811"/>
      <c r="N536" s="811"/>
      <c r="O536" s="811"/>
      <c r="P536" s="811"/>
      <c r="Q536" s="811"/>
      <c r="R536" s="811"/>
      <c r="S536" s="811"/>
      <c r="T536" s="811"/>
      <c r="U536" s="811"/>
      <c r="V536" s="811"/>
      <c r="W536" s="811"/>
      <c r="X536" s="811"/>
      <c r="Y536" s="811"/>
      <c r="Z536" s="811"/>
    </row>
    <row r="537" spans="1:26" ht="15" thickBot="1">
      <c r="A537" s="811"/>
      <c r="B537" s="811"/>
      <c r="C537" s="811"/>
      <c r="D537" s="811"/>
      <c r="E537" s="811"/>
      <c r="F537" s="811"/>
      <c r="G537" s="811"/>
      <c r="H537" s="811"/>
      <c r="I537" s="811"/>
      <c r="J537" s="811"/>
      <c r="K537" s="811"/>
      <c r="L537" s="811"/>
      <c r="M537" s="811"/>
      <c r="N537" s="811"/>
      <c r="O537" s="811"/>
      <c r="P537" s="811"/>
      <c r="Q537" s="811"/>
      <c r="R537" s="811"/>
      <c r="S537" s="811"/>
      <c r="T537" s="811"/>
      <c r="U537" s="811"/>
      <c r="V537" s="811"/>
      <c r="W537" s="811"/>
      <c r="X537" s="811"/>
      <c r="Y537" s="811"/>
      <c r="Z537" s="811"/>
    </row>
    <row r="538" spans="1:26" ht="15" thickBot="1">
      <c r="A538" s="811"/>
      <c r="B538" s="811"/>
      <c r="C538" s="811"/>
      <c r="D538" s="811"/>
      <c r="E538" s="811"/>
      <c r="F538" s="811"/>
      <c r="G538" s="811"/>
      <c r="H538" s="811"/>
      <c r="I538" s="811"/>
      <c r="J538" s="811"/>
      <c r="K538" s="811"/>
      <c r="L538" s="811"/>
      <c r="M538" s="811"/>
      <c r="N538" s="811"/>
      <c r="O538" s="811"/>
      <c r="P538" s="811"/>
      <c r="Q538" s="811"/>
      <c r="R538" s="811"/>
      <c r="S538" s="811"/>
      <c r="T538" s="811"/>
      <c r="U538" s="811"/>
      <c r="V538" s="811"/>
      <c r="W538" s="811"/>
      <c r="X538" s="811"/>
      <c r="Y538" s="811"/>
      <c r="Z538" s="811"/>
    </row>
    <row r="539" spans="1:26" ht="15" thickBot="1">
      <c r="A539" s="811"/>
      <c r="B539" s="811"/>
      <c r="C539" s="811"/>
      <c r="D539" s="811"/>
      <c r="E539" s="811"/>
      <c r="F539" s="811"/>
      <c r="G539" s="811"/>
      <c r="H539" s="811"/>
      <c r="I539" s="811"/>
      <c r="J539" s="811"/>
      <c r="K539" s="811"/>
      <c r="L539" s="811"/>
      <c r="M539" s="811"/>
      <c r="N539" s="811"/>
      <c r="O539" s="811"/>
      <c r="P539" s="811"/>
      <c r="Q539" s="811"/>
      <c r="R539" s="811"/>
      <c r="S539" s="811"/>
      <c r="T539" s="811"/>
      <c r="U539" s="811"/>
      <c r="V539" s="811"/>
      <c r="W539" s="811"/>
      <c r="X539" s="811"/>
      <c r="Y539" s="811"/>
      <c r="Z539" s="811"/>
    </row>
    <row r="540" spans="1:26" ht="15" thickBot="1">
      <c r="A540" s="811"/>
      <c r="B540" s="811"/>
      <c r="C540" s="811"/>
      <c r="D540" s="811"/>
      <c r="E540" s="811"/>
      <c r="F540" s="811"/>
      <c r="G540" s="811"/>
      <c r="H540" s="811"/>
      <c r="I540" s="811"/>
      <c r="J540" s="811"/>
      <c r="K540" s="811"/>
      <c r="L540" s="811"/>
      <c r="M540" s="811"/>
      <c r="N540" s="811"/>
      <c r="O540" s="811"/>
      <c r="P540" s="811"/>
      <c r="Q540" s="811"/>
      <c r="R540" s="811"/>
      <c r="S540" s="811"/>
      <c r="T540" s="811"/>
      <c r="U540" s="811"/>
      <c r="V540" s="811"/>
      <c r="W540" s="811"/>
      <c r="X540" s="811"/>
      <c r="Y540" s="811"/>
      <c r="Z540" s="811"/>
    </row>
    <row r="541" spans="1:26" ht="15" thickBot="1">
      <c r="A541" s="811"/>
      <c r="B541" s="811"/>
      <c r="C541" s="811"/>
      <c r="D541" s="811"/>
      <c r="E541" s="811"/>
      <c r="F541" s="811"/>
      <c r="G541" s="811"/>
      <c r="H541" s="811"/>
      <c r="I541" s="811"/>
      <c r="J541" s="811"/>
      <c r="K541" s="811"/>
      <c r="L541" s="811"/>
      <c r="M541" s="811"/>
      <c r="N541" s="811"/>
      <c r="O541" s="811"/>
      <c r="P541" s="811"/>
      <c r="Q541" s="811"/>
      <c r="R541" s="811"/>
      <c r="S541" s="811"/>
      <c r="T541" s="811"/>
      <c r="U541" s="811"/>
      <c r="V541" s="811"/>
      <c r="W541" s="811"/>
      <c r="X541" s="811"/>
      <c r="Y541" s="811"/>
      <c r="Z541" s="811"/>
    </row>
    <row r="542" spans="1:26" ht="15" thickBot="1">
      <c r="A542" s="811"/>
      <c r="B542" s="811"/>
      <c r="C542" s="811"/>
      <c r="D542" s="811"/>
      <c r="E542" s="811"/>
      <c r="F542" s="811"/>
      <c r="G542" s="811"/>
      <c r="H542" s="811"/>
      <c r="I542" s="811"/>
      <c r="J542" s="811"/>
      <c r="K542" s="811"/>
      <c r="L542" s="811"/>
      <c r="M542" s="811"/>
      <c r="N542" s="811"/>
      <c r="O542" s="811"/>
      <c r="P542" s="811"/>
      <c r="Q542" s="811"/>
      <c r="R542" s="811"/>
      <c r="S542" s="811"/>
      <c r="T542" s="811"/>
      <c r="U542" s="811"/>
      <c r="V542" s="811"/>
      <c r="W542" s="811"/>
      <c r="X542" s="811"/>
      <c r="Y542" s="811"/>
      <c r="Z542" s="811"/>
    </row>
    <row r="543" spans="1:26" ht="15" thickBot="1">
      <c r="A543" s="811"/>
      <c r="B543" s="811"/>
      <c r="C543" s="811"/>
      <c r="D543" s="811"/>
      <c r="E543" s="811"/>
      <c r="F543" s="811"/>
      <c r="G543" s="811"/>
      <c r="H543" s="811"/>
      <c r="I543" s="811"/>
      <c r="J543" s="811"/>
      <c r="K543" s="811"/>
      <c r="L543" s="811"/>
      <c r="M543" s="811"/>
      <c r="N543" s="811"/>
      <c r="O543" s="811"/>
      <c r="P543" s="811"/>
      <c r="Q543" s="811"/>
      <c r="R543" s="811"/>
      <c r="S543" s="811"/>
      <c r="T543" s="811"/>
      <c r="U543" s="811"/>
      <c r="V543" s="811"/>
      <c r="W543" s="811"/>
      <c r="X543" s="811"/>
      <c r="Y543" s="811"/>
      <c r="Z543" s="811"/>
    </row>
    <row r="544" spans="1:26" ht="15" thickBot="1">
      <c r="A544" s="811"/>
      <c r="B544" s="811"/>
      <c r="C544" s="811"/>
      <c r="D544" s="811"/>
      <c r="E544" s="811"/>
      <c r="F544" s="811"/>
      <c r="G544" s="811"/>
      <c r="H544" s="811"/>
      <c r="I544" s="811"/>
      <c r="J544" s="811"/>
      <c r="K544" s="811"/>
      <c r="L544" s="811"/>
      <c r="M544" s="811"/>
      <c r="N544" s="811"/>
      <c r="O544" s="811"/>
      <c r="P544" s="811"/>
      <c r="Q544" s="811"/>
      <c r="R544" s="811"/>
      <c r="S544" s="811"/>
      <c r="T544" s="811"/>
      <c r="U544" s="811"/>
      <c r="V544" s="811"/>
      <c r="W544" s="811"/>
      <c r="X544" s="811"/>
      <c r="Y544" s="811"/>
      <c r="Z544" s="811"/>
    </row>
    <row r="545" spans="1:26" ht="15" thickBot="1">
      <c r="A545" s="811"/>
      <c r="B545" s="811"/>
      <c r="C545" s="811"/>
      <c r="D545" s="811"/>
      <c r="E545" s="811"/>
      <c r="F545" s="811"/>
      <c r="G545" s="811"/>
      <c r="H545" s="811"/>
      <c r="I545" s="811"/>
      <c r="J545" s="811"/>
      <c r="K545" s="811"/>
      <c r="L545" s="811"/>
      <c r="M545" s="811"/>
      <c r="N545" s="811"/>
      <c r="O545" s="811"/>
      <c r="P545" s="811"/>
      <c r="Q545" s="811"/>
      <c r="R545" s="811"/>
      <c r="S545" s="811"/>
      <c r="T545" s="811"/>
      <c r="U545" s="811"/>
      <c r="V545" s="811"/>
      <c r="W545" s="811"/>
      <c r="X545" s="811"/>
      <c r="Y545" s="811"/>
      <c r="Z545" s="811"/>
    </row>
    <row r="546" spans="1:26" ht="15" thickBot="1">
      <c r="A546" s="811"/>
      <c r="B546" s="811"/>
      <c r="C546" s="811"/>
      <c r="D546" s="811"/>
      <c r="E546" s="811"/>
      <c r="F546" s="811"/>
      <c r="G546" s="811"/>
      <c r="H546" s="811"/>
      <c r="I546" s="811"/>
      <c r="J546" s="811"/>
      <c r="K546" s="811"/>
      <c r="L546" s="811"/>
      <c r="M546" s="811"/>
      <c r="N546" s="811"/>
      <c r="O546" s="811"/>
      <c r="P546" s="811"/>
      <c r="Q546" s="811"/>
      <c r="R546" s="811"/>
      <c r="S546" s="811"/>
      <c r="T546" s="811"/>
      <c r="U546" s="811"/>
      <c r="V546" s="811"/>
      <c r="W546" s="811"/>
      <c r="X546" s="811"/>
      <c r="Y546" s="811"/>
      <c r="Z546" s="811"/>
    </row>
    <row r="547" spans="1:26" ht="15" thickBot="1">
      <c r="A547" s="811"/>
      <c r="B547" s="811"/>
      <c r="C547" s="811"/>
      <c r="D547" s="811"/>
      <c r="E547" s="811"/>
      <c r="F547" s="811"/>
      <c r="G547" s="811"/>
      <c r="H547" s="811"/>
      <c r="I547" s="811"/>
      <c r="J547" s="811"/>
      <c r="K547" s="811"/>
      <c r="L547" s="811"/>
      <c r="M547" s="811"/>
      <c r="N547" s="811"/>
      <c r="O547" s="811"/>
      <c r="P547" s="811"/>
      <c r="Q547" s="811"/>
      <c r="R547" s="811"/>
      <c r="S547" s="811"/>
      <c r="T547" s="811"/>
      <c r="U547" s="811"/>
      <c r="V547" s="811"/>
      <c r="W547" s="811"/>
      <c r="X547" s="811"/>
      <c r="Y547" s="811"/>
      <c r="Z547" s="811"/>
    </row>
    <row r="548" spans="1:26" ht="15" thickBot="1">
      <c r="A548" s="811"/>
      <c r="B548" s="811"/>
      <c r="C548" s="811"/>
      <c r="D548" s="811"/>
      <c r="E548" s="811"/>
      <c r="F548" s="811"/>
      <c r="G548" s="811"/>
      <c r="H548" s="811"/>
      <c r="I548" s="811"/>
      <c r="J548" s="811"/>
      <c r="K548" s="811"/>
      <c r="L548" s="811"/>
      <c r="M548" s="811"/>
      <c r="N548" s="811"/>
      <c r="O548" s="811"/>
      <c r="P548" s="811"/>
      <c r="Q548" s="811"/>
      <c r="R548" s="811"/>
      <c r="S548" s="811"/>
      <c r="T548" s="811"/>
      <c r="U548" s="811"/>
      <c r="V548" s="811"/>
      <c r="W548" s="811"/>
      <c r="X548" s="811"/>
      <c r="Y548" s="811"/>
      <c r="Z548" s="811"/>
    </row>
    <row r="549" spans="1:26" ht="15" thickBot="1">
      <c r="A549" s="811"/>
      <c r="B549" s="811"/>
      <c r="C549" s="811"/>
      <c r="D549" s="811"/>
      <c r="E549" s="811"/>
      <c r="F549" s="811"/>
      <c r="G549" s="811"/>
      <c r="H549" s="811"/>
      <c r="I549" s="811"/>
      <c r="J549" s="811"/>
      <c r="K549" s="811"/>
      <c r="L549" s="811"/>
      <c r="M549" s="811"/>
      <c r="N549" s="811"/>
      <c r="O549" s="811"/>
      <c r="P549" s="811"/>
      <c r="Q549" s="811"/>
      <c r="R549" s="811"/>
      <c r="S549" s="811"/>
      <c r="T549" s="811"/>
      <c r="U549" s="811"/>
      <c r="V549" s="811"/>
      <c r="W549" s="811"/>
      <c r="X549" s="811"/>
      <c r="Y549" s="811"/>
      <c r="Z549" s="811"/>
    </row>
    <row r="550" spans="1:26" ht="15" thickBot="1">
      <c r="A550" s="811"/>
      <c r="B550" s="811"/>
      <c r="C550" s="811"/>
      <c r="D550" s="811"/>
      <c r="E550" s="811"/>
      <c r="F550" s="811"/>
      <c r="G550" s="811"/>
      <c r="H550" s="811"/>
      <c r="I550" s="811"/>
      <c r="J550" s="811"/>
      <c r="K550" s="811"/>
      <c r="L550" s="811"/>
      <c r="M550" s="811"/>
      <c r="N550" s="811"/>
      <c r="O550" s="811"/>
      <c r="P550" s="811"/>
      <c r="Q550" s="811"/>
      <c r="R550" s="811"/>
      <c r="S550" s="811"/>
      <c r="T550" s="811"/>
      <c r="U550" s="811"/>
      <c r="V550" s="811"/>
      <c r="W550" s="811"/>
      <c r="X550" s="811"/>
      <c r="Y550" s="811"/>
      <c r="Z550" s="811"/>
    </row>
    <row r="551" spans="1:26" ht="15" thickBot="1">
      <c r="A551" s="811"/>
      <c r="B551" s="811"/>
      <c r="C551" s="811"/>
      <c r="D551" s="811"/>
      <c r="E551" s="811"/>
      <c r="F551" s="811"/>
      <c r="G551" s="811"/>
      <c r="H551" s="811"/>
      <c r="I551" s="811"/>
      <c r="J551" s="811"/>
      <c r="K551" s="811"/>
      <c r="L551" s="811"/>
      <c r="M551" s="811"/>
      <c r="N551" s="811"/>
      <c r="O551" s="811"/>
      <c r="P551" s="811"/>
      <c r="Q551" s="811"/>
      <c r="R551" s="811"/>
      <c r="S551" s="811"/>
      <c r="T551" s="811"/>
      <c r="U551" s="811"/>
      <c r="V551" s="811"/>
      <c r="W551" s="811"/>
      <c r="X551" s="811"/>
      <c r="Y551" s="811"/>
      <c r="Z551" s="811"/>
    </row>
    <row r="552" spans="1:26" ht="15" thickBot="1">
      <c r="A552" s="811"/>
      <c r="B552" s="811"/>
      <c r="C552" s="811"/>
      <c r="D552" s="811"/>
      <c r="E552" s="811"/>
      <c r="F552" s="811"/>
      <c r="G552" s="811"/>
      <c r="H552" s="811"/>
      <c r="I552" s="811"/>
      <c r="J552" s="811"/>
      <c r="K552" s="811"/>
      <c r="L552" s="811"/>
      <c r="M552" s="811"/>
      <c r="N552" s="811"/>
      <c r="O552" s="811"/>
      <c r="P552" s="811"/>
      <c r="Q552" s="811"/>
      <c r="R552" s="811"/>
      <c r="S552" s="811"/>
      <c r="T552" s="811"/>
      <c r="U552" s="811"/>
      <c r="V552" s="811"/>
      <c r="W552" s="811"/>
      <c r="X552" s="811"/>
      <c r="Y552" s="811"/>
      <c r="Z552" s="811"/>
    </row>
    <row r="553" spans="1:26" ht="15" thickBot="1">
      <c r="A553" s="811"/>
      <c r="B553" s="811"/>
      <c r="C553" s="811"/>
      <c r="D553" s="811"/>
      <c r="E553" s="811"/>
      <c r="F553" s="811"/>
      <c r="G553" s="811"/>
      <c r="H553" s="811"/>
      <c r="I553" s="811"/>
      <c r="J553" s="811"/>
      <c r="K553" s="811"/>
      <c r="L553" s="811"/>
      <c r="M553" s="811"/>
      <c r="N553" s="811"/>
      <c r="O553" s="811"/>
      <c r="P553" s="811"/>
      <c r="Q553" s="811"/>
      <c r="R553" s="811"/>
      <c r="S553" s="811"/>
      <c r="T553" s="811"/>
      <c r="U553" s="811"/>
      <c r="V553" s="811"/>
      <c r="W553" s="811"/>
      <c r="X553" s="811"/>
      <c r="Y553" s="811"/>
      <c r="Z553" s="811"/>
    </row>
    <row r="554" spans="1:26" ht="15" thickBot="1">
      <c r="A554" s="811"/>
      <c r="B554" s="811"/>
      <c r="C554" s="811"/>
      <c r="D554" s="811"/>
      <c r="E554" s="811"/>
      <c r="F554" s="811"/>
      <c r="G554" s="811"/>
      <c r="H554" s="811"/>
      <c r="I554" s="811"/>
      <c r="J554" s="811"/>
      <c r="K554" s="811"/>
      <c r="L554" s="811"/>
      <c r="M554" s="811"/>
      <c r="N554" s="811"/>
      <c r="O554" s="811"/>
      <c r="P554" s="811"/>
      <c r="Q554" s="811"/>
      <c r="R554" s="811"/>
      <c r="S554" s="811"/>
      <c r="T554" s="811"/>
      <c r="U554" s="811"/>
      <c r="V554" s="811"/>
      <c r="W554" s="811"/>
      <c r="X554" s="811"/>
      <c r="Y554" s="811"/>
      <c r="Z554" s="811"/>
    </row>
    <row r="555" spans="1:26" ht="15" thickBot="1">
      <c r="A555" s="811"/>
      <c r="B555" s="811"/>
      <c r="C555" s="811"/>
      <c r="D555" s="811"/>
      <c r="E555" s="811"/>
      <c r="F555" s="811"/>
      <c r="G555" s="811"/>
      <c r="H555" s="811"/>
      <c r="I555" s="811"/>
      <c r="J555" s="811"/>
      <c r="K555" s="811"/>
      <c r="L555" s="811"/>
      <c r="M555" s="811"/>
      <c r="N555" s="811"/>
      <c r="O555" s="811"/>
      <c r="P555" s="811"/>
      <c r="Q555" s="811"/>
      <c r="R555" s="811"/>
      <c r="S555" s="811"/>
      <c r="T555" s="811"/>
      <c r="U555" s="811"/>
      <c r="V555" s="811"/>
      <c r="W555" s="811"/>
      <c r="X555" s="811"/>
      <c r="Y555" s="811"/>
      <c r="Z555" s="811"/>
    </row>
    <row r="556" spans="1:26" ht="15" thickBot="1">
      <c r="A556" s="811"/>
      <c r="B556" s="811"/>
      <c r="C556" s="811"/>
      <c r="D556" s="811"/>
      <c r="E556" s="811"/>
      <c r="F556" s="811"/>
      <c r="G556" s="811"/>
      <c r="H556" s="811"/>
      <c r="I556" s="811"/>
      <c r="J556" s="811"/>
      <c r="K556" s="811"/>
      <c r="L556" s="811"/>
      <c r="M556" s="811"/>
      <c r="N556" s="811"/>
      <c r="O556" s="811"/>
      <c r="P556" s="811"/>
      <c r="Q556" s="811"/>
      <c r="R556" s="811"/>
      <c r="S556" s="811"/>
      <c r="T556" s="811"/>
      <c r="U556" s="811"/>
      <c r="V556" s="811"/>
      <c r="W556" s="811"/>
      <c r="X556" s="811"/>
      <c r="Y556" s="811"/>
      <c r="Z556" s="811"/>
    </row>
    <row r="557" spans="1:26" ht="15" thickBot="1">
      <c r="A557" s="811"/>
      <c r="B557" s="811"/>
      <c r="C557" s="811"/>
      <c r="D557" s="811"/>
      <c r="E557" s="811"/>
      <c r="F557" s="811"/>
      <c r="G557" s="811"/>
      <c r="H557" s="811"/>
      <c r="I557" s="811"/>
      <c r="J557" s="811"/>
      <c r="K557" s="811"/>
      <c r="L557" s="811"/>
      <c r="M557" s="811"/>
      <c r="N557" s="811"/>
      <c r="O557" s="811"/>
      <c r="P557" s="811"/>
      <c r="Q557" s="811"/>
      <c r="R557" s="811"/>
      <c r="S557" s="811"/>
      <c r="T557" s="811"/>
      <c r="U557" s="811"/>
      <c r="V557" s="811"/>
      <c r="W557" s="811"/>
      <c r="X557" s="811"/>
      <c r="Y557" s="811"/>
      <c r="Z557" s="811"/>
    </row>
    <row r="558" spans="1:26" ht="15" thickBot="1">
      <c r="A558" s="811"/>
      <c r="B558" s="811"/>
      <c r="C558" s="811"/>
      <c r="D558" s="811"/>
      <c r="E558" s="811"/>
      <c r="F558" s="811"/>
      <c r="G558" s="811"/>
      <c r="H558" s="811"/>
      <c r="I558" s="811"/>
      <c r="J558" s="811"/>
      <c r="K558" s="811"/>
      <c r="L558" s="811"/>
      <c r="M558" s="811"/>
      <c r="N558" s="811"/>
      <c r="O558" s="811"/>
      <c r="P558" s="811"/>
      <c r="Q558" s="811"/>
      <c r="R558" s="811"/>
      <c r="S558" s="811"/>
      <c r="T558" s="811"/>
      <c r="U558" s="811"/>
      <c r="V558" s="811"/>
      <c r="W558" s="811"/>
      <c r="X558" s="811"/>
      <c r="Y558" s="811"/>
      <c r="Z558" s="811"/>
    </row>
    <row r="559" spans="1:26" ht="15" thickBot="1">
      <c r="A559" s="811"/>
      <c r="B559" s="811"/>
      <c r="C559" s="811"/>
      <c r="D559" s="811"/>
      <c r="E559" s="811"/>
      <c r="F559" s="811"/>
      <c r="G559" s="811"/>
      <c r="H559" s="811"/>
      <c r="I559" s="811"/>
      <c r="J559" s="811"/>
      <c r="K559" s="811"/>
      <c r="L559" s="811"/>
      <c r="M559" s="811"/>
      <c r="N559" s="811"/>
      <c r="O559" s="811"/>
      <c r="P559" s="811"/>
      <c r="Q559" s="811"/>
      <c r="R559" s="811"/>
      <c r="S559" s="811"/>
      <c r="T559" s="811"/>
      <c r="U559" s="811"/>
      <c r="V559" s="811"/>
      <c r="W559" s="811"/>
      <c r="X559" s="811"/>
      <c r="Y559" s="811"/>
      <c r="Z559" s="811"/>
    </row>
    <row r="560" spans="1:26" ht="15" thickBot="1">
      <c r="A560" s="811"/>
      <c r="B560" s="811"/>
      <c r="C560" s="811"/>
      <c r="D560" s="811"/>
      <c r="E560" s="811"/>
      <c r="F560" s="811"/>
      <c r="G560" s="811"/>
      <c r="H560" s="811"/>
      <c r="I560" s="811"/>
      <c r="J560" s="811"/>
      <c r="K560" s="811"/>
      <c r="L560" s="811"/>
      <c r="M560" s="811"/>
      <c r="N560" s="811"/>
      <c r="O560" s="811"/>
      <c r="P560" s="811"/>
      <c r="Q560" s="811"/>
      <c r="R560" s="811"/>
      <c r="S560" s="811"/>
      <c r="T560" s="811"/>
      <c r="U560" s="811"/>
      <c r="V560" s="811"/>
      <c r="W560" s="811"/>
      <c r="X560" s="811"/>
      <c r="Y560" s="811"/>
      <c r="Z560" s="811"/>
    </row>
    <row r="561" spans="1:26" ht="15" thickBot="1">
      <c r="A561" s="811"/>
      <c r="B561" s="811"/>
      <c r="C561" s="811"/>
      <c r="D561" s="811"/>
      <c r="E561" s="811"/>
      <c r="F561" s="811"/>
      <c r="G561" s="811"/>
      <c r="H561" s="811"/>
      <c r="I561" s="811"/>
      <c r="J561" s="811"/>
      <c r="K561" s="811"/>
      <c r="L561" s="811"/>
      <c r="M561" s="811"/>
      <c r="N561" s="811"/>
      <c r="O561" s="811"/>
      <c r="P561" s="811"/>
      <c r="Q561" s="811"/>
      <c r="R561" s="811"/>
      <c r="S561" s="811"/>
      <c r="T561" s="811"/>
      <c r="U561" s="811"/>
      <c r="V561" s="811"/>
      <c r="W561" s="811"/>
      <c r="X561" s="811"/>
      <c r="Y561" s="811"/>
      <c r="Z561" s="811"/>
    </row>
    <row r="562" spans="1:26" ht="15" thickBot="1">
      <c r="A562" s="811"/>
      <c r="B562" s="811"/>
      <c r="C562" s="811"/>
      <c r="D562" s="811"/>
      <c r="E562" s="811"/>
      <c r="F562" s="811"/>
      <c r="G562" s="811"/>
      <c r="H562" s="811"/>
      <c r="I562" s="811"/>
      <c r="J562" s="811"/>
      <c r="K562" s="811"/>
      <c r="L562" s="811"/>
      <c r="M562" s="811"/>
      <c r="N562" s="811"/>
      <c r="O562" s="811"/>
      <c r="P562" s="811"/>
      <c r="Q562" s="811"/>
      <c r="R562" s="811"/>
      <c r="S562" s="811"/>
      <c r="T562" s="811"/>
      <c r="U562" s="811"/>
      <c r="V562" s="811"/>
      <c r="W562" s="811"/>
      <c r="X562" s="811"/>
      <c r="Y562" s="811"/>
      <c r="Z562" s="811"/>
    </row>
    <row r="563" spans="1:26" ht="15" thickBot="1">
      <c r="A563" s="811"/>
      <c r="B563" s="811"/>
      <c r="C563" s="811"/>
      <c r="D563" s="811"/>
      <c r="E563" s="811"/>
      <c r="F563" s="811"/>
      <c r="G563" s="811"/>
      <c r="H563" s="811"/>
      <c r="I563" s="811"/>
      <c r="J563" s="811"/>
      <c r="K563" s="811"/>
      <c r="L563" s="811"/>
      <c r="M563" s="811"/>
      <c r="N563" s="811"/>
      <c r="O563" s="811"/>
      <c r="P563" s="811"/>
      <c r="Q563" s="811"/>
      <c r="R563" s="811"/>
      <c r="S563" s="811"/>
      <c r="T563" s="811"/>
      <c r="U563" s="811"/>
      <c r="V563" s="811"/>
      <c r="W563" s="811"/>
      <c r="X563" s="811"/>
      <c r="Y563" s="811"/>
      <c r="Z563" s="811"/>
    </row>
    <row r="564" spans="1:26" ht="15" thickBot="1">
      <c r="A564" s="811"/>
      <c r="B564" s="811"/>
      <c r="C564" s="811"/>
      <c r="D564" s="811"/>
      <c r="E564" s="811"/>
      <c r="F564" s="811"/>
      <c r="G564" s="811"/>
      <c r="H564" s="811"/>
      <c r="I564" s="811"/>
      <c r="J564" s="811"/>
      <c r="K564" s="811"/>
      <c r="L564" s="811"/>
      <c r="M564" s="811"/>
      <c r="N564" s="811"/>
      <c r="O564" s="811"/>
      <c r="P564" s="811"/>
      <c r="Q564" s="811"/>
      <c r="R564" s="811"/>
      <c r="S564" s="811"/>
      <c r="T564" s="811"/>
      <c r="U564" s="811"/>
      <c r="V564" s="811"/>
      <c r="W564" s="811"/>
      <c r="X564" s="811"/>
      <c r="Y564" s="811"/>
      <c r="Z564" s="811"/>
    </row>
    <row r="565" spans="1:26" ht="15" thickBot="1">
      <c r="A565" s="811"/>
      <c r="B565" s="811"/>
      <c r="C565" s="811"/>
      <c r="D565" s="811"/>
      <c r="E565" s="811"/>
      <c r="F565" s="811"/>
      <c r="G565" s="811"/>
      <c r="H565" s="811"/>
      <c r="I565" s="811"/>
      <c r="J565" s="811"/>
      <c r="K565" s="811"/>
      <c r="L565" s="811"/>
      <c r="M565" s="811"/>
      <c r="N565" s="811"/>
      <c r="O565" s="811"/>
      <c r="P565" s="811"/>
      <c r="Q565" s="811"/>
      <c r="R565" s="811"/>
      <c r="S565" s="811"/>
      <c r="T565" s="811"/>
      <c r="U565" s="811"/>
      <c r="V565" s="811"/>
      <c r="W565" s="811"/>
      <c r="X565" s="811"/>
      <c r="Y565" s="811"/>
      <c r="Z565" s="811"/>
    </row>
    <row r="566" spans="1:26" ht="15" thickBot="1">
      <c r="A566" s="811"/>
      <c r="B566" s="811"/>
      <c r="C566" s="811"/>
      <c r="D566" s="811"/>
      <c r="E566" s="811"/>
      <c r="F566" s="811"/>
      <c r="G566" s="811"/>
      <c r="H566" s="811"/>
      <c r="I566" s="811"/>
      <c r="J566" s="811"/>
      <c r="K566" s="811"/>
      <c r="L566" s="811"/>
      <c r="M566" s="811"/>
      <c r="N566" s="811"/>
      <c r="O566" s="811"/>
      <c r="P566" s="811"/>
      <c r="Q566" s="811"/>
      <c r="R566" s="811"/>
      <c r="S566" s="811"/>
      <c r="T566" s="811"/>
      <c r="U566" s="811"/>
      <c r="V566" s="811"/>
      <c r="W566" s="811"/>
      <c r="X566" s="811"/>
      <c r="Y566" s="811"/>
      <c r="Z566" s="811"/>
    </row>
    <row r="567" spans="1:26" ht="15" thickBot="1">
      <c r="A567" s="811"/>
      <c r="B567" s="811"/>
      <c r="C567" s="811"/>
      <c r="D567" s="811"/>
      <c r="E567" s="811"/>
      <c r="F567" s="811"/>
      <c r="G567" s="811"/>
      <c r="H567" s="811"/>
      <c r="I567" s="811"/>
      <c r="J567" s="811"/>
      <c r="K567" s="811"/>
      <c r="L567" s="811"/>
      <c r="M567" s="811"/>
      <c r="N567" s="811"/>
      <c r="O567" s="811"/>
      <c r="P567" s="811"/>
      <c r="Q567" s="811"/>
      <c r="R567" s="811"/>
      <c r="S567" s="811"/>
      <c r="T567" s="811"/>
      <c r="U567" s="811"/>
      <c r="V567" s="811"/>
      <c r="W567" s="811"/>
      <c r="X567" s="811"/>
      <c r="Y567" s="811"/>
      <c r="Z567" s="811"/>
    </row>
    <row r="568" spans="1:26" ht="15" thickBot="1">
      <c r="A568" s="811"/>
      <c r="B568" s="811"/>
      <c r="C568" s="811"/>
      <c r="D568" s="811"/>
      <c r="E568" s="811"/>
      <c r="F568" s="811"/>
      <c r="G568" s="811"/>
      <c r="H568" s="811"/>
      <c r="I568" s="811"/>
      <c r="J568" s="811"/>
      <c r="K568" s="811"/>
      <c r="L568" s="811"/>
      <c r="M568" s="811"/>
      <c r="N568" s="811"/>
      <c r="O568" s="811"/>
      <c r="P568" s="811"/>
      <c r="Q568" s="811"/>
      <c r="R568" s="811"/>
      <c r="S568" s="811"/>
      <c r="T568" s="811"/>
      <c r="U568" s="811"/>
      <c r="V568" s="811"/>
      <c r="W568" s="811"/>
      <c r="X568" s="811"/>
      <c r="Y568" s="811"/>
      <c r="Z568" s="811"/>
    </row>
    <row r="569" spans="1:26" ht="15" thickBot="1">
      <c r="A569" s="811"/>
      <c r="B569" s="811"/>
      <c r="C569" s="811"/>
      <c r="D569" s="811"/>
      <c r="E569" s="811"/>
      <c r="F569" s="811"/>
      <c r="G569" s="811"/>
      <c r="H569" s="811"/>
      <c r="I569" s="811"/>
      <c r="J569" s="811"/>
      <c r="K569" s="811"/>
      <c r="L569" s="811"/>
      <c r="M569" s="811"/>
      <c r="N569" s="811"/>
      <c r="O569" s="811"/>
      <c r="P569" s="811"/>
      <c r="Q569" s="811"/>
      <c r="R569" s="811"/>
      <c r="S569" s="811"/>
      <c r="T569" s="811"/>
      <c r="U569" s="811"/>
      <c r="V569" s="811"/>
      <c r="W569" s="811"/>
      <c r="X569" s="811"/>
      <c r="Y569" s="811"/>
      <c r="Z569" s="811"/>
    </row>
    <row r="570" spans="1:26" ht="15" thickBot="1">
      <c r="A570" s="811"/>
      <c r="B570" s="811"/>
      <c r="C570" s="811"/>
      <c r="D570" s="811"/>
      <c r="E570" s="811"/>
      <c r="F570" s="811"/>
      <c r="G570" s="811"/>
      <c r="H570" s="811"/>
      <c r="I570" s="811"/>
      <c r="J570" s="811"/>
      <c r="K570" s="811"/>
      <c r="L570" s="811"/>
      <c r="M570" s="811"/>
      <c r="N570" s="811"/>
      <c r="O570" s="811"/>
      <c r="P570" s="811"/>
      <c r="Q570" s="811"/>
      <c r="R570" s="811"/>
      <c r="S570" s="811"/>
      <c r="T570" s="811"/>
      <c r="U570" s="811"/>
      <c r="V570" s="811"/>
      <c r="W570" s="811"/>
      <c r="X570" s="811"/>
      <c r="Y570" s="811"/>
      <c r="Z570" s="811"/>
    </row>
    <row r="571" spans="1:26" ht="15" thickBot="1">
      <c r="A571" s="811"/>
      <c r="B571" s="811"/>
      <c r="C571" s="811"/>
      <c r="D571" s="811"/>
      <c r="E571" s="811"/>
      <c r="F571" s="811"/>
      <c r="G571" s="811"/>
      <c r="H571" s="811"/>
      <c r="I571" s="811"/>
      <c r="J571" s="811"/>
      <c r="K571" s="811"/>
      <c r="L571" s="811"/>
      <c r="M571" s="811"/>
      <c r="N571" s="811"/>
      <c r="O571" s="811"/>
      <c r="P571" s="811"/>
      <c r="Q571" s="811"/>
      <c r="R571" s="811"/>
      <c r="S571" s="811"/>
      <c r="T571" s="811"/>
      <c r="U571" s="811"/>
      <c r="V571" s="811"/>
      <c r="W571" s="811"/>
      <c r="X571" s="811"/>
      <c r="Y571" s="811"/>
      <c r="Z571" s="811"/>
    </row>
    <row r="572" spans="1:26" ht="15" thickBot="1">
      <c r="A572" s="811"/>
      <c r="B572" s="811"/>
      <c r="C572" s="811"/>
      <c r="D572" s="811"/>
      <c r="E572" s="811"/>
      <c r="F572" s="811"/>
      <c r="G572" s="811"/>
      <c r="H572" s="811"/>
      <c r="I572" s="811"/>
      <c r="J572" s="811"/>
      <c r="K572" s="811"/>
      <c r="L572" s="811"/>
      <c r="M572" s="811"/>
      <c r="N572" s="811"/>
      <c r="O572" s="811"/>
      <c r="P572" s="811"/>
      <c r="Q572" s="811"/>
      <c r="R572" s="811"/>
      <c r="S572" s="811"/>
      <c r="T572" s="811"/>
      <c r="U572" s="811"/>
      <c r="V572" s="811"/>
      <c r="W572" s="811"/>
      <c r="X572" s="811"/>
      <c r="Y572" s="811"/>
      <c r="Z572" s="811"/>
    </row>
    <row r="573" spans="1:26" ht="15" thickBot="1">
      <c r="A573" s="811"/>
      <c r="B573" s="811"/>
      <c r="C573" s="811"/>
      <c r="D573" s="811"/>
      <c r="E573" s="811"/>
      <c r="F573" s="811"/>
      <c r="G573" s="811"/>
      <c r="H573" s="811"/>
      <c r="I573" s="811"/>
      <c r="J573" s="811"/>
      <c r="K573" s="811"/>
      <c r="L573" s="811"/>
      <c r="M573" s="811"/>
      <c r="N573" s="811"/>
      <c r="O573" s="811"/>
      <c r="P573" s="811"/>
      <c r="Q573" s="811"/>
      <c r="R573" s="811"/>
      <c r="S573" s="811"/>
      <c r="T573" s="811"/>
      <c r="U573" s="811"/>
      <c r="V573" s="811"/>
      <c r="W573" s="811"/>
      <c r="X573" s="811"/>
      <c r="Y573" s="811"/>
      <c r="Z573" s="811"/>
    </row>
    <row r="574" spans="1:26" ht="15" thickBot="1">
      <c r="A574" s="811"/>
      <c r="B574" s="811"/>
      <c r="C574" s="811"/>
      <c r="D574" s="811"/>
      <c r="E574" s="811"/>
      <c r="F574" s="811"/>
      <c r="G574" s="811"/>
      <c r="H574" s="811"/>
      <c r="I574" s="811"/>
      <c r="J574" s="811"/>
      <c r="K574" s="811"/>
      <c r="L574" s="811"/>
      <c r="M574" s="811"/>
      <c r="N574" s="811"/>
      <c r="O574" s="811"/>
      <c r="P574" s="811"/>
      <c r="Q574" s="811"/>
      <c r="R574" s="811"/>
      <c r="S574" s="811"/>
      <c r="T574" s="811"/>
      <c r="U574" s="811"/>
      <c r="V574" s="811"/>
      <c r="W574" s="811"/>
      <c r="X574" s="811"/>
      <c r="Y574" s="811"/>
      <c r="Z574" s="811"/>
    </row>
    <row r="575" spans="1:26" ht="15" thickBot="1">
      <c r="A575" s="811"/>
      <c r="B575" s="811"/>
      <c r="C575" s="811"/>
      <c r="D575" s="811"/>
      <c r="E575" s="811"/>
      <c r="F575" s="811"/>
      <c r="G575" s="811"/>
      <c r="H575" s="811"/>
      <c r="I575" s="811"/>
      <c r="J575" s="811"/>
      <c r="K575" s="811"/>
      <c r="L575" s="811"/>
      <c r="M575" s="811"/>
      <c r="N575" s="811"/>
      <c r="O575" s="811"/>
      <c r="P575" s="811"/>
      <c r="Q575" s="811"/>
      <c r="R575" s="811"/>
      <c r="S575" s="811"/>
      <c r="T575" s="811"/>
      <c r="U575" s="811"/>
      <c r="V575" s="811"/>
      <c r="W575" s="811"/>
      <c r="X575" s="811"/>
      <c r="Y575" s="811"/>
      <c r="Z575" s="811"/>
    </row>
    <row r="576" spans="1:26" ht="15" thickBot="1">
      <c r="A576" s="811"/>
      <c r="B576" s="811"/>
      <c r="C576" s="811"/>
      <c r="D576" s="811"/>
      <c r="E576" s="811"/>
      <c r="F576" s="811"/>
      <c r="G576" s="811"/>
      <c r="H576" s="811"/>
      <c r="I576" s="811"/>
      <c r="J576" s="811"/>
      <c r="K576" s="811"/>
      <c r="L576" s="811"/>
      <c r="M576" s="811"/>
      <c r="N576" s="811"/>
      <c r="O576" s="811"/>
      <c r="P576" s="811"/>
      <c r="Q576" s="811"/>
      <c r="R576" s="811"/>
      <c r="S576" s="811"/>
      <c r="T576" s="811"/>
      <c r="U576" s="811"/>
      <c r="V576" s="811"/>
      <c r="W576" s="811"/>
      <c r="X576" s="811"/>
      <c r="Y576" s="811"/>
      <c r="Z576" s="811"/>
    </row>
    <row r="577" spans="1:26" ht="15" thickBot="1">
      <c r="A577" s="811"/>
      <c r="B577" s="811"/>
      <c r="C577" s="811"/>
      <c r="D577" s="811"/>
      <c r="E577" s="811"/>
      <c r="F577" s="811"/>
      <c r="G577" s="811"/>
      <c r="H577" s="811"/>
      <c r="I577" s="811"/>
      <c r="J577" s="811"/>
      <c r="K577" s="811"/>
      <c r="L577" s="811"/>
      <c r="M577" s="811"/>
      <c r="N577" s="811"/>
      <c r="O577" s="811"/>
      <c r="P577" s="811"/>
      <c r="Q577" s="811"/>
      <c r="R577" s="811"/>
      <c r="S577" s="811"/>
      <c r="T577" s="811"/>
      <c r="U577" s="811"/>
      <c r="V577" s="811"/>
      <c r="W577" s="811"/>
      <c r="X577" s="811"/>
      <c r="Y577" s="811"/>
      <c r="Z577" s="811"/>
    </row>
    <row r="578" spans="1:26" ht="15" thickBot="1">
      <c r="A578" s="811"/>
      <c r="B578" s="811"/>
      <c r="C578" s="811"/>
      <c r="D578" s="811"/>
      <c r="E578" s="811"/>
      <c r="F578" s="811"/>
      <c r="G578" s="811"/>
      <c r="H578" s="811"/>
      <c r="I578" s="811"/>
      <c r="J578" s="811"/>
      <c r="K578" s="811"/>
      <c r="L578" s="811"/>
      <c r="M578" s="811"/>
      <c r="N578" s="811"/>
      <c r="O578" s="811"/>
      <c r="P578" s="811"/>
      <c r="Q578" s="811"/>
      <c r="R578" s="811"/>
      <c r="S578" s="811"/>
      <c r="T578" s="811"/>
      <c r="U578" s="811"/>
      <c r="V578" s="811"/>
      <c r="W578" s="811"/>
      <c r="X578" s="811"/>
      <c r="Y578" s="811"/>
      <c r="Z578" s="811"/>
    </row>
    <row r="579" spans="1:26" ht="15" thickBot="1">
      <c r="A579" s="811"/>
      <c r="B579" s="811"/>
      <c r="C579" s="811"/>
      <c r="D579" s="811"/>
      <c r="E579" s="811"/>
      <c r="F579" s="811"/>
      <c r="G579" s="811"/>
      <c r="H579" s="811"/>
      <c r="I579" s="811"/>
      <c r="J579" s="811"/>
      <c r="K579" s="811"/>
      <c r="L579" s="811"/>
      <c r="M579" s="811"/>
      <c r="N579" s="811"/>
      <c r="O579" s="811"/>
      <c r="P579" s="811"/>
      <c r="Q579" s="811"/>
      <c r="R579" s="811"/>
      <c r="S579" s="811"/>
      <c r="T579" s="811"/>
      <c r="U579" s="811"/>
      <c r="V579" s="811"/>
      <c r="W579" s="811"/>
      <c r="X579" s="811"/>
      <c r="Y579" s="811"/>
      <c r="Z579" s="811"/>
    </row>
    <row r="580" spans="1:26" ht="15" thickBot="1">
      <c r="A580" s="811"/>
      <c r="B580" s="811"/>
      <c r="C580" s="811"/>
      <c r="D580" s="811"/>
      <c r="E580" s="811"/>
      <c r="F580" s="811"/>
      <c r="G580" s="811"/>
      <c r="H580" s="811"/>
      <c r="I580" s="811"/>
      <c r="J580" s="811"/>
      <c r="K580" s="811"/>
      <c r="L580" s="811"/>
      <c r="M580" s="811"/>
      <c r="N580" s="811"/>
      <c r="O580" s="811"/>
      <c r="P580" s="811"/>
      <c r="Q580" s="811"/>
      <c r="R580" s="811"/>
      <c r="S580" s="811"/>
      <c r="T580" s="811"/>
      <c r="U580" s="811"/>
      <c r="V580" s="811"/>
      <c r="W580" s="811"/>
      <c r="X580" s="811"/>
      <c r="Y580" s="811"/>
      <c r="Z580" s="811"/>
    </row>
    <row r="581" spans="1:26" ht="15" thickBot="1">
      <c r="A581" s="811"/>
      <c r="B581" s="811"/>
      <c r="C581" s="811"/>
      <c r="D581" s="811"/>
      <c r="E581" s="811"/>
      <c r="F581" s="811"/>
      <c r="G581" s="811"/>
      <c r="H581" s="811"/>
      <c r="I581" s="811"/>
      <c r="J581" s="811"/>
      <c r="K581" s="811"/>
      <c r="L581" s="811"/>
      <c r="M581" s="811"/>
      <c r="N581" s="811"/>
      <c r="O581" s="811"/>
      <c r="P581" s="811"/>
      <c r="Q581" s="811"/>
      <c r="R581" s="811"/>
      <c r="S581" s="811"/>
      <c r="T581" s="811"/>
      <c r="U581" s="811"/>
      <c r="V581" s="811"/>
      <c r="W581" s="811"/>
      <c r="X581" s="811"/>
      <c r="Y581" s="811"/>
      <c r="Z581" s="811"/>
    </row>
    <row r="582" spans="1:26" ht="15" thickBot="1">
      <c r="A582" s="811"/>
      <c r="B582" s="811"/>
      <c r="C582" s="811"/>
      <c r="D582" s="811"/>
      <c r="E582" s="811"/>
      <c r="F582" s="811"/>
      <c r="G582" s="811"/>
      <c r="H582" s="811"/>
      <c r="I582" s="811"/>
      <c r="J582" s="811"/>
      <c r="K582" s="811"/>
      <c r="L582" s="811"/>
      <c r="M582" s="811"/>
      <c r="N582" s="811"/>
      <c r="O582" s="811"/>
      <c r="P582" s="811"/>
      <c r="Q582" s="811"/>
      <c r="R582" s="811"/>
      <c r="S582" s="811"/>
      <c r="T582" s="811"/>
      <c r="U582" s="811"/>
      <c r="V582" s="811"/>
      <c r="W582" s="811"/>
      <c r="X582" s="811"/>
      <c r="Y582" s="811"/>
      <c r="Z582" s="811"/>
    </row>
    <row r="583" spans="1:26" ht="15" thickBot="1">
      <c r="A583" s="811"/>
      <c r="B583" s="811"/>
      <c r="C583" s="811"/>
      <c r="D583" s="811"/>
      <c r="E583" s="811"/>
      <c r="F583" s="811"/>
      <c r="G583" s="811"/>
      <c r="H583" s="811"/>
      <c r="I583" s="811"/>
      <c r="J583" s="811"/>
      <c r="K583" s="811"/>
      <c r="L583" s="811"/>
      <c r="M583" s="811"/>
      <c r="N583" s="811"/>
      <c r="O583" s="811"/>
      <c r="P583" s="811"/>
      <c r="Q583" s="811"/>
      <c r="R583" s="811"/>
      <c r="S583" s="811"/>
      <c r="T583" s="811"/>
      <c r="U583" s="811"/>
      <c r="V583" s="811"/>
      <c r="W583" s="811"/>
      <c r="X583" s="811"/>
      <c r="Y583" s="811"/>
      <c r="Z583" s="811"/>
    </row>
    <row r="584" spans="1:26" ht="15" thickBot="1">
      <c r="A584" s="811"/>
      <c r="B584" s="811"/>
      <c r="C584" s="811"/>
      <c r="D584" s="811"/>
      <c r="E584" s="811"/>
      <c r="F584" s="811"/>
      <c r="G584" s="811"/>
      <c r="H584" s="811"/>
      <c r="I584" s="811"/>
      <c r="J584" s="811"/>
      <c r="K584" s="811"/>
      <c r="L584" s="811"/>
      <c r="M584" s="811"/>
      <c r="N584" s="811"/>
      <c r="O584" s="811"/>
      <c r="P584" s="811"/>
      <c r="Q584" s="811"/>
      <c r="R584" s="811"/>
      <c r="S584" s="811"/>
      <c r="T584" s="811"/>
      <c r="U584" s="811"/>
      <c r="V584" s="811"/>
      <c r="W584" s="811"/>
      <c r="X584" s="811"/>
      <c r="Y584" s="811"/>
      <c r="Z584" s="811"/>
    </row>
    <row r="585" spans="1:26" ht="15" thickBot="1">
      <c r="A585" s="811"/>
      <c r="B585" s="811"/>
      <c r="C585" s="811"/>
      <c r="D585" s="811"/>
      <c r="E585" s="811"/>
      <c r="F585" s="811"/>
      <c r="G585" s="811"/>
      <c r="H585" s="811"/>
      <c r="I585" s="811"/>
      <c r="J585" s="811"/>
      <c r="K585" s="811"/>
      <c r="L585" s="811"/>
      <c r="M585" s="811"/>
      <c r="N585" s="811"/>
      <c r="O585" s="811"/>
      <c r="P585" s="811"/>
      <c r="Q585" s="811"/>
      <c r="R585" s="811"/>
      <c r="S585" s="811"/>
      <c r="T585" s="811"/>
      <c r="U585" s="811"/>
      <c r="V585" s="811"/>
      <c r="W585" s="811"/>
      <c r="X585" s="811"/>
      <c r="Y585" s="811"/>
      <c r="Z585" s="811"/>
    </row>
    <row r="586" spans="1:26" ht="15" thickBot="1">
      <c r="A586" s="811"/>
      <c r="B586" s="811"/>
      <c r="C586" s="811"/>
      <c r="D586" s="811"/>
      <c r="E586" s="811"/>
      <c r="F586" s="811"/>
      <c r="G586" s="811"/>
      <c r="H586" s="811"/>
      <c r="I586" s="811"/>
      <c r="J586" s="811"/>
      <c r="K586" s="811"/>
      <c r="L586" s="811"/>
      <c r="M586" s="811"/>
      <c r="N586" s="811"/>
      <c r="O586" s="811"/>
      <c r="P586" s="811"/>
      <c r="Q586" s="811"/>
      <c r="R586" s="811"/>
      <c r="S586" s="811"/>
      <c r="T586" s="811"/>
      <c r="U586" s="811"/>
      <c r="V586" s="811"/>
      <c r="W586" s="811"/>
      <c r="X586" s="811"/>
      <c r="Y586" s="811"/>
      <c r="Z586" s="811"/>
    </row>
    <row r="587" spans="1:26" ht="15" thickBot="1">
      <c r="A587" s="811"/>
      <c r="B587" s="811"/>
      <c r="C587" s="811"/>
      <c r="D587" s="811"/>
      <c r="E587" s="811"/>
      <c r="F587" s="811"/>
      <c r="G587" s="811"/>
      <c r="H587" s="811"/>
      <c r="I587" s="811"/>
      <c r="J587" s="811"/>
      <c r="K587" s="811"/>
      <c r="L587" s="811"/>
      <c r="M587" s="811"/>
      <c r="N587" s="811"/>
      <c r="O587" s="811"/>
      <c r="P587" s="811"/>
      <c r="Q587" s="811"/>
      <c r="R587" s="811"/>
      <c r="S587" s="811"/>
      <c r="T587" s="811"/>
      <c r="U587" s="811"/>
      <c r="V587" s="811"/>
      <c r="W587" s="811"/>
      <c r="X587" s="811"/>
      <c r="Y587" s="811"/>
      <c r="Z587" s="811"/>
    </row>
    <row r="588" spans="1:26" ht="15" thickBot="1">
      <c r="A588" s="811"/>
      <c r="B588" s="811"/>
      <c r="C588" s="811"/>
      <c r="D588" s="811"/>
      <c r="E588" s="811"/>
      <c r="F588" s="811"/>
      <c r="G588" s="811"/>
      <c r="H588" s="811"/>
      <c r="I588" s="811"/>
      <c r="J588" s="811"/>
      <c r="K588" s="811"/>
      <c r="L588" s="811"/>
      <c r="M588" s="811"/>
      <c r="N588" s="811"/>
      <c r="O588" s="811"/>
      <c r="P588" s="811"/>
      <c r="Q588" s="811"/>
      <c r="R588" s="811"/>
      <c r="S588" s="811"/>
      <c r="T588" s="811"/>
      <c r="U588" s="811"/>
      <c r="V588" s="811"/>
      <c r="W588" s="811"/>
      <c r="X588" s="811"/>
      <c r="Y588" s="811"/>
      <c r="Z588" s="811"/>
    </row>
    <row r="589" spans="1:26" ht="15" thickBot="1">
      <c r="A589" s="811"/>
      <c r="B589" s="811"/>
      <c r="C589" s="811"/>
      <c r="D589" s="811"/>
      <c r="E589" s="811"/>
      <c r="F589" s="811"/>
      <c r="G589" s="811"/>
      <c r="H589" s="811"/>
      <c r="I589" s="811"/>
      <c r="J589" s="811"/>
      <c r="K589" s="811"/>
      <c r="L589" s="811"/>
      <c r="M589" s="811"/>
      <c r="N589" s="811"/>
      <c r="O589" s="811"/>
      <c r="P589" s="811"/>
      <c r="Q589" s="811"/>
      <c r="R589" s="811"/>
      <c r="S589" s="811"/>
      <c r="T589" s="811"/>
      <c r="U589" s="811"/>
      <c r="V589" s="811"/>
      <c r="W589" s="811"/>
      <c r="X589" s="811"/>
      <c r="Y589" s="811"/>
      <c r="Z589" s="811"/>
    </row>
    <row r="590" spans="1:26" ht="15" thickBot="1">
      <c r="A590" s="811"/>
      <c r="B590" s="811"/>
      <c r="C590" s="811"/>
      <c r="D590" s="811"/>
      <c r="E590" s="811"/>
      <c r="F590" s="811"/>
      <c r="G590" s="811"/>
      <c r="H590" s="811"/>
      <c r="I590" s="811"/>
      <c r="J590" s="811"/>
      <c r="K590" s="811"/>
      <c r="L590" s="811"/>
      <c r="M590" s="811"/>
      <c r="N590" s="811"/>
      <c r="O590" s="811"/>
      <c r="P590" s="811"/>
      <c r="Q590" s="811"/>
      <c r="R590" s="811"/>
      <c r="S590" s="811"/>
      <c r="T590" s="811"/>
      <c r="U590" s="811"/>
      <c r="V590" s="811"/>
      <c r="W590" s="811"/>
      <c r="X590" s="811"/>
      <c r="Y590" s="811"/>
      <c r="Z590" s="811"/>
    </row>
    <row r="591" spans="1:26" ht="15" thickBot="1">
      <c r="A591" s="811"/>
      <c r="B591" s="811"/>
      <c r="C591" s="811"/>
      <c r="D591" s="811"/>
      <c r="E591" s="811"/>
      <c r="F591" s="811"/>
      <c r="G591" s="811"/>
      <c r="H591" s="811"/>
      <c r="I591" s="811"/>
      <c r="J591" s="811"/>
      <c r="K591" s="811"/>
      <c r="L591" s="811"/>
      <c r="M591" s="811"/>
      <c r="N591" s="811"/>
      <c r="O591" s="811"/>
      <c r="P591" s="811"/>
      <c r="Q591" s="811"/>
      <c r="R591" s="811"/>
      <c r="S591" s="811"/>
      <c r="T591" s="811"/>
      <c r="U591" s="811"/>
      <c r="V591" s="811"/>
      <c r="W591" s="811"/>
      <c r="X591" s="811"/>
      <c r="Y591" s="811"/>
      <c r="Z591" s="811"/>
    </row>
    <row r="592" spans="1:26" ht="15" thickBot="1">
      <c r="A592" s="811"/>
      <c r="B592" s="811"/>
      <c r="C592" s="811"/>
      <c r="D592" s="811"/>
      <c r="E592" s="811"/>
      <c r="F592" s="811"/>
      <c r="G592" s="811"/>
      <c r="H592" s="811"/>
      <c r="I592" s="811"/>
      <c r="J592" s="811"/>
      <c r="K592" s="811"/>
      <c r="L592" s="811"/>
      <c r="M592" s="811"/>
      <c r="N592" s="811"/>
      <c r="O592" s="811"/>
      <c r="P592" s="811"/>
      <c r="Q592" s="811"/>
      <c r="R592" s="811"/>
      <c r="S592" s="811"/>
      <c r="T592" s="811"/>
      <c r="U592" s="811"/>
      <c r="V592" s="811"/>
      <c r="W592" s="811"/>
      <c r="X592" s="811"/>
      <c r="Y592" s="811"/>
      <c r="Z592" s="811"/>
    </row>
    <row r="593" spans="1:26" ht="15" thickBot="1">
      <c r="A593" s="811"/>
      <c r="B593" s="811"/>
      <c r="C593" s="811"/>
      <c r="D593" s="811"/>
      <c r="E593" s="811"/>
      <c r="F593" s="811"/>
      <c r="G593" s="811"/>
      <c r="H593" s="811"/>
      <c r="I593" s="811"/>
      <c r="J593" s="811"/>
      <c r="K593" s="811"/>
      <c r="L593" s="811"/>
      <c r="M593" s="811"/>
      <c r="N593" s="811"/>
      <c r="O593" s="811"/>
      <c r="P593" s="811"/>
      <c r="Q593" s="811"/>
      <c r="R593" s="811"/>
      <c r="S593" s="811"/>
      <c r="T593" s="811"/>
      <c r="U593" s="811"/>
      <c r="V593" s="811"/>
      <c r="W593" s="811"/>
      <c r="X593" s="811"/>
      <c r="Y593" s="811"/>
      <c r="Z593" s="811"/>
    </row>
    <row r="594" spans="1:26" ht="15" thickBot="1">
      <c r="A594" s="811"/>
      <c r="B594" s="811"/>
      <c r="C594" s="811"/>
      <c r="D594" s="811"/>
      <c r="E594" s="811"/>
      <c r="F594" s="811"/>
      <c r="G594" s="811"/>
      <c r="H594" s="811"/>
      <c r="I594" s="811"/>
      <c r="J594" s="811"/>
      <c r="K594" s="811"/>
      <c r="L594" s="811"/>
      <c r="M594" s="811"/>
      <c r="N594" s="811"/>
      <c r="O594" s="811"/>
      <c r="P594" s="811"/>
      <c r="Q594" s="811"/>
      <c r="R594" s="811"/>
      <c r="S594" s="811"/>
      <c r="T594" s="811"/>
      <c r="U594" s="811"/>
      <c r="V594" s="811"/>
      <c r="W594" s="811"/>
      <c r="X594" s="811"/>
      <c r="Y594" s="811"/>
      <c r="Z594" s="811"/>
    </row>
    <row r="595" spans="1:26" ht="15" thickBot="1">
      <c r="A595" s="811"/>
      <c r="B595" s="811"/>
      <c r="C595" s="811"/>
      <c r="D595" s="811"/>
      <c r="E595" s="811"/>
      <c r="F595" s="811"/>
      <c r="G595" s="811"/>
      <c r="H595" s="811"/>
      <c r="I595" s="811"/>
      <c r="J595" s="811"/>
      <c r="K595" s="811"/>
      <c r="L595" s="811"/>
      <c r="M595" s="811"/>
      <c r="N595" s="811"/>
      <c r="O595" s="811"/>
      <c r="P595" s="811"/>
      <c r="Q595" s="811"/>
      <c r="R595" s="811"/>
      <c r="S595" s="811"/>
      <c r="T595" s="811"/>
      <c r="U595" s="811"/>
      <c r="V595" s="811"/>
      <c r="W595" s="811"/>
      <c r="X595" s="811"/>
      <c r="Y595" s="811"/>
      <c r="Z595" s="811"/>
    </row>
    <row r="596" spans="1:26" ht="15" thickBot="1">
      <c r="A596" s="811"/>
      <c r="B596" s="811"/>
      <c r="C596" s="811"/>
      <c r="D596" s="811"/>
      <c r="E596" s="811"/>
      <c r="F596" s="811"/>
      <c r="G596" s="811"/>
      <c r="H596" s="811"/>
      <c r="I596" s="811"/>
      <c r="J596" s="811"/>
      <c r="K596" s="811"/>
      <c r="L596" s="811"/>
      <c r="M596" s="811"/>
      <c r="N596" s="811"/>
      <c r="O596" s="811"/>
      <c r="P596" s="811"/>
      <c r="Q596" s="811"/>
      <c r="R596" s="811"/>
      <c r="S596" s="811"/>
      <c r="T596" s="811"/>
      <c r="U596" s="811"/>
      <c r="V596" s="811"/>
      <c r="W596" s="811"/>
      <c r="X596" s="811"/>
      <c r="Y596" s="811"/>
      <c r="Z596" s="811"/>
    </row>
    <row r="597" spans="1:26" ht="15" thickBot="1">
      <c r="A597" s="811"/>
      <c r="B597" s="811"/>
      <c r="C597" s="811"/>
      <c r="D597" s="811"/>
      <c r="E597" s="811"/>
      <c r="F597" s="811"/>
      <c r="G597" s="811"/>
      <c r="H597" s="811"/>
      <c r="I597" s="811"/>
      <c r="J597" s="811"/>
      <c r="K597" s="811"/>
      <c r="L597" s="811"/>
      <c r="M597" s="811"/>
      <c r="N597" s="811"/>
      <c r="O597" s="811"/>
      <c r="P597" s="811"/>
      <c r="Q597" s="811"/>
      <c r="R597" s="811"/>
      <c r="S597" s="811"/>
      <c r="T597" s="811"/>
      <c r="U597" s="811"/>
      <c r="V597" s="811"/>
      <c r="W597" s="811"/>
      <c r="X597" s="811"/>
      <c r="Y597" s="811"/>
      <c r="Z597" s="811"/>
    </row>
    <row r="598" spans="1:26" ht="15" thickBot="1">
      <c r="A598" s="811"/>
      <c r="B598" s="811"/>
      <c r="C598" s="811"/>
      <c r="D598" s="811"/>
      <c r="E598" s="811"/>
      <c r="F598" s="811"/>
      <c r="G598" s="811"/>
      <c r="H598" s="811"/>
      <c r="I598" s="811"/>
      <c r="J598" s="811"/>
      <c r="K598" s="811"/>
      <c r="L598" s="811"/>
      <c r="M598" s="811"/>
      <c r="N598" s="811"/>
      <c r="O598" s="811"/>
      <c r="P598" s="811"/>
      <c r="Q598" s="811"/>
      <c r="R598" s="811"/>
      <c r="S598" s="811"/>
      <c r="T598" s="811"/>
      <c r="U598" s="811"/>
      <c r="V598" s="811"/>
      <c r="W598" s="811"/>
      <c r="X598" s="811"/>
      <c r="Y598" s="811"/>
      <c r="Z598" s="811"/>
    </row>
    <row r="599" spans="1:26" ht="15" thickBot="1">
      <c r="A599" s="811"/>
      <c r="B599" s="811"/>
      <c r="C599" s="811"/>
      <c r="D599" s="811"/>
      <c r="E599" s="811"/>
      <c r="F599" s="811"/>
      <c r="G599" s="811"/>
      <c r="H599" s="811"/>
      <c r="I599" s="811"/>
      <c r="J599" s="811"/>
      <c r="K599" s="811"/>
      <c r="L599" s="811"/>
      <c r="M599" s="811"/>
      <c r="N599" s="811"/>
      <c r="O599" s="811"/>
      <c r="P599" s="811"/>
      <c r="Q599" s="811"/>
      <c r="R599" s="811"/>
      <c r="S599" s="811"/>
      <c r="T599" s="811"/>
      <c r="U599" s="811"/>
      <c r="V599" s="811"/>
      <c r="W599" s="811"/>
      <c r="X599" s="811"/>
      <c r="Y599" s="811"/>
      <c r="Z599" s="811"/>
    </row>
    <row r="600" spans="1:26" ht="15" thickBot="1">
      <c r="A600" s="811"/>
      <c r="B600" s="811"/>
      <c r="C600" s="811"/>
      <c r="D600" s="811"/>
      <c r="E600" s="811"/>
      <c r="F600" s="811"/>
      <c r="G600" s="811"/>
      <c r="H600" s="811"/>
      <c r="I600" s="811"/>
      <c r="J600" s="811"/>
      <c r="K600" s="811"/>
      <c r="L600" s="811"/>
      <c r="M600" s="811"/>
      <c r="N600" s="811"/>
      <c r="O600" s="811"/>
      <c r="P600" s="811"/>
      <c r="Q600" s="811"/>
      <c r="R600" s="811"/>
      <c r="S600" s="811"/>
      <c r="T600" s="811"/>
      <c r="U600" s="811"/>
      <c r="V600" s="811"/>
      <c r="W600" s="811"/>
      <c r="X600" s="811"/>
      <c r="Y600" s="811"/>
      <c r="Z600" s="811"/>
    </row>
    <row r="601" spans="1:26" ht="15" thickBot="1">
      <c r="A601" s="811"/>
      <c r="B601" s="811"/>
      <c r="C601" s="811"/>
      <c r="D601" s="811"/>
      <c r="E601" s="811"/>
      <c r="F601" s="811"/>
      <c r="G601" s="811"/>
      <c r="H601" s="811"/>
      <c r="I601" s="811"/>
      <c r="J601" s="811"/>
      <c r="K601" s="811"/>
      <c r="L601" s="811"/>
      <c r="M601" s="811"/>
      <c r="N601" s="811"/>
      <c r="O601" s="811"/>
      <c r="P601" s="811"/>
      <c r="Q601" s="811"/>
      <c r="R601" s="811"/>
      <c r="S601" s="811"/>
      <c r="T601" s="811"/>
      <c r="U601" s="811"/>
      <c r="V601" s="811"/>
      <c r="W601" s="811"/>
      <c r="X601" s="811"/>
      <c r="Y601" s="811"/>
      <c r="Z601" s="811"/>
    </row>
    <row r="602" spans="1:26" ht="15" thickBot="1">
      <c r="A602" s="811"/>
      <c r="B602" s="811"/>
      <c r="C602" s="811"/>
      <c r="D602" s="811"/>
      <c r="E602" s="811"/>
      <c r="F602" s="811"/>
      <c r="G602" s="811"/>
      <c r="H602" s="811"/>
      <c r="I602" s="811"/>
      <c r="J602" s="811"/>
      <c r="K602" s="811"/>
      <c r="L602" s="811"/>
      <c r="M602" s="811"/>
      <c r="N602" s="811"/>
      <c r="O602" s="811"/>
      <c r="P602" s="811"/>
      <c r="Q602" s="811"/>
      <c r="R602" s="811"/>
      <c r="S602" s="811"/>
      <c r="T602" s="811"/>
      <c r="U602" s="811"/>
      <c r="V602" s="811"/>
      <c r="W602" s="811"/>
      <c r="X602" s="811"/>
      <c r="Y602" s="811"/>
      <c r="Z602" s="811"/>
    </row>
    <row r="603" spans="1:26" ht="15" thickBot="1">
      <c r="A603" s="811"/>
      <c r="B603" s="811"/>
      <c r="C603" s="811"/>
      <c r="D603" s="811"/>
      <c r="E603" s="811"/>
      <c r="F603" s="811"/>
      <c r="G603" s="811"/>
      <c r="H603" s="811"/>
      <c r="I603" s="811"/>
      <c r="J603" s="811"/>
      <c r="K603" s="811"/>
      <c r="L603" s="811"/>
      <c r="M603" s="811"/>
      <c r="N603" s="811"/>
      <c r="O603" s="811"/>
      <c r="P603" s="811"/>
      <c r="Q603" s="811"/>
      <c r="R603" s="811"/>
      <c r="S603" s="811"/>
      <c r="T603" s="811"/>
      <c r="U603" s="811"/>
      <c r="V603" s="811"/>
      <c r="W603" s="811"/>
      <c r="X603" s="811"/>
      <c r="Y603" s="811"/>
      <c r="Z603" s="811"/>
    </row>
    <row r="604" spans="1:26" ht="15" thickBot="1">
      <c r="A604" s="811"/>
      <c r="B604" s="811"/>
      <c r="C604" s="811"/>
      <c r="D604" s="811"/>
      <c r="E604" s="811"/>
      <c r="F604" s="811"/>
      <c r="G604" s="811"/>
      <c r="H604" s="811"/>
      <c r="I604" s="811"/>
      <c r="J604" s="811"/>
      <c r="K604" s="811"/>
      <c r="L604" s="811"/>
      <c r="M604" s="811"/>
      <c r="N604" s="811"/>
      <c r="O604" s="811"/>
      <c r="P604" s="811"/>
      <c r="Q604" s="811"/>
      <c r="R604" s="811"/>
      <c r="S604" s="811"/>
      <c r="T604" s="811"/>
      <c r="U604" s="811"/>
      <c r="V604" s="811"/>
      <c r="W604" s="811"/>
      <c r="X604" s="811"/>
      <c r="Y604" s="811"/>
      <c r="Z604" s="811"/>
    </row>
    <row r="605" spans="1:26" ht="15" thickBot="1">
      <c r="A605" s="811"/>
      <c r="B605" s="811"/>
      <c r="C605" s="811"/>
      <c r="D605" s="811"/>
      <c r="E605" s="811"/>
      <c r="F605" s="811"/>
      <c r="G605" s="811"/>
      <c r="H605" s="811"/>
      <c r="I605" s="811"/>
      <c r="J605" s="811"/>
      <c r="K605" s="811"/>
      <c r="L605" s="811"/>
      <c r="M605" s="811"/>
      <c r="N605" s="811"/>
      <c r="O605" s="811"/>
      <c r="P605" s="811"/>
      <c r="Q605" s="811"/>
      <c r="R605" s="811"/>
      <c r="S605" s="811"/>
      <c r="T605" s="811"/>
      <c r="U605" s="811"/>
      <c r="V605" s="811"/>
      <c r="W605" s="811"/>
      <c r="X605" s="811"/>
      <c r="Y605" s="811"/>
      <c r="Z605" s="811"/>
    </row>
    <row r="606" spans="1:26" ht="15" thickBot="1">
      <c r="A606" s="811"/>
      <c r="B606" s="811"/>
      <c r="C606" s="811"/>
      <c r="D606" s="811"/>
      <c r="E606" s="811"/>
      <c r="F606" s="811"/>
      <c r="G606" s="811"/>
      <c r="H606" s="811"/>
      <c r="I606" s="811"/>
      <c r="J606" s="811"/>
      <c r="K606" s="811"/>
      <c r="L606" s="811"/>
      <c r="M606" s="811"/>
      <c r="N606" s="811"/>
      <c r="O606" s="811"/>
      <c r="P606" s="811"/>
      <c r="Q606" s="811"/>
      <c r="R606" s="811"/>
      <c r="S606" s="811"/>
      <c r="T606" s="811"/>
      <c r="U606" s="811"/>
      <c r="V606" s="811"/>
      <c r="W606" s="811"/>
      <c r="X606" s="811"/>
      <c r="Y606" s="811"/>
      <c r="Z606" s="811"/>
    </row>
    <row r="607" spans="1:26" ht="15" thickBot="1">
      <c r="A607" s="811"/>
      <c r="B607" s="811"/>
      <c r="C607" s="811"/>
      <c r="D607" s="811"/>
      <c r="E607" s="811"/>
      <c r="F607" s="811"/>
      <c r="G607" s="811"/>
      <c r="H607" s="811"/>
      <c r="I607" s="811"/>
      <c r="J607" s="811"/>
      <c r="K607" s="811"/>
      <c r="L607" s="811"/>
      <c r="M607" s="811"/>
      <c r="N607" s="811"/>
      <c r="O607" s="811"/>
      <c r="P607" s="811"/>
      <c r="Q607" s="811"/>
      <c r="R607" s="811"/>
      <c r="S607" s="811"/>
      <c r="T607" s="811"/>
      <c r="U607" s="811"/>
      <c r="V607" s="811"/>
      <c r="W607" s="811"/>
      <c r="X607" s="811"/>
      <c r="Y607" s="811"/>
      <c r="Z607" s="811"/>
    </row>
    <row r="608" spans="1:26" ht="15" thickBot="1">
      <c r="A608" s="811"/>
      <c r="B608" s="811"/>
      <c r="C608" s="811"/>
      <c r="D608" s="811"/>
      <c r="E608" s="811"/>
      <c r="F608" s="811"/>
      <c r="G608" s="811"/>
      <c r="H608" s="811"/>
      <c r="I608" s="811"/>
      <c r="J608" s="811"/>
      <c r="K608" s="811"/>
      <c r="L608" s="811"/>
      <c r="M608" s="811"/>
      <c r="N608" s="811"/>
      <c r="O608" s="811"/>
      <c r="P608" s="811"/>
      <c r="Q608" s="811"/>
      <c r="R608" s="811"/>
      <c r="S608" s="811"/>
      <c r="T608" s="811"/>
      <c r="U608" s="811"/>
      <c r="V608" s="811"/>
      <c r="W608" s="811"/>
      <c r="X608" s="811"/>
      <c r="Y608" s="811"/>
      <c r="Z608" s="811"/>
    </row>
    <row r="609" spans="1:26" ht="15" thickBot="1">
      <c r="A609" s="811"/>
      <c r="B609" s="811"/>
      <c r="C609" s="811"/>
      <c r="D609" s="811"/>
      <c r="E609" s="811"/>
      <c r="F609" s="811"/>
      <c r="G609" s="811"/>
      <c r="H609" s="811"/>
      <c r="I609" s="811"/>
      <c r="J609" s="811"/>
      <c r="K609" s="811"/>
      <c r="L609" s="811"/>
      <c r="M609" s="811"/>
      <c r="N609" s="811"/>
      <c r="O609" s="811"/>
      <c r="P609" s="811"/>
      <c r="Q609" s="811"/>
      <c r="R609" s="811"/>
      <c r="S609" s="811"/>
      <c r="T609" s="811"/>
      <c r="U609" s="811"/>
      <c r="V609" s="811"/>
      <c r="W609" s="811"/>
      <c r="X609" s="811"/>
      <c r="Y609" s="811"/>
      <c r="Z609" s="811"/>
    </row>
    <row r="610" spans="1:26" ht="15" thickBot="1">
      <c r="A610" s="811"/>
      <c r="B610" s="811"/>
      <c r="C610" s="811"/>
      <c r="D610" s="811"/>
      <c r="E610" s="811"/>
      <c r="F610" s="811"/>
      <c r="G610" s="811"/>
      <c r="H610" s="811"/>
      <c r="I610" s="811"/>
      <c r="J610" s="811"/>
      <c r="K610" s="811"/>
      <c r="L610" s="811"/>
      <c r="M610" s="811"/>
      <c r="N610" s="811"/>
      <c r="O610" s="811"/>
      <c r="P610" s="811"/>
      <c r="Q610" s="811"/>
      <c r="R610" s="811"/>
      <c r="S610" s="811"/>
      <c r="T610" s="811"/>
      <c r="U610" s="811"/>
      <c r="V610" s="811"/>
      <c r="W610" s="811"/>
      <c r="X610" s="811"/>
      <c r="Y610" s="811"/>
      <c r="Z610" s="811"/>
    </row>
    <row r="611" spans="1:26" ht="15" thickBot="1">
      <c r="A611" s="811"/>
      <c r="B611" s="811"/>
      <c r="C611" s="811"/>
      <c r="D611" s="811"/>
      <c r="E611" s="811"/>
      <c r="F611" s="811"/>
      <c r="G611" s="811"/>
      <c r="H611" s="811"/>
      <c r="I611" s="811"/>
      <c r="J611" s="811"/>
      <c r="K611" s="811"/>
      <c r="L611" s="811"/>
      <c r="M611" s="811"/>
      <c r="N611" s="811"/>
      <c r="O611" s="811"/>
      <c r="P611" s="811"/>
      <c r="Q611" s="811"/>
      <c r="R611" s="811"/>
      <c r="S611" s="811"/>
      <c r="T611" s="811"/>
      <c r="U611" s="811"/>
      <c r="V611" s="811"/>
      <c r="W611" s="811"/>
      <c r="X611" s="811"/>
      <c r="Y611" s="811"/>
      <c r="Z611" s="811"/>
    </row>
    <row r="612" spans="1:26" ht="15" thickBot="1">
      <c r="A612" s="811"/>
      <c r="B612" s="811"/>
      <c r="C612" s="811"/>
      <c r="D612" s="811"/>
      <c r="E612" s="811"/>
      <c r="F612" s="811"/>
      <c r="G612" s="811"/>
      <c r="H612" s="811"/>
      <c r="I612" s="811"/>
      <c r="J612" s="811"/>
      <c r="K612" s="811"/>
      <c r="L612" s="811"/>
      <c r="M612" s="811"/>
      <c r="N612" s="811"/>
      <c r="O612" s="811"/>
      <c r="P612" s="811"/>
      <c r="Q612" s="811"/>
      <c r="R612" s="811"/>
      <c r="S612" s="811"/>
      <c r="T612" s="811"/>
      <c r="U612" s="811"/>
      <c r="V612" s="811"/>
      <c r="W612" s="811"/>
      <c r="X612" s="811"/>
      <c r="Y612" s="811"/>
      <c r="Z612" s="811"/>
    </row>
    <row r="613" spans="1:26" ht="15" thickBot="1">
      <c r="A613" s="811"/>
      <c r="B613" s="811"/>
      <c r="C613" s="811"/>
      <c r="D613" s="811"/>
      <c r="E613" s="811"/>
      <c r="F613" s="811"/>
      <c r="G613" s="811"/>
      <c r="H613" s="811"/>
      <c r="I613" s="811"/>
      <c r="J613" s="811"/>
      <c r="K613" s="811"/>
      <c r="L613" s="811"/>
      <c r="M613" s="811"/>
      <c r="N613" s="811"/>
      <c r="O613" s="811"/>
      <c r="P613" s="811"/>
      <c r="Q613" s="811"/>
      <c r="R613" s="811"/>
      <c r="S613" s="811"/>
      <c r="T613" s="811"/>
      <c r="U613" s="811"/>
      <c r="V613" s="811"/>
      <c r="W613" s="811"/>
      <c r="X613" s="811"/>
      <c r="Y613" s="811"/>
      <c r="Z613" s="811"/>
    </row>
    <row r="614" spans="1:26" ht="15" thickBot="1">
      <c r="A614" s="811"/>
      <c r="B614" s="811"/>
      <c r="C614" s="811"/>
      <c r="D614" s="811"/>
      <c r="E614" s="811"/>
      <c r="F614" s="811"/>
      <c r="G614" s="811"/>
      <c r="H614" s="811"/>
      <c r="I614" s="811"/>
      <c r="J614" s="811"/>
      <c r="K614" s="811"/>
      <c r="L614" s="811"/>
      <c r="M614" s="811"/>
      <c r="N614" s="811"/>
      <c r="O614" s="811"/>
      <c r="P614" s="811"/>
      <c r="Q614" s="811"/>
      <c r="R614" s="811"/>
      <c r="S614" s="811"/>
      <c r="T614" s="811"/>
      <c r="U614" s="811"/>
      <c r="V614" s="811"/>
      <c r="W614" s="811"/>
      <c r="X614" s="811"/>
      <c r="Y614" s="811"/>
      <c r="Z614" s="811"/>
    </row>
    <row r="615" spans="1:26" ht="15" thickBot="1">
      <c r="A615" s="811"/>
      <c r="B615" s="811"/>
      <c r="C615" s="811"/>
      <c r="D615" s="811"/>
      <c r="E615" s="811"/>
      <c r="F615" s="811"/>
      <c r="G615" s="811"/>
      <c r="H615" s="811"/>
      <c r="I615" s="811"/>
      <c r="J615" s="811"/>
      <c r="K615" s="811"/>
      <c r="L615" s="811"/>
      <c r="M615" s="811"/>
      <c r="N615" s="811"/>
      <c r="O615" s="811"/>
      <c r="P615" s="811"/>
      <c r="Q615" s="811"/>
      <c r="R615" s="811"/>
      <c r="S615" s="811"/>
      <c r="T615" s="811"/>
      <c r="U615" s="811"/>
      <c r="V615" s="811"/>
      <c r="W615" s="811"/>
      <c r="X615" s="811"/>
      <c r="Y615" s="811"/>
      <c r="Z615" s="811"/>
    </row>
    <row r="616" spans="1:26" ht="15" thickBot="1">
      <c r="A616" s="811"/>
      <c r="B616" s="811"/>
      <c r="C616" s="811"/>
      <c r="D616" s="811"/>
      <c r="E616" s="811"/>
      <c r="F616" s="811"/>
      <c r="G616" s="811"/>
      <c r="H616" s="811"/>
      <c r="I616" s="811"/>
      <c r="J616" s="811"/>
      <c r="K616" s="811"/>
      <c r="L616" s="811"/>
      <c r="M616" s="811"/>
      <c r="N616" s="811"/>
      <c r="O616" s="811"/>
      <c r="P616" s="811"/>
      <c r="Q616" s="811"/>
      <c r="R616" s="811"/>
      <c r="S616" s="811"/>
      <c r="T616" s="811"/>
      <c r="U616" s="811"/>
      <c r="V616" s="811"/>
      <c r="W616" s="811"/>
      <c r="X616" s="811"/>
      <c r="Y616" s="811"/>
      <c r="Z616" s="811"/>
    </row>
    <row r="617" spans="1:26" ht="15" thickBot="1">
      <c r="A617" s="811"/>
      <c r="B617" s="811"/>
      <c r="C617" s="811"/>
      <c r="D617" s="811"/>
      <c r="E617" s="811"/>
      <c r="F617" s="811"/>
      <c r="G617" s="811"/>
      <c r="H617" s="811"/>
      <c r="I617" s="811"/>
      <c r="J617" s="811"/>
      <c r="K617" s="811"/>
      <c r="L617" s="811"/>
      <c r="M617" s="811"/>
      <c r="N617" s="811"/>
      <c r="O617" s="811"/>
      <c r="P617" s="811"/>
      <c r="Q617" s="811"/>
      <c r="R617" s="811"/>
      <c r="S617" s="811"/>
      <c r="T617" s="811"/>
      <c r="U617" s="811"/>
      <c r="V617" s="811"/>
      <c r="W617" s="811"/>
      <c r="X617" s="811"/>
      <c r="Y617" s="811"/>
      <c r="Z617" s="811"/>
    </row>
    <row r="618" spans="1:26" ht="15" thickBot="1">
      <c r="A618" s="811"/>
      <c r="B618" s="811"/>
      <c r="C618" s="811"/>
      <c r="D618" s="811"/>
      <c r="E618" s="811"/>
      <c r="F618" s="811"/>
      <c r="G618" s="811"/>
      <c r="H618" s="811"/>
      <c r="I618" s="811"/>
      <c r="J618" s="811"/>
      <c r="K618" s="811"/>
      <c r="L618" s="811"/>
      <c r="M618" s="811"/>
      <c r="N618" s="811"/>
      <c r="O618" s="811"/>
      <c r="P618" s="811"/>
      <c r="Q618" s="811"/>
      <c r="R618" s="811"/>
      <c r="S618" s="811"/>
      <c r="T618" s="811"/>
      <c r="U618" s="811"/>
      <c r="V618" s="811"/>
      <c r="W618" s="811"/>
      <c r="X618" s="811"/>
      <c r="Y618" s="811"/>
      <c r="Z618" s="811"/>
    </row>
    <row r="619" spans="1:26" ht="15" thickBot="1">
      <c r="A619" s="811"/>
      <c r="B619" s="811"/>
      <c r="C619" s="811"/>
      <c r="D619" s="811"/>
      <c r="E619" s="811"/>
      <c r="F619" s="811"/>
      <c r="G619" s="811"/>
      <c r="H619" s="811"/>
      <c r="I619" s="811"/>
      <c r="J619" s="811"/>
      <c r="K619" s="811"/>
      <c r="L619" s="811"/>
      <c r="M619" s="811"/>
      <c r="N619" s="811"/>
      <c r="O619" s="811"/>
      <c r="P619" s="811"/>
      <c r="Q619" s="811"/>
      <c r="R619" s="811"/>
      <c r="S619" s="811"/>
      <c r="T619" s="811"/>
      <c r="U619" s="811"/>
      <c r="V619" s="811"/>
      <c r="W619" s="811"/>
      <c r="X619" s="811"/>
      <c r="Y619" s="811"/>
      <c r="Z619" s="811"/>
    </row>
    <row r="620" spans="1:26" ht="15" thickBot="1">
      <c r="A620" s="811"/>
      <c r="B620" s="811"/>
      <c r="C620" s="811"/>
      <c r="D620" s="811"/>
      <c r="E620" s="811"/>
      <c r="F620" s="811"/>
      <c r="G620" s="811"/>
      <c r="H620" s="811"/>
      <c r="I620" s="811"/>
      <c r="J620" s="811"/>
      <c r="K620" s="811"/>
      <c r="L620" s="811"/>
      <c r="M620" s="811"/>
      <c r="N620" s="811"/>
      <c r="O620" s="811"/>
      <c r="P620" s="811"/>
      <c r="Q620" s="811"/>
      <c r="R620" s="811"/>
      <c r="S620" s="811"/>
      <c r="T620" s="811"/>
      <c r="U620" s="811"/>
      <c r="V620" s="811"/>
      <c r="W620" s="811"/>
      <c r="X620" s="811"/>
      <c r="Y620" s="811"/>
      <c r="Z620" s="811"/>
    </row>
    <row r="621" spans="1:26" ht="15" thickBot="1">
      <c r="A621" s="811"/>
      <c r="B621" s="811"/>
      <c r="C621" s="811"/>
      <c r="D621" s="811"/>
      <c r="E621" s="811"/>
      <c r="F621" s="811"/>
      <c r="G621" s="811"/>
      <c r="H621" s="811"/>
      <c r="I621" s="811"/>
      <c r="J621" s="811"/>
      <c r="K621" s="811"/>
      <c r="L621" s="811"/>
      <c r="M621" s="811"/>
      <c r="N621" s="811"/>
      <c r="O621" s="811"/>
      <c r="P621" s="811"/>
      <c r="Q621" s="811"/>
      <c r="R621" s="811"/>
      <c r="S621" s="811"/>
      <c r="T621" s="811"/>
      <c r="U621" s="811"/>
      <c r="V621" s="811"/>
      <c r="W621" s="811"/>
      <c r="X621" s="811"/>
      <c r="Y621" s="811"/>
      <c r="Z621" s="811"/>
    </row>
    <row r="622" spans="1:26" ht="15" thickBot="1">
      <c r="A622" s="811"/>
      <c r="B622" s="811"/>
      <c r="C622" s="811"/>
      <c r="D622" s="811"/>
      <c r="E622" s="811"/>
      <c r="F622" s="811"/>
      <c r="G622" s="811"/>
      <c r="H622" s="811"/>
      <c r="I622" s="811"/>
      <c r="J622" s="811"/>
      <c r="K622" s="811"/>
      <c r="L622" s="811"/>
      <c r="M622" s="811"/>
      <c r="N622" s="811"/>
      <c r="O622" s="811"/>
      <c r="P622" s="811"/>
      <c r="Q622" s="811"/>
      <c r="R622" s="811"/>
      <c r="S622" s="811"/>
      <c r="T622" s="811"/>
      <c r="U622" s="811"/>
      <c r="V622" s="811"/>
      <c r="W622" s="811"/>
      <c r="X622" s="811"/>
      <c r="Y622" s="811"/>
      <c r="Z622" s="811"/>
    </row>
    <row r="623" spans="1:26" ht="15" thickBot="1">
      <c r="A623" s="811"/>
      <c r="B623" s="811"/>
      <c r="C623" s="811"/>
      <c r="D623" s="811"/>
      <c r="E623" s="811"/>
      <c r="F623" s="811"/>
      <c r="G623" s="811"/>
      <c r="H623" s="811"/>
      <c r="I623" s="811"/>
      <c r="J623" s="811"/>
      <c r="K623" s="811"/>
      <c r="L623" s="811"/>
      <c r="M623" s="811"/>
      <c r="N623" s="811"/>
      <c r="O623" s="811"/>
      <c r="P623" s="811"/>
      <c r="Q623" s="811"/>
      <c r="R623" s="811"/>
      <c r="S623" s="811"/>
      <c r="T623" s="811"/>
      <c r="U623" s="811"/>
      <c r="V623" s="811"/>
      <c r="W623" s="811"/>
      <c r="X623" s="811"/>
      <c r="Y623" s="811"/>
      <c r="Z623" s="811"/>
    </row>
    <row r="624" spans="1:26" ht="15" thickBot="1">
      <c r="A624" s="811"/>
      <c r="B624" s="811"/>
      <c r="C624" s="811"/>
      <c r="D624" s="811"/>
      <c r="E624" s="811"/>
      <c r="F624" s="811"/>
      <c r="G624" s="811"/>
      <c r="H624" s="811"/>
      <c r="I624" s="811"/>
      <c r="J624" s="811"/>
      <c r="K624" s="811"/>
      <c r="L624" s="811"/>
      <c r="M624" s="811"/>
      <c r="N624" s="811"/>
      <c r="O624" s="811"/>
      <c r="P624" s="811"/>
      <c r="Q624" s="811"/>
      <c r="R624" s="811"/>
      <c r="S624" s="811"/>
      <c r="T624" s="811"/>
      <c r="U624" s="811"/>
      <c r="V624" s="811"/>
      <c r="W624" s="811"/>
      <c r="X624" s="811"/>
      <c r="Y624" s="811"/>
      <c r="Z624" s="811"/>
    </row>
    <row r="625" spans="1:26" ht="15" thickBot="1">
      <c r="A625" s="811"/>
      <c r="B625" s="811"/>
      <c r="C625" s="811"/>
      <c r="D625" s="811"/>
      <c r="E625" s="811"/>
      <c r="F625" s="811"/>
      <c r="G625" s="811"/>
      <c r="H625" s="811"/>
      <c r="I625" s="811"/>
      <c r="J625" s="811"/>
      <c r="K625" s="811"/>
      <c r="L625" s="811"/>
      <c r="M625" s="811"/>
      <c r="N625" s="811"/>
      <c r="O625" s="811"/>
      <c r="P625" s="811"/>
      <c r="Q625" s="811"/>
      <c r="R625" s="811"/>
      <c r="S625" s="811"/>
      <c r="T625" s="811"/>
      <c r="U625" s="811"/>
      <c r="V625" s="811"/>
      <c r="W625" s="811"/>
      <c r="X625" s="811"/>
      <c r="Y625" s="811"/>
      <c r="Z625" s="811"/>
    </row>
    <row r="626" spans="1:26" ht="15" thickBot="1">
      <c r="A626" s="811"/>
      <c r="B626" s="811"/>
      <c r="C626" s="811"/>
      <c r="D626" s="811"/>
      <c r="E626" s="811"/>
      <c r="F626" s="811"/>
      <c r="G626" s="811"/>
      <c r="H626" s="811"/>
      <c r="I626" s="811"/>
      <c r="J626" s="811"/>
      <c r="K626" s="811"/>
      <c r="L626" s="811"/>
      <c r="M626" s="811"/>
      <c r="N626" s="811"/>
      <c r="O626" s="811"/>
      <c r="P626" s="811"/>
      <c r="Q626" s="811"/>
      <c r="R626" s="811"/>
      <c r="S626" s="811"/>
      <c r="T626" s="811"/>
      <c r="U626" s="811"/>
      <c r="V626" s="811"/>
      <c r="W626" s="811"/>
      <c r="X626" s="811"/>
      <c r="Y626" s="811"/>
      <c r="Z626" s="811"/>
    </row>
    <row r="627" spans="1:26" ht="15" thickBot="1">
      <c r="A627" s="811"/>
      <c r="B627" s="811"/>
      <c r="C627" s="811"/>
      <c r="D627" s="811"/>
      <c r="E627" s="811"/>
      <c r="F627" s="811"/>
      <c r="G627" s="811"/>
      <c r="H627" s="811"/>
      <c r="I627" s="811"/>
      <c r="J627" s="811"/>
      <c r="K627" s="811"/>
      <c r="L627" s="811"/>
      <c r="M627" s="811"/>
      <c r="N627" s="811"/>
      <c r="O627" s="811"/>
      <c r="P627" s="811"/>
      <c r="Q627" s="811"/>
      <c r="R627" s="811"/>
      <c r="S627" s="811"/>
      <c r="T627" s="811"/>
      <c r="U627" s="811"/>
      <c r="V627" s="811"/>
      <c r="W627" s="811"/>
      <c r="X627" s="811"/>
      <c r="Y627" s="811"/>
      <c r="Z627" s="811"/>
    </row>
    <row r="628" spans="1:26" ht="15" thickBot="1">
      <c r="A628" s="811"/>
      <c r="B628" s="811"/>
      <c r="C628" s="811"/>
      <c r="D628" s="811"/>
      <c r="E628" s="811"/>
      <c r="F628" s="811"/>
      <c r="G628" s="811"/>
      <c r="H628" s="811"/>
      <c r="I628" s="811"/>
      <c r="J628" s="811"/>
      <c r="K628" s="811"/>
      <c r="L628" s="811"/>
      <c r="M628" s="811"/>
      <c r="N628" s="811"/>
      <c r="O628" s="811"/>
      <c r="P628" s="811"/>
      <c r="Q628" s="811"/>
      <c r="R628" s="811"/>
      <c r="S628" s="811"/>
      <c r="T628" s="811"/>
      <c r="U628" s="811"/>
      <c r="V628" s="811"/>
      <c r="W628" s="811"/>
      <c r="X628" s="811"/>
      <c r="Y628" s="811"/>
      <c r="Z628" s="811"/>
    </row>
    <row r="629" spans="1:26" ht="15" thickBot="1">
      <c r="A629" s="811"/>
      <c r="B629" s="811"/>
      <c r="C629" s="811"/>
      <c r="D629" s="811"/>
      <c r="E629" s="811"/>
      <c r="F629" s="811"/>
      <c r="G629" s="811"/>
      <c r="H629" s="811"/>
      <c r="I629" s="811"/>
      <c r="J629" s="811"/>
      <c r="K629" s="811"/>
      <c r="L629" s="811"/>
      <c r="M629" s="811"/>
      <c r="N629" s="811"/>
      <c r="O629" s="811"/>
      <c r="P629" s="811"/>
      <c r="Q629" s="811"/>
      <c r="R629" s="811"/>
      <c r="S629" s="811"/>
      <c r="T629" s="811"/>
      <c r="U629" s="811"/>
      <c r="V629" s="811"/>
      <c r="W629" s="811"/>
      <c r="X629" s="811"/>
      <c r="Y629" s="811"/>
      <c r="Z629" s="811"/>
    </row>
    <row r="630" spans="1:26" ht="15" thickBot="1">
      <c r="A630" s="811"/>
      <c r="B630" s="811"/>
      <c r="C630" s="811"/>
      <c r="D630" s="811"/>
      <c r="E630" s="811"/>
      <c r="F630" s="811"/>
      <c r="G630" s="811"/>
      <c r="H630" s="811"/>
      <c r="I630" s="811"/>
      <c r="J630" s="811"/>
      <c r="K630" s="811"/>
      <c r="L630" s="811"/>
      <c r="M630" s="811"/>
      <c r="N630" s="811"/>
      <c r="O630" s="811"/>
      <c r="P630" s="811"/>
      <c r="Q630" s="811"/>
      <c r="R630" s="811"/>
      <c r="S630" s="811"/>
      <c r="T630" s="811"/>
      <c r="U630" s="811"/>
      <c r="V630" s="811"/>
      <c r="W630" s="811"/>
      <c r="X630" s="811"/>
      <c r="Y630" s="811"/>
      <c r="Z630" s="811"/>
    </row>
    <row r="631" spans="1:26" ht="15" thickBot="1">
      <c r="A631" s="811"/>
      <c r="B631" s="811"/>
      <c r="C631" s="811"/>
      <c r="D631" s="811"/>
      <c r="E631" s="811"/>
      <c r="F631" s="811"/>
      <c r="G631" s="811"/>
      <c r="H631" s="811"/>
      <c r="I631" s="811"/>
      <c r="J631" s="811"/>
      <c r="K631" s="811"/>
      <c r="L631" s="811"/>
      <c r="M631" s="811"/>
      <c r="N631" s="811"/>
      <c r="O631" s="811"/>
      <c r="P631" s="811"/>
      <c r="Q631" s="811"/>
      <c r="R631" s="811"/>
      <c r="S631" s="811"/>
      <c r="T631" s="811"/>
      <c r="U631" s="811"/>
      <c r="V631" s="811"/>
      <c r="W631" s="811"/>
      <c r="X631" s="811"/>
      <c r="Y631" s="811"/>
      <c r="Z631" s="811"/>
    </row>
    <row r="632" spans="1:26" ht="15" thickBot="1">
      <c r="A632" s="811"/>
      <c r="B632" s="811"/>
      <c r="C632" s="811"/>
      <c r="D632" s="811"/>
      <c r="E632" s="811"/>
      <c r="F632" s="811"/>
      <c r="G632" s="811"/>
      <c r="H632" s="811"/>
      <c r="I632" s="811"/>
      <c r="J632" s="811"/>
      <c r="K632" s="811"/>
      <c r="L632" s="811"/>
      <c r="M632" s="811"/>
      <c r="N632" s="811"/>
      <c r="O632" s="811"/>
      <c r="P632" s="811"/>
      <c r="Q632" s="811"/>
      <c r="R632" s="811"/>
      <c r="S632" s="811"/>
      <c r="T632" s="811"/>
      <c r="U632" s="811"/>
      <c r="V632" s="811"/>
      <c r="W632" s="811"/>
      <c r="X632" s="811"/>
      <c r="Y632" s="811"/>
      <c r="Z632" s="811"/>
    </row>
    <row r="633" spans="1:26" ht="15" thickBot="1">
      <c r="A633" s="811"/>
      <c r="B633" s="811"/>
      <c r="C633" s="811"/>
      <c r="D633" s="811"/>
      <c r="E633" s="811"/>
      <c r="F633" s="811"/>
      <c r="G633" s="811"/>
      <c r="H633" s="811"/>
      <c r="I633" s="811"/>
      <c r="J633" s="811"/>
      <c r="K633" s="811"/>
      <c r="L633" s="811"/>
      <c r="M633" s="811"/>
      <c r="N633" s="811"/>
      <c r="O633" s="811"/>
      <c r="P633" s="811"/>
      <c r="Q633" s="811"/>
      <c r="R633" s="811"/>
      <c r="S633" s="811"/>
      <c r="T633" s="811"/>
      <c r="U633" s="811"/>
      <c r="V633" s="811"/>
      <c r="W633" s="811"/>
      <c r="X633" s="811"/>
      <c r="Y633" s="811"/>
      <c r="Z633" s="811"/>
    </row>
    <row r="634" spans="1:26" ht="15" thickBot="1">
      <c r="A634" s="811"/>
      <c r="B634" s="811"/>
      <c r="C634" s="811"/>
      <c r="D634" s="811"/>
      <c r="E634" s="811"/>
      <c r="F634" s="811"/>
      <c r="G634" s="811"/>
      <c r="H634" s="811"/>
      <c r="I634" s="811"/>
      <c r="J634" s="811"/>
      <c r="K634" s="811"/>
      <c r="L634" s="811"/>
      <c r="M634" s="811"/>
      <c r="N634" s="811"/>
      <c r="O634" s="811"/>
      <c r="P634" s="811"/>
      <c r="Q634" s="811"/>
      <c r="R634" s="811"/>
      <c r="S634" s="811"/>
      <c r="T634" s="811"/>
      <c r="U634" s="811"/>
      <c r="V634" s="811"/>
      <c r="W634" s="811"/>
      <c r="X634" s="811"/>
      <c r="Y634" s="811"/>
      <c r="Z634" s="811"/>
    </row>
    <row r="635" spans="1:26" ht="15" thickBot="1">
      <c r="A635" s="811"/>
      <c r="B635" s="811"/>
      <c r="C635" s="811"/>
      <c r="D635" s="811"/>
      <c r="E635" s="811"/>
      <c r="F635" s="811"/>
      <c r="G635" s="811"/>
      <c r="H635" s="811"/>
      <c r="I635" s="811"/>
      <c r="J635" s="811"/>
      <c r="K635" s="811"/>
      <c r="L635" s="811"/>
      <c r="M635" s="811"/>
      <c r="N635" s="811"/>
      <c r="O635" s="811"/>
      <c r="P635" s="811"/>
      <c r="Q635" s="811"/>
      <c r="R635" s="811"/>
      <c r="S635" s="811"/>
      <c r="T635" s="811"/>
      <c r="U635" s="811"/>
      <c r="V635" s="811"/>
      <c r="W635" s="811"/>
      <c r="X635" s="811"/>
      <c r="Y635" s="811"/>
      <c r="Z635" s="811"/>
    </row>
    <row r="636" spans="1:26" ht="15" thickBot="1">
      <c r="A636" s="811"/>
      <c r="B636" s="811"/>
      <c r="C636" s="811"/>
      <c r="D636" s="811"/>
      <c r="E636" s="811"/>
      <c r="F636" s="811"/>
      <c r="G636" s="811"/>
      <c r="H636" s="811"/>
      <c r="I636" s="811"/>
      <c r="J636" s="811"/>
      <c r="K636" s="811"/>
      <c r="L636" s="811"/>
      <c r="M636" s="811"/>
      <c r="N636" s="811"/>
      <c r="O636" s="811"/>
      <c r="P636" s="811"/>
      <c r="Q636" s="811"/>
      <c r="R636" s="811"/>
      <c r="S636" s="811"/>
      <c r="T636" s="811"/>
      <c r="U636" s="811"/>
      <c r="V636" s="811"/>
      <c r="W636" s="811"/>
      <c r="X636" s="811"/>
      <c r="Y636" s="811"/>
      <c r="Z636" s="811"/>
    </row>
    <row r="637" spans="1:26" ht="15" thickBot="1">
      <c r="A637" s="811"/>
      <c r="B637" s="811"/>
      <c r="C637" s="811"/>
      <c r="D637" s="811"/>
      <c r="E637" s="811"/>
      <c r="F637" s="811"/>
      <c r="G637" s="811"/>
      <c r="H637" s="811"/>
      <c r="I637" s="811"/>
      <c r="J637" s="811"/>
      <c r="K637" s="811"/>
      <c r="L637" s="811"/>
      <c r="M637" s="811"/>
      <c r="N637" s="811"/>
      <c r="O637" s="811"/>
      <c r="P637" s="811"/>
      <c r="Q637" s="811"/>
      <c r="R637" s="811"/>
      <c r="S637" s="811"/>
      <c r="T637" s="811"/>
      <c r="U637" s="811"/>
      <c r="V637" s="811"/>
      <c r="W637" s="811"/>
      <c r="X637" s="811"/>
      <c r="Y637" s="811"/>
      <c r="Z637" s="811"/>
    </row>
    <row r="638" spans="1:26" ht="15" thickBot="1">
      <c r="A638" s="811"/>
      <c r="B638" s="811"/>
      <c r="C638" s="811"/>
      <c r="D638" s="811"/>
      <c r="E638" s="811"/>
      <c r="F638" s="811"/>
      <c r="G638" s="811"/>
      <c r="H638" s="811"/>
      <c r="I638" s="811"/>
      <c r="J638" s="811"/>
      <c r="K638" s="811"/>
      <c r="L638" s="811"/>
      <c r="M638" s="811"/>
      <c r="N638" s="811"/>
      <c r="O638" s="811"/>
      <c r="P638" s="811"/>
      <c r="Q638" s="811"/>
      <c r="R638" s="811"/>
      <c r="S638" s="811"/>
      <c r="T638" s="811"/>
      <c r="U638" s="811"/>
      <c r="V638" s="811"/>
      <c r="W638" s="811"/>
      <c r="X638" s="811"/>
      <c r="Y638" s="811"/>
      <c r="Z638" s="811"/>
    </row>
    <row r="639" spans="1:26" ht="15" thickBot="1">
      <c r="A639" s="811"/>
      <c r="B639" s="811"/>
      <c r="C639" s="811"/>
      <c r="D639" s="811"/>
      <c r="E639" s="811"/>
      <c r="F639" s="811"/>
      <c r="G639" s="811"/>
      <c r="H639" s="811"/>
      <c r="I639" s="811"/>
      <c r="J639" s="811"/>
      <c r="K639" s="811"/>
      <c r="L639" s="811"/>
      <c r="M639" s="811"/>
      <c r="N639" s="811"/>
      <c r="O639" s="811"/>
      <c r="P639" s="811"/>
      <c r="Q639" s="811"/>
      <c r="R639" s="811"/>
      <c r="S639" s="811"/>
      <c r="T639" s="811"/>
      <c r="U639" s="811"/>
      <c r="V639" s="811"/>
      <c r="W639" s="811"/>
      <c r="X639" s="811"/>
      <c r="Y639" s="811"/>
      <c r="Z639" s="811"/>
    </row>
    <row r="640" spans="1:26" ht="15" thickBot="1">
      <c r="A640" s="811"/>
      <c r="B640" s="811"/>
      <c r="C640" s="811"/>
      <c r="D640" s="811"/>
      <c r="E640" s="811"/>
      <c r="F640" s="811"/>
      <c r="G640" s="811"/>
      <c r="H640" s="811"/>
      <c r="I640" s="811"/>
      <c r="J640" s="811"/>
      <c r="K640" s="811"/>
      <c r="L640" s="811"/>
      <c r="M640" s="811"/>
      <c r="N640" s="811"/>
      <c r="O640" s="811"/>
      <c r="P640" s="811"/>
      <c r="Q640" s="811"/>
      <c r="R640" s="811"/>
      <c r="S640" s="811"/>
      <c r="T640" s="811"/>
      <c r="U640" s="811"/>
      <c r="V640" s="811"/>
      <c r="W640" s="811"/>
      <c r="X640" s="811"/>
      <c r="Y640" s="811"/>
      <c r="Z640" s="811"/>
    </row>
    <row r="641" spans="1:26" ht="15" thickBot="1">
      <c r="A641" s="811"/>
      <c r="B641" s="811"/>
      <c r="C641" s="811"/>
      <c r="D641" s="811"/>
      <c r="E641" s="811"/>
      <c r="F641" s="811"/>
      <c r="G641" s="811"/>
      <c r="H641" s="811"/>
      <c r="I641" s="811"/>
      <c r="J641" s="811"/>
      <c r="K641" s="811"/>
      <c r="L641" s="811"/>
      <c r="M641" s="811"/>
      <c r="N641" s="811"/>
      <c r="O641" s="811"/>
      <c r="P641" s="811"/>
      <c r="Q641" s="811"/>
      <c r="R641" s="811"/>
      <c r="S641" s="811"/>
      <c r="T641" s="811"/>
      <c r="U641" s="811"/>
      <c r="V641" s="811"/>
      <c r="W641" s="811"/>
      <c r="X641" s="811"/>
      <c r="Y641" s="811"/>
      <c r="Z641" s="811"/>
    </row>
    <row r="642" spans="1:26" ht="15" thickBot="1">
      <c r="A642" s="811"/>
      <c r="B642" s="811"/>
      <c r="C642" s="811"/>
      <c r="D642" s="811"/>
      <c r="E642" s="811"/>
      <c r="F642" s="811"/>
      <c r="G642" s="811"/>
      <c r="H642" s="811"/>
      <c r="I642" s="811"/>
      <c r="J642" s="811"/>
      <c r="K642" s="811"/>
      <c r="L642" s="811"/>
      <c r="M642" s="811"/>
      <c r="N642" s="811"/>
      <c r="O642" s="811"/>
      <c r="P642" s="811"/>
      <c r="Q642" s="811"/>
      <c r="R642" s="811"/>
      <c r="S642" s="811"/>
      <c r="T642" s="811"/>
      <c r="U642" s="811"/>
      <c r="V642" s="811"/>
      <c r="W642" s="811"/>
      <c r="X642" s="811"/>
      <c r="Y642" s="811"/>
      <c r="Z642" s="811"/>
    </row>
    <row r="643" spans="1:26" ht="15" thickBot="1">
      <c r="A643" s="811"/>
      <c r="B643" s="811"/>
      <c r="C643" s="811"/>
      <c r="D643" s="811"/>
      <c r="E643" s="811"/>
      <c r="F643" s="811"/>
      <c r="G643" s="811"/>
      <c r="H643" s="811"/>
      <c r="I643" s="811"/>
      <c r="J643" s="811"/>
      <c r="K643" s="811"/>
      <c r="L643" s="811"/>
      <c r="M643" s="811"/>
      <c r="N643" s="811"/>
      <c r="O643" s="811"/>
      <c r="P643" s="811"/>
      <c r="Q643" s="811"/>
      <c r="R643" s="811"/>
      <c r="S643" s="811"/>
      <c r="T643" s="811"/>
      <c r="U643" s="811"/>
      <c r="V643" s="811"/>
      <c r="W643" s="811"/>
      <c r="X643" s="811"/>
      <c r="Y643" s="811"/>
      <c r="Z643" s="811"/>
    </row>
    <row r="644" spans="1:26" ht="15" thickBot="1">
      <c r="A644" s="811"/>
      <c r="B644" s="811"/>
      <c r="C644" s="811"/>
      <c r="D644" s="811"/>
      <c r="E644" s="811"/>
      <c r="F644" s="811"/>
      <c r="G644" s="811"/>
      <c r="H644" s="811"/>
      <c r="I644" s="811"/>
      <c r="J644" s="811"/>
      <c r="K644" s="811"/>
      <c r="L644" s="811"/>
      <c r="M644" s="811"/>
      <c r="N644" s="811"/>
      <c r="O644" s="811"/>
      <c r="P644" s="811"/>
      <c r="Q644" s="811"/>
      <c r="R644" s="811"/>
      <c r="S644" s="811"/>
      <c r="T644" s="811"/>
      <c r="U644" s="811"/>
      <c r="V644" s="811"/>
      <c r="W644" s="811"/>
      <c r="X644" s="811"/>
      <c r="Y644" s="811"/>
      <c r="Z644" s="811"/>
    </row>
    <row r="645" spans="1:26" ht="15" thickBot="1">
      <c r="A645" s="811"/>
      <c r="B645" s="811"/>
      <c r="C645" s="811"/>
      <c r="D645" s="811"/>
      <c r="E645" s="811"/>
      <c r="F645" s="811"/>
      <c r="G645" s="811"/>
      <c r="H645" s="811"/>
      <c r="I645" s="811"/>
      <c r="J645" s="811"/>
      <c r="K645" s="811"/>
      <c r="L645" s="811"/>
      <c r="M645" s="811"/>
      <c r="N645" s="811"/>
      <c r="O645" s="811"/>
      <c r="P645" s="811"/>
      <c r="Q645" s="811"/>
      <c r="R645" s="811"/>
      <c r="S645" s="811"/>
      <c r="T645" s="811"/>
      <c r="U645" s="811"/>
      <c r="V645" s="811"/>
      <c r="W645" s="811"/>
      <c r="X645" s="811"/>
      <c r="Y645" s="811"/>
      <c r="Z645" s="811"/>
    </row>
    <row r="646" spans="1:26" ht="15" thickBot="1">
      <c r="A646" s="811"/>
      <c r="B646" s="811"/>
      <c r="C646" s="811"/>
      <c r="D646" s="811"/>
      <c r="E646" s="811"/>
      <c r="F646" s="811"/>
      <c r="G646" s="811"/>
      <c r="H646" s="811"/>
      <c r="I646" s="811"/>
      <c r="J646" s="811"/>
      <c r="K646" s="811"/>
      <c r="L646" s="811"/>
      <c r="M646" s="811"/>
      <c r="N646" s="811"/>
      <c r="O646" s="811"/>
      <c r="P646" s="811"/>
      <c r="Q646" s="811"/>
      <c r="R646" s="811"/>
      <c r="S646" s="811"/>
      <c r="T646" s="811"/>
      <c r="U646" s="811"/>
      <c r="V646" s="811"/>
      <c r="W646" s="811"/>
      <c r="X646" s="811"/>
      <c r="Y646" s="811"/>
      <c r="Z646" s="811"/>
    </row>
    <row r="647" spans="1:26" ht="15" thickBot="1">
      <c r="A647" s="811"/>
      <c r="B647" s="811"/>
      <c r="C647" s="811"/>
      <c r="D647" s="811"/>
      <c r="E647" s="811"/>
      <c r="F647" s="811"/>
      <c r="G647" s="811"/>
      <c r="H647" s="811"/>
      <c r="I647" s="811"/>
      <c r="J647" s="811"/>
      <c r="K647" s="811"/>
      <c r="L647" s="811"/>
      <c r="M647" s="811"/>
      <c r="N647" s="811"/>
      <c r="O647" s="811"/>
      <c r="P647" s="811"/>
      <c r="Q647" s="811"/>
      <c r="R647" s="811"/>
      <c r="S647" s="811"/>
      <c r="T647" s="811"/>
      <c r="U647" s="811"/>
      <c r="V647" s="811"/>
      <c r="W647" s="811"/>
      <c r="X647" s="811"/>
      <c r="Y647" s="811"/>
      <c r="Z647" s="811"/>
    </row>
    <row r="648" spans="1:26" ht="15" thickBot="1">
      <c r="A648" s="811"/>
      <c r="B648" s="811"/>
      <c r="C648" s="811"/>
      <c r="D648" s="811"/>
      <c r="E648" s="811"/>
      <c r="F648" s="811"/>
      <c r="G648" s="811"/>
      <c r="H648" s="811"/>
      <c r="I648" s="811"/>
      <c r="J648" s="811"/>
      <c r="K648" s="811"/>
      <c r="L648" s="811"/>
      <c r="M648" s="811"/>
      <c r="N648" s="811"/>
      <c r="O648" s="811"/>
      <c r="P648" s="811"/>
      <c r="Q648" s="811"/>
      <c r="R648" s="811"/>
      <c r="S648" s="811"/>
      <c r="T648" s="811"/>
      <c r="U648" s="811"/>
      <c r="V648" s="811"/>
      <c r="W648" s="811"/>
      <c r="X648" s="811"/>
      <c r="Y648" s="811"/>
      <c r="Z648" s="811"/>
    </row>
    <row r="649" spans="1:26" ht="15" thickBot="1">
      <c r="A649" s="811"/>
      <c r="B649" s="811"/>
      <c r="C649" s="811"/>
      <c r="D649" s="811"/>
      <c r="E649" s="811"/>
      <c r="F649" s="811"/>
      <c r="G649" s="811"/>
      <c r="H649" s="811"/>
      <c r="I649" s="811"/>
      <c r="J649" s="811"/>
      <c r="K649" s="811"/>
      <c r="L649" s="811"/>
      <c r="M649" s="811"/>
      <c r="N649" s="811"/>
      <c r="O649" s="811"/>
      <c r="P649" s="811"/>
      <c r="Q649" s="811"/>
      <c r="R649" s="811"/>
      <c r="S649" s="811"/>
      <c r="T649" s="811"/>
      <c r="U649" s="811"/>
      <c r="V649" s="811"/>
      <c r="W649" s="811"/>
      <c r="X649" s="811"/>
      <c r="Y649" s="811"/>
      <c r="Z649" s="811"/>
    </row>
    <row r="650" spans="1:26" ht="15" thickBot="1">
      <c r="A650" s="811"/>
      <c r="B650" s="811"/>
      <c r="C650" s="811"/>
      <c r="D650" s="811"/>
      <c r="E650" s="811"/>
      <c r="F650" s="811"/>
      <c r="G650" s="811"/>
      <c r="H650" s="811"/>
      <c r="I650" s="811"/>
      <c r="J650" s="811"/>
      <c r="K650" s="811"/>
      <c r="L650" s="811"/>
      <c r="M650" s="811"/>
      <c r="N650" s="811"/>
      <c r="O650" s="811"/>
      <c r="P650" s="811"/>
      <c r="Q650" s="811"/>
      <c r="R650" s="811"/>
      <c r="S650" s="811"/>
      <c r="T650" s="811"/>
      <c r="U650" s="811"/>
      <c r="V650" s="811"/>
      <c r="W650" s="811"/>
      <c r="X650" s="811"/>
      <c r="Y650" s="811"/>
      <c r="Z650" s="811"/>
    </row>
    <row r="651" spans="1:26" ht="15" thickBot="1">
      <c r="A651" s="811"/>
      <c r="B651" s="811"/>
      <c r="C651" s="811"/>
      <c r="D651" s="811"/>
      <c r="E651" s="811"/>
      <c r="F651" s="811"/>
      <c r="G651" s="811"/>
      <c r="H651" s="811"/>
      <c r="I651" s="811"/>
      <c r="J651" s="811"/>
      <c r="K651" s="811"/>
      <c r="L651" s="811"/>
      <c r="M651" s="811"/>
      <c r="N651" s="811"/>
      <c r="O651" s="811"/>
      <c r="P651" s="811"/>
      <c r="Q651" s="811"/>
      <c r="R651" s="811"/>
      <c r="S651" s="811"/>
      <c r="T651" s="811"/>
      <c r="U651" s="811"/>
      <c r="V651" s="811"/>
      <c r="W651" s="811"/>
      <c r="X651" s="811"/>
      <c r="Y651" s="811"/>
      <c r="Z651" s="811"/>
    </row>
    <row r="652" spans="1:26" ht="15" thickBot="1">
      <c r="A652" s="811"/>
      <c r="B652" s="811"/>
      <c r="C652" s="811"/>
      <c r="D652" s="811"/>
      <c r="E652" s="811"/>
      <c r="F652" s="811"/>
      <c r="G652" s="811"/>
      <c r="H652" s="811"/>
      <c r="I652" s="811"/>
      <c r="J652" s="811"/>
      <c r="K652" s="811"/>
      <c r="L652" s="811"/>
      <c r="M652" s="811"/>
      <c r="N652" s="811"/>
      <c r="O652" s="811"/>
      <c r="P652" s="811"/>
      <c r="Q652" s="811"/>
      <c r="R652" s="811"/>
      <c r="S652" s="811"/>
      <c r="T652" s="811"/>
      <c r="U652" s="811"/>
      <c r="V652" s="811"/>
      <c r="W652" s="811"/>
      <c r="X652" s="811"/>
      <c r="Y652" s="811"/>
      <c r="Z652" s="811"/>
    </row>
    <row r="653" spans="1:26" ht="15" thickBot="1">
      <c r="A653" s="811"/>
      <c r="B653" s="811"/>
      <c r="C653" s="811"/>
      <c r="D653" s="811"/>
      <c r="E653" s="811"/>
      <c r="F653" s="811"/>
      <c r="G653" s="811"/>
      <c r="H653" s="811"/>
      <c r="I653" s="811"/>
      <c r="J653" s="811"/>
      <c r="K653" s="811"/>
      <c r="L653" s="811"/>
      <c r="M653" s="811"/>
      <c r="N653" s="811"/>
      <c r="O653" s="811"/>
      <c r="P653" s="811"/>
      <c r="Q653" s="811"/>
      <c r="R653" s="811"/>
      <c r="S653" s="811"/>
      <c r="T653" s="811"/>
      <c r="U653" s="811"/>
      <c r="V653" s="811"/>
      <c r="W653" s="811"/>
      <c r="X653" s="811"/>
      <c r="Y653" s="811"/>
      <c r="Z653" s="811"/>
    </row>
    <row r="654" spans="1:26" ht="15" thickBot="1">
      <c r="A654" s="811"/>
      <c r="B654" s="811"/>
      <c r="C654" s="811"/>
      <c r="D654" s="811"/>
      <c r="E654" s="811"/>
      <c r="F654" s="811"/>
      <c r="G654" s="811"/>
      <c r="H654" s="811"/>
      <c r="I654" s="811"/>
      <c r="J654" s="811"/>
      <c r="K654" s="811"/>
      <c r="L654" s="811"/>
      <c r="M654" s="811"/>
      <c r="N654" s="811"/>
      <c r="O654" s="811"/>
      <c r="P654" s="811"/>
      <c r="Q654" s="811"/>
      <c r="R654" s="811"/>
      <c r="S654" s="811"/>
      <c r="T654" s="811"/>
      <c r="U654" s="811"/>
      <c r="V654" s="811"/>
      <c r="W654" s="811"/>
      <c r="X654" s="811"/>
      <c r="Y654" s="811"/>
      <c r="Z654" s="811"/>
    </row>
    <row r="655" spans="1:26" ht="15" thickBot="1">
      <c r="A655" s="811"/>
      <c r="B655" s="811"/>
      <c r="C655" s="811"/>
      <c r="D655" s="811"/>
      <c r="E655" s="811"/>
      <c r="F655" s="811"/>
      <c r="G655" s="811"/>
      <c r="H655" s="811"/>
      <c r="I655" s="811"/>
      <c r="J655" s="811"/>
      <c r="K655" s="811"/>
      <c r="L655" s="811"/>
      <c r="M655" s="811"/>
      <c r="N655" s="811"/>
      <c r="O655" s="811"/>
      <c r="P655" s="811"/>
      <c r="Q655" s="811"/>
      <c r="R655" s="811"/>
      <c r="S655" s="811"/>
      <c r="T655" s="811"/>
      <c r="U655" s="811"/>
      <c r="V655" s="811"/>
      <c r="W655" s="811"/>
      <c r="X655" s="811"/>
      <c r="Y655" s="811"/>
      <c r="Z655" s="811"/>
    </row>
    <row r="656" spans="1:26" ht="15" thickBot="1">
      <c r="A656" s="811"/>
      <c r="B656" s="811"/>
      <c r="C656" s="811"/>
      <c r="D656" s="811"/>
      <c r="E656" s="811"/>
      <c r="F656" s="811"/>
      <c r="G656" s="811"/>
      <c r="H656" s="811"/>
      <c r="I656" s="811"/>
      <c r="J656" s="811"/>
      <c r="K656" s="811"/>
      <c r="L656" s="811"/>
      <c r="M656" s="811"/>
      <c r="N656" s="811"/>
      <c r="O656" s="811"/>
      <c r="P656" s="811"/>
      <c r="Q656" s="811"/>
      <c r="R656" s="811"/>
      <c r="S656" s="811"/>
      <c r="T656" s="811"/>
      <c r="U656" s="811"/>
      <c r="V656" s="811"/>
      <c r="W656" s="811"/>
      <c r="X656" s="811"/>
      <c r="Y656" s="811"/>
      <c r="Z656" s="811"/>
    </row>
    <row r="657" spans="1:26" ht="15" thickBot="1">
      <c r="A657" s="811"/>
      <c r="B657" s="811"/>
      <c r="C657" s="811"/>
      <c r="D657" s="811"/>
      <c r="E657" s="811"/>
      <c r="F657" s="811"/>
      <c r="G657" s="811"/>
      <c r="H657" s="811"/>
      <c r="I657" s="811"/>
      <c r="J657" s="811"/>
      <c r="K657" s="811"/>
      <c r="L657" s="811"/>
      <c r="M657" s="811"/>
      <c r="N657" s="811"/>
      <c r="O657" s="811"/>
      <c r="P657" s="811"/>
      <c r="Q657" s="811"/>
      <c r="R657" s="811"/>
      <c r="S657" s="811"/>
      <c r="T657" s="811"/>
      <c r="U657" s="811"/>
      <c r="V657" s="811"/>
      <c r="W657" s="811"/>
      <c r="X657" s="811"/>
      <c r="Y657" s="811"/>
      <c r="Z657" s="811"/>
    </row>
    <row r="658" spans="1:26" ht="15" thickBot="1">
      <c r="A658" s="811"/>
      <c r="B658" s="811"/>
      <c r="C658" s="811"/>
      <c r="D658" s="811"/>
      <c r="E658" s="811"/>
      <c r="F658" s="811"/>
      <c r="G658" s="811"/>
      <c r="H658" s="811"/>
      <c r="I658" s="811"/>
      <c r="J658" s="811"/>
      <c r="K658" s="811"/>
      <c r="L658" s="811"/>
      <c r="M658" s="811"/>
      <c r="N658" s="811"/>
      <c r="O658" s="811"/>
      <c r="P658" s="811"/>
      <c r="Q658" s="811"/>
      <c r="R658" s="811"/>
      <c r="S658" s="811"/>
      <c r="T658" s="811"/>
      <c r="U658" s="811"/>
      <c r="V658" s="811"/>
      <c r="W658" s="811"/>
      <c r="X658" s="811"/>
      <c r="Y658" s="811"/>
      <c r="Z658" s="811"/>
    </row>
    <row r="659" spans="1:26" ht="15" thickBot="1">
      <c r="A659" s="811"/>
      <c r="B659" s="811"/>
      <c r="C659" s="811"/>
      <c r="D659" s="811"/>
      <c r="E659" s="811"/>
      <c r="F659" s="811"/>
      <c r="G659" s="811"/>
      <c r="H659" s="811"/>
      <c r="I659" s="811"/>
      <c r="J659" s="811"/>
      <c r="K659" s="811"/>
      <c r="L659" s="811"/>
      <c r="M659" s="811"/>
      <c r="N659" s="811"/>
      <c r="O659" s="811"/>
      <c r="P659" s="811"/>
      <c r="Q659" s="811"/>
      <c r="R659" s="811"/>
      <c r="S659" s="811"/>
      <c r="T659" s="811"/>
      <c r="U659" s="811"/>
      <c r="V659" s="811"/>
      <c r="W659" s="811"/>
      <c r="X659" s="811"/>
      <c r="Y659" s="811"/>
      <c r="Z659" s="811"/>
    </row>
    <row r="660" spans="1:26" ht="15" thickBot="1">
      <c r="A660" s="811"/>
      <c r="B660" s="811"/>
      <c r="C660" s="811"/>
      <c r="D660" s="811"/>
      <c r="E660" s="811"/>
      <c r="F660" s="811"/>
      <c r="G660" s="811"/>
      <c r="H660" s="811"/>
      <c r="I660" s="811"/>
      <c r="J660" s="811"/>
      <c r="K660" s="811"/>
      <c r="L660" s="811"/>
      <c r="M660" s="811"/>
      <c r="N660" s="811"/>
      <c r="O660" s="811"/>
      <c r="P660" s="811"/>
      <c r="Q660" s="811"/>
      <c r="R660" s="811"/>
      <c r="S660" s="811"/>
      <c r="T660" s="811"/>
      <c r="U660" s="811"/>
      <c r="V660" s="811"/>
      <c r="W660" s="811"/>
      <c r="X660" s="811"/>
      <c r="Y660" s="811"/>
      <c r="Z660" s="811"/>
    </row>
    <row r="661" spans="1:26" ht="15" thickBot="1">
      <c r="A661" s="811"/>
      <c r="B661" s="811"/>
      <c r="C661" s="811"/>
      <c r="D661" s="811"/>
      <c r="E661" s="811"/>
      <c r="F661" s="811"/>
      <c r="G661" s="811"/>
      <c r="H661" s="811"/>
      <c r="I661" s="811"/>
      <c r="J661" s="811"/>
      <c r="K661" s="811"/>
      <c r="L661" s="811"/>
      <c r="M661" s="811"/>
      <c r="N661" s="811"/>
      <c r="O661" s="811"/>
      <c r="P661" s="811"/>
      <c r="Q661" s="811"/>
      <c r="R661" s="811"/>
      <c r="S661" s="811"/>
      <c r="T661" s="811"/>
      <c r="U661" s="811"/>
      <c r="V661" s="811"/>
      <c r="W661" s="811"/>
      <c r="X661" s="811"/>
      <c r="Y661" s="811"/>
      <c r="Z661" s="811"/>
    </row>
    <row r="662" spans="1:26" ht="15" thickBot="1">
      <c r="A662" s="811"/>
      <c r="B662" s="811"/>
      <c r="C662" s="811"/>
      <c r="D662" s="811"/>
      <c r="E662" s="811"/>
      <c r="F662" s="811"/>
      <c r="G662" s="811"/>
      <c r="H662" s="811"/>
      <c r="I662" s="811"/>
      <c r="J662" s="811"/>
      <c r="K662" s="811"/>
      <c r="L662" s="811"/>
      <c r="M662" s="811"/>
      <c r="N662" s="811"/>
      <c r="O662" s="811"/>
      <c r="P662" s="811"/>
      <c r="Q662" s="811"/>
      <c r="R662" s="811"/>
      <c r="S662" s="811"/>
      <c r="T662" s="811"/>
      <c r="U662" s="811"/>
      <c r="V662" s="811"/>
      <c r="W662" s="811"/>
      <c r="X662" s="811"/>
      <c r="Y662" s="811"/>
      <c r="Z662" s="811"/>
    </row>
    <row r="663" spans="1:26" ht="15" thickBot="1">
      <c r="A663" s="811"/>
      <c r="B663" s="811"/>
      <c r="C663" s="811"/>
      <c r="D663" s="811"/>
      <c r="E663" s="811"/>
      <c r="F663" s="811"/>
      <c r="G663" s="811"/>
      <c r="H663" s="811"/>
      <c r="I663" s="811"/>
      <c r="J663" s="811"/>
      <c r="K663" s="811"/>
      <c r="L663" s="811"/>
      <c r="M663" s="811"/>
      <c r="N663" s="811"/>
      <c r="O663" s="811"/>
      <c r="P663" s="811"/>
      <c r="Q663" s="811"/>
      <c r="R663" s="811"/>
      <c r="S663" s="811"/>
      <c r="T663" s="811"/>
      <c r="U663" s="811"/>
      <c r="V663" s="811"/>
      <c r="W663" s="811"/>
      <c r="X663" s="811"/>
      <c r="Y663" s="811"/>
      <c r="Z663" s="811"/>
    </row>
    <row r="664" spans="1:26" ht="15" thickBot="1">
      <c r="A664" s="811"/>
      <c r="B664" s="811"/>
      <c r="C664" s="811"/>
      <c r="D664" s="811"/>
      <c r="E664" s="811"/>
      <c r="F664" s="811"/>
      <c r="G664" s="811"/>
      <c r="H664" s="811"/>
      <c r="I664" s="811"/>
      <c r="J664" s="811"/>
      <c r="K664" s="811"/>
      <c r="L664" s="811"/>
      <c r="M664" s="811"/>
      <c r="N664" s="811"/>
      <c r="O664" s="811"/>
      <c r="P664" s="811"/>
      <c r="Q664" s="811"/>
      <c r="R664" s="811"/>
      <c r="S664" s="811"/>
      <c r="T664" s="811"/>
      <c r="U664" s="811"/>
      <c r="V664" s="811"/>
      <c r="W664" s="811"/>
      <c r="X664" s="811"/>
      <c r="Y664" s="811"/>
      <c r="Z664" s="811"/>
    </row>
    <row r="665" spans="1:26" ht="15" thickBot="1">
      <c r="A665" s="811"/>
      <c r="B665" s="811"/>
      <c r="C665" s="811"/>
      <c r="D665" s="811"/>
      <c r="E665" s="811"/>
      <c r="F665" s="811"/>
      <c r="G665" s="811"/>
      <c r="H665" s="811"/>
      <c r="I665" s="811"/>
      <c r="J665" s="811"/>
      <c r="K665" s="811"/>
      <c r="L665" s="811"/>
      <c r="M665" s="811"/>
      <c r="N665" s="811"/>
      <c r="O665" s="811"/>
      <c r="P665" s="811"/>
      <c r="Q665" s="811"/>
      <c r="R665" s="811"/>
      <c r="S665" s="811"/>
      <c r="T665" s="811"/>
      <c r="U665" s="811"/>
      <c r="V665" s="811"/>
      <c r="W665" s="811"/>
      <c r="X665" s="811"/>
      <c r="Y665" s="811"/>
      <c r="Z665" s="811"/>
    </row>
    <row r="666" spans="1:26" ht="15" thickBot="1">
      <c r="A666" s="811"/>
      <c r="B666" s="811"/>
      <c r="C666" s="811"/>
      <c r="D666" s="811"/>
      <c r="E666" s="811"/>
      <c r="F666" s="811"/>
      <c r="G666" s="811"/>
      <c r="H666" s="811"/>
      <c r="I666" s="811"/>
      <c r="J666" s="811"/>
      <c r="K666" s="811"/>
      <c r="L666" s="811"/>
      <c r="M666" s="811"/>
      <c r="N666" s="811"/>
      <c r="O666" s="811"/>
      <c r="P666" s="811"/>
      <c r="Q666" s="811"/>
      <c r="R666" s="811"/>
      <c r="S666" s="811"/>
      <c r="T666" s="811"/>
      <c r="U666" s="811"/>
      <c r="V666" s="811"/>
      <c r="W666" s="811"/>
      <c r="X666" s="811"/>
      <c r="Y666" s="811"/>
      <c r="Z666" s="811"/>
    </row>
    <row r="667" spans="1:26" ht="15" thickBot="1">
      <c r="A667" s="811"/>
      <c r="B667" s="811"/>
      <c r="C667" s="811"/>
      <c r="D667" s="811"/>
      <c r="E667" s="811"/>
      <c r="F667" s="811"/>
      <c r="G667" s="811"/>
      <c r="H667" s="811"/>
      <c r="I667" s="811"/>
      <c r="J667" s="811"/>
      <c r="K667" s="811"/>
      <c r="L667" s="811"/>
      <c r="M667" s="811"/>
      <c r="N667" s="811"/>
      <c r="O667" s="811"/>
      <c r="P667" s="811"/>
      <c r="Q667" s="811"/>
      <c r="R667" s="811"/>
      <c r="S667" s="811"/>
      <c r="T667" s="811"/>
      <c r="U667" s="811"/>
      <c r="V667" s="811"/>
      <c r="W667" s="811"/>
      <c r="X667" s="811"/>
      <c r="Y667" s="811"/>
      <c r="Z667" s="811"/>
    </row>
    <row r="668" spans="1:26" ht="15" thickBot="1">
      <c r="A668" s="811"/>
      <c r="B668" s="811"/>
      <c r="C668" s="811"/>
      <c r="D668" s="811"/>
      <c r="E668" s="811"/>
      <c r="F668" s="811"/>
      <c r="G668" s="811"/>
      <c r="H668" s="811"/>
      <c r="I668" s="811"/>
      <c r="J668" s="811"/>
      <c r="K668" s="811"/>
      <c r="L668" s="811"/>
      <c r="M668" s="811"/>
      <c r="N668" s="811"/>
      <c r="O668" s="811"/>
      <c r="P668" s="811"/>
      <c r="Q668" s="811"/>
      <c r="R668" s="811"/>
      <c r="S668" s="811"/>
      <c r="T668" s="811"/>
      <c r="U668" s="811"/>
      <c r="V668" s="811"/>
      <c r="W668" s="811"/>
      <c r="X668" s="811"/>
      <c r="Y668" s="811"/>
      <c r="Z668" s="811"/>
    </row>
    <row r="669" spans="1:26" ht="15" thickBot="1">
      <c r="A669" s="811"/>
      <c r="B669" s="811"/>
      <c r="C669" s="811"/>
      <c r="D669" s="811"/>
      <c r="E669" s="811"/>
      <c r="F669" s="811"/>
      <c r="G669" s="811"/>
      <c r="H669" s="811"/>
      <c r="I669" s="811"/>
      <c r="J669" s="811"/>
      <c r="K669" s="811"/>
      <c r="L669" s="811"/>
      <c r="M669" s="811"/>
      <c r="N669" s="811"/>
      <c r="O669" s="811"/>
      <c r="P669" s="811"/>
      <c r="Q669" s="811"/>
      <c r="R669" s="811"/>
      <c r="S669" s="811"/>
      <c r="T669" s="811"/>
      <c r="U669" s="811"/>
      <c r="V669" s="811"/>
      <c r="W669" s="811"/>
      <c r="X669" s="811"/>
      <c r="Y669" s="811"/>
      <c r="Z669" s="811"/>
    </row>
    <row r="670" spans="1:26" ht="15" thickBot="1">
      <c r="A670" s="811"/>
      <c r="B670" s="811"/>
      <c r="C670" s="811"/>
      <c r="D670" s="811"/>
      <c r="E670" s="811"/>
      <c r="F670" s="811"/>
      <c r="G670" s="811"/>
      <c r="H670" s="811"/>
      <c r="I670" s="811"/>
      <c r="J670" s="811"/>
      <c r="K670" s="811"/>
      <c r="L670" s="811"/>
      <c r="M670" s="811"/>
      <c r="N670" s="811"/>
      <c r="O670" s="811"/>
      <c r="P670" s="811"/>
      <c r="Q670" s="811"/>
      <c r="R670" s="811"/>
      <c r="S670" s="811"/>
      <c r="T670" s="811"/>
      <c r="U670" s="811"/>
      <c r="V670" s="811"/>
      <c r="W670" s="811"/>
      <c r="X670" s="811"/>
      <c r="Y670" s="811"/>
      <c r="Z670" s="811"/>
    </row>
    <row r="671" spans="1:26" ht="15" thickBot="1">
      <c r="A671" s="811"/>
      <c r="B671" s="811"/>
      <c r="C671" s="811"/>
      <c r="D671" s="811"/>
      <c r="E671" s="811"/>
      <c r="F671" s="811"/>
      <c r="G671" s="811"/>
      <c r="H671" s="811"/>
      <c r="I671" s="811"/>
      <c r="J671" s="811"/>
      <c r="K671" s="811"/>
      <c r="L671" s="811"/>
      <c r="M671" s="811"/>
      <c r="N671" s="811"/>
      <c r="O671" s="811"/>
      <c r="P671" s="811"/>
      <c r="Q671" s="811"/>
      <c r="R671" s="811"/>
      <c r="S671" s="811"/>
      <c r="T671" s="811"/>
      <c r="U671" s="811"/>
      <c r="V671" s="811"/>
      <c r="W671" s="811"/>
      <c r="X671" s="811"/>
      <c r="Y671" s="811"/>
      <c r="Z671" s="811"/>
    </row>
    <row r="672" spans="1:26" ht="15" thickBot="1">
      <c r="A672" s="811"/>
      <c r="B672" s="811"/>
      <c r="C672" s="811"/>
      <c r="D672" s="811"/>
      <c r="E672" s="811"/>
      <c r="F672" s="811"/>
      <c r="G672" s="811"/>
      <c r="H672" s="811"/>
      <c r="I672" s="811"/>
      <c r="J672" s="811"/>
      <c r="K672" s="811"/>
      <c r="L672" s="811"/>
      <c r="M672" s="811"/>
      <c r="N672" s="811"/>
      <c r="O672" s="811"/>
      <c r="P672" s="811"/>
      <c r="Q672" s="811"/>
      <c r="R672" s="811"/>
      <c r="S672" s="811"/>
      <c r="T672" s="811"/>
      <c r="U672" s="811"/>
      <c r="V672" s="811"/>
      <c r="W672" s="811"/>
      <c r="X672" s="811"/>
      <c r="Y672" s="811"/>
      <c r="Z672" s="811"/>
    </row>
    <row r="673" spans="1:26" ht="15" thickBot="1">
      <c r="A673" s="811"/>
      <c r="B673" s="811"/>
      <c r="C673" s="811"/>
      <c r="D673" s="811"/>
      <c r="E673" s="811"/>
      <c r="F673" s="811"/>
      <c r="G673" s="811"/>
      <c r="H673" s="811"/>
      <c r="I673" s="811"/>
      <c r="J673" s="811"/>
      <c r="K673" s="811"/>
      <c r="L673" s="811"/>
      <c r="M673" s="811"/>
      <c r="N673" s="811"/>
      <c r="O673" s="811"/>
      <c r="P673" s="811"/>
      <c r="Q673" s="811"/>
      <c r="R673" s="811"/>
      <c r="S673" s="811"/>
      <c r="T673" s="811"/>
      <c r="U673" s="811"/>
      <c r="V673" s="811"/>
      <c r="W673" s="811"/>
      <c r="X673" s="811"/>
      <c r="Y673" s="811"/>
      <c r="Z673" s="811"/>
    </row>
    <row r="674" spans="1:26" ht="15" thickBot="1">
      <c r="A674" s="811"/>
      <c r="B674" s="811"/>
      <c r="C674" s="811"/>
      <c r="D674" s="811"/>
      <c r="E674" s="811"/>
      <c r="F674" s="811"/>
      <c r="G674" s="811"/>
      <c r="H674" s="811"/>
      <c r="I674" s="811"/>
      <c r="J674" s="811"/>
      <c r="K674" s="811"/>
      <c r="L674" s="811"/>
      <c r="M674" s="811"/>
      <c r="N674" s="811"/>
      <c r="O674" s="811"/>
      <c r="P674" s="811"/>
      <c r="Q674" s="811"/>
      <c r="R674" s="811"/>
      <c r="S674" s="811"/>
      <c r="T674" s="811"/>
      <c r="U674" s="811"/>
      <c r="V674" s="811"/>
      <c r="W674" s="811"/>
      <c r="X674" s="811"/>
      <c r="Y674" s="811"/>
      <c r="Z674" s="811"/>
    </row>
    <row r="675" spans="1:26" ht="15" thickBot="1">
      <c r="A675" s="811"/>
      <c r="B675" s="811"/>
      <c r="C675" s="811"/>
      <c r="D675" s="811"/>
      <c r="E675" s="811"/>
      <c r="F675" s="811"/>
      <c r="G675" s="811"/>
      <c r="H675" s="811"/>
      <c r="I675" s="811"/>
      <c r="J675" s="811"/>
      <c r="K675" s="811"/>
      <c r="L675" s="811"/>
      <c r="M675" s="811"/>
      <c r="N675" s="811"/>
      <c r="O675" s="811"/>
      <c r="P675" s="811"/>
      <c r="Q675" s="811"/>
      <c r="R675" s="811"/>
      <c r="S675" s="811"/>
      <c r="T675" s="811"/>
      <c r="U675" s="811"/>
      <c r="V675" s="811"/>
      <c r="W675" s="811"/>
      <c r="X675" s="811"/>
      <c r="Y675" s="811"/>
      <c r="Z675" s="811"/>
    </row>
    <row r="676" spans="1:26" ht="15" thickBot="1">
      <c r="A676" s="811"/>
      <c r="B676" s="811"/>
      <c r="C676" s="811"/>
      <c r="D676" s="811"/>
      <c r="E676" s="811"/>
      <c r="F676" s="811"/>
      <c r="G676" s="811"/>
      <c r="H676" s="811"/>
      <c r="I676" s="811"/>
      <c r="J676" s="811"/>
      <c r="K676" s="811"/>
      <c r="L676" s="811"/>
      <c r="M676" s="811"/>
      <c r="N676" s="811"/>
      <c r="O676" s="811"/>
      <c r="P676" s="811"/>
      <c r="Q676" s="811"/>
      <c r="R676" s="811"/>
      <c r="S676" s="811"/>
      <c r="T676" s="811"/>
      <c r="U676" s="811"/>
      <c r="V676" s="811"/>
      <c r="W676" s="811"/>
      <c r="X676" s="811"/>
      <c r="Y676" s="811"/>
      <c r="Z676" s="811"/>
    </row>
    <row r="677" spans="1:26" ht="15" thickBot="1">
      <c r="A677" s="811"/>
      <c r="B677" s="811"/>
      <c r="C677" s="811"/>
      <c r="D677" s="811"/>
      <c r="E677" s="811"/>
      <c r="F677" s="811"/>
      <c r="G677" s="811"/>
      <c r="H677" s="811"/>
      <c r="I677" s="811"/>
      <c r="J677" s="811"/>
      <c r="K677" s="811"/>
      <c r="L677" s="811"/>
      <c r="M677" s="811"/>
      <c r="N677" s="811"/>
      <c r="O677" s="811"/>
      <c r="P677" s="811"/>
      <c r="Q677" s="811"/>
      <c r="R677" s="811"/>
      <c r="S677" s="811"/>
      <c r="T677" s="811"/>
      <c r="U677" s="811"/>
      <c r="V677" s="811"/>
      <c r="W677" s="811"/>
      <c r="X677" s="811"/>
      <c r="Y677" s="811"/>
      <c r="Z677" s="811"/>
    </row>
    <row r="678" spans="1:26" ht="15" thickBot="1">
      <c r="A678" s="811"/>
      <c r="B678" s="811"/>
      <c r="C678" s="811"/>
      <c r="D678" s="811"/>
      <c r="E678" s="811"/>
      <c r="F678" s="811"/>
      <c r="G678" s="811"/>
      <c r="H678" s="811"/>
      <c r="I678" s="811"/>
      <c r="J678" s="811"/>
      <c r="K678" s="811"/>
      <c r="L678" s="811"/>
      <c r="M678" s="811"/>
      <c r="N678" s="811"/>
      <c r="O678" s="811"/>
      <c r="P678" s="811"/>
      <c r="Q678" s="811"/>
      <c r="R678" s="811"/>
      <c r="S678" s="811"/>
      <c r="T678" s="811"/>
      <c r="U678" s="811"/>
      <c r="V678" s="811"/>
      <c r="W678" s="811"/>
      <c r="X678" s="811"/>
      <c r="Y678" s="811"/>
      <c r="Z678" s="811"/>
    </row>
    <row r="679" spans="1:26" ht="15" thickBot="1">
      <c r="A679" s="811"/>
      <c r="B679" s="811"/>
      <c r="C679" s="811"/>
      <c r="D679" s="811"/>
      <c r="E679" s="811"/>
      <c r="F679" s="811"/>
      <c r="G679" s="811"/>
      <c r="H679" s="811"/>
      <c r="I679" s="811"/>
      <c r="J679" s="811"/>
      <c r="K679" s="811"/>
      <c r="L679" s="811"/>
      <c r="M679" s="811"/>
      <c r="N679" s="811"/>
      <c r="O679" s="811"/>
      <c r="P679" s="811"/>
      <c r="Q679" s="811"/>
      <c r="R679" s="811"/>
      <c r="S679" s="811"/>
      <c r="T679" s="811"/>
      <c r="U679" s="811"/>
      <c r="V679" s="811"/>
      <c r="W679" s="811"/>
      <c r="X679" s="811"/>
      <c r="Y679" s="811"/>
      <c r="Z679" s="811"/>
    </row>
    <row r="680" spans="1:26" ht="15" thickBot="1">
      <c r="A680" s="811"/>
      <c r="B680" s="811"/>
      <c r="C680" s="811"/>
      <c r="D680" s="811"/>
      <c r="E680" s="811"/>
      <c r="F680" s="811"/>
      <c r="G680" s="811"/>
      <c r="H680" s="811"/>
      <c r="I680" s="811"/>
      <c r="J680" s="811"/>
      <c r="K680" s="811"/>
      <c r="L680" s="811"/>
      <c r="M680" s="811"/>
      <c r="N680" s="811"/>
      <c r="O680" s="811"/>
      <c r="P680" s="811"/>
      <c r="Q680" s="811"/>
      <c r="R680" s="811"/>
      <c r="S680" s="811"/>
      <c r="T680" s="811"/>
      <c r="U680" s="811"/>
      <c r="V680" s="811"/>
      <c r="W680" s="811"/>
      <c r="X680" s="811"/>
      <c r="Y680" s="811"/>
      <c r="Z680" s="811"/>
    </row>
    <row r="681" spans="1:26" ht="15" thickBot="1">
      <c r="A681" s="811"/>
      <c r="B681" s="811"/>
      <c r="C681" s="811"/>
      <c r="D681" s="811"/>
      <c r="E681" s="811"/>
      <c r="F681" s="811"/>
      <c r="G681" s="811"/>
      <c r="H681" s="811"/>
      <c r="I681" s="811"/>
      <c r="J681" s="811"/>
      <c r="K681" s="811"/>
      <c r="L681" s="811"/>
      <c r="M681" s="811"/>
      <c r="N681" s="811"/>
      <c r="O681" s="811"/>
      <c r="P681" s="811"/>
      <c r="Q681" s="811"/>
      <c r="R681" s="811"/>
      <c r="S681" s="811"/>
      <c r="T681" s="811"/>
      <c r="U681" s="811"/>
      <c r="V681" s="811"/>
      <c r="W681" s="811"/>
      <c r="X681" s="811"/>
      <c r="Y681" s="811"/>
      <c r="Z681" s="811"/>
    </row>
    <row r="682" spans="1:26" ht="15" thickBot="1">
      <c r="A682" s="811"/>
      <c r="B682" s="811"/>
      <c r="C682" s="811"/>
      <c r="D682" s="811"/>
      <c r="E682" s="811"/>
      <c r="F682" s="811"/>
      <c r="G682" s="811"/>
      <c r="H682" s="811"/>
      <c r="I682" s="811"/>
      <c r="J682" s="811"/>
      <c r="K682" s="811"/>
      <c r="L682" s="811"/>
      <c r="M682" s="811"/>
      <c r="N682" s="811"/>
      <c r="O682" s="811"/>
      <c r="P682" s="811"/>
      <c r="Q682" s="811"/>
      <c r="R682" s="811"/>
      <c r="S682" s="811"/>
      <c r="T682" s="811"/>
      <c r="U682" s="811"/>
      <c r="V682" s="811"/>
      <c r="W682" s="811"/>
      <c r="X682" s="811"/>
      <c r="Y682" s="811"/>
      <c r="Z682" s="811"/>
    </row>
    <row r="683" spans="1:26" ht="15" thickBot="1">
      <c r="A683" s="811"/>
      <c r="B683" s="811"/>
      <c r="C683" s="811"/>
      <c r="D683" s="811"/>
      <c r="E683" s="811"/>
      <c r="F683" s="811"/>
      <c r="G683" s="811"/>
      <c r="H683" s="811"/>
      <c r="I683" s="811"/>
      <c r="J683" s="811"/>
      <c r="K683" s="811"/>
      <c r="L683" s="811"/>
      <c r="M683" s="811"/>
      <c r="N683" s="811"/>
      <c r="O683" s="811"/>
      <c r="P683" s="811"/>
      <c r="Q683" s="811"/>
      <c r="R683" s="811"/>
      <c r="S683" s="811"/>
      <c r="T683" s="811"/>
      <c r="U683" s="811"/>
      <c r="V683" s="811"/>
      <c r="W683" s="811"/>
      <c r="X683" s="811"/>
      <c r="Y683" s="811"/>
      <c r="Z683" s="811"/>
    </row>
    <row r="684" spans="1:26" ht="15" thickBot="1">
      <c r="A684" s="811"/>
      <c r="B684" s="811"/>
      <c r="C684" s="811"/>
      <c r="D684" s="811"/>
      <c r="E684" s="811"/>
      <c r="F684" s="811"/>
      <c r="G684" s="811"/>
      <c r="H684" s="811"/>
      <c r="I684" s="811"/>
      <c r="J684" s="811"/>
      <c r="K684" s="811"/>
      <c r="L684" s="811"/>
      <c r="M684" s="811"/>
      <c r="N684" s="811"/>
      <c r="O684" s="811"/>
      <c r="P684" s="811"/>
      <c r="Q684" s="811"/>
      <c r="R684" s="811"/>
      <c r="S684" s="811"/>
      <c r="T684" s="811"/>
      <c r="U684" s="811"/>
      <c r="V684" s="811"/>
      <c r="W684" s="811"/>
      <c r="X684" s="811"/>
      <c r="Y684" s="811"/>
      <c r="Z684" s="811"/>
    </row>
    <row r="685" spans="1:26" ht="15" thickBot="1">
      <c r="A685" s="811"/>
      <c r="B685" s="811"/>
      <c r="C685" s="811"/>
      <c r="D685" s="811"/>
      <c r="E685" s="811"/>
      <c r="F685" s="811"/>
      <c r="G685" s="811"/>
      <c r="H685" s="811"/>
      <c r="I685" s="811"/>
      <c r="J685" s="811"/>
      <c r="K685" s="811"/>
      <c r="L685" s="811"/>
      <c r="M685" s="811"/>
      <c r="N685" s="811"/>
      <c r="O685" s="811"/>
      <c r="P685" s="811"/>
      <c r="Q685" s="811"/>
      <c r="R685" s="811"/>
      <c r="S685" s="811"/>
      <c r="T685" s="811"/>
      <c r="U685" s="811"/>
      <c r="V685" s="811"/>
      <c r="W685" s="811"/>
      <c r="X685" s="811"/>
      <c r="Y685" s="811"/>
      <c r="Z685" s="811"/>
    </row>
    <row r="686" spans="1:26" ht="15" thickBot="1">
      <c r="A686" s="811"/>
      <c r="B686" s="811"/>
      <c r="C686" s="811"/>
      <c r="D686" s="811"/>
      <c r="E686" s="811"/>
      <c r="F686" s="811"/>
      <c r="G686" s="811"/>
      <c r="H686" s="811"/>
      <c r="I686" s="811"/>
      <c r="J686" s="811"/>
      <c r="K686" s="811"/>
      <c r="L686" s="811"/>
      <c r="M686" s="811"/>
      <c r="N686" s="811"/>
      <c r="O686" s="811"/>
      <c r="P686" s="811"/>
      <c r="Q686" s="811"/>
      <c r="R686" s="811"/>
      <c r="S686" s="811"/>
      <c r="T686" s="811"/>
      <c r="U686" s="811"/>
      <c r="V686" s="811"/>
      <c r="W686" s="811"/>
      <c r="X686" s="811"/>
      <c r="Y686" s="811"/>
      <c r="Z686" s="811"/>
    </row>
    <row r="687" spans="1:26" ht="15" thickBot="1">
      <c r="A687" s="811"/>
      <c r="B687" s="811"/>
      <c r="C687" s="811"/>
      <c r="D687" s="811"/>
      <c r="E687" s="811"/>
      <c r="F687" s="811"/>
      <c r="G687" s="811"/>
      <c r="H687" s="811"/>
      <c r="I687" s="811"/>
      <c r="J687" s="811"/>
      <c r="K687" s="811"/>
      <c r="L687" s="811"/>
      <c r="M687" s="811"/>
      <c r="N687" s="811"/>
      <c r="O687" s="811"/>
      <c r="P687" s="811"/>
      <c r="Q687" s="811"/>
      <c r="R687" s="811"/>
      <c r="S687" s="811"/>
      <c r="T687" s="811"/>
      <c r="U687" s="811"/>
      <c r="V687" s="811"/>
      <c r="W687" s="811"/>
      <c r="X687" s="811"/>
      <c r="Y687" s="811"/>
      <c r="Z687" s="811"/>
    </row>
    <row r="688" spans="1:26" ht="15" thickBot="1">
      <c r="A688" s="811"/>
      <c r="B688" s="811"/>
      <c r="C688" s="811"/>
      <c r="D688" s="811"/>
      <c r="E688" s="811"/>
      <c r="F688" s="811"/>
      <c r="G688" s="811"/>
      <c r="H688" s="811"/>
      <c r="I688" s="811"/>
      <c r="J688" s="811"/>
      <c r="K688" s="811"/>
      <c r="L688" s="811"/>
      <c r="M688" s="811"/>
      <c r="N688" s="811"/>
      <c r="O688" s="811"/>
      <c r="P688" s="811"/>
      <c r="Q688" s="811"/>
      <c r="R688" s="811"/>
      <c r="S688" s="811"/>
      <c r="T688" s="811"/>
      <c r="U688" s="811"/>
      <c r="V688" s="811"/>
      <c r="W688" s="811"/>
      <c r="X688" s="811"/>
      <c r="Y688" s="811"/>
      <c r="Z688" s="811"/>
    </row>
    <row r="689" spans="1:26" ht="15" thickBot="1">
      <c r="A689" s="811"/>
      <c r="B689" s="811"/>
      <c r="C689" s="811"/>
      <c r="D689" s="811"/>
      <c r="E689" s="811"/>
      <c r="F689" s="811"/>
      <c r="G689" s="811"/>
      <c r="H689" s="811"/>
      <c r="I689" s="811"/>
      <c r="J689" s="811"/>
      <c r="K689" s="811"/>
      <c r="L689" s="811"/>
      <c r="M689" s="811"/>
      <c r="N689" s="811"/>
      <c r="O689" s="811"/>
      <c r="P689" s="811"/>
      <c r="Q689" s="811"/>
      <c r="R689" s="811"/>
      <c r="S689" s="811"/>
      <c r="T689" s="811"/>
      <c r="U689" s="811"/>
      <c r="V689" s="811"/>
      <c r="W689" s="811"/>
      <c r="X689" s="811"/>
      <c r="Y689" s="811"/>
      <c r="Z689" s="811"/>
    </row>
    <row r="690" spans="1:26" ht="15" thickBot="1">
      <c r="A690" s="811"/>
      <c r="B690" s="811"/>
      <c r="C690" s="811"/>
      <c r="D690" s="811"/>
      <c r="E690" s="811"/>
      <c r="F690" s="811"/>
      <c r="G690" s="811"/>
      <c r="H690" s="811"/>
      <c r="I690" s="811"/>
      <c r="J690" s="811"/>
      <c r="K690" s="811"/>
      <c r="L690" s="811"/>
      <c r="M690" s="811"/>
      <c r="N690" s="811"/>
      <c r="O690" s="811"/>
      <c r="P690" s="811"/>
      <c r="Q690" s="811"/>
      <c r="R690" s="811"/>
      <c r="S690" s="811"/>
      <c r="T690" s="811"/>
      <c r="U690" s="811"/>
      <c r="V690" s="811"/>
      <c r="W690" s="811"/>
      <c r="X690" s="811"/>
      <c r="Y690" s="811"/>
      <c r="Z690" s="811"/>
    </row>
    <row r="691" spans="1:26" ht="15" thickBot="1">
      <c r="A691" s="811"/>
      <c r="B691" s="811"/>
      <c r="C691" s="811"/>
      <c r="D691" s="811"/>
      <c r="E691" s="811"/>
      <c r="F691" s="811"/>
      <c r="G691" s="811"/>
      <c r="H691" s="811"/>
      <c r="I691" s="811"/>
      <c r="J691" s="811"/>
      <c r="K691" s="811"/>
      <c r="L691" s="811"/>
      <c r="M691" s="811"/>
      <c r="N691" s="811"/>
      <c r="O691" s="811"/>
      <c r="P691" s="811"/>
      <c r="Q691" s="811"/>
      <c r="R691" s="811"/>
      <c r="S691" s="811"/>
      <c r="T691" s="811"/>
      <c r="U691" s="811"/>
      <c r="V691" s="811"/>
      <c r="W691" s="811"/>
      <c r="X691" s="811"/>
      <c r="Y691" s="811"/>
      <c r="Z691" s="811"/>
    </row>
    <row r="692" spans="1:26" ht="15" thickBot="1">
      <c r="A692" s="811"/>
      <c r="B692" s="811"/>
      <c r="C692" s="811"/>
      <c r="D692" s="811"/>
      <c r="E692" s="811"/>
      <c r="F692" s="811"/>
      <c r="G692" s="811"/>
      <c r="H692" s="811"/>
      <c r="I692" s="811"/>
      <c r="J692" s="811"/>
      <c r="K692" s="811"/>
      <c r="L692" s="811"/>
      <c r="M692" s="811"/>
      <c r="N692" s="811"/>
      <c r="O692" s="811"/>
      <c r="P692" s="811"/>
      <c r="Q692" s="811"/>
      <c r="R692" s="811"/>
      <c r="S692" s="811"/>
      <c r="T692" s="811"/>
      <c r="U692" s="811"/>
      <c r="V692" s="811"/>
      <c r="W692" s="811"/>
      <c r="X692" s="811"/>
      <c r="Y692" s="811"/>
      <c r="Z692" s="811"/>
    </row>
    <row r="693" spans="1:26" ht="15" thickBot="1">
      <c r="A693" s="811"/>
      <c r="B693" s="811"/>
      <c r="C693" s="811"/>
      <c r="D693" s="811"/>
      <c r="E693" s="811"/>
      <c r="F693" s="811"/>
      <c r="G693" s="811"/>
      <c r="H693" s="811"/>
      <c r="I693" s="811"/>
      <c r="J693" s="811"/>
      <c r="K693" s="811"/>
      <c r="L693" s="811"/>
      <c r="M693" s="811"/>
      <c r="N693" s="811"/>
      <c r="O693" s="811"/>
      <c r="P693" s="811"/>
      <c r="Q693" s="811"/>
      <c r="R693" s="811"/>
      <c r="S693" s="811"/>
      <c r="T693" s="811"/>
      <c r="U693" s="811"/>
      <c r="V693" s="811"/>
      <c r="W693" s="811"/>
      <c r="X693" s="811"/>
      <c r="Y693" s="811"/>
      <c r="Z693" s="811"/>
    </row>
    <row r="694" spans="1:26" ht="15" thickBot="1">
      <c r="A694" s="811"/>
      <c r="B694" s="811"/>
      <c r="C694" s="811"/>
      <c r="D694" s="811"/>
      <c r="E694" s="811"/>
      <c r="F694" s="811"/>
      <c r="G694" s="811"/>
      <c r="H694" s="811"/>
      <c r="I694" s="811"/>
      <c r="J694" s="811"/>
      <c r="K694" s="811"/>
      <c r="L694" s="811"/>
      <c r="M694" s="811"/>
      <c r="N694" s="811"/>
      <c r="O694" s="811"/>
      <c r="P694" s="811"/>
      <c r="Q694" s="811"/>
      <c r="R694" s="811"/>
      <c r="S694" s="811"/>
      <c r="T694" s="811"/>
      <c r="U694" s="811"/>
      <c r="V694" s="811"/>
      <c r="W694" s="811"/>
      <c r="X694" s="811"/>
      <c r="Y694" s="811"/>
      <c r="Z694" s="811"/>
    </row>
    <row r="695" spans="1:26" ht="15" thickBot="1">
      <c r="A695" s="811"/>
      <c r="B695" s="811"/>
      <c r="C695" s="811"/>
      <c r="D695" s="811"/>
      <c r="E695" s="811"/>
      <c r="F695" s="811"/>
      <c r="G695" s="811"/>
      <c r="H695" s="811"/>
      <c r="I695" s="811"/>
      <c r="J695" s="811"/>
      <c r="K695" s="811"/>
      <c r="L695" s="811"/>
      <c r="M695" s="811"/>
      <c r="N695" s="811"/>
      <c r="O695" s="811"/>
      <c r="P695" s="811"/>
      <c r="Q695" s="811"/>
      <c r="R695" s="811"/>
      <c r="S695" s="811"/>
      <c r="T695" s="811"/>
      <c r="U695" s="811"/>
      <c r="V695" s="811"/>
      <c r="W695" s="811"/>
      <c r="X695" s="811"/>
      <c r="Y695" s="811"/>
      <c r="Z695" s="811"/>
    </row>
    <row r="696" spans="1:26" ht="15" thickBot="1">
      <c r="A696" s="811"/>
      <c r="B696" s="811"/>
      <c r="C696" s="811"/>
      <c r="D696" s="811"/>
      <c r="E696" s="811"/>
      <c r="F696" s="811"/>
      <c r="G696" s="811"/>
      <c r="H696" s="811"/>
      <c r="I696" s="811"/>
      <c r="J696" s="811"/>
      <c r="K696" s="811"/>
      <c r="L696" s="811"/>
      <c r="M696" s="811"/>
      <c r="N696" s="811"/>
      <c r="O696" s="811"/>
      <c r="P696" s="811"/>
      <c r="Q696" s="811"/>
      <c r="R696" s="811"/>
      <c r="S696" s="811"/>
      <c r="T696" s="811"/>
      <c r="U696" s="811"/>
      <c r="V696" s="811"/>
      <c r="W696" s="811"/>
      <c r="X696" s="811"/>
      <c r="Y696" s="811"/>
      <c r="Z696" s="811"/>
    </row>
    <row r="697" spans="1:26" ht="15" thickBot="1">
      <c r="A697" s="811"/>
      <c r="B697" s="811"/>
      <c r="C697" s="811"/>
      <c r="D697" s="811"/>
      <c r="E697" s="811"/>
      <c r="F697" s="811"/>
      <c r="G697" s="811"/>
      <c r="H697" s="811"/>
      <c r="I697" s="811"/>
      <c r="J697" s="811"/>
      <c r="K697" s="811"/>
      <c r="L697" s="811"/>
      <c r="M697" s="811"/>
      <c r="N697" s="811"/>
      <c r="O697" s="811"/>
      <c r="P697" s="811"/>
      <c r="Q697" s="811"/>
      <c r="R697" s="811"/>
      <c r="S697" s="811"/>
      <c r="T697" s="811"/>
      <c r="U697" s="811"/>
      <c r="V697" s="811"/>
      <c r="W697" s="811"/>
      <c r="X697" s="811"/>
      <c r="Y697" s="811"/>
      <c r="Z697" s="811"/>
    </row>
    <row r="698" spans="1:26" ht="15" thickBot="1">
      <c r="A698" s="811"/>
      <c r="B698" s="811"/>
      <c r="C698" s="811"/>
      <c r="D698" s="811"/>
      <c r="E698" s="811"/>
      <c r="F698" s="811"/>
      <c r="G698" s="811"/>
      <c r="H698" s="811"/>
      <c r="I698" s="811"/>
      <c r="J698" s="811"/>
      <c r="K698" s="811"/>
      <c r="L698" s="811"/>
      <c r="M698" s="811"/>
      <c r="N698" s="811"/>
      <c r="O698" s="811"/>
      <c r="P698" s="811"/>
      <c r="Q698" s="811"/>
      <c r="R698" s="811"/>
      <c r="S698" s="811"/>
      <c r="T698" s="811"/>
      <c r="U698" s="811"/>
      <c r="V698" s="811"/>
      <c r="W698" s="811"/>
      <c r="X698" s="811"/>
      <c r="Y698" s="811"/>
      <c r="Z698" s="811"/>
    </row>
    <row r="699" spans="1:26" ht="15" thickBot="1">
      <c r="A699" s="811"/>
      <c r="B699" s="811"/>
      <c r="C699" s="811"/>
      <c r="D699" s="811"/>
      <c r="E699" s="811"/>
      <c r="F699" s="811"/>
      <c r="G699" s="811"/>
      <c r="H699" s="811"/>
      <c r="I699" s="811"/>
      <c r="J699" s="811"/>
      <c r="K699" s="811"/>
      <c r="L699" s="811"/>
      <c r="M699" s="811"/>
      <c r="N699" s="811"/>
      <c r="O699" s="811"/>
      <c r="P699" s="811"/>
      <c r="Q699" s="811"/>
      <c r="R699" s="811"/>
      <c r="S699" s="811"/>
      <c r="T699" s="811"/>
      <c r="U699" s="811"/>
      <c r="V699" s="811"/>
      <c r="W699" s="811"/>
      <c r="X699" s="811"/>
      <c r="Y699" s="811"/>
      <c r="Z699" s="811"/>
    </row>
    <row r="700" spans="1:26" ht="15" thickBot="1">
      <c r="A700" s="811"/>
      <c r="B700" s="811"/>
      <c r="C700" s="811"/>
      <c r="D700" s="811"/>
      <c r="E700" s="811"/>
      <c r="F700" s="811"/>
      <c r="G700" s="811"/>
      <c r="H700" s="811"/>
      <c r="I700" s="811"/>
      <c r="J700" s="811"/>
      <c r="K700" s="811"/>
      <c r="L700" s="811"/>
      <c r="M700" s="811"/>
      <c r="N700" s="811"/>
      <c r="O700" s="811"/>
      <c r="P700" s="811"/>
      <c r="Q700" s="811"/>
      <c r="R700" s="811"/>
      <c r="S700" s="811"/>
      <c r="T700" s="811"/>
      <c r="U700" s="811"/>
      <c r="V700" s="811"/>
      <c r="W700" s="811"/>
      <c r="X700" s="811"/>
      <c r="Y700" s="811"/>
      <c r="Z700" s="811"/>
    </row>
    <row r="701" spans="1:26" ht="15" thickBot="1">
      <c r="A701" s="811"/>
      <c r="B701" s="811"/>
      <c r="C701" s="811"/>
      <c r="D701" s="811"/>
      <c r="E701" s="811"/>
      <c r="F701" s="811"/>
      <c r="G701" s="811"/>
      <c r="H701" s="811"/>
      <c r="I701" s="811"/>
      <c r="J701" s="811"/>
      <c r="K701" s="811"/>
      <c r="L701" s="811"/>
      <c r="M701" s="811"/>
      <c r="N701" s="811"/>
      <c r="O701" s="811"/>
      <c r="P701" s="811"/>
      <c r="Q701" s="811"/>
      <c r="R701" s="811"/>
      <c r="S701" s="811"/>
      <c r="T701" s="811"/>
      <c r="U701" s="811"/>
      <c r="V701" s="811"/>
      <c r="W701" s="811"/>
      <c r="X701" s="811"/>
      <c r="Y701" s="811"/>
      <c r="Z701" s="811"/>
    </row>
    <row r="702" spans="1:26" ht="15" thickBot="1">
      <c r="A702" s="811"/>
      <c r="B702" s="811"/>
      <c r="C702" s="811"/>
      <c r="D702" s="811"/>
      <c r="E702" s="811"/>
      <c r="F702" s="811"/>
      <c r="G702" s="811"/>
      <c r="H702" s="811"/>
      <c r="I702" s="811"/>
      <c r="J702" s="811"/>
      <c r="K702" s="811"/>
      <c r="L702" s="811"/>
      <c r="M702" s="811"/>
      <c r="N702" s="811"/>
      <c r="O702" s="811"/>
      <c r="P702" s="811"/>
      <c r="Q702" s="811"/>
      <c r="R702" s="811"/>
      <c r="S702" s="811"/>
      <c r="T702" s="811"/>
      <c r="U702" s="811"/>
      <c r="V702" s="811"/>
      <c r="W702" s="811"/>
      <c r="X702" s="811"/>
      <c r="Y702" s="811"/>
      <c r="Z702" s="811"/>
    </row>
    <row r="703" spans="1:26" ht="15" thickBot="1">
      <c r="A703" s="811"/>
      <c r="B703" s="811"/>
      <c r="C703" s="811"/>
      <c r="D703" s="811"/>
      <c r="E703" s="811"/>
      <c r="F703" s="811"/>
      <c r="G703" s="811"/>
      <c r="H703" s="811"/>
      <c r="I703" s="811"/>
      <c r="J703" s="811"/>
      <c r="K703" s="811"/>
      <c r="L703" s="811"/>
      <c r="M703" s="811"/>
      <c r="N703" s="811"/>
      <c r="O703" s="811"/>
      <c r="P703" s="811"/>
      <c r="Q703" s="811"/>
      <c r="R703" s="811"/>
      <c r="S703" s="811"/>
      <c r="T703" s="811"/>
      <c r="U703" s="811"/>
      <c r="V703" s="811"/>
      <c r="W703" s="811"/>
      <c r="X703" s="811"/>
      <c r="Y703" s="811"/>
      <c r="Z703" s="811"/>
    </row>
    <row r="704" spans="1:26" ht="15" thickBot="1">
      <c r="A704" s="811"/>
      <c r="B704" s="811"/>
      <c r="C704" s="811"/>
      <c r="D704" s="811"/>
      <c r="E704" s="811"/>
      <c r="F704" s="811"/>
      <c r="G704" s="811"/>
      <c r="H704" s="811"/>
      <c r="I704" s="811"/>
      <c r="J704" s="811"/>
      <c r="K704" s="811"/>
      <c r="L704" s="811"/>
      <c r="M704" s="811"/>
      <c r="N704" s="811"/>
      <c r="O704" s="811"/>
      <c r="P704" s="811"/>
      <c r="Q704" s="811"/>
      <c r="R704" s="811"/>
      <c r="S704" s="811"/>
      <c r="T704" s="811"/>
      <c r="U704" s="811"/>
      <c r="V704" s="811"/>
      <c r="W704" s="811"/>
      <c r="X704" s="811"/>
      <c r="Y704" s="811"/>
      <c r="Z704" s="811"/>
    </row>
    <row r="705" spans="1:26" ht="15" thickBot="1">
      <c r="A705" s="811"/>
      <c r="B705" s="811"/>
      <c r="C705" s="811"/>
      <c r="D705" s="811"/>
      <c r="E705" s="811"/>
      <c r="F705" s="811"/>
      <c r="G705" s="811"/>
      <c r="H705" s="811"/>
      <c r="I705" s="811"/>
      <c r="J705" s="811"/>
      <c r="K705" s="811"/>
      <c r="L705" s="811"/>
      <c r="M705" s="811"/>
      <c r="N705" s="811"/>
      <c r="O705" s="811"/>
      <c r="P705" s="811"/>
      <c r="Q705" s="811"/>
      <c r="R705" s="811"/>
      <c r="S705" s="811"/>
      <c r="T705" s="811"/>
      <c r="U705" s="811"/>
      <c r="V705" s="811"/>
      <c r="W705" s="811"/>
      <c r="X705" s="811"/>
      <c r="Y705" s="811"/>
      <c r="Z705" s="811"/>
    </row>
    <row r="706" spans="1:26" ht="15" thickBot="1">
      <c r="A706" s="811"/>
      <c r="B706" s="811"/>
      <c r="C706" s="811"/>
      <c r="D706" s="811"/>
      <c r="E706" s="811"/>
      <c r="F706" s="811"/>
      <c r="G706" s="811"/>
      <c r="H706" s="811"/>
      <c r="I706" s="811"/>
      <c r="J706" s="811"/>
      <c r="K706" s="811"/>
      <c r="L706" s="811"/>
      <c r="M706" s="811"/>
      <c r="N706" s="811"/>
      <c r="O706" s="811"/>
      <c r="P706" s="811"/>
      <c r="Q706" s="811"/>
      <c r="R706" s="811"/>
      <c r="S706" s="811"/>
      <c r="T706" s="811"/>
      <c r="U706" s="811"/>
      <c r="V706" s="811"/>
      <c r="W706" s="811"/>
      <c r="X706" s="811"/>
      <c r="Y706" s="811"/>
      <c r="Z706" s="811"/>
    </row>
    <row r="707" spans="1:26" ht="15" thickBot="1">
      <c r="A707" s="811"/>
      <c r="B707" s="811"/>
      <c r="C707" s="811"/>
      <c r="D707" s="811"/>
      <c r="E707" s="811"/>
      <c r="F707" s="811"/>
      <c r="G707" s="811"/>
      <c r="H707" s="811"/>
      <c r="I707" s="811"/>
      <c r="J707" s="811"/>
      <c r="K707" s="811"/>
      <c r="L707" s="811"/>
      <c r="M707" s="811"/>
      <c r="N707" s="811"/>
      <c r="O707" s="811"/>
      <c r="P707" s="811"/>
      <c r="Q707" s="811"/>
      <c r="R707" s="811"/>
      <c r="S707" s="811"/>
      <c r="T707" s="811"/>
      <c r="U707" s="811"/>
      <c r="V707" s="811"/>
      <c r="W707" s="811"/>
      <c r="X707" s="811"/>
      <c r="Y707" s="811"/>
      <c r="Z707" s="811"/>
    </row>
    <row r="708" spans="1:26" ht="15" thickBot="1">
      <c r="A708" s="811"/>
      <c r="B708" s="811"/>
      <c r="C708" s="811"/>
      <c r="D708" s="811"/>
      <c r="E708" s="811"/>
      <c r="F708" s="811"/>
      <c r="G708" s="811"/>
      <c r="H708" s="811"/>
      <c r="I708" s="811"/>
      <c r="J708" s="811"/>
      <c r="K708" s="811"/>
      <c r="L708" s="811"/>
      <c r="M708" s="811"/>
      <c r="N708" s="811"/>
      <c r="O708" s="811"/>
      <c r="P708" s="811"/>
      <c r="Q708" s="811"/>
      <c r="R708" s="811"/>
      <c r="S708" s="811"/>
      <c r="T708" s="811"/>
      <c r="U708" s="811"/>
      <c r="V708" s="811"/>
      <c r="W708" s="811"/>
      <c r="X708" s="811"/>
      <c r="Y708" s="811"/>
      <c r="Z708" s="811"/>
    </row>
    <row r="709" spans="1:26" ht="15" thickBot="1">
      <c r="A709" s="811"/>
      <c r="B709" s="811"/>
      <c r="C709" s="811"/>
      <c r="D709" s="811"/>
      <c r="E709" s="811"/>
      <c r="F709" s="811"/>
      <c r="G709" s="811"/>
      <c r="H709" s="811"/>
      <c r="I709" s="811"/>
      <c r="J709" s="811"/>
      <c r="K709" s="811"/>
      <c r="L709" s="811"/>
      <c r="M709" s="811"/>
      <c r="N709" s="811"/>
      <c r="O709" s="811"/>
      <c r="P709" s="811"/>
      <c r="Q709" s="811"/>
      <c r="R709" s="811"/>
      <c r="S709" s="811"/>
      <c r="T709" s="811"/>
      <c r="U709" s="811"/>
      <c r="V709" s="811"/>
      <c r="W709" s="811"/>
      <c r="X709" s="811"/>
      <c r="Y709" s="811"/>
      <c r="Z709" s="811"/>
    </row>
    <row r="710" spans="1:26" ht="15" thickBot="1">
      <c r="A710" s="811"/>
      <c r="B710" s="811"/>
      <c r="C710" s="811"/>
      <c r="D710" s="811"/>
      <c r="E710" s="811"/>
      <c r="F710" s="811"/>
      <c r="G710" s="811"/>
      <c r="H710" s="811"/>
      <c r="I710" s="811"/>
      <c r="J710" s="811"/>
      <c r="K710" s="811"/>
      <c r="L710" s="811"/>
      <c r="M710" s="811"/>
      <c r="N710" s="811"/>
      <c r="O710" s="811"/>
      <c r="P710" s="811"/>
      <c r="Q710" s="811"/>
      <c r="R710" s="811"/>
      <c r="S710" s="811"/>
      <c r="T710" s="811"/>
      <c r="U710" s="811"/>
      <c r="V710" s="811"/>
      <c r="W710" s="811"/>
      <c r="X710" s="811"/>
      <c r="Y710" s="811"/>
      <c r="Z710" s="811"/>
    </row>
    <row r="711" spans="1:26" ht="15" thickBot="1">
      <c r="A711" s="811"/>
      <c r="B711" s="811"/>
      <c r="C711" s="811"/>
      <c r="D711" s="811"/>
      <c r="E711" s="811"/>
      <c r="F711" s="811"/>
      <c r="G711" s="811"/>
      <c r="H711" s="811"/>
      <c r="I711" s="811"/>
      <c r="J711" s="811"/>
      <c r="K711" s="811"/>
      <c r="L711" s="811"/>
      <c r="M711" s="811"/>
      <c r="N711" s="811"/>
      <c r="O711" s="811"/>
      <c r="P711" s="811"/>
      <c r="Q711" s="811"/>
      <c r="R711" s="811"/>
      <c r="S711" s="811"/>
      <c r="T711" s="811"/>
      <c r="U711" s="811"/>
      <c r="V711" s="811"/>
      <c r="W711" s="811"/>
      <c r="X711" s="811"/>
      <c r="Y711" s="811"/>
      <c r="Z711" s="811"/>
    </row>
    <row r="712" spans="1:26" ht="15" thickBot="1">
      <c r="A712" s="811"/>
      <c r="B712" s="811"/>
      <c r="C712" s="811"/>
      <c r="D712" s="811"/>
      <c r="E712" s="811"/>
      <c r="F712" s="811"/>
      <c r="G712" s="811"/>
      <c r="H712" s="811"/>
      <c r="I712" s="811"/>
      <c r="J712" s="811"/>
      <c r="K712" s="811"/>
      <c r="L712" s="811"/>
      <c r="M712" s="811"/>
      <c r="N712" s="811"/>
      <c r="O712" s="811"/>
      <c r="P712" s="811"/>
      <c r="Q712" s="811"/>
      <c r="R712" s="811"/>
      <c r="S712" s="811"/>
      <c r="T712" s="811"/>
      <c r="U712" s="811"/>
      <c r="V712" s="811"/>
      <c r="W712" s="811"/>
      <c r="X712" s="811"/>
      <c r="Y712" s="811"/>
      <c r="Z712" s="811"/>
    </row>
    <row r="713" spans="1:26" ht="15" thickBot="1">
      <c r="A713" s="811"/>
      <c r="B713" s="811"/>
      <c r="C713" s="811"/>
      <c r="D713" s="811"/>
      <c r="E713" s="811"/>
      <c r="F713" s="811"/>
      <c r="G713" s="811"/>
      <c r="H713" s="811"/>
      <c r="I713" s="811"/>
      <c r="J713" s="811"/>
      <c r="K713" s="811"/>
      <c r="L713" s="811"/>
      <c r="M713" s="811"/>
      <c r="N713" s="811"/>
      <c r="O713" s="811"/>
      <c r="P713" s="811"/>
      <c r="Q713" s="811"/>
      <c r="R713" s="811"/>
      <c r="S713" s="811"/>
      <c r="T713" s="811"/>
      <c r="U713" s="811"/>
      <c r="V713" s="811"/>
      <c r="W713" s="811"/>
      <c r="X713" s="811"/>
      <c r="Y713" s="811"/>
      <c r="Z713" s="811"/>
    </row>
    <row r="714" spans="1:26" ht="15" thickBot="1">
      <c r="A714" s="811"/>
      <c r="B714" s="811"/>
      <c r="C714" s="811"/>
      <c r="D714" s="811"/>
      <c r="E714" s="811"/>
      <c r="F714" s="811"/>
      <c r="G714" s="811"/>
      <c r="H714" s="811"/>
      <c r="I714" s="811"/>
      <c r="J714" s="811"/>
      <c r="K714" s="811"/>
      <c r="L714" s="811"/>
      <c r="M714" s="811"/>
      <c r="N714" s="811"/>
      <c r="O714" s="811"/>
      <c r="P714" s="811"/>
      <c r="Q714" s="811"/>
      <c r="R714" s="811"/>
      <c r="S714" s="811"/>
      <c r="T714" s="811"/>
      <c r="U714" s="811"/>
      <c r="V714" s="811"/>
      <c r="W714" s="811"/>
      <c r="X714" s="811"/>
      <c r="Y714" s="811"/>
      <c r="Z714" s="811"/>
    </row>
    <row r="715" spans="1:26" ht="15" thickBot="1">
      <c r="A715" s="811"/>
      <c r="B715" s="811"/>
      <c r="C715" s="811"/>
      <c r="D715" s="811"/>
      <c r="E715" s="811"/>
      <c r="F715" s="811"/>
      <c r="G715" s="811"/>
      <c r="H715" s="811"/>
      <c r="I715" s="811"/>
      <c r="J715" s="811"/>
      <c r="K715" s="811"/>
      <c r="L715" s="811"/>
      <c r="M715" s="811"/>
      <c r="N715" s="811"/>
      <c r="O715" s="811"/>
      <c r="P715" s="811"/>
      <c r="Q715" s="811"/>
      <c r="R715" s="811"/>
      <c r="S715" s="811"/>
      <c r="T715" s="811"/>
      <c r="U715" s="811"/>
      <c r="V715" s="811"/>
      <c r="W715" s="811"/>
      <c r="X715" s="811"/>
      <c r="Y715" s="811"/>
      <c r="Z715" s="811"/>
    </row>
    <row r="716" spans="1:26" ht="15" thickBot="1">
      <c r="A716" s="811"/>
      <c r="B716" s="811"/>
      <c r="C716" s="811"/>
      <c r="D716" s="811"/>
      <c r="E716" s="811"/>
      <c r="F716" s="811"/>
      <c r="G716" s="811"/>
      <c r="H716" s="811"/>
      <c r="I716" s="811"/>
      <c r="J716" s="811"/>
      <c r="K716" s="811"/>
      <c r="L716" s="811"/>
      <c r="M716" s="811"/>
      <c r="N716" s="811"/>
      <c r="O716" s="811"/>
      <c r="P716" s="811"/>
      <c r="Q716" s="811"/>
      <c r="R716" s="811"/>
      <c r="S716" s="811"/>
      <c r="T716" s="811"/>
      <c r="U716" s="811"/>
      <c r="V716" s="811"/>
      <c r="W716" s="811"/>
      <c r="X716" s="811"/>
      <c r="Y716" s="811"/>
      <c r="Z716" s="811"/>
    </row>
    <row r="717" spans="1:26" ht="15" thickBot="1">
      <c r="A717" s="811"/>
      <c r="B717" s="811"/>
      <c r="C717" s="811"/>
      <c r="D717" s="811"/>
      <c r="E717" s="811"/>
      <c r="F717" s="811"/>
      <c r="G717" s="811"/>
      <c r="H717" s="811"/>
      <c r="I717" s="811"/>
      <c r="J717" s="811"/>
      <c r="K717" s="811"/>
      <c r="L717" s="811"/>
      <c r="M717" s="811"/>
      <c r="N717" s="811"/>
      <c r="O717" s="811"/>
      <c r="P717" s="811"/>
      <c r="Q717" s="811"/>
      <c r="R717" s="811"/>
      <c r="S717" s="811"/>
      <c r="T717" s="811"/>
      <c r="U717" s="811"/>
      <c r="V717" s="811"/>
      <c r="W717" s="811"/>
      <c r="X717" s="811"/>
      <c r="Y717" s="811"/>
      <c r="Z717" s="811"/>
    </row>
    <row r="718" spans="1:26" ht="15" thickBot="1">
      <c r="A718" s="811"/>
      <c r="B718" s="811"/>
      <c r="C718" s="811"/>
      <c r="D718" s="811"/>
      <c r="E718" s="811"/>
      <c r="F718" s="811"/>
      <c r="G718" s="811"/>
      <c r="H718" s="811"/>
      <c r="I718" s="811"/>
      <c r="J718" s="811"/>
      <c r="K718" s="811"/>
      <c r="L718" s="811"/>
      <c r="M718" s="811"/>
      <c r="N718" s="811"/>
      <c r="O718" s="811"/>
      <c r="P718" s="811"/>
      <c r="Q718" s="811"/>
      <c r="R718" s="811"/>
      <c r="S718" s="811"/>
      <c r="T718" s="811"/>
      <c r="U718" s="811"/>
      <c r="V718" s="811"/>
      <c r="W718" s="811"/>
      <c r="X718" s="811"/>
      <c r="Y718" s="811"/>
      <c r="Z718" s="811"/>
    </row>
    <row r="719" spans="1:26" ht="15" thickBot="1">
      <c r="A719" s="811"/>
      <c r="B719" s="811"/>
      <c r="C719" s="811"/>
      <c r="D719" s="811"/>
      <c r="E719" s="811"/>
      <c r="F719" s="811"/>
      <c r="G719" s="811"/>
      <c r="H719" s="811"/>
      <c r="I719" s="811"/>
      <c r="J719" s="811"/>
      <c r="K719" s="811"/>
      <c r="L719" s="811"/>
      <c r="M719" s="811"/>
      <c r="N719" s="811"/>
      <c r="O719" s="811"/>
      <c r="P719" s="811"/>
      <c r="Q719" s="811"/>
      <c r="R719" s="811"/>
      <c r="S719" s="811"/>
      <c r="T719" s="811"/>
      <c r="U719" s="811"/>
      <c r="V719" s="811"/>
      <c r="W719" s="811"/>
      <c r="X719" s="811"/>
      <c r="Y719" s="811"/>
      <c r="Z719" s="811"/>
    </row>
    <row r="720" spans="1:26" ht="15" thickBot="1">
      <c r="A720" s="811"/>
      <c r="B720" s="811"/>
      <c r="C720" s="811"/>
      <c r="D720" s="811"/>
      <c r="E720" s="811"/>
      <c r="F720" s="811"/>
      <c r="G720" s="811"/>
      <c r="H720" s="811"/>
      <c r="I720" s="811"/>
      <c r="J720" s="811"/>
      <c r="K720" s="811"/>
      <c r="L720" s="811"/>
      <c r="M720" s="811"/>
      <c r="N720" s="811"/>
      <c r="O720" s="811"/>
      <c r="P720" s="811"/>
      <c r="Q720" s="811"/>
      <c r="R720" s="811"/>
      <c r="S720" s="811"/>
      <c r="T720" s="811"/>
      <c r="U720" s="811"/>
      <c r="V720" s="811"/>
      <c r="W720" s="811"/>
      <c r="X720" s="811"/>
      <c r="Y720" s="811"/>
      <c r="Z720" s="811"/>
    </row>
    <row r="721" spans="1:26" ht="15" thickBot="1">
      <c r="A721" s="811"/>
      <c r="B721" s="811"/>
      <c r="C721" s="811"/>
      <c r="D721" s="811"/>
      <c r="E721" s="811"/>
      <c r="F721" s="811"/>
      <c r="G721" s="811"/>
      <c r="H721" s="811"/>
      <c r="I721" s="811"/>
      <c r="J721" s="811"/>
      <c r="K721" s="811"/>
      <c r="L721" s="811"/>
      <c r="M721" s="811"/>
      <c r="N721" s="811"/>
      <c r="O721" s="811"/>
      <c r="P721" s="811"/>
      <c r="Q721" s="811"/>
      <c r="R721" s="811"/>
      <c r="S721" s="811"/>
      <c r="T721" s="811"/>
      <c r="U721" s="811"/>
      <c r="V721" s="811"/>
      <c r="W721" s="811"/>
      <c r="X721" s="811"/>
      <c r="Y721" s="811"/>
      <c r="Z721" s="811"/>
    </row>
    <row r="722" spans="1:26" ht="15" thickBot="1">
      <c r="A722" s="811"/>
      <c r="B722" s="811"/>
      <c r="C722" s="811"/>
      <c r="D722" s="811"/>
      <c r="E722" s="811"/>
      <c r="F722" s="811"/>
      <c r="G722" s="811"/>
      <c r="H722" s="811"/>
      <c r="I722" s="811"/>
      <c r="J722" s="811"/>
      <c r="K722" s="811"/>
      <c r="L722" s="811"/>
      <c r="M722" s="811"/>
      <c r="N722" s="811"/>
      <c r="O722" s="811"/>
      <c r="P722" s="811"/>
      <c r="Q722" s="811"/>
      <c r="R722" s="811"/>
      <c r="S722" s="811"/>
      <c r="T722" s="811"/>
      <c r="U722" s="811"/>
      <c r="V722" s="811"/>
      <c r="W722" s="811"/>
      <c r="X722" s="811"/>
      <c r="Y722" s="811"/>
      <c r="Z722" s="811"/>
    </row>
    <row r="723" spans="1:26" ht="15" thickBot="1">
      <c r="A723" s="811"/>
      <c r="B723" s="811"/>
      <c r="C723" s="811"/>
      <c r="D723" s="811"/>
      <c r="E723" s="811"/>
      <c r="F723" s="811"/>
      <c r="G723" s="811"/>
      <c r="H723" s="811"/>
      <c r="I723" s="811"/>
      <c r="J723" s="811"/>
      <c r="K723" s="811"/>
      <c r="L723" s="811"/>
      <c r="M723" s="811"/>
      <c r="N723" s="811"/>
      <c r="O723" s="811"/>
      <c r="P723" s="811"/>
      <c r="Q723" s="811"/>
      <c r="R723" s="811"/>
      <c r="S723" s="811"/>
      <c r="T723" s="811"/>
      <c r="U723" s="811"/>
      <c r="V723" s="811"/>
      <c r="W723" s="811"/>
      <c r="X723" s="811"/>
      <c r="Y723" s="811"/>
      <c r="Z723" s="811"/>
    </row>
    <row r="724" spans="1:26" ht="15" thickBot="1">
      <c r="A724" s="811"/>
      <c r="B724" s="811"/>
      <c r="C724" s="811"/>
      <c r="D724" s="811"/>
      <c r="E724" s="811"/>
      <c r="F724" s="811"/>
      <c r="G724" s="811"/>
      <c r="H724" s="811"/>
      <c r="I724" s="811"/>
      <c r="J724" s="811"/>
      <c r="K724" s="811"/>
      <c r="L724" s="811"/>
      <c r="M724" s="811"/>
      <c r="N724" s="811"/>
      <c r="O724" s="811"/>
      <c r="P724" s="811"/>
      <c r="Q724" s="811"/>
      <c r="R724" s="811"/>
      <c r="S724" s="811"/>
      <c r="T724" s="811"/>
      <c r="U724" s="811"/>
      <c r="V724" s="811"/>
      <c r="W724" s="811"/>
      <c r="X724" s="811"/>
      <c r="Y724" s="811"/>
      <c r="Z724" s="811"/>
    </row>
    <row r="725" spans="1:26" ht="15" thickBot="1">
      <c r="A725" s="811"/>
      <c r="B725" s="811"/>
      <c r="C725" s="811"/>
      <c r="D725" s="811"/>
      <c r="E725" s="811"/>
      <c r="F725" s="811"/>
      <c r="G725" s="811"/>
      <c r="H725" s="811"/>
      <c r="I725" s="811"/>
      <c r="J725" s="811"/>
      <c r="K725" s="811"/>
      <c r="L725" s="811"/>
      <c r="M725" s="811"/>
      <c r="N725" s="811"/>
      <c r="O725" s="811"/>
      <c r="P725" s="811"/>
      <c r="Q725" s="811"/>
      <c r="R725" s="811"/>
      <c r="S725" s="811"/>
      <c r="T725" s="811"/>
      <c r="U725" s="811"/>
      <c r="V725" s="811"/>
      <c r="W725" s="811"/>
      <c r="X725" s="811"/>
      <c r="Y725" s="811"/>
      <c r="Z725" s="811"/>
    </row>
    <row r="726" spans="1:26" ht="15" thickBot="1">
      <c r="A726" s="811"/>
      <c r="B726" s="811"/>
      <c r="C726" s="811"/>
      <c r="D726" s="811"/>
      <c r="E726" s="811"/>
      <c r="F726" s="811"/>
      <c r="G726" s="811"/>
      <c r="H726" s="811"/>
      <c r="I726" s="811"/>
      <c r="J726" s="811"/>
      <c r="K726" s="811"/>
      <c r="L726" s="811"/>
      <c r="M726" s="811"/>
      <c r="N726" s="811"/>
      <c r="O726" s="811"/>
      <c r="P726" s="811"/>
      <c r="Q726" s="811"/>
      <c r="R726" s="811"/>
      <c r="S726" s="811"/>
      <c r="T726" s="811"/>
      <c r="U726" s="811"/>
      <c r="V726" s="811"/>
      <c r="W726" s="811"/>
      <c r="X726" s="811"/>
      <c r="Y726" s="811"/>
      <c r="Z726" s="811"/>
    </row>
    <row r="727" spans="1:26" ht="15" thickBot="1">
      <c r="A727" s="811"/>
      <c r="B727" s="811"/>
      <c r="C727" s="811"/>
      <c r="D727" s="811"/>
      <c r="E727" s="811"/>
      <c r="F727" s="811"/>
      <c r="G727" s="811"/>
      <c r="H727" s="811"/>
      <c r="I727" s="811"/>
      <c r="J727" s="811"/>
      <c r="K727" s="811"/>
      <c r="L727" s="811"/>
      <c r="M727" s="811"/>
      <c r="N727" s="811"/>
      <c r="O727" s="811"/>
      <c r="P727" s="811"/>
      <c r="Q727" s="811"/>
      <c r="R727" s="811"/>
      <c r="S727" s="811"/>
      <c r="T727" s="811"/>
      <c r="U727" s="811"/>
      <c r="V727" s="811"/>
      <c r="W727" s="811"/>
      <c r="X727" s="811"/>
      <c r="Y727" s="811"/>
      <c r="Z727" s="811"/>
    </row>
    <row r="728" spans="1:26" ht="15" thickBot="1">
      <c r="A728" s="811"/>
      <c r="B728" s="811"/>
      <c r="C728" s="811"/>
      <c r="D728" s="811"/>
      <c r="E728" s="811"/>
      <c r="F728" s="811"/>
      <c r="G728" s="811"/>
      <c r="H728" s="811"/>
      <c r="I728" s="811"/>
      <c r="J728" s="811"/>
      <c r="K728" s="811"/>
      <c r="L728" s="811"/>
      <c r="M728" s="811"/>
      <c r="N728" s="811"/>
      <c r="O728" s="811"/>
      <c r="P728" s="811"/>
      <c r="Q728" s="811"/>
      <c r="R728" s="811"/>
      <c r="S728" s="811"/>
      <c r="T728" s="811"/>
      <c r="U728" s="811"/>
      <c r="V728" s="811"/>
      <c r="W728" s="811"/>
      <c r="X728" s="811"/>
      <c r="Y728" s="811"/>
      <c r="Z728" s="811"/>
    </row>
    <row r="729" spans="1:26" ht="15" thickBot="1">
      <c r="A729" s="811"/>
      <c r="B729" s="811"/>
      <c r="C729" s="811"/>
      <c r="D729" s="811"/>
      <c r="E729" s="811"/>
      <c r="F729" s="811"/>
      <c r="G729" s="811"/>
      <c r="H729" s="811"/>
      <c r="I729" s="811"/>
      <c r="J729" s="811"/>
      <c r="K729" s="811"/>
      <c r="L729" s="811"/>
      <c r="M729" s="811"/>
      <c r="N729" s="811"/>
      <c r="O729" s="811"/>
      <c r="P729" s="811"/>
      <c r="Q729" s="811"/>
      <c r="R729" s="811"/>
      <c r="S729" s="811"/>
      <c r="T729" s="811"/>
      <c r="U729" s="811"/>
      <c r="V729" s="811"/>
      <c r="W729" s="811"/>
      <c r="X729" s="811"/>
      <c r="Y729" s="811"/>
      <c r="Z729" s="811"/>
    </row>
    <row r="730" spans="1:26" ht="15" thickBot="1">
      <c r="A730" s="811"/>
      <c r="B730" s="811"/>
      <c r="C730" s="811"/>
      <c r="D730" s="811"/>
      <c r="E730" s="811"/>
      <c r="F730" s="811"/>
      <c r="G730" s="811"/>
      <c r="H730" s="811"/>
      <c r="I730" s="811"/>
      <c r="J730" s="811"/>
      <c r="K730" s="811"/>
      <c r="L730" s="811"/>
      <c r="M730" s="811"/>
      <c r="N730" s="811"/>
      <c r="O730" s="811"/>
      <c r="P730" s="811"/>
      <c r="Q730" s="811"/>
      <c r="R730" s="811"/>
      <c r="S730" s="811"/>
      <c r="T730" s="811"/>
      <c r="U730" s="811"/>
      <c r="V730" s="811"/>
      <c r="W730" s="811"/>
      <c r="X730" s="811"/>
      <c r="Y730" s="811"/>
      <c r="Z730" s="811"/>
    </row>
    <row r="731" spans="1:26" ht="15" thickBot="1">
      <c r="A731" s="811"/>
      <c r="B731" s="811"/>
      <c r="C731" s="811"/>
      <c r="D731" s="811"/>
      <c r="E731" s="811"/>
      <c r="F731" s="811"/>
      <c r="G731" s="811"/>
      <c r="H731" s="811"/>
      <c r="I731" s="811"/>
      <c r="J731" s="811"/>
      <c r="K731" s="811"/>
      <c r="L731" s="811"/>
      <c r="M731" s="811"/>
      <c r="N731" s="811"/>
      <c r="O731" s="811"/>
      <c r="P731" s="811"/>
      <c r="Q731" s="811"/>
      <c r="R731" s="811"/>
      <c r="S731" s="811"/>
      <c r="T731" s="811"/>
      <c r="U731" s="811"/>
      <c r="V731" s="811"/>
      <c r="W731" s="811"/>
      <c r="X731" s="811"/>
      <c r="Y731" s="811"/>
      <c r="Z731" s="811"/>
    </row>
    <row r="732" spans="1:26" ht="15" thickBot="1">
      <c r="A732" s="811"/>
      <c r="B732" s="811"/>
      <c r="C732" s="811"/>
      <c r="D732" s="811"/>
      <c r="E732" s="811"/>
      <c r="F732" s="811"/>
      <c r="G732" s="811"/>
      <c r="H732" s="811"/>
      <c r="I732" s="811"/>
      <c r="J732" s="811"/>
      <c r="K732" s="811"/>
      <c r="L732" s="811"/>
      <c r="M732" s="811"/>
      <c r="N732" s="811"/>
      <c r="O732" s="811"/>
      <c r="P732" s="811"/>
      <c r="Q732" s="811"/>
      <c r="R732" s="811"/>
      <c r="S732" s="811"/>
      <c r="T732" s="811"/>
      <c r="U732" s="811"/>
      <c r="V732" s="811"/>
      <c r="W732" s="811"/>
      <c r="X732" s="811"/>
      <c r="Y732" s="811"/>
      <c r="Z732" s="811"/>
    </row>
    <row r="733" spans="1:26" ht="15" thickBot="1">
      <c r="A733" s="811"/>
      <c r="B733" s="811"/>
      <c r="C733" s="811"/>
      <c r="D733" s="811"/>
      <c r="E733" s="811"/>
      <c r="F733" s="811"/>
      <c r="G733" s="811"/>
      <c r="H733" s="811"/>
      <c r="I733" s="811"/>
      <c r="J733" s="811"/>
      <c r="K733" s="811"/>
      <c r="L733" s="811"/>
      <c r="M733" s="811"/>
      <c r="N733" s="811"/>
      <c r="O733" s="811"/>
      <c r="P733" s="811"/>
      <c r="Q733" s="811"/>
      <c r="R733" s="811"/>
      <c r="S733" s="811"/>
      <c r="T733" s="811"/>
      <c r="U733" s="811"/>
      <c r="V733" s="811"/>
      <c r="W733" s="811"/>
      <c r="X733" s="811"/>
      <c r="Y733" s="811"/>
      <c r="Z733" s="811"/>
    </row>
    <row r="734" spans="1:26" ht="15" thickBot="1">
      <c r="A734" s="811"/>
      <c r="B734" s="811"/>
      <c r="C734" s="811"/>
      <c r="D734" s="811"/>
      <c r="E734" s="811"/>
      <c r="F734" s="811"/>
      <c r="G734" s="811"/>
      <c r="H734" s="811"/>
      <c r="I734" s="811"/>
      <c r="J734" s="811"/>
      <c r="K734" s="811"/>
      <c r="L734" s="811"/>
      <c r="M734" s="811"/>
      <c r="N734" s="811"/>
      <c r="O734" s="811"/>
      <c r="P734" s="811"/>
      <c r="Q734" s="811"/>
      <c r="R734" s="811"/>
      <c r="S734" s="811"/>
      <c r="T734" s="811"/>
      <c r="U734" s="811"/>
      <c r="V734" s="811"/>
      <c r="W734" s="811"/>
      <c r="X734" s="811"/>
      <c r="Y734" s="811"/>
      <c r="Z734" s="811"/>
    </row>
    <row r="735" spans="1:26" ht="15" thickBot="1">
      <c r="A735" s="811"/>
      <c r="B735" s="811"/>
      <c r="C735" s="811"/>
      <c r="D735" s="811"/>
      <c r="E735" s="811"/>
      <c r="F735" s="811"/>
      <c r="G735" s="811"/>
      <c r="H735" s="811"/>
      <c r="I735" s="811"/>
      <c r="J735" s="811"/>
      <c r="K735" s="811"/>
      <c r="L735" s="811"/>
      <c r="M735" s="811"/>
      <c r="N735" s="811"/>
      <c r="O735" s="811"/>
      <c r="P735" s="811"/>
      <c r="Q735" s="811"/>
      <c r="R735" s="811"/>
      <c r="S735" s="811"/>
      <c r="T735" s="811"/>
      <c r="U735" s="811"/>
      <c r="V735" s="811"/>
      <c r="W735" s="811"/>
      <c r="X735" s="811"/>
      <c r="Y735" s="811"/>
      <c r="Z735" s="811"/>
    </row>
    <row r="736" spans="1:26" ht="15" thickBot="1">
      <c r="A736" s="811"/>
      <c r="B736" s="811"/>
      <c r="C736" s="811"/>
      <c r="D736" s="811"/>
      <c r="E736" s="811"/>
      <c r="F736" s="811"/>
      <c r="G736" s="811"/>
      <c r="H736" s="811"/>
      <c r="I736" s="811"/>
      <c r="J736" s="811"/>
      <c r="K736" s="811"/>
      <c r="L736" s="811"/>
      <c r="M736" s="811"/>
      <c r="N736" s="811"/>
      <c r="O736" s="811"/>
      <c r="P736" s="811"/>
      <c r="Q736" s="811"/>
      <c r="R736" s="811"/>
      <c r="S736" s="811"/>
      <c r="T736" s="811"/>
      <c r="U736" s="811"/>
      <c r="V736" s="811"/>
      <c r="W736" s="811"/>
      <c r="X736" s="811"/>
      <c r="Y736" s="811"/>
      <c r="Z736" s="811"/>
    </row>
    <row r="737" spans="1:26" ht="15" thickBot="1">
      <c r="A737" s="811"/>
      <c r="B737" s="811"/>
      <c r="C737" s="811"/>
      <c r="D737" s="811"/>
      <c r="E737" s="811"/>
      <c r="F737" s="811"/>
      <c r="G737" s="811"/>
      <c r="H737" s="811"/>
      <c r="I737" s="811"/>
      <c r="J737" s="811"/>
      <c r="K737" s="811"/>
      <c r="L737" s="811"/>
      <c r="M737" s="811"/>
      <c r="N737" s="811"/>
      <c r="O737" s="811"/>
      <c r="P737" s="811"/>
      <c r="Q737" s="811"/>
      <c r="R737" s="811"/>
      <c r="S737" s="811"/>
      <c r="T737" s="811"/>
      <c r="U737" s="811"/>
      <c r="V737" s="811"/>
      <c r="W737" s="811"/>
      <c r="X737" s="811"/>
      <c r="Y737" s="811"/>
      <c r="Z737" s="811"/>
    </row>
    <row r="738" spans="1:26" ht="15" thickBot="1">
      <c r="A738" s="811"/>
      <c r="B738" s="811"/>
      <c r="C738" s="811"/>
      <c r="D738" s="811"/>
      <c r="E738" s="811"/>
      <c r="F738" s="811"/>
      <c r="G738" s="811"/>
      <c r="H738" s="811"/>
      <c r="I738" s="811"/>
      <c r="J738" s="811"/>
      <c r="K738" s="811"/>
      <c r="L738" s="811"/>
      <c r="M738" s="811"/>
      <c r="N738" s="811"/>
      <c r="O738" s="811"/>
      <c r="P738" s="811"/>
      <c r="Q738" s="811"/>
      <c r="R738" s="811"/>
      <c r="S738" s="811"/>
      <c r="T738" s="811"/>
      <c r="U738" s="811"/>
      <c r="V738" s="811"/>
      <c r="W738" s="811"/>
      <c r="X738" s="811"/>
      <c r="Y738" s="811"/>
      <c r="Z738" s="811"/>
    </row>
    <row r="739" spans="1:26" ht="15" thickBot="1">
      <c r="A739" s="811"/>
      <c r="B739" s="811"/>
      <c r="C739" s="811"/>
      <c r="D739" s="811"/>
      <c r="E739" s="811"/>
      <c r="F739" s="811"/>
      <c r="G739" s="811"/>
      <c r="H739" s="811"/>
      <c r="I739" s="811"/>
      <c r="J739" s="811"/>
      <c r="K739" s="811"/>
      <c r="L739" s="811"/>
      <c r="M739" s="811"/>
      <c r="N739" s="811"/>
      <c r="O739" s="811"/>
      <c r="P739" s="811"/>
      <c r="Q739" s="811"/>
      <c r="R739" s="811"/>
      <c r="S739" s="811"/>
      <c r="T739" s="811"/>
      <c r="U739" s="811"/>
      <c r="V739" s="811"/>
      <c r="W739" s="811"/>
      <c r="X739" s="811"/>
      <c r="Y739" s="811"/>
      <c r="Z739" s="811"/>
    </row>
    <row r="740" spans="1:26" ht="15" thickBot="1">
      <c r="A740" s="811"/>
      <c r="B740" s="811"/>
      <c r="C740" s="811"/>
      <c r="D740" s="811"/>
      <c r="E740" s="811"/>
      <c r="F740" s="811"/>
      <c r="G740" s="811"/>
      <c r="H740" s="811"/>
      <c r="I740" s="811"/>
      <c r="J740" s="811"/>
      <c r="K740" s="811"/>
      <c r="L740" s="811"/>
      <c r="M740" s="811"/>
      <c r="N740" s="811"/>
      <c r="O740" s="811"/>
      <c r="P740" s="811"/>
      <c r="Q740" s="811"/>
      <c r="R740" s="811"/>
      <c r="S740" s="811"/>
      <c r="T740" s="811"/>
      <c r="U740" s="811"/>
      <c r="V740" s="811"/>
      <c r="W740" s="811"/>
      <c r="X740" s="811"/>
      <c r="Y740" s="811"/>
      <c r="Z740" s="811"/>
    </row>
    <row r="741" spans="1:26" ht="15" thickBot="1">
      <c r="A741" s="811"/>
      <c r="B741" s="811"/>
      <c r="C741" s="811"/>
      <c r="D741" s="811"/>
      <c r="E741" s="811"/>
      <c r="F741" s="811"/>
      <c r="G741" s="811"/>
      <c r="H741" s="811"/>
      <c r="I741" s="811"/>
      <c r="J741" s="811"/>
      <c r="K741" s="811"/>
      <c r="L741" s="811"/>
      <c r="M741" s="811"/>
      <c r="N741" s="811"/>
      <c r="O741" s="811"/>
      <c r="P741" s="811"/>
      <c r="Q741" s="811"/>
      <c r="R741" s="811"/>
      <c r="S741" s="811"/>
      <c r="T741" s="811"/>
      <c r="U741" s="811"/>
      <c r="V741" s="811"/>
      <c r="W741" s="811"/>
      <c r="X741" s="811"/>
      <c r="Y741" s="811"/>
      <c r="Z741" s="811"/>
    </row>
    <row r="742" spans="1:26" ht="15" thickBot="1">
      <c r="A742" s="811"/>
      <c r="B742" s="811"/>
      <c r="C742" s="811"/>
      <c r="D742" s="811"/>
      <c r="E742" s="811"/>
      <c r="F742" s="811"/>
      <c r="G742" s="811"/>
      <c r="H742" s="811"/>
      <c r="I742" s="811"/>
      <c r="J742" s="811"/>
      <c r="K742" s="811"/>
      <c r="L742" s="811"/>
      <c r="M742" s="811"/>
      <c r="N742" s="811"/>
      <c r="O742" s="811"/>
      <c r="P742" s="811"/>
      <c r="Q742" s="811"/>
      <c r="R742" s="811"/>
      <c r="S742" s="811"/>
      <c r="T742" s="811"/>
      <c r="U742" s="811"/>
      <c r="V742" s="811"/>
      <c r="W742" s="811"/>
      <c r="X742" s="811"/>
      <c r="Y742" s="811"/>
      <c r="Z742" s="811"/>
    </row>
    <row r="743" spans="1:26" ht="15" thickBot="1">
      <c r="A743" s="811"/>
      <c r="B743" s="811"/>
      <c r="C743" s="811"/>
      <c r="D743" s="811"/>
      <c r="E743" s="811"/>
      <c r="F743" s="811"/>
      <c r="G743" s="811"/>
      <c r="H743" s="811"/>
      <c r="I743" s="811"/>
      <c r="J743" s="811"/>
      <c r="K743" s="811"/>
      <c r="L743" s="811"/>
      <c r="M743" s="811"/>
      <c r="N743" s="811"/>
      <c r="O743" s="811"/>
      <c r="P743" s="811"/>
      <c r="Q743" s="811"/>
      <c r="R743" s="811"/>
      <c r="S743" s="811"/>
      <c r="T743" s="811"/>
      <c r="U743" s="811"/>
      <c r="V743" s="811"/>
      <c r="W743" s="811"/>
      <c r="X743" s="811"/>
      <c r="Y743" s="811"/>
      <c r="Z743" s="811"/>
    </row>
    <row r="744" spans="1:26" ht="15" thickBot="1">
      <c r="A744" s="811"/>
      <c r="B744" s="811"/>
      <c r="C744" s="811"/>
      <c r="D744" s="811"/>
      <c r="E744" s="811"/>
      <c r="F744" s="811"/>
      <c r="G744" s="811"/>
      <c r="H744" s="811"/>
      <c r="I744" s="811"/>
      <c r="J744" s="811"/>
      <c r="K744" s="811"/>
      <c r="L744" s="811"/>
      <c r="M744" s="811"/>
      <c r="N744" s="811"/>
      <c r="O744" s="811"/>
      <c r="P744" s="811"/>
      <c r="Q744" s="811"/>
      <c r="R744" s="811"/>
      <c r="S744" s="811"/>
      <c r="T744" s="811"/>
      <c r="U744" s="811"/>
      <c r="V744" s="811"/>
      <c r="W744" s="811"/>
      <c r="X744" s="811"/>
      <c r="Y744" s="811"/>
      <c r="Z744" s="811"/>
    </row>
    <row r="745" spans="1:26" ht="15" thickBot="1">
      <c r="A745" s="811"/>
      <c r="B745" s="811"/>
      <c r="C745" s="811"/>
      <c r="D745" s="811"/>
      <c r="E745" s="811"/>
      <c r="F745" s="811"/>
      <c r="G745" s="811"/>
      <c r="H745" s="811"/>
      <c r="I745" s="811"/>
      <c r="J745" s="811"/>
      <c r="K745" s="811"/>
      <c r="L745" s="811"/>
      <c r="M745" s="811"/>
      <c r="N745" s="811"/>
      <c r="O745" s="811"/>
      <c r="P745" s="811"/>
      <c r="Q745" s="811"/>
      <c r="R745" s="811"/>
      <c r="S745" s="811"/>
      <c r="T745" s="811"/>
      <c r="U745" s="811"/>
      <c r="V745" s="811"/>
      <c r="W745" s="811"/>
      <c r="X745" s="811"/>
      <c r="Y745" s="811"/>
      <c r="Z745" s="811"/>
    </row>
    <row r="746" spans="1:26" ht="15" thickBot="1">
      <c r="A746" s="811"/>
      <c r="B746" s="811"/>
      <c r="C746" s="811"/>
      <c r="D746" s="811"/>
      <c r="E746" s="811"/>
      <c r="F746" s="811"/>
      <c r="G746" s="811"/>
      <c r="H746" s="811"/>
      <c r="I746" s="811"/>
      <c r="J746" s="811"/>
      <c r="K746" s="811"/>
      <c r="L746" s="811"/>
      <c r="M746" s="811"/>
      <c r="N746" s="811"/>
      <c r="O746" s="811"/>
      <c r="P746" s="811"/>
      <c r="Q746" s="811"/>
      <c r="R746" s="811"/>
      <c r="S746" s="811"/>
      <c r="T746" s="811"/>
      <c r="U746" s="811"/>
      <c r="V746" s="811"/>
      <c r="W746" s="811"/>
      <c r="X746" s="811"/>
      <c r="Y746" s="811"/>
      <c r="Z746" s="811"/>
    </row>
    <row r="747" spans="1:26" ht="15" thickBot="1">
      <c r="A747" s="811"/>
      <c r="B747" s="811"/>
      <c r="C747" s="811"/>
      <c r="D747" s="811"/>
      <c r="E747" s="811"/>
      <c r="F747" s="811"/>
      <c r="G747" s="811"/>
      <c r="H747" s="811"/>
      <c r="I747" s="811"/>
      <c r="J747" s="811"/>
      <c r="K747" s="811"/>
      <c r="L747" s="811"/>
      <c r="M747" s="811"/>
      <c r="N747" s="811"/>
      <c r="O747" s="811"/>
      <c r="P747" s="811"/>
      <c r="Q747" s="811"/>
      <c r="R747" s="811"/>
      <c r="S747" s="811"/>
      <c r="T747" s="811"/>
      <c r="U747" s="811"/>
      <c r="V747" s="811"/>
      <c r="W747" s="811"/>
      <c r="X747" s="811"/>
      <c r="Y747" s="811"/>
      <c r="Z747" s="811"/>
    </row>
    <row r="748" spans="1:26" ht="15" thickBot="1">
      <c r="A748" s="811"/>
      <c r="B748" s="811"/>
      <c r="C748" s="811"/>
      <c r="D748" s="811"/>
      <c r="E748" s="811"/>
      <c r="F748" s="811"/>
      <c r="G748" s="811"/>
      <c r="H748" s="811"/>
      <c r="I748" s="811"/>
      <c r="J748" s="811"/>
      <c r="K748" s="811"/>
      <c r="L748" s="811"/>
      <c r="M748" s="811"/>
      <c r="N748" s="811"/>
      <c r="O748" s="811"/>
      <c r="P748" s="811"/>
      <c r="Q748" s="811"/>
      <c r="R748" s="811"/>
      <c r="S748" s="811"/>
      <c r="T748" s="811"/>
      <c r="U748" s="811"/>
      <c r="V748" s="811"/>
      <c r="W748" s="811"/>
      <c r="X748" s="811"/>
      <c r="Y748" s="811"/>
      <c r="Z748" s="811"/>
    </row>
    <row r="749" spans="1:26" ht="15" thickBot="1">
      <c r="A749" s="811"/>
      <c r="B749" s="811"/>
      <c r="C749" s="811"/>
      <c r="D749" s="811"/>
      <c r="E749" s="811"/>
      <c r="F749" s="811"/>
      <c r="G749" s="811"/>
      <c r="H749" s="811"/>
      <c r="I749" s="811"/>
      <c r="J749" s="811"/>
      <c r="K749" s="811"/>
      <c r="L749" s="811"/>
      <c r="M749" s="811"/>
      <c r="N749" s="811"/>
      <c r="O749" s="811"/>
      <c r="P749" s="811"/>
      <c r="Q749" s="811"/>
      <c r="R749" s="811"/>
      <c r="S749" s="811"/>
      <c r="T749" s="811"/>
      <c r="U749" s="811"/>
      <c r="V749" s="811"/>
      <c r="W749" s="811"/>
      <c r="X749" s="811"/>
      <c r="Y749" s="811"/>
      <c r="Z749" s="811"/>
    </row>
    <row r="750" spans="1:26" ht="15" thickBot="1">
      <c r="A750" s="811"/>
      <c r="B750" s="811"/>
      <c r="C750" s="811"/>
      <c r="D750" s="811"/>
      <c r="E750" s="811"/>
      <c r="F750" s="811"/>
      <c r="G750" s="811"/>
      <c r="H750" s="811"/>
      <c r="I750" s="811"/>
      <c r="J750" s="811"/>
      <c r="K750" s="811"/>
      <c r="L750" s="811"/>
      <c r="M750" s="811"/>
      <c r="N750" s="811"/>
      <c r="O750" s="811"/>
      <c r="P750" s="811"/>
      <c r="Q750" s="811"/>
      <c r="R750" s="811"/>
      <c r="S750" s="811"/>
      <c r="T750" s="811"/>
      <c r="U750" s="811"/>
      <c r="V750" s="811"/>
      <c r="W750" s="811"/>
      <c r="X750" s="811"/>
      <c r="Y750" s="811"/>
      <c r="Z750" s="811"/>
    </row>
    <row r="751" spans="1:26" ht="15" thickBot="1">
      <c r="A751" s="811"/>
      <c r="B751" s="811"/>
      <c r="C751" s="811"/>
      <c r="D751" s="811"/>
      <c r="E751" s="811"/>
      <c r="F751" s="811"/>
      <c r="G751" s="811"/>
      <c r="H751" s="811"/>
      <c r="I751" s="811"/>
      <c r="J751" s="811"/>
      <c r="K751" s="811"/>
      <c r="L751" s="811"/>
      <c r="M751" s="811"/>
      <c r="N751" s="811"/>
      <c r="O751" s="811"/>
      <c r="P751" s="811"/>
      <c r="Q751" s="811"/>
      <c r="R751" s="811"/>
      <c r="S751" s="811"/>
      <c r="T751" s="811"/>
      <c r="U751" s="811"/>
      <c r="V751" s="811"/>
      <c r="W751" s="811"/>
      <c r="X751" s="811"/>
      <c r="Y751" s="811"/>
      <c r="Z751" s="811"/>
    </row>
    <row r="752" spans="1:26" ht="15" thickBot="1">
      <c r="A752" s="811"/>
      <c r="B752" s="811"/>
      <c r="C752" s="811"/>
      <c r="D752" s="811"/>
      <c r="E752" s="811"/>
      <c r="F752" s="811"/>
      <c r="G752" s="811"/>
      <c r="H752" s="811"/>
      <c r="I752" s="811"/>
      <c r="J752" s="811"/>
      <c r="K752" s="811"/>
      <c r="L752" s="811"/>
      <c r="M752" s="811"/>
      <c r="N752" s="811"/>
      <c r="O752" s="811"/>
      <c r="P752" s="811"/>
      <c r="Q752" s="811"/>
      <c r="R752" s="811"/>
      <c r="S752" s="811"/>
      <c r="T752" s="811"/>
      <c r="U752" s="811"/>
      <c r="V752" s="811"/>
      <c r="W752" s="811"/>
      <c r="X752" s="811"/>
      <c r="Y752" s="811"/>
      <c r="Z752" s="811"/>
    </row>
    <row r="753" spans="1:26" ht="15" thickBot="1">
      <c r="A753" s="811"/>
      <c r="B753" s="811"/>
      <c r="C753" s="811"/>
      <c r="D753" s="811"/>
      <c r="E753" s="811"/>
      <c r="F753" s="811"/>
      <c r="G753" s="811"/>
      <c r="H753" s="811"/>
      <c r="I753" s="811"/>
      <c r="J753" s="811"/>
      <c r="K753" s="811"/>
      <c r="L753" s="811"/>
      <c r="M753" s="811"/>
      <c r="N753" s="811"/>
      <c r="O753" s="811"/>
      <c r="P753" s="811"/>
      <c r="Q753" s="811"/>
      <c r="R753" s="811"/>
      <c r="S753" s="811"/>
      <c r="T753" s="811"/>
      <c r="U753" s="811"/>
      <c r="V753" s="811"/>
      <c r="W753" s="811"/>
      <c r="X753" s="811"/>
      <c r="Y753" s="811"/>
      <c r="Z753" s="811"/>
    </row>
    <row r="754" spans="1:26" ht="15" thickBot="1">
      <c r="A754" s="811"/>
      <c r="B754" s="811"/>
      <c r="C754" s="811"/>
      <c r="D754" s="811"/>
      <c r="E754" s="811"/>
      <c r="F754" s="811"/>
      <c r="G754" s="811"/>
      <c r="H754" s="811"/>
      <c r="I754" s="811"/>
      <c r="J754" s="811"/>
      <c r="K754" s="811"/>
      <c r="L754" s="811"/>
      <c r="M754" s="811"/>
      <c r="N754" s="811"/>
      <c r="O754" s="811"/>
      <c r="P754" s="811"/>
      <c r="Q754" s="811"/>
      <c r="R754" s="811"/>
      <c r="S754" s="811"/>
      <c r="T754" s="811"/>
      <c r="U754" s="811"/>
      <c r="V754" s="811"/>
      <c r="W754" s="811"/>
      <c r="X754" s="811"/>
      <c r="Y754" s="811"/>
      <c r="Z754" s="811"/>
    </row>
    <row r="755" spans="1:26" ht="15" thickBot="1">
      <c r="A755" s="811"/>
      <c r="B755" s="811"/>
      <c r="C755" s="811"/>
      <c r="D755" s="811"/>
      <c r="E755" s="811"/>
      <c r="F755" s="811"/>
      <c r="G755" s="811"/>
      <c r="H755" s="811"/>
      <c r="I755" s="811"/>
      <c r="J755" s="811"/>
      <c r="K755" s="811"/>
      <c r="L755" s="811"/>
      <c r="M755" s="811"/>
      <c r="N755" s="811"/>
      <c r="O755" s="811"/>
      <c r="P755" s="811"/>
      <c r="Q755" s="811"/>
      <c r="R755" s="811"/>
      <c r="S755" s="811"/>
      <c r="T755" s="811"/>
      <c r="U755" s="811"/>
      <c r="V755" s="811"/>
      <c r="W755" s="811"/>
      <c r="X755" s="811"/>
      <c r="Y755" s="811"/>
      <c r="Z755" s="811"/>
    </row>
    <row r="756" spans="1:26" ht="15" thickBot="1">
      <c r="A756" s="811"/>
      <c r="B756" s="811"/>
      <c r="C756" s="811"/>
      <c r="D756" s="811"/>
      <c r="E756" s="811"/>
      <c r="F756" s="811"/>
      <c r="G756" s="811"/>
      <c r="H756" s="811"/>
      <c r="I756" s="811"/>
      <c r="J756" s="811"/>
      <c r="K756" s="811"/>
      <c r="L756" s="811"/>
      <c r="M756" s="811"/>
      <c r="N756" s="811"/>
      <c r="O756" s="811"/>
      <c r="P756" s="811"/>
      <c r="Q756" s="811"/>
      <c r="R756" s="811"/>
      <c r="S756" s="811"/>
      <c r="T756" s="811"/>
      <c r="U756" s="811"/>
      <c r="V756" s="811"/>
      <c r="W756" s="811"/>
      <c r="X756" s="811"/>
      <c r="Y756" s="811"/>
      <c r="Z756" s="811"/>
    </row>
    <row r="757" spans="1:26" ht="15" thickBot="1">
      <c r="A757" s="811"/>
      <c r="B757" s="811"/>
      <c r="C757" s="811"/>
      <c r="D757" s="811"/>
      <c r="E757" s="811"/>
      <c r="F757" s="811"/>
      <c r="G757" s="811"/>
      <c r="H757" s="811"/>
      <c r="I757" s="811"/>
      <c r="J757" s="811"/>
      <c r="K757" s="811"/>
      <c r="L757" s="811"/>
      <c r="M757" s="811"/>
      <c r="N757" s="811"/>
      <c r="O757" s="811"/>
      <c r="P757" s="811"/>
      <c r="Q757" s="811"/>
      <c r="R757" s="811"/>
      <c r="S757" s="811"/>
      <c r="T757" s="811"/>
      <c r="U757" s="811"/>
      <c r="V757" s="811"/>
      <c r="W757" s="811"/>
      <c r="X757" s="811"/>
      <c r="Y757" s="811"/>
      <c r="Z757" s="811"/>
    </row>
    <row r="758" spans="1:26" ht="15" thickBot="1">
      <c r="A758" s="811"/>
      <c r="B758" s="811"/>
      <c r="C758" s="811"/>
      <c r="D758" s="811"/>
      <c r="E758" s="811"/>
      <c r="F758" s="811"/>
      <c r="G758" s="811"/>
      <c r="H758" s="811"/>
      <c r="I758" s="811"/>
      <c r="J758" s="811"/>
      <c r="K758" s="811"/>
      <c r="L758" s="811"/>
      <c r="M758" s="811"/>
      <c r="N758" s="811"/>
      <c r="O758" s="811"/>
      <c r="P758" s="811"/>
      <c r="Q758" s="811"/>
      <c r="R758" s="811"/>
      <c r="S758" s="811"/>
      <c r="T758" s="811"/>
      <c r="U758" s="811"/>
      <c r="V758" s="811"/>
      <c r="W758" s="811"/>
      <c r="X758" s="811"/>
      <c r="Y758" s="811"/>
      <c r="Z758" s="811"/>
    </row>
    <row r="759" spans="1:26" ht="15" thickBot="1">
      <c r="A759" s="811"/>
      <c r="B759" s="811"/>
      <c r="C759" s="811"/>
      <c r="D759" s="811"/>
      <c r="E759" s="811"/>
      <c r="F759" s="811"/>
      <c r="G759" s="811"/>
      <c r="H759" s="811"/>
      <c r="I759" s="811"/>
      <c r="J759" s="811"/>
      <c r="K759" s="811"/>
      <c r="L759" s="811"/>
      <c r="M759" s="811"/>
      <c r="N759" s="811"/>
      <c r="O759" s="811"/>
      <c r="P759" s="811"/>
      <c r="Q759" s="811"/>
      <c r="R759" s="811"/>
      <c r="S759" s="811"/>
      <c r="T759" s="811"/>
      <c r="U759" s="811"/>
      <c r="V759" s="811"/>
      <c r="W759" s="811"/>
      <c r="X759" s="811"/>
      <c r="Y759" s="811"/>
      <c r="Z759" s="811"/>
    </row>
    <row r="760" spans="1:26" ht="15" thickBot="1">
      <c r="A760" s="811"/>
      <c r="B760" s="811"/>
      <c r="C760" s="811"/>
      <c r="D760" s="811"/>
      <c r="E760" s="811"/>
      <c r="F760" s="811"/>
      <c r="G760" s="811"/>
      <c r="H760" s="811"/>
      <c r="I760" s="811"/>
      <c r="J760" s="811"/>
      <c r="K760" s="811"/>
      <c r="L760" s="811"/>
      <c r="M760" s="811"/>
      <c r="N760" s="811"/>
      <c r="O760" s="811"/>
      <c r="P760" s="811"/>
      <c r="Q760" s="811"/>
      <c r="R760" s="811"/>
      <c r="S760" s="811"/>
      <c r="T760" s="811"/>
      <c r="U760" s="811"/>
      <c r="V760" s="811"/>
      <c r="W760" s="811"/>
      <c r="X760" s="811"/>
      <c r="Y760" s="811"/>
      <c r="Z760" s="811"/>
    </row>
    <row r="761" spans="1:26" ht="15" thickBot="1">
      <c r="A761" s="811"/>
      <c r="B761" s="811"/>
      <c r="C761" s="811"/>
      <c r="D761" s="811"/>
      <c r="E761" s="811"/>
      <c r="F761" s="811"/>
      <c r="G761" s="811"/>
      <c r="H761" s="811"/>
      <c r="I761" s="811"/>
      <c r="J761" s="811"/>
      <c r="K761" s="811"/>
      <c r="L761" s="811"/>
      <c r="M761" s="811"/>
      <c r="N761" s="811"/>
      <c r="O761" s="811"/>
      <c r="P761" s="811"/>
      <c r="Q761" s="811"/>
      <c r="R761" s="811"/>
      <c r="S761" s="811"/>
      <c r="T761" s="811"/>
      <c r="U761" s="811"/>
      <c r="V761" s="811"/>
      <c r="W761" s="811"/>
      <c r="X761" s="811"/>
      <c r="Y761" s="811"/>
      <c r="Z761" s="811"/>
    </row>
    <row r="762" spans="1:26" ht="15" thickBot="1">
      <c r="A762" s="811"/>
      <c r="B762" s="811"/>
      <c r="C762" s="811"/>
      <c r="D762" s="811"/>
      <c r="E762" s="811"/>
      <c r="F762" s="811"/>
      <c r="G762" s="811"/>
      <c r="H762" s="811"/>
      <c r="I762" s="811"/>
      <c r="J762" s="811"/>
      <c r="K762" s="811"/>
      <c r="L762" s="811"/>
      <c r="M762" s="811"/>
      <c r="N762" s="811"/>
      <c r="O762" s="811"/>
      <c r="P762" s="811"/>
      <c r="Q762" s="811"/>
      <c r="R762" s="811"/>
      <c r="S762" s="811"/>
      <c r="T762" s="811"/>
      <c r="U762" s="811"/>
      <c r="V762" s="811"/>
      <c r="W762" s="811"/>
      <c r="X762" s="811"/>
      <c r="Y762" s="811"/>
      <c r="Z762" s="811"/>
    </row>
    <row r="763" spans="1:26" ht="15" thickBot="1">
      <c r="A763" s="811"/>
      <c r="B763" s="811"/>
      <c r="C763" s="811"/>
      <c r="D763" s="811"/>
      <c r="E763" s="811"/>
      <c r="F763" s="811"/>
      <c r="G763" s="811"/>
      <c r="H763" s="811"/>
      <c r="I763" s="811"/>
      <c r="J763" s="811"/>
      <c r="K763" s="811"/>
      <c r="L763" s="811"/>
      <c r="M763" s="811"/>
      <c r="N763" s="811"/>
      <c r="O763" s="811"/>
      <c r="P763" s="811"/>
      <c r="Q763" s="811"/>
      <c r="R763" s="811"/>
      <c r="S763" s="811"/>
      <c r="T763" s="811"/>
      <c r="U763" s="811"/>
      <c r="V763" s="811"/>
      <c r="W763" s="811"/>
      <c r="X763" s="811"/>
      <c r="Y763" s="811"/>
      <c r="Z763" s="811"/>
    </row>
    <row r="764" spans="1:26" ht="15" thickBot="1">
      <c r="A764" s="811"/>
      <c r="B764" s="811"/>
      <c r="C764" s="811"/>
      <c r="D764" s="811"/>
      <c r="E764" s="811"/>
      <c r="F764" s="811"/>
      <c r="G764" s="811"/>
      <c r="H764" s="811"/>
      <c r="I764" s="811"/>
      <c r="J764" s="811"/>
      <c r="K764" s="811"/>
      <c r="L764" s="811"/>
      <c r="M764" s="811"/>
      <c r="N764" s="811"/>
      <c r="O764" s="811"/>
      <c r="P764" s="811"/>
      <c r="Q764" s="811"/>
      <c r="R764" s="811"/>
      <c r="S764" s="811"/>
      <c r="T764" s="811"/>
      <c r="U764" s="811"/>
      <c r="V764" s="811"/>
      <c r="W764" s="811"/>
      <c r="X764" s="811"/>
      <c r="Y764" s="811"/>
      <c r="Z764" s="811"/>
    </row>
    <row r="765" spans="1:26" ht="15" thickBot="1">
      <c r="A765" s="811"/>
      <c r="B765" s="811"/>
      <c r="C765" s="811"/>
      <c r="D765" s="811"/>
      <c r="E765" s="811"/>
      <c r="F765" s="811"/>
      <c r="G765" s="811"/>
      <c r="H765" s="811"/>
      <c r="I765" s="811"/>
      <c r="J765" s="811"/>
      <c r="K765" s="811"/>
      <c r="L765" s="811"/>
      <c r="M765" s="811"/>
      <c r="N765" s="811"/>
      <c r="O765" s="811"/>
      <c r="P765" s="811"/>
      <c r="Q765" s="811"/>
      <c r="R765" s="811"/>
      <c r="S765" s="811"/>
      <c r="T765" s="811"/>
      <c r="U765" s="811"/>
      <c r="V765" s="811"/>
      <c r="W765" s="811"/>
      <c r="X765" s="811"/>
      <c r="Y765" s="811"/>
      <c r="Z765" s="811"/>
    </row>
    <row r="766" spans="1:26" ht="15" thickBot="1">
      <c r="A766" s="811"/>
      <c r="B766" s="811"/>
      <c r="C766" s="811"/>
      <c r="D766" s="811"/>
      <c r="E766" s="811"/>
      <c r="F766" s="811"/>
      <c r="G766" s="811"/>
      <c r="H766" s="811"/>
      <c r="I766" s="811"/>
      <c r="J766" s="811"/>
      <c r="K766" s="811"/>
      <c r="L766" s="811"/>
      <c r="M766" s="811"/>
      <c r="N766" s="811"/>
      <c r="O766" s="811"/>
      <c r="P766" s="811"/>
      <c r="Q766" s="811"/>
      <c r="R766" s="811"/>
      <c r="S766" s="811"/>
      <c r="T766" s="811"/>
      <c r="U766" s="811"/>
      <c r="V766" s="811"/>
      <c r="W766" s="811"/>
      <c r="X766" s="811"/>
      <c r="Y766" s="811"/>
      <c r="Z766" s="811"/>
    </row>
    <row r="767" spans="1:26" ht="15" thickBot="1">
      <c r="A767" s="811"/>
      <c r="B767" s="811"/>
      <c r="C767" s="811"/>
      <c r="D767" s="811"/>
      <c r="E767" s="811"/>
      <c r="F767" s="811"/>
      <c r="G767" s="811"/>
      <c r="H767" s="811"/>
      <c r="I767" s="811"/>
      <c r="J767" s="811"/>
      <c r="K767" s="811"/>
      <c r="L767" s="811"/>
      <c r="M767" s="811"/>
      <c r="N767" s="811"/>
      <c r="O767" s="811"/>
      <c r="P767" s="811"/>
      <c r="Q767" s="811"/>
      <c r="R767" s="811"/>
      <c r="S767" s="811"/>
      <c r="T767" s="811"/>
      <c r="U767" s="811"/>
      <c r="V767" s="811"/>
      <c r="W767" s="811"/>
      <c r="X767" s="811"/>
      <c r="Y767" s="811"/>
      <c r="Z767" s="811"/>
    </row>
    <row r="768" spans="1:26" ht="15" thickBot="1">
      <c r="A768" s="811"/>
      <c r="B768" s="811"/>
      <c r="C768" s="811"/>
      <c r="D768" s="811"/>
      <c r="E768" s="811"/>
      <c r="F768" s="811"/>
      <c r="G768" s="811"/>
      <c r="H768" s="811"/>
      <c r="I768" s="811"/>
      <c r="J768" s="811"/>
      <c r="K768" s="811"/>
      <c r="L768" s="811"/>
      <c r="M768" s="811"/>
      <c r="N768" s="811"/>
      <c r="O768" s="811"/>
      <c r="P768" s="811"/>
      <c r="Q768" s="811"/>
      <c r="R768" s="811"/>
      <c r="S768" s="811"/>
      <c r="T768" s="811"/>
      <c r="U768" s="811"/>
      <c r="V768" s="811"/>
      <c r="W768" s="811"/>
      <c r="X768" s="811"/>
      <c r="Y768" s="811"/>
      <c r="Z768" s="811"/>
    </row>
    <row r="769" spans="1:26" ht="15" thickBot="1">
      <c r="A769" s="811"/>
      <c r="B769" s="811"/>
      <c r="C769" s="811"/>
      <c r="D769" s="811"/>
      <c r="E769" s="811"/>
      <c r="F769" s="811"/>
      <c r="G769" s="811"/>
      <c r="H769" s="811"/>
      <c r="I769" s="811"/>
      <c r="J769" s="811"/>
      <c r="K769" s="811"/>
      <c r="L769" s="811"/>
      <c r="M769" s="811"/>
      <c r="N769" s="811"/>
      <c r="O769" s="811"/>
      <c r="P769" s="811"/>
      <c r="Q769" s="811"/>
      <c r="R769" s="811"/>
      <c r="S769" s="811"/>
      <c r="T769" s="811"/>
      <c r="U769" s="811"/>
      <c r="V769" s="811"/>
      <c r="W769" s="811"/>
      <c r="X769" s="811"/>
      <c r="Y769" s="811"/>
      <c r="Z769" s="811"/>
    </row>
    <row r="770" spans="1:26" ht="15" thickBot="1">
      <c r="A770" s="811"/>
      <c r="B770" s="811"/>
      <c r="C770" s="811"/>
      <c r="D770" s="811"/>
      <c r="E770" s="811"/>
      <c r="F770" s="811"/>
      <c r="G770" s="811"/>
      <c r="H770" s="811"/>
      <c r="I770" s="811"/>
      <c r="J770" s="811"/>
      <c r="K770" s="811"/>
      <c r="L770" s="811"/>
      <c r="M770" s="811"/>
      <c r="N770" s="811"/>
      <c r="O770" s="811"/>
      <c r="P770" s="811"/>
      <c r="Q770" s="811"/>
      <c r="R770" s="811"/>
      <c r="S770" s="811"/>
      <c r="T770" s="811"/>
      <c r="U770" s="811"/>
      <c r="V770" s="811"/>
      <c r="W770" s="811"/>
      <c r="X770" s="811"/>
      <c r="Y770" s="811"/>
      <c r="Z770" s="811"/>
    </row>
    <row r="771" spans="1:26" ht="15" thickBot="1">
      <c r="A771" s="811"/>
      <c r="B771" s="811"/>
      <c r="C771" s="811"/>
      <c r="D771" s="811"/>
      <c r="E771" s="811"/>
      <c r="F771" s="811"/>
      <c r="G771" s="811"/>
      <c r="H771" s="811"/>
      <c r="I771" s="811"/>
      <c r="J771" s="811"/>
      <c r="K771" s="811"/>
      <c r="L771" s="811"/>
      <c r="M771" s="811"/>
      <c r="N771" s="811"/>
      <c r="O771" s="811"/>
      <c r="P771" s="811"/>
      <c r="Q771" s="811"/>
      <c r="R771" s="811"/>
      <c r="S771" s="811"/>
      <c r="T771" s="811"/>
      <c r="U771" s="811"/>
      <c r="V771" s="811"/>
      <c r="W771" s="811"/>
      <c r="X771" s="811"/>
      <c r="Y771" s="811"/>
      <c r="Z771" s="811"/>
    </row>
    <row r="772" spans="1:26" ht="15" thickBot="1">
      <c r="A772" s="811"/>
      <c r="B772" s="811"/>
      <c r="C772" s="811"/>
      <c r="D772" s="811"/>
      <c r="E772" s="811"/>
      <c r="F772" s="811"/>
      <c r="G772" s="811"/>
      <c r="H772" s="811"/>
      <c r="I772" s="811"/>
      <c r="J772" s="811"/>
      <c r="K772" s="811"/>
      <c r="L772" s="811"/>
      <c r="M772" s="811"/>
      <c r="N772" s="811"/>
      <c r="O772" s="811"/>
      <c r="P772" s="811"/>
      <c r="Q772" s="811"/>
      <c r="R772" s="811"/>
      <c r="S772" s="811"/>
      <c r="T772" s="811"/>
      <c r="U772" s="811"/>
      <c r="V772" s="811"/>
      <c r="W772" s="811"/>
      <c r="X772" s="811"/>
      <c r="Y772" s="811"/>
      <c r="Z772" s="811"/>
    </row>
    <row r="773" spans="1:26" ht="15" thickBot="1">
      <c r="A773" s="811"/>
      <c r="B773" s="811"/>
      <c r="C773" s="811"/>
      <c r="D773" s="811"/>
      <c r="E773" s="811"/>
      <c r="F773" s="811"/>
      <c r="G773" s="811"/>
      <c r="H773" s="811"/>
      <c r="I773" s="811"/>
      <c r="J773" s="811"/>
      <c r="K773" s="811"/>
      <c r="L773" s="811"/>
      <c r="M773" s="811"/>
      <c r="N773" s="811"/>
      <c r="O773" s="811"/>
      <c r="P773" s="811"/>
      <c r="Q773" s="811"/>
      <c r="R773" s="811"/>
      <c r="S773" s="811"/>
      <c r="T773" s="811"/>
      <c r="U773" s="811"/>
      <c r="V773" s="811"/>
      <c r="W773" s="811"/>
      <c r="X773" s="811"/>
      <c r="Y773" s="811"/>
      <c r="Z773" s="811"/>
    </row>
    <row r="774" spans="1:26" ht="15" thickBot="1">
      <c r="A774" s="811"/>
      <c r="B774" s="811"/>
      <c r="C774" s="811"/>
      <c r="D774" s="811"/>
      <c r="E774" s="811"/>
      <c r="F774" s="811"/>
      <c r="G774" s="811"/>
      <c r="H774" s="811"/>
      <c r="I774" s="811"/>
      <c r="J774" s="811"/>
      <c r="K774" s="811"/>
      <c r="L774" s="811"/>
      <c r="M774" s="811"/>
      <c r="N774" s="811"/>
      <c r="O774" s="811"/>
      <c r="P774" s="811"/>
      <c r="Q774" s="811"/>
      <c r="R774" s="811"/>
      <c r="S774" s="811"/>
      <c r="T774" s="811"/>
      <c r="U774" s="811"/>
      <c r="V774" s="811"/>
      <c r="W774" s="811"/>
      <c r="X774" s="811"/>
      <c r="Y774" s="811"/>
      <c r="Z774" s="811"/>
    </row>
    <row r="775" spans="1:26" ht="15" thickBot="1">
      <c r="A775" s="811"/>
      <c r="B775" s="811"/>
      <c r="C775" s="811"/>
      <c r="D775" s="811"/>
      <c r="E775" s="811"/>
      <c r="F775" s="811"/>
      <c r="G775" s="811"/>
      <c r="H775" s="811"/>
      <c r="I775" s="811"/>
      <c r="J775" s="811"/>
      <c r="K775" s="811"/>
      <c r="L775" s="811"/>
      <c r="M775" s="811"/>
      <c r="N775" s="811"/>
      <c r="O775" s="811"/>
      <c r="P775" s="811"/>
      <c r="Q775" s="811"/>
      <c r="R775" s="811"/>
      <c r="S775" s="811"/>
      <c r="T775" s="811"/>
      <c r="U775" s="811"/>
      <c r="V775" s="811"/>
      <c r="W775" s="811"/>
      <c r="X775" s="811"/>
      <c r="Y775" s="811"/>
      <c r="Z775" s="811"/>
    </row>
    <row r="776" spans="1:26" ht="15" thickBot="1">
      <c r="A776" s="811"/>
      <c r="B776" s="811"/>
      <c r="C776" s="811"/>
      <c r="D776" s="811"/>
      <c r="E776" s="811"/>
      <c r="F776" s="811"/>
      <c r="G776" s="811"/>
      <c r="H776" s="811"/>
      <c r="I776" s="811"/>
      <c r="J776" s="811"/>
      <c r="K776" s="811"/>
      <c r="L776" s="811"/>
      <c r="M776" s="811"/>
      <c r="N776" s="811"/>
      <c r="O776" s="811"/>
      <c r="P776" s="811"/>
      <c r="Q776" s="811"/>
      <c r="R776" s="811"/>
      <c r="S776" s="811"/>
      <c r="T776" s="811"/>
      <c r="U776" s="811"/>
      <c r="V776" s="811"/>
      <c r="W776" s="811"/>
      <c r="X776" s="811"/>
      <c r="Y776" s="811"/>
      <c r="Z776" s="811"/>
    </row>
    <row r="777" spans="1:26" ht="15" thickBot="1">
      <c r="A777" s="811"/>
      <c r="B777" s="811"/>
      <c r="C777" s="811"/>
      <c r="D777" s="811"/>
      <c r="E777" s="811"/>
      <c r="F777" s="811"/>
      <c r="G777" s="811"/>
      <c r="H777" s="811"/>
      <c r="I777" s="811"/>
      <c r="J777" s="811"/>
      <c r="K777" s="811"/>
      <c r="L777" s="811"/>
      <c r="M777" s="811"/>
      <c r="N777" s="811"/>
      <c r="O777" s="811"/>
      <c r="P777" s="811"/>
      <c r="Q777" s="811"/>
      <c r="R777" s="811"/>
      <c r="S777" s="811"/>
      <c r="T777" s="811"/>
      <c r="U777" s="811"/>
      <c r="V777" s="811"/>
      <c r="W777" s="811"/>
      <c r="X777" s="811"/>
      <c r="Y777" s="811"/>
      <c r="Z777" s="811"/>
    </row>
    <row r="778" spans="1:26" ht="15" thickBot="1">
      <c r="A778" s="811"/>
      <c r="B778" s="811"/>
      <c r="C778" s="811"/>
      <c r="D778" s="811"/>
      <c r="E778" s="811"/>
      <c r="F778" s="811"/>
      <c r="G778" s="811"/>
      <c r="H778" s="811"/>
      <c r="I778" s="811"/>
      <c r="J778" s="811"/>
      <c r="K778" s="811"/>
      <c r="L778" s="811"/>
      <c r="M778" s="811"/>
      <c r="N778" s="811"/>
      <c r="O778" s="811"/>
      <c r="P778" s="811"/>
      <c r="Q778" s="811"/>
      <c r="R778" s="811"/>
      <c r="S778" s="811"/>
      <c r="T778" s="811"/>
      <c r="U778" s="811"/>
      <c r="V778" s="811"/>
      <c r="W778" s="811"/>
      <c r="X778" s="811"/>
      <c r="Y778" s="811"/>
      <c r="Z778" s="811"/>
    </row>
    <row r="779" spans="1:26" ht="15" thickBot="1">
      <c r="A779" s="811"/>
      <c r="B779" s="811"/>
      <c r="C779" s="811"/>
      <c r="D779" s="811"/>
      <c r="E779" s="811"/>
      <c r="F779" s="811"/>
      <c r="G779" s="811"/>
      <c r="H779" s="811"/>
      <c r="I779" s="811"/>
      <c r="J779" s="811"/>
      <c r="K779" s="811"/>
      <c r="L779" s="811"/>
      <c r="M779" s="811"/>
      <c r="N779" s="811"/>
      <c r="O779" s="811"/>
      <c r="P779" s="811"/>
      <c r="Q779" s="811"/>
      <c r="R779" s="811"/>
      <c r="S779" s="811"/>
      <c r="T779" s="811"/>
      <c r="U779" s="811"/>
      <c r="V779" s="811"/>
      <c r="W779" s="811"/>
      <c r="X779" s="811"/>
      <c r="Y779" s="811"/>
      <c r="Z779" s="811"/>
    </row>
    <row r="780" spans="1:26" ht="15" thickBot="1">
      <c r="A780" s="811"/>
      <c r="B780" s="811"/>
      <c r="C780" s="811"/>
      <c r="D780" s="811"/>
      <c r="E780" s="811"/>
      <c r="F780" s="811"/>
      <c r="G780" s="811"/>
      <c r="H780" s="811"/>
      <c r="I780" s="811"/>
      <c r="J780" s="811"/>
      <c r="K780" s="811"/>
      <c r="L780" s="811"/>
      <c r="M780" s="811"/>
      <c r="N780" s="811"/>
      <c r="O780" s="811"/>
      <c r="P780" s="811"/>
      <c r="Q780" s="811"/>
      <c r="R780" s="811"/>
      <c r="S780" s="811"/>
      <c r="T780" s="811"/>
      <c r="U780" s="811"/>
      <c r="V780" s="811"/>
      <c r="W780" s="811"/>
      <c r="X780" s="811"/>
      <c r="Y780" s="811"/>
      <c r="Z780" s="811"/>
    </row>
    <row r="781" spans="1:26" ht="15" thickBot="1">
      <c r="A781" s="811"/>
      <c r="B781" s="811"/>
      <c r="C781" s="811"/>
      <c r="D781" s="811"/>
      <c r="E781" s="811"/>
      <c r="F781" s="811"/>
      <c r="G781" s="811"/>
      <c r="H781" s="811"/>
      <c r="I781" s="811"/>
      <c r="J781" s="811"/>
      <c r="K781" s="811"/>
      <c r="L781" s="811"/>
      <c r="M781" s="811"/>
      <c r="N781" s="811"/>
      <c r="O781" s="811"/>
      <c r="P781" s="811"/>
      <c r="Q781" s="811"/>
      <c r="R781" s="811"/>
      <c r="S781" s="811"/>
      <c r="T781" s="811"/>
      <c r="U781" s="811"/>
      <c r="V781" s="811"/>
      <c r="W781" s="811"/>
      <c r="X781" s="811"/>
      <c r="Y781" s="811"/>
      <c r="Z781" s="811"/>
    </row>
    <row r="782" spans="1:26" ht="15" thickBot="1">
      <c r="A782" s="811"/>
      <c r="B782" s="811"/>
      <c r="C782" s="811"/>
      <c r="D782" s="811"/>
      <c r="E782" s="811"/>
      <c r="F782" s="811"/>
      <c r="G782" s="811"/>
      <c r="H782" s="811"/>
      <c r="I782" s="811"/>
      <c r="J782" s="811"/>
      <c r="K782" s="811"/>
      <c r="L782" s="811"/>
      <c r="M782" s="811"/>
      <c r="N782" s="811"/>
      <c r="O782" s="811"/>
      <c r="P782" s="811"/>
      <c r="Q782" s="811"/>
      <c r="R782" s="811"/>
      <c r="S782" s="811"/>
      <c r="T782" s="811"/>
      <c r="U782" s="811"/>
      <c r="V782" s="811"/>
      <c r="W782" s="811"/>
      <c r="X782" s="811"/>
      <c r="Y782" s="811"/>
      <c r="Z782" s="811"/>
    </row>
    <row r="783" spans="1:26" ht="15" thickBot="1">
      <c r="A783" s="811"/>
      <c r="B783" s="811"/>
      <c r="C783" s="811"/>
      <c r="D783" s="811"/>
      <c r="E783" s="811"/>
      <c r="F783" s="811"/>
      <c r="G783" s="811"/>
      <c r="H783" s="811"/>
      <c r="I783" s="811"/>
      <c r="J783" s="811"/>
      <c r="K783" s="811"/>
      <c r="L783" s="811"/>
      <c r="M783" s="811"/>
      <c r="N783" s="811"/>
      <c r="O783" s="811"/>
      <c r="P783" s="811"/>
      <c r="Q783" s="811"/>
      <c r="R783" s="811"/>
      <c r="S783" s="811"/>
      <c r="T783" s="811"/>
      <c r="U783" s="811"/>
      <c r="V783" s="811"/>
      <c r="W783" s="811"/>
      <c r="X783" s="811"/>
      <c r="Y783" s="811"/>
      <c r="Z783" s="811"/>
    </row>
    <row r="784" spans="1:26" ht="15" thickBot="1">
      <c r="A784" s="811"/>
      <c r="B784" s="811"/>
      <c r="C784" s="811"/>
      <c r="D784" s="811"/>
      <c r="E784" s="811"/>
      <c r="F784" s="811"/>
      <c r="G784" s="811"/>
      <c r="H784" s="811"/>
      <c r="I784" s="811"/>
      <c r="J784" s="811"/>
      <c r="K784" s="811"/>
      <c r="L784" s="811"/>
      <c r="M784" s="811"/>
      <c r="N784" s="811"/>
      <c r="O784" s="811"/>
      <c r="P784" s="811"/>
      <c r="Q784" s="811"/>
      <c r="R784" s="811"/>
      <c r="S784" s="811"/>
      <c r="T784" s="811"/>
      <c r="U784" s="811"/>
      <c r="V784" s="811"/>
      <c r="W784" s="811"/>
      <c r="X784" s="811"/>
      <c r="Y784" s="811"/>
      <c r="Z784" s="811"/>
    </row>
    <row r="785" spans="1:26" ht="15" thickBot="1">
      <c r="A785" s="811"/>
      <c r="B785" s="811"/>
      <c r="C785" s="811"/>
      <c r="D785" s="811"/>
      <c r="E785" s="811"/>
      <c r="F785" s="811"/>
      <c r="G785" s="811"/>
      <c r="H785" s="811"/>
      <c r="I785" s="811"/>
      <c r="J785" s="811"/>
      <c r="K785" s="811"/>
      <c r="L785" s="811"/>
      <c r="M785" s="811"/>
      <c r="N785" s="811"/>
      <c r="O785" s="811"/>
      <c r="P785" s="811"/>
      <c r="Q785" s="811"/>
      <c r="R785" s="811"/>
      <c r="S785" s="811"/>
      <c r="T785" s="811"/>
      <c r="U785" s="811"/>
      <c r="V785" s="811"/>
      <c r="W785" s="811"/>
      <c r="X785" s="811"/>
      <c r="Y785" s="811"/>
      <c r="Z785" s="811"/>
    </row>
    <row r="786" spans="1:26" ht="15" thickBot="1">
      <c r="A786" s="811"/>
      <c r="B786" s="811"/>
      <c r="C786" s="811"/>
      <c r="D786" s="811"/>
      <c r="E786" s="811"/>
      <c r="F786" s="811"/>
      <c r="G786" s="811"/>
      <c r="H786" s="811"/>
      <c r="I786" s="811"/>
      <c r="J786" s="811"/>
      <c r="K786" s="811"/>
      <c r="L786" s="811"/>
      <c r="M786" s="811"/>
      <c r="N786" s="811"/>
      <c r="O786" s="811"/>
      <c r="P786" s="811"/>
      <c r="Q786" s="811"/>
      <c r="R786" s="811"/>
      <c r="S786" s="811"/>
      <c r="T786" s="811"/>
      <c r="U786" s="811"/>
      <c r="V786" s="811"/>
      <c r="W786" s="811"/>
      <c r="X786" s="811"/>
      <c r="Y786" s="811"/>
      <c r="Z786" s="811"/>
    </row>
    <row r="787" spans="1:26" ht="15" thickBot="1">
      <c r="A787" s="811"/>
      <c r="B787" s="811"/>
      <c r="C787" s="811"/>
      <c r="D787" s="811"/>
      <c r="E787" s="811"/>
      <c r="F787" s="811"/>
      <c r="G787" s="811"/>
      <c r="H787" s="811"/>
      <c r="I787" s="811"/>
      <c r="J787" s="811"/>
      <c r="K787" s="811"/>
      <c r="L787" s="811"/>
      <c r="M787" s="811"/>
      <c r="N787" s="811"/>
      <c r="O787" s="811"/>
      <c r="P787" s="811"/>
      <c r="Q787" s="811"/>
      <c r="R787" s="811"/>
      <c r="S787" s="811"/>
      <c r="T787" s="811"/>
      <c r="U787" s="811"/>
      <c r="V787" s="811"/>
      <c r="W787" s="811"/>
      <c r="X787" s="811"/>
      <c r="Y787" s="811"/>
      <c r="Z787" s="811"/>
    </row>
    <row r="788" spans="1:26" ht="15" thickBot="1">
      <c r="A788" s="811"/>
      <c r="B788" s="811"/>
      <c r="C788" s="811"/>
      <c r="D788" s="811"/>
      <c r="E788" s="811"/>
      <c r="F788" s="811"/>
      <c r="G788" s="811"/>
      <c r="H788" s="811"/>
      <c r="I788" s="811"/>
      <c r="J788" s="811"/>
      <c r="K788" s="811"/>
      <c r="L788" s="811"/>
      <c r="M788" s="811"/>
      <c r="N788" s="811"/>
      <c r="O788" s="811"/>
      <c r="P788" s="811"/>
      <c r="Q788" s="811"/>
      <c r="R788" s="811"/>
      <c r="S788" s="811"/>
      <c r="T788" s="811"/>
      <c r="U788" s="811"/>
      <c r="V788" s="811"/>
      <c r="W788" s="811"/>
      <c r="X788" s="811"/>
      <c r="Y788" s="811"/>
      <c r="Z788" s="811"/>
    </row>
    <row r="789" spans="1:26" ht="15" thickBot="1">
      <c r="A789" s="811"/>
      <c r="B789" s="811"/>
      <c r="C789" s="811"/>
      <c r="D789" s="811"/>
      <c r="E789" s="811"/>
      <c r="F789" s="811"/>
      <c r="G789" s="811"/>
      <c r="H789" s="811"/>
      <c r="I789" s="811"/>
      <c r="J789" s="811"/>
      <c r="K789" s="811"/>
      <c r="L789" s="811"/>
      <c r="M789" s="811"/>
      <c r="N789" s="811"/>
      <c r="O789" s="811"/>
      <c r="P789" s="811"/>
      <c r="Q789" s="811"/>
      <c r="R789" s="811"/>
      <c r="S789" s="811"/>
      <c r="T789" s="811"/>
      <c r="U789" s="811"/>
      <c r="V789" s="811"/>
      <c r="W789" s="811"/>
      <c r="X789" s="811"/>
      <c r="Y789" s="811"/>
      <c r="Z789" s="811"/>
    </row>
    <row r="790" spans="1:26" ht="15" thickBot="1">
      <c r="A790" s="811"/>
      <c r="B790" s="811"/>
      <c r="C790" s="811"/>
      <c r="D790" s="811"/>
      <c r="E790" s="811"/>
      <c r="F790" s="811"/>
      <c r="G790" s="811"/>
      <c r="H790" s="811"/>
      <c r="I790" s="811"/>
      <c r="J790" s="811"/>
      <c r="K790" s="811"/>
      <c r="L790" s="811"/>
      <c r="M790" s="811"/>
      <c r="N790" s="811"/>
      <c r="O790" s="811"/>
      <c r="P790" s="811"/>
      <c r="Q790" s="811"/>
      <c r="R790" s="811"/>
      <c r="S790" s="811"/>
      <c r="T790" s="811"/>
      <c r="U790" s="811"/>
      <c r="V790" s="811"/>
      <c r="W790" s="811"/>
      <c r="X790" s="811"/>
      <c r="Y790" s="811"/>
      <c r="Z790" s="811"/>
    </row>
    <row r="791" spans="1:26" ht="15" thickBot="1">
      <c r="A791" s="811"/>
      <c r="B791" s="811"/>
      <c r="C791" s="811"/>
      <c r="D791" s="811"/>
      <c r="E791" s="811"/>
      <c r="F791" s="811"/>
      <c r="G791" s="811"/>
      <c r="H791" s="811"/>
      <c r="I791" s="811"/>
      <c r="J791" s="811"/>
      <c r="K791" s="811"/>
      <c r="L791" s="811"/>
      <c r="M791" s="811"/>
      <c r="N791" s="811"/>
      <c r="O791" s="811"/>
      <c r="P791" s="811"/>
      <c r="Q791" s="811"/>
      <c r="R791" s="811"/>
      <c r="S791" s="811"/>
      <c r="T791" s="811"/>
      <c r="U791" s="811"/>
      <c r="V791" s="811"/>
      <c r="W791" s="811"/>
      <c r="X791" s="811"/>
      <c r="Y791" s="811"/>
      <c r="Z791" s="811"/>
    </row>
    <row r="792" spans="1:26" ht="15" thickBot="1">
      <c r="A792" s="811"/>
      <c r="B792" s="811"/>
      <c r="C792" s="811"/>
      <c r="D792" s="811"/>
      <c r="E792" s="811"/>
      <c r="F792" s="811"/>
      <c r="G792" s="811"/>
      <c r="H792" s="811"/>
      <c r="I792" s="811"/>
      <c r="J792" s="811"/>
      <c r="K792" s="811"/>
      <c r="L792" s="811"/>
      <c r="M792" s="811"/>
      <c r="N792" s="811"/>
      <c r="O792" s="811"/>
      <c r="P792" s="811"/>
      <c r="Q792" s="811"/>
      <c r="R792" s="811"/>
      <c r="S792" s="811"/>
      <c r="T792" s="811"/>
      <c r="U792" s="811"/>
      <c r="V792" s="811"/>
      <c r="W792" s="811"/>
      <c r="X792" s="811"/>
      <c r="Y792" s="811"/>
      <c r="Z792" s="811"/>
    </row>
    <row r="793" spans="1:26" ht="15" thickBot="1">
      <c r="A793" s="811"/>
      <c r="B793" s="811"/>
      <c r="C793" s="811"/>
      <c r="D793" s="811"/>
      <c r="E793" s="811"/>
      <c r="F793" s="811"/>
      <c r="G793" s="811"/>
      <c r="H793" s="811"/>
      <c r="I793" s="811"/>
      <c r="J793" s="811"/>
      <c r="K793" s="811"/>
      <c r="L793" s="811"/>
      <c r="M793" s="811"/>
      <c r="N793" s="811"/>
      <c r="O793" s="811"/>
      <c r="P793" s="811"/>
      <c r="Q793" s="811"/>
      <c r="R793" s="811"/>
      <c r="S793" s="811"/>
      <c r="T793" s="811"/>
      <c r="U793" s="811"/>
      <c r="V793" s="811"/>
      <c r="W793" s="811"/>
      <c r="X793" s="811"/>
      <c r="Y793" s="811"/>
      <c r="Z793" s="811"/>
    </row>
    <row r="794" spans="1:26" ht="15" thickBot="1">
      <c r="A794" s="811"/>
      <c r="B794" s="811"/>
      <c r="C794" s="811"/>
      <c r="D794" s="811"/>
      <c r="E794" s="811"/>
      <c r="F794" s="811"/>
      <c r="G794" s="811"/>
      <c r="H794" s="811"/>
      <c r="I794" s="811"/>
      <c r="J794" s="811"/>
      <c r="K794" s="811"/>
      <c r="L794" s="811"/>
      <c r="M794" s="811"/>
      <c r="N794" s="811"/>
      <c r="O794" s="811"/>
      <c r="P794" s="811"/>
      <c r="Q794" s="811"/>
      <c r="R794" s="811"/>
      <c r="S794" s="811"/>
      <c r="T794" s="811"/>
      <c r="U794" s="811"/>
      <c r="V794" s="811"/>
      <c r="W794" s="811"/>
      <c r="X794" s="811"/>
      <c r="Y794" s="811"/>
      <c r="Z794" s="811"/>
    </row>
    <row r="795" spans="1:26" ht="15" thickBot="1">
      <c r="A795" s="811"/>
      <c r="B795" s="811"/>
      <c r="C795" s="811"/>
      <c r="D795" s="811"/>
      <c r="E795" s="811"/>
      <c r="F795" s="811"/>
      <c r="G795" s="811"/>
      <c r="H795" s="811"/>
      <c r="I795" s="811"/>
      <c r="J795" s="811"/>
      <c r="K795" s="811"/>
      <c r="L795" s="811"/>
      <c r="M795" s="811"/>
      <c r="N795" s="811"/>
      <c r="O795" s="811"/>
      <c r="P795" s="811"/>
      <c r="Q795" s="811"/>
      <c r="R795" s="811"/>
      <c r="S795" s="811"/>
      <c r="T795" s="811"/>
      <c r="U795" s="811"/>
      <c r="V795" s="811"/>
      <c r="W795" s="811"/>
      <c r="X795" s="811"/>
      <c r="Y795" s="811"/>
      <c r="Z795" s="811"/>
    </row>
    <row r="796" spans="1:26" ht="15" thickBot="1">
      <c r="A796" s="811"/>
      <c r="B796" s="811"/>
      <c r="C796" s="811"/>
      <c r="D796" s="811"/>
      <c r="E796" s="811"/>
      <c r="F796" s="811"/>
      <c r="G796" s="811"/>
      <c r="H796" s="811"/>
      <c r="I796" s="811"/>
      <c r="J796" s="811"/>
      <c r="K796" s="811"/>
      <c r="L796" s="811"/>
      <c r="M796" s="811"/>
      <c r="N796" s="811"/>
      <c r="O796" s="811"/>
      <c r="P796" s="811"/>
      <c r="Q796" s="811"/>
      <c r="R796" s="811"/>
      <c r="S796" s="811"/>
      <c r="T796" s="811"/>
      <c r="U796" s="811"/>
      <c r="V796" s="811"/>
      <c r="W796" s="811"/>
      <c r="X796" s="811"/>
      <c r="Y796" s="811"/>
      <c r="Z796" s="811"/>
    </row>
    <row r="797" spans="1:26" ht="15" thickBot="1">
      <c r="A797" s="811"/>
      <c r="B797" s="811"/>
      <c r="C797" s="811"/>
      <c r="D797" s="811"/>
      <c r="E797" s="811"/>
      <c r="F797" s="811"/>
      <c r="G797" s="811"/>
      <c r="H797" s="811"/>
      <c r="I797" s="811"/>
      <c r="J797" s="811"/>
      <c r="K797" s="811"/>
      <c r="L797" s="811"/>
      <c r="M797" s="811"/>
      <c r="N797" s="811"/>
      <c r="O797" s="811"/>
      <c r="P797" s="811"/>
      <c r="Q797" s="811"/>
      <c r="R797" s="811"/>
      <c r="S797" s="811"/>
      <c r="T797" s="811"/>
      <c r="U797" s="811"/>
      <c r="V797" s="811"/>
      <c r="W797" s="811"/>
      <c r="X797" s="811"/>
      <c r="Y797" s="811"/>
      <c r="Z797" s="811"/>
    </row>
    <row r="798" spans="1:26" ht="15" thickBot="1">
      <c r="A798" s="811"/>
      <c r="B798" s="811"/>
      <c r="C798" s="811"/>
      <c r="D798" s="811"/>
      <c r="E798" s="811"/>
      <c r="F798" s="811"/>
      <c r="G798" s="811"/>
      <c r="H798" s="811"/>
      <c r="I798" s="811"/>
      <c r="J798" s="811"/>
      <c r="K798" s="811"/>
      <c r="L798" s="811"/>
      <c r="M798" s="811"/>
      <c r="N798" s="811"/>
      <c r="O798" s="811"/>
      <c r="P798" s="811"/>
      <c r="Q798" s="811"/>
      <c r="R798" s="811"/>
      <c r="S798" s="811"/>
      <c r="T798" s="811"/>
      <c r="U798" s="811"/>
      <c r="V798" s="811"/>
      <c r="W798" s="811"/>
      <c r="X798" s="811"/>
      <c r="Y798" s="811"/>
      <c r="Z798" s="811"/>
    </row>
    <row r="799" spans="1:26" ht="15" thickBot="1">
      <c r="A799" s="811"/>
      <c r="B799" s="811"/>
      <c r="C799" s="811"/>
      <c r="D799" s="811"/>
      <c r="E799" s="811"/>
      <c r="F799" s="811"/>
      <c r="G799" s="811"/>
      <c r="H799" s="811"/>
      <c r="I799" s="811"/>
      <c r="J799" s="811"/>
      <c r="K799" s="811"/>
      <c r="L799" s="811"/>
      <c r="M799" s="811"/>
      <c r="N799" s="811"/>
      <c r="O799" s="811"/>
      <c r="P799" s="811"/>
      <c r="Q799" s="811"/>
      <c r="R799" s="811"/>
      <c r="S799" s="811"/>
      <c r="T799" s="811"/>
      <c r="U799" s="811"/>
      <c r="V799" s="811"/>
      <c r="W799" s="811"/>
      <c r="X799" s="811"/>
      <c r="Y799" s="811"/>
      <c r="Z799" s="811"/>
    </row>
    <row r="800" spans="1:26" ht="15" thickBot="1">
      <c r="A800" s="811"/>
      <c r="B800" s="811"/>
      <c r="C800" s="811"/>
      <c r="D800" s="811"/>
      <c r="E800" s="811"/>
      <c r="F800" s="811"/>
      <c r="G800" s="811"/>
      <c r="H800" s="811"/>
      <c r="I800" s="811"/>
      <c r="J800" s="811"/>
      <c r="K800" s="811"/>
      <c r="L800" s="811"/>
      <c r="M800" s="811"/>
      <c r="N800" s="811"/>
      <c r="O800" s="811"/>
      <c r="P800" s="811"/>
      <c r="Q800" s="811"/>
      <c r="R800" s="811"/>
      <c r="S800" s="811"/>
      <c r="T800" s="811"/>
      <c r="U800" s="811"/>
      <c r="V800" s="811"/>
      <c r="W800" s="811"/>
      <c r="X800" s="811"/>
      <c r="Y800" s="811"/>
      <c r="Z800" s="811"/>
    </row>
    <row r="801" spans="1:26" ht="15" thickBot="1">
      <c r="A801" s="811"/>
      <c r="B801" s="811"/>
      <c r="C801" s="811"/>
      <c r="D801" s="811"/>
      <c r="E801" s="811"/>
      <c r="F801" s="811"/>
      <c r="G801" s="811"/>
      <c r="H801" s="811"/>
      <c r="I801" s="811"/>
      <c r="J801" s="811"/>
      <c r="K801" s="811"/>
      <c r="L801" s="811"/>
      <c r="M801" s="811"/>
      <c r="N801" s="811"/>
      <c r="O801" s="811"/>
      <c r="P801" s="811"/>
      <c r="Q801" s="811"/>
      <c r="R801" s="811"/>
      <c r="S801" s="811"/>
      <c r="T801" s="811"/>
      <c r="U801" s="811"/>
      <c r="V801" s="811"/>
      <c r="W801" s="811"/>
      <c r="X801" s="811"/>
      <c r="Y801" s="811"/>
      <c r="Z801" s="811"/>
    </row>
    <row r="802" spans="1:26" ht="15" thickBot="1">
      <c r="A802" s="811"/>
      <c r="B802" s="811"/>
      <c r="C802" s="811"/>
      <c r="D802" s="811"/>
      <c r="E802" s="811"/>
      <c r="F802" s="811"/>
      <c r="G802" s="811"/>
      <c r="H802" s="811"/>
      <c r="I802" s="811"/>
      <c r="J802" s="811"/>
      <c r="K802" s="811"/>
      <c r="L802" s="811"/>
      <c r="M802" s="811"/>
      <c r="N802" s="811"/>
      <c r="O802" s="811"/>
      <c r="P802" s="811"/>
      <c r="Q802" s="811"/>
      <c r="R802" s="811"/>
      <c r="S802" s="811"/>
      <c r="T802" s="811"/>
      <c r="U802" s="811"/>
      <c r="V802" s="811"/>
      <c r="W802" s="811"/>
      <c r="X802" s="811"/>
      <c r="Y802" s="811"/>
      <c r="Z802" s="811"/>
    </row>
    <row r="803" spans="1:26" ht="15" thickBot="1">
      <c r="A803" s="811"/>
      <c r="B803" s="811"/>
      <c r="C803" s="811"/>
      <c r="D803" s="811"/>
      <c r="E803" s="811"/>
      <c r="F803" s="811"/>
      <c r="G803" s="811"/>
      <c r="H803" s="811"/>
      <c r="I803" s="811"/>
      <c r="J803" s="811"/>
      <c r="K803" s="811"/>
      <c r="L803" s="811"/>
      <c r="M803" s="811"/>
      <c r="N803" s="811"/>
      <c r="O803" s="811"/>
      <c r="P803" s="811"/>
      <c r="Q803" s="811"/>
      <c r="R803" s="811"/>
      <c r="S803" s="811"/>
      <c r="T803" s="811"/>
      <c r="U803" s="811"/>
      <c r="V803" s="811"/>
      <c r="W803" s="811"/>
      <c r="X803" s="811"/>
      <c r="Y803" s="811"/>
      <c r="Z803" s="811"/>
    </row>
    <row r="804" spans="1:26" ht="15" thickBot="1">
      <c r="A804" s="811"/>
      <c r="B804" s="811"/>
      <c r="C804" s="811"/>
      <c r="D804" s="811"/>
      <c r="E804" s="811"/>
      <c r="F804" s="811"/>
      <c r="G804" s="811"/>
      <c r="H804" s="811"/>
      <c r="I804" s="811"/>
      <c r="J804" s="811"/>
      <c r="K804" s="811"/>
      <c r="L804" s="811"/>
      <c r="M804" s="811"/>
      <c r="N804" s="811"/>
      <c r="O804" s="811"/>
      <c r="P804" s="811"/>
      <c r="Q804" s="811"/>
      <c r="R804" s="811"/>
      <c r="S804" s="811"/>
      <c r="T804" s="811"/>
      <c r="U804" s="811"/>
      <c r="V804" s="811"/>
      <c r="W804" s="811"/>
      <c r="X804" s="811"/>
      <c r="Y804" s="811"/>
      <c r="Z804" s="811"/>
    </row>
    <row r="805" spans="1:26" ht="15" thickBot="1">
      <c r="A805" s="811"/>
      <c r="B805" s="811"/>
      <c r="C805" s="811"/>
      <c r="D805" s="811"/>
      <c r="E805" s="811"/>
      <c r="F805" s="811"/>
      <c r="G805" s="811"/>
      <c r="H805" s="811"/>
      <c r="I805" s="811"/>
      <c r="J805" s="811"/>
      <c r="K805" s="811"/>
      <c r="L805" s="811"/>
      <c r="M805" s="811"/>
      <c r="N805" s="811"/>
      <c r="O805" s="811"/>
      <c r="P805" s="811"/>
      <c r="Q805" s="811"/>
      <c r="R805" s="811"/>
      <c r="S805" s="811"/>
      <c r="T805" s="811"/>
      <c r="U805" s="811"/>
      <c r="V805" s="811"/>
      <c r="W805" s="811"/>
      <c r="X805" s="811"/>
      <c r="Y805" s="811"/>
      <c r="Z805" s="811"/>
    </row>
    <row r="806" spans="1:26" ht="15" thickBot="1">
      <c r="A806" s="811"/>
      <c r="B806" s="811"/>
      <c r="C806" s="811"/>
      <c r="D806" s="811"/>
      <c r="E806" s="811"/>
      <c r="F806" s="811"/>
      <c r="G806" s="811"/>
      <c r="H806" s="811"/>
      <c r="I806" s="811"/>
      <c r="J806" s="811"/>
      <c r="K806" s="811"/>
      <c r="L806" s="811"/>
      <c r="M806" s="811"/>
      <c r="N806" s="811"/>
      <c r="O806" s="811"/>
      <c r="P806" s="811"/>
      <c r="Q806" s="811"/>
      <c r="R806" s="811"/>
      <c r="S806" s="811"/>
      <c r="T806" s="811"/>
      <c r="U806" s="811"/>
      <c r="V806" s="811"/>
      <c r="W806" s="811"/>
      <c r="X806" s="811"/>
      <c r="Y806" s="811"/>
      <c r="Z806" s="811"/>
    </row>
    <row r="807" spans="1:26" ht="15" thickBot="1">
      <c r="A807" s="811"/>
      <c r="B807" s="811"/>
      <c r="C807" s="811"/>
      <c r="D807" s="811"/>
      <c r="E807" s="811"/>
      <c r="F807" s="811"/>
      <c r="G807" s="811"/>
      <c r="H807" s="811"/>
      <c r="I807" s="811"/>
      <c r="J807" s="811"/>
      <c r="K807" s="811"/>
      <c r="L807" s="811"/>
      <c r="M807" s="811"/>
      <c r="N807" s="811"/>
      <c r="O807" s="811"/>
      <c r="P807" s="811"/>
      <c r="Q807" s="811"/>
      <c r="R807" s="811"/>
      <c r="S807" s="811"/>
      <c r="T807" s="811"/>
      <c r="U807" s="811"/>
      <c r="V807" s="811"/>
      <c r="W807" s="811"/>
      <c r="X807" s="811"/>
      <c r="Y807" s="811"/>
      <c r="Z807" s="811"/>
    </row>
    <row r="808" spans="1:26" ht="15" thickBot="1">
      <c r="A808" s="811"/>
      <c r="B808" s="811"/>
      <c r="C808" s="811"/>
      <c r="D808" s="811"/>
      <c r="E808" s="811"/>
      <c r="F808" s="811"/>
      <c r="G808" s="811"/>
      <c r="H808" s="811"/>
      <c r="I808" s="811"/>
      <c r="J808" s="811"/>
      <c r="K808" s="811"/>
      <c r="L808" s="811"/>
      <c r="M808" s="811"/>
      <c r="N808" s="811"/>
      <c r="O808" s="811"/>
      <c r="P808" s="811"/>
      <c r="Q808" s="811"/>
      <c r="R808" s="811"/>
      <c r="S808" s="811"/>
      <c r="T808" s="811"/>
      <c r="U808" s="811"/>
      <c r="V808" s="811"/>
      <c r="W808" s="811"/>
      <c r="X808" s="811"/>
      <c r="Y808" s="811"/>
      <c r="Z808" s="811"/>
    </row>
    <row r="809" spans="1:26" ht="15" thickBot="1">
      <c r="A809" s="811"/>
      <c r="B809" s="811"/>
      <c r="C809" s="811"/>
      <c r="D809" s="811"/>
      <c r="E809" s="811"/>
      <c r="F809" s="811"/>
      <c r="G809" s="811"/>
      <c r="H809" s="811"/>
      <c r="I809" s="811"/>
      <c r="J809" s="811"/>
      <c r="K809" s="811"/>
      <c r="L809" s="811"/>
      <c r="M809" s="811"/>
      <c r="N809" s="811"/>
      <c r="O809" s="811"/>
      <c r="P809" s="811"/>
      <c r="Q809" s="811"/>
      <c r="R809" s="811"/>
      <c r="S809" s="811"/>
      <c r="T809" s="811"/>
      <c r="U809" s="811"/>
      <c r="V809" s="811"/>
      <c r="W809" s="811"/>
      <c r="X809" s="811"/>
      <c r="Y809" s="811"/>
      <c r="Z809" s="811"/>
    </row>
    <row r="810" spans="1:26" ht="15" thickBot="1">
      <c r="A810" s="811"/>
      <c r="B810" s="811"/>
      <c r="C810" s="811"/>
      <c r="D810" s="811"/>
      <c r="E810" s="811"/>
      <c r="F810" s="811"/>
      <c r="G810" s="811"/>
      <c r="H810" s="811"/>
      <c r="I810" s="811"/>
      <c r="J810" s="811"/>
      <c r="K810" s="811"/>
      <c r="L810" s="811"/>
      <c r="M810" s="811"/>
      <c r="N810" s="811"/>
      <c r="O810" s="811"/>
      <c r="P810" s="811"/>
      <c r="Q810" s="811"/>
      <c r="R810" s="811"/>
      <c r="S810" s="811"/>
      <c r="T810" s="811"/>
      <c r="U810" s="811"/>
      <c r="V810" s="811"/>
      <c r="W810" s="811"/>
      <c r="X810" s="811"/>
      <c r="Y810" s="811"/>
      <c r="Z810" s="811"/>
    </row>
    <row r="811" spans="1:26" ht="15" thickBot="1">
      <c r="A811" s="811"/>
      <c r="B811" s="811"/>
      <c r="C811" s="811"/>
      <c r="D811" s="811"/>
      <c r="E811" s="811"/>
      <c r="F811" s="811"/>
      <c r="G811" s="811"/>
      <c r="H811" s="811"/>
      <c r="I811" s="811"/>
      <c r="J811" s="811"/>
      <c r="K811" s="811"/>
      <c r="L811" s="811"/>
      <c r="M811" s="811"/>
      <c r="N811" s="811"/>
      <c r="O811" s="811"/>
      <c r="P811" s="811"/>
      <c r="Q811" s="811"/>
      <c r="R811" s="811"/>
      <c r="S811" s="811"/>
      <c r="T811" s="811"/>
      <c r="U811" s="811"/>
      <c r="V811" s="811"/>
      <c r="W811" s="811"/>
      <c r="X811" s="811"/>
      <c r="Y811" s="811"/>
      <c r="Z811" s="811"/>
    </row>
    <row r="812" spans="1:26" ht="15" thickBot="1">
      <c r="A812" s="811"/>
      <c r="B812" s="811"/>
      <c r="C812" s="811"/>
      <c r="D812" s="811"/>
      <c r="E812" s="811"/>
      <c r="F812" s="811"/>
      <c r="G812" s="811"/>
      <c r="H812" s="811"/>
      <c r="I812" s="811"/>
      <c r="J812" s="811"/>
      <c r="K812" s="811"/>
      <c r="L812" s="811"/>
      <c r="M812" s="811"/>
      <c r="N812" s="811"/>
      <c r="O812" s="811"/>
      <c r="P812" s="811"/>
      <c r="Q812" s="811"/>
      <c r="R812" s="811"/>
      <c r="S812" s="811"/>
      <c r="T812" s="811"/>
      <c r="U812" s="811"/>
      <c r="V812" s="811"/>
      <c r="W812" s="811"/>
      <c r="X812" s="811"/>
      <c r="Y812" s="811"/>
      <c r="Z812" s="811"/>
    </row>
    <row r="813" spans="1:26" ht="15" thickBot="1">
      <c r="A813" s="811"/>
      <c r="B813" s="811"/>
      <c r="C813" s="811"/>
      <c r="D813" s="811"/>
      <c r="E813" s="811"/>
      <c r="F813" s="811"/>
      <c r="G813" s="811"/>
      <c r="H813" s="811"/>
      <c r="I813" s="811"/>
      <c r="J813" s="811"/>
      <c r="K813" s="811"/>
      <c r="L813" s="811"/>
      <c r="M813" s="811"/>
      <c r="N813" s="811"/>
      <c r="O813" s="811"/>
      <c r="P813" s="811"/>
      <c r="Q813" s="811"/>
      <c r="R813" s="811"/>
      <c r="S813" s="811"/>
      <c r="T813" s="811"/>
      <c r="U813" s="811"/>
      <c r="V813" s="811"/>
      <c r="W813" s="811"/>
      <c r="X813" s="811"/>
      <c r="Y813" s="811"/>
      <c r="Z813" s="811"/>
    </row>
    <row r="814" spans="1:26" ht="15" thickBot="1">
      <c r="A814" s="811"/>
      <c r="B814" s="811"/>
      <c r="C814" s="811"/>
      <c r="D814" s="811"/>
      <c r="E814" s="811"/>
      <c r="F814" s="811"/>
      <c r="G814" s="811"/>
      <c r="H814" s="811"/>
      <c r="I814" s="811"/>
      <c r="J814" s="811"/>
      <c r="K814" s="811"/>
      <c r="L814" s="811"/>
      <c r="M814" s="811"/>
      <c r="N814" s="811"/>
      <c r="O814" s="811"/>
      <c r="P814" s="811"/>
      <c r="Q814" s="811"/>
      <c r="R814" s="811"/>
      <c r="S814" s="811"/>
      <c r="T814" s="811"/>
      <c r="U814" s="811"/>
      <c r="V814" s="811"/>
      <c r="W814" s="811"/>
      <c r="X814" s="811"/>
      <c r="Y814" s="811"/>
      <c r="Z814" s="811"/>
    </row>
    <row r="815" spans="1:26" ht="15" thickBot="1">
      <c r="A815" s="811"/>
      <c r="B815" s="811"/>
      <c r="C815" s="811"/>
      <c r="D815" s="811"/>
      <c r="E815" s="811"/>
      <c r="F815" s="811"/>
      <c r="G815" s="811"/>
      <c r="H815" s="811"/>
      <c r="I815" s="811"/>
      <c r="J815" s="811"/>
      <c r="K815" s="811"/>
      <c r="L815" s="811"/>
      <c r="M815" s="811"/>
      <c r="N815" s="811"/>
      <c r="O815" s="811"/>
      <c r="P815" s="811"/>
      <c r="Q815" s="811"/>
      <c r="R815" s="811"/>
      <c r="S815" s="811"/>
      <c r="T815" s="811"/>
      <c r="U815" s="811"/>
      <c r="V815" s="811"/>
      <c r="W815" s="811"/>
      <c r="X815" s="811"/>
      <c r="Y815" s="811"/>
      <c r="Z815" s="811"/>
    </row>
    <row r="816" spans="1:26" ht="15" thickBot="1">
      <c r="A816" s="811"/>
      <c r="B816" s="811"/>
      <c r="C816" s="811"/>
      <c r="D816" s="811"/>
      <c r="E816" s="811"/>
      <c r="F816" s="811"/>
      <c r="G816" s="811"/>
      <c r="H816" s="811"/>
      <c r="I816" s="811"/>
      <c r="J816" s="811"/>
      <c r="K816" s="811"/>
      <c r="L816" s="811"/>
      <c r="M816" s="811"/>
      <c r="N816" s="811"/>
      <c r="O816" s="811"/>
      <c r="P816" s="811"/>
      <c r="Q816" s="811"/>
      <c r="R816" s="811"/>
      <c r="S816" s="811"/>
      <c r="T816" s="811"/>
      <c r="U816" s="811"/>
      <c r="V816" s="811"/>
      <c r="W816" s="811"/>
      <c r="X816" s="811"/>
      <c r="Y816" s="811"/>
      <c r="Z816" s="811"/>
    </row>
    <row r="817" spans="1:26" ht="15" thickBot="1">
      <c r="A817" s="811"/>
      <c r="B817" s="811"/>
      <c r="C817" s="811"/>
      <c r="D817" s="811"/>
      <c r="E817" s="811"/>
      <c r="F817" s="811"/>
      <c r="G817" s="811"/>
      <c r="H817" s="811"/>
      <c r="I817" s="811"/>
      <c r="J817" s="811"/>
      <c r="K817" s="811"/>
      <c r="L817" s="811"/>
      <c r="M817" s="811"/>
      <c r="N817" s="811"/>
      <c r="O817" s="811"/>
      <c r="P817" s="811"/>
      <c r="Q817" s="811"/>
      <c r="R817" s="811"/>
      <c r="S817" s="811"/>
      <c r="T817" s="811"/>
      <c r="U817" s="811"/>
      <c r="V817" s="811"/>
      <c r="W817" s="811"/>
      <c r="X817" s="811"/>
      <c r="Y817" s="811"/>
      <c r="Z817" s="811"/>
    </row>
    <row r="818" spans="1:26" ht="15" thickBot="1">
      <c r="A818" s="811"/>
      <c r="B818" s="811"/>
      <c r="C818" s="811"/>
      <c r="D818" s="811"/>
      <c r="E818" s="811"/>
      <c r="F818" s="811"/>
      <c r="G818" s="811"/>
      <c r="H818" s="811"/>
      <c r="I818" s="811"/>
      <c r="J818" s="811"/>
      <c r="K818" s="811"/>
      <c r="L818" s="811"/>
      <c r="M818" s="811"/>
      <c r="N818" s="811"/>
      <c r="O818" s="811"/>
      <c r="P818" s="811"/>
      <c r="Q818" s="811"/>
      <c r="R818" s="811"/>
      <c r="S818" s="811"/>
      <c r="T818" s="811"/>
      <c r="U818" s="811"/>
      <c r="V818" s="811"/>
      <c r="W818" s="811"/>
      <c r="X818" s="811"/>
      <c r="Y818" s="811"/>
      <c r="Z818" s="811"/>
    </row>
    <row r="819" spans="1:26" ht="15" thickBot="1">
      <c r="A819" s="811"/>
      <c r="B819" s="811"/>
      <c r="C819" s="811"/>
      <c r="D819" s="811"/>
      <c r="E819" s="811"/>
      <c r="F819" s="811"/>
      <c r="G819" s="811"/>
      <c r="H819" s="811"/>
      <c r="I819" s="811"/>
      <c r="J819" s="811"/>
      <c r="K819" s="811"/>
      <c r="L819" s="811"/>
      <c r="M819" s="811"/>
      <c r="N819" s="811"/>
      <c r="O819" s="811"/>
      <c r="P819" s="811"/>
      <c r="Q819" s="811"/>
      <c r="R819" s="811"/>
      <c r="S819" s="811"/>
      <c r="T819" s="811"/>
      <c r="U819" s="811"/>
      <c r="V819" s="811"/>
      <c r="W819" s="811"/>
      <c r="X819" s="811"/>
      <c r="Y819" s="811"/>
      <c r="Z819" s="811"/>
    </row>
    <row r="820" spans="1:26" ht="15" thickBot="1">
      <c r="A820" s="811"/>
      <c r="B820" s="811"/>
      <c r="C820" s="811"/>
      <c r="D820" s="811"/>
      <c r="E820" s="811"/>
      <c r="F820" s="811"/>
      <c r="G820" s="811"/>
      <c r="H820" s="811"/>
      <c r="I820" s="811"/>
      <c r="J820" s="811"/>
      <c r="K820" s="811"/>
      <c r="L820" s="811"/>
      <c r="M820" s="811"/>
      <c r="N820" s="811"/>
      <c r="O820" s="811"/>
      <c r="P820" s="811"/>
      <c r="Q820" s="811"/>
      <c r="R820" s="811"/>
      <c r="S820" s="811"/>
      <c r="T820" s="811"/>
      <c r="U820" s="811"/>
      <c r="V820" s="811"/>
      <c r="W820" s="811"/>
      <c r="X820" s="811"/>
      <c r="Y820" s="811"/>
      <c r="Z820" s="811"/>
    </row>
    <row r="821" spans="1:26" ht="15" thickBot="1">
      <c r="A821" s="811"/>
      <c r="B821" s="811"/>
      <c r="C821" s="811"/>
      <c r="D821" s="811"/>
      <c r="E821" s="811"/>
      <c r="F821" s="811"/>
      <c r="G821" s="811"/>
      <c r="H821" s="811"/>
      <c r="I821" s="811"/>
      <c r="J821" s="811"/>
      <c r="K821" s="811"/>
      <c r="L821" s="811"/>
      <c r="M821" s="811"/>
      <c r="N821" s="811"/>
      <c r="O821" s="811"/>
      <c r="P821" s="811"/>
      <c r="Q821" s="811"/>
      <c r="R821" s="811"/>
      <c r="S821" s="811"/>
      <c r="T821" s="811"/>
      <c r="U821" s="811"/>
      <c r="V821" s="811"/>
      <c r="W821" s="811"/>
      <c r="X821" s="811"/>
      <c r="Y821" s="811"/>
      <c r="Z821" s="811"/>
    </row>
    <row r="822" spans="1:26" ht="15" thickBot="1">
      <c r="A822" s="811"/>
      <c r="B822" s="811"/>
      <c r="C822" s="811"/>
      <c r="D822" s="811"/>
      <c r="E822" s="811"/>
      <c r="F822" s="811"/>
      <c r="G822" s="811"/>
      <c r="H822" s="811"/>
      <c r="I822" s="811"/>
      <c r="J822" s="811"/>
      <c r="K822" s="811"/>
      <c r="L822" s="811"/>
      <c r="M822" s="811"/>
      <c r="N822" s="811"/>
      <c r="O822" s="811"/>
      <c r="P822" s="811"/>
      <c r="Q822" s="811"/>
      <c r="R822" s="811"/>
      <c r="S822" s="811"/>
      <c r="T822" s="811"/>
      <c r="U822" s="811"/>
      <c r="V822" s="811"/>
      <c r="W822" s="811"/>
      <c r="X822" s="811"/>
      <c r="Y822" s="811"/>
      <c r="Z822" s="811"/>
    </row>
    <row r="823" spans="1:26" ht="15" thickBot="1">
      <c r="A823" s="811"/>
      <c r="B823" s="811"/>
      <c r="C823" s="811"/>
      <c r="D823" s="811"/>
      <c r="E823" s="811"/>
      <c r="F823" s="811"/>
      <c r="G823" s="811"/>
      <c r="H823" s="811"/>
      <c r="I823" s="811"/>
      <c r="J823" s="811"/>
      <c r="K823" s="811"/>
      <c r="L823" s="811"/>
      <c r="M823" s="811"/>
      <c r="N823" s="811"/>
      <c r="O823" s="811"/>
      <c r="P823" s="811"/>
      <c r="Q823" s="811"/>
      <c r="R823" s="811"/>
      <c r="S823" s="811"/>
      <c r="T823" s="811"/>
      <c r="U823" s="811"/>
      <c r="V823" s="811"/>
      <c r="W823" s="811"/>
      <c r="X823" s="811"/>
      <c r="Y823" s="811"/>
      <c r="Z823" s="811"/>
    </row>
    <row r="824" spans="1:26" ht="15" thickBot="1">
      <c r="A824" s="811"/>
      <c r="B824" s="811"/>
      <c r="C824" s="811"/>
      <c r="D824" s="811"/>
      <c r="E824" s="811"/>
      <c r="F824" s="811"/>
      <c r="G824" s="811"/>
      <c r="H824" s="811"/>
      <c r="I824" s="811"/>
      <c r="J824" s="811"/>
      <c r="K824" s="811"/>
      <c r="L824" s="811"/>
      <c r="M824" s="811"/>
      <c r="N824" s="811"/>
      <c r="O824" s="811"/>
      <c r="P824" s="811"/>
      <c r="Q824" s="811"/>
      <c r="R824" s="811"/>
      <c r="S824" s="811"/>
      <c r="T824" s="811"/>
      <c r="U824" s="811"/>
      <c r="V824" s="811"/>
      <c r="W824" s="811"/>
      <c r="X824" s="811"/>
      <c r="Y824" s="811"/>
      <c r="Z824" s="811"/>
    </row>
    <row r="825" spans="1:26" ht="15" thickBot="1">
      <c r="A825" s="811"/>
      <c r="B825" s="811"/>
      <c r="C825" s="811"/>
      <c r="D825" s="811"/>
      <c r="E825" s="811"/>
      <c r="F825" s="811"/>
      <c r="G825" s="811"/>
      <c r="H825" s="811"/>
      <c r="I825" s="811"/>
      <c r="J825" s="811"/>
      <c r="K825" s="811"/>
      <c r="L825" s="811"/>
      <c r="M825" s="811"/>
      <c r="N825" s="811"/>
      <c r="O825" s="811"/>
      <c r="P825" s="811"/>
      <c r="Q825" s="811"/>
      <c r="R825" s="811"/>
      <c r="S825" s="811"/>
      <c r="T825" s="811"/>
      <c r="U825" s="811"/>
      <c r="V825" s="811"/>
      <c r="W825" s="811"/>
      <c r="X825" s="811"/>
      <c r="Y825" s="811"/>
      <c r="Z825" s="811"/>
    </row>
    <row r="826" spans="1:26" ht="15" thickBot="1">
      <c r="A826" s="811"/>
      <c r="B826" s="811"/>
      <c r="C826" s="811"/>
      <c r="D826" s="811"/>
      <c r="E826" s="811"/>
      <c r="F826" s="811"/>
      <c r="G826" s="811"/>
      <c r="H826" s="811"/>
      <c r="I826" s="811"/>
      <c r="J826" s="811"/>
      <c r="K826" s="811"/>
      <c r="L826" s="811"/>
      <c r="M826" s="811"/>
      <c r="N826" s="811"/>
      <c r="O826" s="811"/>
      <c r="P826" s="811"/>
      <c r="Q826" s="811"/>
      <c r="R826" s="811"/>
      <c r="S826" s="811"/>
      <c r="T826" s="811"/>
      <c r="U826" s="811"/>
      <c r="V826" s="811"/>
      <c r="W826" s="811"/>
      <c r="X826" s="811"/>
      <c r="Y826" s="811"/>
      <c r="Z826" s="811"/>
    </row>
    <row r="827" spans="1:26" ht="15" thickBot="1">
      <c r="A827" s="811"/>
      <c r="B827" s="811"/>
      <c r="C827" s="811"/>
      <c r="D827" s="811"/>
      <c r="E827" s="811"/>
      <c r="F827" s="811"/>
      <c r="G827" s="811"/>
      <c r="H827" s="811"/>
      <c r="I827" s="811"/>
      <c r="J827" s="811"/>
      <c r="K827" s="811"/>
      <c r="L827" s="811"/>
      <c r="M827" s="811"/>
      <c r="N827" s="811"/>
      <c r="O827" s="811"/>
      <c r="P827" s="811"/>
      <c r="Q827" s="811"/>
      <c r="R827" s="811"/>
      <c r="S827" s="811"/>
      <c r="T827" s="811"/>
      <c r="U827" s="811"/>
      <c r="V827" s="811"/>
      <c r="W827" s="811"/>
      <c r="X827" s="811"/>
      <c r="Y827" s="811"/>
      <c r="Z827" s="811"/>
    </row>
    <row r="828" spans="1:26" ht="15" thickBot="1">
      <c r="A828" s="811"/>
      <c r="B828" s="811"/>
      <c r="C828" s="811"/>
      <c r="D828" s="811"/>
      <c r="E828" s="811"/>
      <c r="F828" s="811"/>
      <c r="G828" s="811"/>
      <c r="H828" s="811"/>
      <c r="I828" s="811"/>
      <c r="J828" s="811"/>
      <c r="K828" s="811"/>
      <c r="L828" s="811"/>
      <c r="M828" s="811"/>
      <c r="N828" s="811"/>
      <c r="O828" s="811"/>
      <c r="P828" s="811"/>
      <c r="Q828" s="811"/>
      <c r="R828" s="811"/>
      <c r="S828" s="811"/>
      <c r="T828" s="811"/>
      <c r="U828" s="811"/>
      <c r="V828" s="811"/>
      <c r="W828" s="811"/>
      <c r="X828" s="811"/>
      <c r="Y828" s="811"/>
      <c r="Z828" s="811"/>
    </row>
    <row r="829" spans="1:26" ht="15" thickBot="1">
      <c r="A829" s="811"/>
      <c r="B829" s="811"/>
      <c r="C829" s="811"/>
      <c r="D829" s="811"/>
      <c r="E829" s="811"/>
      <c r="F829" s="811"/>
      <c r="G829" s="811"/>
      <c r="H829" s="811"/>
      <c r="I829" s="811"/>
      <c r="J829" s="811"/>
      <c r="K829" s="811"/>
      <c r="L829" s="811"/>
      <c r="M829" s="811"/>
      <c r="N829" s="811"/>
      <c r="O829" s="811"/>
      <c r="P829" s="811"/>
      <c r="Q829" s="811"/>
      <c r="R829" s="811"/>
      <c r="S829" s="811"/>
      <c r="T829" s="811"/>
      <c r="U829" s="811"/>
      <c r="V829" s="811"/>
      <c r="W829" s="811"/>
      <c r="X829" s="811"/>
      <c r="Y829" s="811"/>
      <c r="Z829" s="811"/>
    </row>
    <row r="830" spans="1:26" ht="15" thickBot="1">
      <c r="A830" s="811"/>
      <c r="B830" s="811"/>
      <c r="C830" s="811"/>
      <c r="D830" s="811"/>
      <c r="E830" s="811"/>
      <c r="F830" s="811"/>
      <c r="G830" s="811"/>
      <c r="H830" s="811"/>
      <c r="I830" s="811"/>
      <c r="J830" s="811"/>
      <c r="K830" s="811"/>
      <c r="L830" s="811"/>
      <c r="M830" s="811"/>
      <c r="N830" s="811"/>
      <c r="O830" s="811"/>
      <c r="P830" s="811"/>
      <c r="Q830" s="811"/>
      <c r="R830" s="811"/>
      <c r="S830" s="811"/>
      <c r="T830" s="811"/>
      <c r="U830" s="811"/>
      <c r="V830" s="811"/>
      <c r="W830" s="811"/>
      <c r="X830" s="811"/>
      <c r="Y830" s="811"/>
      <c r="Z830" s="811"/>
    </row>
    <row r="831" spans="1:26" ht="15" thickBot="1">
      <c r="A831" s="811"/>
      <c r="B831" s="811"/>
      <c r="C831" s="811"/>
      <c r="D831" s="811"/>
      <c r="E831" s="811"/>
      <c r="F831" s="811"/>
      <c r="G831" s="811"/>
      <c r="H831" s="811"/>
      <c r="I831" s="811"/>
      <c r="J831" s="811"/>
      <c r="K831" s="811"/>
      <c r="L831" s="811"/>
      <c r="M831" s="811"/>
      <c r="N831" s="811"/>
      <c r="O831" s="811"/>
      <c r="P831" s="811"/>
      <c r="Q831" s="811"/>
      <c r="R831" s="811"/>
      <c r="S831" s="811"/>
      <c r="T831" s="811"/>
      <c r="U831" s="811"/>
      <c r="V831" s="811"/>
      <c r="W831" s="811"/>
      <c r="X831" s="811"/>
      <c r="Y831" s="811"/>
      <c r="Z831" s="811"/>
    </row>
    <row r="832" spans="1:26" ht="15" thickBot="1">
      <c r="A832" s="811"/>
      <c r="B832" s="811"/>
      <c r="C832" s="811"/>
      <c r="D832" s="811"/>
      <c r="E832" s="811"/>
      <c r="F832" s="811"/>
      <c r="G832" s="811"/>
      <c r="H832" s="811"/>
      <c r="I832" s="811"/>
      <c r="J832" s="811"/>
      <c r="K832" s="811"/>
      <c r="L832" s="811"/>
      <c r="M832" s="811"/>
      <c r="N832" s="811"/>
      <c r="O832" s="811"/>
      <c r="P832" s="811"/>
      <c r="Q832" s="811"/>
      <c r="R832" s="811"/>
      <c r="S832" s="811"/>
      <c r="T832" s="811"/>
      <c r="U832" s="811"/>
      <c r="V832" s="811"/>
      <c r="W832" s="811"/>
      <c r="X832" s="811"/>
      <c r="Y832" s="811"/>
      <c r="Z832" s="811"/>
    </row>
    <row r="833" spans="1:26" ht="15" thickBot="1">
      <c r="A833" s="811"/>
      <c r="B833" s="811"/>
      <c r="C833" s="811"/>
      <c r="D833" s="811"/>
      <c r="E833" s="811"/>
      <c r="F833" s="811"/>
      <c r="G833" s="811"/>
      <c r="H833" s="811"/>
      <c r="I833" s="811"/>
      <c r="J833" s="811"/>
      <c r="K833" s="811"/>
      <c r="L833" s="811"/>
      <c r="M833" s="811"/>
      <c r="N833" s="811"/>
      <c r="O833" s="811"/>
      <c r="P833" s="811"/>
      <c r="Q833" s="811"/>
      <c r="R833" s="811"/>
      <c r="S833" s="811"/>
      <c r="T833" s="811"/>
      <c r="U833" s="811"/>
      <c r="V833" s="811"/>
      <c r="W833" s="811"/>
      <c r="X833" s="811"/>
      <c r="Y833" s="811"/>
      <c r="Z833" s="811"/>
    </row>
    <row r="834" spans="1:26" ht="15" thickBot="1">
      <c r="A834" s="811"/>
      <c r="B834" s="811"/>
      <c r="C834" s="811"/>
      <c r="D834" s="811"/>
      <c r="E834" s="811"/>
      <c r="F834" s="811"/>
      <c r="G834" s="811"/>
      <c r="H834" s="811"/>
      <c r="I834" s="811"/>
      <c r="J834" s="811"/>
      <c r="K834" s="811"/>
      <c r="L834" s="811"/>
      <c r="M834" s="811"/>
      <c r="N834" s="811"/>
      <c r="O834" s="811"/>
      <c r="P834" s="811"/>
      <c r="Q834" s="811"/>
      <c r="R834" s="811"/>
      <c r="S834" s="811"/>
      <c r="T834" s="811"/>
      <c r="U834" s="811"/>
      <c r="V834" s="811"/>
      <c r="W834" s="811"/>
      <c r="X834" s="811"/>
      <c r="Y834" s="811"/>
      <c r="Z834" s="811"/>
    </row>
    <row r="835" spans="1:26" ht="15" thickBot="1">
      <c r="A835" s="811"/>
      <c r="B835" s="811"/>
      <c r="C835" s="811"/>
      <c r="D835" s="811"/>
      <c r="E835" s="811"/>
      <c r="F835" s="811"/>
      <c r="G835" s="811"/>
      <c r="H835" s="811"/>
      <c r="I835" s="811"/>
      <c r="J835" s="811"/>
      <c r="K835" s="811"/>
      <c r="L835" s="811"/>
      <c r="M835" s="811"/>
      <c r="N835" s="811"/>
      <c r="O835" s="811"/>
      <c r="P835" s="811"/>
      <c r="Q835" s="811"/>
      <c r="R835" s="811"/>
      <c r="S835" s="811"/>
      <c r="T835" s="811"/>
      <c r="U835" s="811"/>
      <c r="V835" s="811"/>
      <c r="W835" s="811"/>
      <c r="X835" s="811"/>
      <c r="Y835" s="811"/>
      <c r="Z835" s="811"/>
    </row>
    <row r="836" spans="1:26" ht="15" thickBot="1">
      <c r="A836" s="811"/>
      <c r="B836" s="811"/>
      <c r="C836" s="811"/>
      <c r="D836" s="811"/>
      <c r="E836" s="811"/>
      <c r="F836" s="811"/>
      <c r="G836" s="811"/>
      <c r="H836" s="811"/>
      <c r="I836" s="811"/>
      <c r="J836" s="811"/>
      <c r="K836" s="811"/>
      <c r="L836" s="811"/>
      <c r="M836" s="811"/>
      <c r="N836" s="811"/>
      <c r="O836" s="811"/>
      <c r="P836" s="811"/>
      <c r="Q836" s="811"/>
      <c r="R836" s="811"/>
      <c r="S836" s="811"/>
      <c r="T836" s="811"/>
      <c r="U836" s="811"/>
      <c r="V836" s="811"/>
      <c r="W836" s="811"/>
      <c r="X836" s="811"/>
      <c r="Y836" s="811"/>
      <c r="Z836" s="811"/>
    </row>
    <row r="837" spans="1:26" ht="15" thickBot="1">
      <c r="A837" s="811"/>
      <c r="B837" s="811"/>
      <c r="C837" s="811"/>
      <c r="D837" s="811"/>
      <c r="E837" s="811"/>
      <c r="F837" s="811"/>
      <c r="G837" s="811"/>
      <c r="H837" s="811"/>
      <c r="I837" s="811"/>
      <c r="J837" s="811"/>
      <c r="K837" s="811"/>
      <c r="L837" s="811"/>
      <c r="M837" s="811"/>
      <c r="N837" s="811"/>
      <c r="O837" s="811"/>
      <c r="P837" s="811"/>
      <c r="Q837" s="811"/>
      <c r="R837" s="811"/>
      <c r="S837" s="811"/>
      <c r="T837" s="811"/>
      <c r="U837" s="811"/>
      <c r="V837" s="811"/>
      <c r="W837" s="811"/>
      <c r="X837" s="811"/>
      <c r="Y837" s="811"/>
      <c r="Z837" s="811"/>
    </row>
    <row r="838" spans="1:26" ht="15" thickBot="1">
      <c r="A838" s="811"/>
      <c r="B838" s="811"/>
      <c r="C838" s="811"/>
      <c r="D838" s="811"/>
      <c r="E838" s="811"/>
      <c r="F838" s="811"/>
      <c r="G838" s="811"/>
      <c r="H838" s="811"/>
      <c r="I838" s="811"/>
      <c r="J838" s="811"/>
      <c r="K838" s="811"/>
      <c r="L838" s="811"/>
      <c r="M838" s="811"/>
      <c r="N838" s="811"/>
      <c r="O838" s="811"/>
      <c r="P838" s="811"/>
      <c r="Q838" s="811"/>
      <c r="R838" s="811"/>
      <c r="S838" s="811"/>
      <c r="T838" s="811"/>
      <c r="U838" s="811"/>
      <c r="V838" s="811"/>
      <c r="W838" s="811"/>
      <c r="X838" s="811"/>
      <c r="Y838" s="811"/>
      <c r="Z838" s="811"/>
    </row>
    <row r="839" spans="1:26" ht="15" thickBot="1">
      <c r="A839" s="811"/>
      <c r="B839" s="811"/>
      <c r="C839" s="811"/>
      <c r="D839" s="811"/>
      <c r="E839" s="811"/>
      <c r="F839" s="811"/>
      <c r="G839" s="811"/>
      <c r="H839" s="811"/>
      <c r="I839" s="811"/>
      <c r="J839" s="811"/>
      <c r="K839" s="811"/>
      <c r="L839" s="811"/>
      <c r="M839" s="811"/>
      <c r="N839" s="811"/>
      <c r="O839" s="811"/>
      <c r="P839" s="811"/>
      <c r="Q839" s="811"/>
      <c r="R839" s="811"/>
      <c r="S839" s="811"/>
      <c r="T839" s="811"/>
      <c r="U839" s="811"/>
      <c r="V839" s="811"/>
      <c r="W839" s="811"/>
      <c r="X839" s="811"/>
      <c r="Y839" s="811"/>
      <c r="Z839" s="811"/>
    </row>
    <row r="840" spans="1:26" ht="15" thickBot="1">
      <c r="A840" s="811"/>
      <c r="B840" s="811"/>
      <c r="C840" s="811"/>
      <c r="D840" s="811"/>
      <c r="E840" s="811"/>
      <c r="F840" s="811"/>
      <c r="G840" s="811"/>
      <c r="H840" s="811"/>
      <c r="I840" s="811"/>
      <c r="J840" s="811"/>
      <c r="K840" s="811"/>
      <c r="L840" s="811"/>
      <c r="M840" s="811"/>
      <c r="N840" s="811"/>
      <c r="O840" s="811"/>
      <c r="P840" s="811"/>
      <c r="Q840" s="811"/>
      <c r="R840" s="811"/>
      <c r="S840" s="811"/>
      <c r="T840" s="811"/>
      <c r="U840" s="811"/>
      <c r="V840" s="811"/>
      <c r="W840" s="811"/>
      <c r="X840" s="811"/>
      <c r="Y840" s="811"/>
      <c r="Z840" s="811"/>
    </row>
    <row r="841" spans="1:26" ht="15" thickBot="1">
      <c r="A841" s="811"/>
      <c r="B841" s="811"/>
      <c r="C841" s="811"/>
      <c r="D841" s="811"/>
      <c r="E841" s="811"/>
      <c r="F841" s="811"/>
      <c r="G841" s="811"/>
      <c r="H841" s="811"/>
      <c r="I841" s="811"/>
      <c r="J841" s="811"/>
      <c r="K841" s="811"/>
      <c r="L841" s="811"/>
      <c r="M841" s="811"/>
      <c r="N841" s="811"/>
      <c r="O841" s="811"/>
      <c r="P841" s="811"/>
      <c r="Q841" s="811"/>
      <c r="R841" s="811"/>
      <c r="S841" s="811"/>
      <c r="T841" s="811"/>
      <c r="U841" s="811"/>
      <c r="V841" s="811"/>
      <c r="W841" s="811"/>
      <c r="X841" s="811"/>
      <c r="Y841" s="811"/>
      <c r="Z841" s="811"/>
    </row>
    <row r="842" spans="1:26" ht="15" thickBot="1">
      <c r="A842" s="811"/>
      <c r="B842" s="811"/>
      <c r="C842" s="811"/>
      <c r="D842" s="811"/>
      <c r="E842" s="811"/>
      <c r="F842" s="811"/>
      <c r="G842" s="811"/>
      <c r="H842" s="811"/>
      <c r="I842" s="811"/>
      <c r="J842" s="811"/>
      <c r="K842" s="811"/>
      <c r="L842" s="811"/>
      <c r="M842" s="811"/>
      <c r="N842" s="811"/>
      <c r="O842" s="811"/>
      <c r="P842" s="811"/>
      <c r="Q842" s="811"/>
      <c r="R842" s="811"/>
      <c r="S842" s="811"/>
      <c r="T842" s="811"/>
      <c r="U842" s="811"/>
      <c r="V842" s="811"/>
      <c r="W842" s="811"/>
      <c r="X842" s="811"/>
      <c r="Y842" s="811"/>
      <c r="Z842" s="811"/>
    </row>
    <row r="843" spans="1:26" ht="15" thickBot="1">
      <c r="A843" s="811"/>
      <c r="B843" s="811"/>
      <c r="C843" s="811"/>
      <c r="D843" s="811"/>
      <c r="E843" s="811"/>
      <c r="F843" s="811"/>
      <c r="G843" s="811"/>
      <c r="H843" s="811"/>
      <c r="I843" s="811"/>
      <c r="J843" s="811"/>
      <c r="K843" s="811"/>
      <c r="L843" s="811"/>
      <c r="M843" s="811"/>
      <c r="N843" s="811"/>
      <c r="O843" s="811"/>
      <c r="P843" s="811"/>
      <c r="Q843" s="811"/>
      <c r="R843" s="811"/>
      <c r="S843" s="811"/>
      <c r="T843" s="811"/>
      <c r="U843" s="811"/>
      <c r="V843" s="811"/>
      <c r="W843" s="811"/>
      <c r="X843" s="811"/>
      <c r="Y843" s="811"/>
      <c r="Z843" s="811"/>
    </row>
    <row r="844" spans="1:26" ht="15" thickBot="1">
      <c r="A844" s="811"/>
      <c r="B844" s="811"/>
      <c r="C844" s="811"/>
      <c r="D844" s="811"/>
      <c r="E844" s="811"/>
      <c r="F844" s="811"/>
      <c r="G844" s="811"/>
      <c r="H844" s="811"/>
      <c r="I844" s="811"/>
      <c r="J844" s="811"/>
      <c r="K844" s="811"/>
      <c r="L844" s="811"/>
      <c r="M844" s="811"/>
      <c r="N844" s="811"/>
      <c r="O844" s="811"/>
      <c r="P844" s="811"/>
      <c r="Q844" s="811"/>
      <c r="R844" s="811"/>
      <c r="S844" s="811"/>
      <c r="T844" s="811"/>
      <c r="U844" s="811"/>
      <c r="V844" s="811"/>
      <c r="W844" s="811"/>
      <c r="X844" s="811"/>
      <c r="Y844" s="811"/>
      <c r="Z844" s="811"/>
    </row>
    <row r="845" spans="1:26" ht="15" thickBot="1">
      <c r="A845" s="811"/>
      <c r="B845" s="811"/>
      <c r="C845" s="811"/>
      <c r="D845" s="811"/>
      <c r="E845" s="811"/>
      <c r="F845" s="811"/>
      <c r="G845" s="811"/>
      <c r="H845" s="811"/>
      <c r="I845" s="811"/>
      <c r="J845" s="811"/>
      <c r="K845" s="811"/>
      <c r="L845" s="811"/>
      <c r="M845" s="811"/>
      <c r="N845" s="811"/>
      <c r="O845" s="811"/>
      <c r="P845" s="811"/>
      <c r="Q845" s="811"/>
      <c r="R845" s="811"/>
      <c r="S845" s="811"/>
      <c r="T845" s="811"/>
      <c r="U845" s="811"/>
      <c r="V845" s="811"/>
      <c r="W845" s="811"/>
      <c r="X845" s="811"/>
      <c r="Y845" s="811"/>
      <c r="Z845" s="811"/>
    </row>
    <row r="846" spans="1:26" ht="15" thickBot="1">
      <c r="A846" s="811"/>
      <c r="B846" s="811"/>
      <c r="C846" s="811"/>
      <c r="D846" s="811"/>
      <c r="E846" s="811"/>
      <c r="F846" s="811"/>
      <c r="G846" s="811"/>
      <c r="H846" s="811"/>
      <c r="I846" s="811"/>
      <c r="J846" s="811"/>
      <c r="K846" s="811"/>
      <c r="L846" s="811"/>
      <c r="M846" s="811"/>
      <c r="N846" s="811"/>
      <c r="O846" s="811"/>
      <c r="P846" s="811"/>
      <c r="Q846" s="811"/>
      <c r="R846" s="811"/>
      <c r="S846" s="811"/>
      <c r="T846" s="811"/>
      <c r="U846" s="811"/>
      <c r="V846" s="811"/>
      <c r="W846" s="811"/>
      <c r="X846" s="811"/>
      <c r="Y846" s="811"/>
      <c r="Z846" s="811"/>
    </row>
    <row r="847" spans="1:26" ht="15" thickBot="1">
      <c r="A847" s="811"/>
      <c r="B847" s="811"/>
      <c r="C847" s="811"/>
      <c r="D847" s="811"/>
      <c r="E847" s="811"/>
      <c r="F847" s="811"/>
      <c r="G847" s="811"/>
      <c r="H847" s="811"/>
      <c r="I847" s="811"/>
      <c r="J847" s="811"/>
      <c r="K847" s="811"/>
      <c r="L847" s="811"/>
      <c r="M847" s="811"/>
      <c r="N847" s="811"/>
      <c r="O847" s="811"/>
      <c r="P847" s="811"/>
      <c r="Q847" s="811"/>
      <c r="R847" s="811"/>
      <c r="S847" s="811"/>
      <c r="T847" s="811"/>
      <c r="U847" s="811"/>
      <c r="V847" s="811"/>
      <c r="W847" s="811"/>
      <c r="X847" s="811"/>
      <c r="Y847" s="811"/>
      <c r="Z847" s="811"/>
    </row>
    <row r="848" spans="1:26" ht="15" thickBot="1">
      <c r="A848" s="811"/>
      <c r="B848" s="811"/>
      <c r="C848" s="811"/>
      <c r="D848" s="811"/>
      <c r="E848" s="811"/>
      <c r="F848" s="811"/>
      <c r="G848" s="811"/>
      <c r="H848" s="811"/>
      <c r="I848" s="811"/>
      <c r="J848" s="811"/>
      <c r="K848" s="811"/>
      <c r="L848" s="811"/>
      <c r="M848" s="811"/>
      <c r="N848" s="811"/>
      <c r="O848" s="811"/>
      <c r="P848" s="811"/>
      <c r="Q848" s="811"/>
      <c r="R848" s="811"/>
      <c r="S848" s="811"/>
      <c r="T848" s="811"/>
      <c r="U848" s="811"/>
      <c r="V848" s="811"/>
      <c r="W848" s="811"/>
      <c r="X848" s="811"/>
      <c r="Y848" s="811"/>
      <c r="Z848" s="811"/>
    </row>
    <row r="849" spans="1:26" ht="15" thickBot="1">
      <c r="A849" s="811"/>
      <c r="B849" s="811"/>
      <c r="C849" s="811"/>
      <c r="D849" s="811"/>
      <c r="E849" s="811"/>
      <c r="F849" s="811"/>
      <c r="G849" s="811"/>
      <c r="H849" s="811"/>
      <c r="I849" s="811"/>
      <c r="J849" s="811"/>
      <c r="K849" s="811"/>
      <c r="L849" s="811"/>
      <c r="M849" s="811"/>
      <c r="N849" s="811"/>
      <c r="O849" s="811"/>
      <c r="P849" s="811"/>
      <c r="Q849" s="811"/>
      <c r="R849" s="811"/>
      <c r="S849" s="811"/>
      <c r="T849" s="811"/>
      <c r="U849" s="811"/>
      <c r="V849" s="811"/>
      <c r="W849" s="811"/>
      <c r="X849" s="811"/>
      <c r="Y849" s="811"/>
      <c r="Z849" s="811"/>
    </row>
    <row r="850" spans="1:26" ht="15" thickBot="1">
      <c r="A850" s="811"/>
      <c r="B850" s="811"/>
      <c r="C850" s="811"/>
      <c r="D850" s="811"/>
      <c r="E850" s="811"/>
      <c r="F850" s="811"/>
      <c r="G850" s="811"/>
      <c r="H850" s="811"/>
      <c r="I850" s="811"/>
      <c r="J850" s="811"/>
      <c r="K850" s="811"/>
      <c r="L850" s="811"/>
      <c r="M850" s="811"/>
      <c r="N850" s="811"/>
      <c r="O850" s="811"/>
      <c r="P850" s="811"/>
      <c r="Q850" s="811"/>
      <c r="R850" s="811"/>
      <c r="S850" s="811"/>
      <c r="T850" s="811"/>
      <c r="U850" s="811"/>
      <c r="V850" s="811"/>
      <c r="W850" s="811"/>
      <c r="X850" s="811"/>
      <c r="Y850" s="811"/>
      <c r="Z850" s="811"/>
    </row>
    <row r="851" spans="1:26" ht="15" thickBot="1">
      <c r="A851" s="811"/>
      <c r="B851" s="811"/>
      <c r="C851" s="811"/>
      <c r="D851" s="811"/>
      <c r="E851" s="811"/>
      <c r="F851" s="811"/>
      <c r="G851" s="811"/>
      <c r="H851" s="811"/>
      <c r="I851" s="811"/>
      <c r="J851" s="811"/>
      <c r="K851" s="811"/>
      <c r="L851" s="811"/>
      <c r="M851" s="811"/>
      <c r="N851" s="811"/>
      <c r="O851" s="811"/>
      <c r="P851" s="811"/>
      <c r="Q851" s="811"/>
      <c r="R851" s="811"/>
      <c r="S851" s="811"/>
      <c r="T851" s="811"/>
      <c r="U851" s="811"/>
      <c r="V851" s="811"/>
      <c r="W851" s="811"/>
      <c r="X851" s="811"/>
      <c r="Y851" s="811"/>
      <c r="Z851" s="811"/>
    </row>
    <row r="852" spans="1:26" ht="15" thickBot="1">
      <c r="A852" s="811"/>
      <c r="B852" s="811"/>
      <c r="C852" s="811"/>
      <c r="D852" s="811"/>
      <c r="E852" s="811"/>
      <c r="F852" s="811"/>
      <c r="G852" s="811"/>
      <c r="H852" s="811"/>
      <c r="I852" s="811"/>
      <c r="J852" s="811"/>
      <c r="K852" s="811"/>
      <c r="L852" s="811"/>
      <c r="M852" s="811"/>
      <c r="N852" s="811"/>
      <c r="O852" s="811"/>
      <c r="P852" s="811"/>
      <c r="Q852" s="811"/>
      <c r="R852" s="811"/>
      <c r="S852" s="811"/>
      <c r="T852" s="811"/>
      <c r="U852" s="811"/>
      <c r="V852" s="811"/>
      <c r="W852" s="811"/>
      <c r="X852" s="811"/>
      <c r="Y852" s="811"/>
      <c r="Z852" s="811"/>
    </row>
    <row r="853" spans="1:26" ht="15" thickBot="1">
      <c r="A853" s="811"/>
      <c r="B853" s="811"/>
      <c r="C853" s="811"/>
      <c r="D853" s="811"/>
      <c r="E853" s="811"/>
      <c r="F853" s="811"/>
      <c r="G853" s="811"/>
      <c r="H853" s="811"/>
      <c r="I853" s="811"/>
      <c r="J853" s="811"/>
      <c r="K853" s="811"/>
      <c r="L853" s="811"/>
      <c r="M853" s="811"/>
      <c r="N853" s="811"/>
      <c r="O853" s="811"/>
      <c r="P853" s="811"/>
      <c r="Q853" s="811"/>
      <c r="R853" s="811"/>
      <c r="S853" s="811"/>
      <c r="T853" s="811"/>
      <c r="U853" s="811"/>
      <c r="V853" s="811"/>
      <c r="W853" s="811"/>
      <c r="X853" s="811"/>
      <c r="Y853" s="811"/>
      <c r="Z853" s="811"/>
    </row>
    <row r="854" spans="1:26" ht="15" thickBot="1">
      <c r="A854" s="811"/>
      <c r="B854" s="811"/>
      <c r="C854" s="811"/>
      <c r="D854" s="811"/>
      <c r="E854" s="811"/>
      <c r="F854" s="811"/>
      <c r="G854" s="811"/>
      <c r="H854" s="811"/>
      <c r="I854" s="811"/>
      <c r="J854" s="811"/>
      <c r="K854" s="811"/>
      <c r="L854" s="811"/>
      <c r="M854" s="811"/>
      <c r="N854" s="811"/>
      <c r="O854" s="811"/>
      <c r="P854" s="811"/>
      <c r="Q854" s="811"/>
      <c r="R854" s="811"/>
      <c r="S854" s="811"/>
      <c r="T854" s="811"/>
      <c r="U854" s="811"/>
      <c r="V854" s="811"/>
      <c r="W854" s="811"/>
      <c r="X854" s="811"/>
      <c r="Y854" s="811"/>
      <c r="Z854" s="811"/>
    </row>
    <row r="855" spans="1:26" ht="15" thickBot="1">
      <c r="A855" s="811"/>
      <c r="B855" s="811"/>
      <c r="C855" s="811"/>
      <c r="D855" s="811"/>
      <c r="E855" s="811"/>
      <c r="F855" s="811"/>
      <c r="G855" s="811"/>
      <c r="H855" s="811"/>
      <c r="I855" s="811"/>
      <c r="J855" s="811"/>
      <c r="K855" s="811"/>
      <c r="L855" s="811"/>
      <c r="M855" s="811"/>
      <c r="N855" s="811"/>
      <c r="O855" s="811"/>
      <c r="P855" s="811"/>
      <c r="Q855" s="811"/>
      <c r="R855" s="811"/>
      <c r="S855" s="811"/>
      <c r="T855" s="811"/>
      <c r="U855" s="811"/>
      <c r="V855" s="811"/>
      <c r="W855" s="811"/>
      <c r="X855" s="811"/>
      <c r="Y855" s="811"/>
      <c r="Z855" s="811"/>
    </row>
    <row r="856" spans="1:26" ht="15" thickBot="1">
      <c r="A856" s="811"/>
      <c r="B856" s="811"/>
      <c r="C856" s="811"/>
      <c r="D856" s="811"/>
      <c r="E856" s="811"/>
      <c r="F856" s="811"/>
      <c r="G856" s="811"/>
      <c r="H856" s="811"/>
      <c r="I856" s="811"/>
      <c r="J856" s="811"/>
      <c r="K856" s="811"/>
      <c r="L856" s="811"/>
      <c r="M856" s="811"/>
      <c r="N856" s="811"/>
      <c r="O856" s="811"/>
      <c r="P856" s="811"/>
      <c r="Q856" s="811"/>
      <c r="R856" s="811"/>
      <c r="S856" s="811"/>
      <c r="T856" s="811"/>
      <c r="U856" s="811"/>
      <c r="V856" s="811"/>
      <c r="W856" s="811"/>
      <c r="X856" s="811"/>
      <c r="Y856" s="811"/>
      <c r="Z856" s="811"/>
    </row>
    <row r="857" spans="1:26" ht="15" thickBot="1">
      <c r="A857" s="811"/>
      <c r="B857" s="811"/>
      <c r="C857" s="811"/>
      <c r="D857" s="811"/>
      <c r="E857" s="811"/>
      <c r="F857" s="811"/>
      <c r="G857" s="811"/>
      <c r="H857" s="811"/>
      <c r="I857" s="811"/>
      <c r="J857" s="811"/>
      <c r="K857" s="811"/>
      <c r="L857" s="811"/>
      <c r="M857" s="811"/>
      <c r="N857" s="811"/>
      <c r="O857" s="811"/>
      <c r="P857" s="811"/>
      <c r="Q857" s="811"/>
      <c r="R857" s="811"/>
      <c r="S857" s="811"/>
      <c r="T857" s="811"/>
      <c r="U857" s="811"/>
      <c r="V857" s="811"/>
      <c r="W857" s="811"/>
      <c r="X857" s="811"/>
      <c r="Y857" s="811"/>
      <c r="Z857" s="811"/>
    </row>
    <row r="858" spans="1:26" ht="15" thickBot="1">
      <c r="A858" s="811"/>
      <c r="B858" s="811"/>
      <c r="C858" s="811"/>
      <c r="D858" s="811"/>
      <c r="E858" s="811"/>
      <c r="F858" s="811"/>
      <c r="G858" s="811"/>
      <c r="H858" s="811"/>
      <c r="I858" s="811"/>
      <c r="J858" s="811"/>
      <c r="K858" s="811"/>
      <c r="L858" s="811"/>
      <c r="M858" s="811"/>
      <c r="N858" s="811"/>
      <c r="O858" s="811"/>
      <c r="P858" s="811"/>
      <c r="Q858" s="811"/>
      <c r="R858" s="811"/>
      <c r="S858" s="811"/>
      <c r="T858" s="811"/>
      <c r="U858" s="811"/>
      <c r="V858" s="811"/>
      <c r="W858" s="811"/>
      <c r="X858" s="811"/>
      <c r="Y858" s="811"/>
      <c r="Z858" s="811"/>
    </row>
    <row r="859" spans="1:26" ht="15" thickBot="1">
      <c r="A859" s="811"/>
      <c r="B859" s="811"/>
      <c r="C859" s="811"/>
      <c r="D859" s="811"/>
      <c r="E859" s="811"/>
      <c r="F859" s="811"/>
      <c r="G859" s="811"/>
      <c r="H859" s="811"/>
      <c r="I859" s="811"/>
      <c r="J859" s="811"/>
      <c r="K859" s="811"/>
      <c r="L859" s="811"/>
      <c r="M859" s="811"/>
      <c r="N859" s="811"/>
      <c r="O859" s="811"/>
      <c r="P859" s="811"/>
      <c r="Q859" s="811"/>
      <c r="R859" s="811"/>
      <c r="S859" s="811"/>
      <c r="T859" s="811"/>
      <c r="U859" s="811"/>
      <c r="V859" s="811"/>
      <c r="W859" s="811"/>
      <c r="X859" s="811"/>
      <c r="Y859" s="811"/>
      <c r="Z859" s="811"/>
    </row>
    <row r="860" spans="1:26" ht="15" thickBot="1">
      <c r="A860" s="811"/>
      <c r="B860" s="811"/>
      <c r="C860" s="811"/>
      <c r="D860" s="811"/>
      <c r="E860" s="811"/>
      <c r="F860" s="811"/>
      <c r="G860" s="811"/>
      <c r="H860" s="811"/>
      <c r="I860" s="811"/>
      <c r="J860" s="811"/>
      <c r="K860" s="811"/>
      <c r="L860" s="811"/>
      <c r="M860" s="811"/>
      <c r="N860" s="811"/>
      <c r="O860" s="811"/>
      <c r="P860" s="811"/>
      <c r="Q860" s="811"/>
      <c r="R860" s="811"/>
      <c r="S860" s="811"/>
      <c r="T860" s="811"/>
      <c r="U860" s="811"/>
      <c r="V860" s="811"/>
      <c r="W860" s="811"/>
      <c r="X860" s="811"/>
      <c r="Y860" s="811"/>
      <c r="Z860" s="811"/>
    </row>
    <row r="861" spans="1:26" ht="15" thickBot="1">
      <c r="A861" s="811"/>
      <c r="B861" s="811"/>
      <c r="C861" s="811"/>
      <c r="D861" s="811"/>
      <c r="E861" s="811"/>
      <c r="F861" s="811"/>
      <c r="G861" s="811"/>
      <c r="H861" s="811"/>
      <c r="I861" s="811"/>
      <c r="J861" s="811"/>
      <c r="K861" s="811"/>
      <c r="L861" s="811"/>
      <c r="M861" s="811"/>
      <c r="N861" s="811"/>
      <c r="O861" s="811"/>
      <c r="P861" s="811"/>
      <c r="Q861" s="811"/>
      <c r="R861" s="811"/>
      <c r="S861" s="811"/>
      <c r="T861" s="811"/>
      <c r="U861" s="811"/>
      <c r="V861" s="811"/>
      <c r="W861" s="811"/>
      <c r="X861" s="811"/>
      <c r="Y861" s="811"/>
      <c r="Z861" s="811"/>
    </row>
    <row r="862" spans="1:26" ht="15" thickBot="1">
      <c r="A862" s="811"/>
      <c r="B862" s="811"/>
      <c r="C862" s="811"/>
      <c r="D862" s="811"/>
      <c r="E862" s="811"/>
      <c r="F862" s="811"/>
      <c r="G862" s="811"/>
      <c r="H862" s="811"/>
      <c r="I862" s="811"/>
      <c r="J862" s="811"/>
      <c r="K862" s="811"/>
      <c r="L862" s="811"/>
      <c r="M862" s="811"/>
      <c r="N862" s="811"/>
      <c r="O862" s="811"/>
      <c r="P862" s="811"/>
      <c r="Q862" s="811"/>
      <c r="R862" s="811"/>
      <c r="S862" s="811"/>
      <c r="T862" s="811"/>
      <c r="U862" s="811"/>
      <c r="V862" s="811"/>
      <c r="W862" s="811"/>
      <c r="X862" s="811"/>
      <c r="Y862" s="811"/>
      <c r="Z862" s="811"/>
    </row>
    <row r="863" spans="1:26" ht="15" thickBot="1">
      <c r="A863" s="811"/>
      <c r="B863" s="811"/>
      <c r="C863" s="811"/>
      <c r="D863" s="811"/>
      <c r="E863" s="811"/>
      <c r="F863" s="811"/>
      <c r="G863" s="811"/>
      <c r="H863" s="811"/>
      <c r="I863" s="811"/>
      <c r="J863" s="811"/>
      <c r="K863" s="811"/>
      <c r="L863" s="811"/>
      <c r="M863" s="811"/>
      <c r="N863" s="811"/>
      <c r="O863" s="811"/>
      <c r="P863" s="811"/>
      <c r="Q863" s="811"/>
      <c r="R863" s="811"/>
      <c r="S863" s="811"/>
      <c r="T863" s="811"/>
      <c r="U863" s="811"/>
      <c r="V863" s="811"/>
      <c r="W863" s="811"/>
      <c r="X863" s="811"/>
      <c r="Y863" s="811"/>
      <c r="Z863" s="811"/>
    </row>
    <row r="864" spans="1:26" ht="15" thickBot="1">
      <c r="A864" s="811"/>
      <c r="B864" s="811"/>
      <c r="C864" s="811"/>
      <c r="D864" s="811"/>
      <c r="E864" s="811"/>
      <c r="F864" s="811"/>
      <c r="G864" s="811"/>
      <c r="H864" s="811"/>
      <c r="I864" s="811"/>
      <c r="J864" s="811"/>
      <c r="K864" s="811"/>
      <c r="L864" s="811"/>
      <c r="M864" s="811"/>
      <c r="N864" s="811"/>
      <c r="O864" s="811"/>
      <c r="P864" s="811"/>
      <c r="Q864" s="811"/>
      <c r="R864" s="811"/>
      <c r="S864" s="811"/>
      <c r="T864" s="811"/>
      <c r="U864" s="811"/>
      <c r="V864" s="811"/>
      <c r="W864" s="811"/>
      <c r="X864" s="811"/>
      <c r="Y864" s="811"/>
      <c r="Z864" s="811"/>
    </row>
    <row r="865" spans="1:26" ht="15" thickBot="1">
      <c r="A865" s="811"/>
      <c r="B865" s="811"/>
      <c r="C865" s="811"/>
      <c r="D865" s="811"/>
      <c r="E865" s="811"/>
      <c r="F865" s="811"/>
      <c r="G865" s="811"/>
      <c r="H865" s="811"/>
      <c r="I865" s="811"/>
      <c r="J865" s="811"/>
      <c r="K865" s="811"/>
      <c r="L865" s="811"/>
      <c r="M865" s="811"/>
      <c r="N865" s="811"/>
      <c r="O865" s="811"/>
      <c r="P865" s="811"/>
      <c r="Q865" s="811"/>
      <c r="R865" s="811"/>
      <c r="S865" s="811"/>
      <c r="T865" s="811"/>
      <c r="U865" s="811"/>
      <c r="V865" s="811"/>
      <c r="W865" s="811"/>
      <c r="X865" s="811"/>
      <c r="Y865" s="811"/>
      <c r="Z865" s="811"/>
    </row>
    <row r="866" spans="1:26" ht="15" thickBot="1">
      <c r="A866" s="811"/>
      <c r="B866" s="811"/>
      <c r="C866" s="811"/>
      <c r="D866" s="811"/>
      <c r="E866" s="811"/>
      <c r="F866" s="811"/>
      <c r="G866" s="811"/>
      <c r="H866" s="811"/>
      <c r="I866" s="811"/>
      <c r="J866" s="811"/>
      <c r="K866" s="811"/>
      <c r="L866" s="811"/>
      <c r="M866" s="811"/>
      <c r="N866" s="811"/>
      <c r="O866" s="811"/>
      <c r="P866" s="811"/>
      <c r="Q866" s="811"/>
      <c r="R866" s="811"/>
      <c r="S866" s="811"/>
      <c r="T866" s="811"/>
      <c r="U866" s="811"/>
      <c r="V866" s="811"/>
      <c r="W866" s="811"/>
      <c r="X866" s="811"/>
      <c r="Y866" s="811"/>
      <c r="Z866" s="811"/>
    </row>
    <row r="867" spans="1:26" ht="15" thickBot="1">
      <c r="A867" s="811"/>
      <c r="B867" s="811"/>
      <c r="C867" s="811"/>
      <c r="D867" s="811"/>
      <c r="E867" s="811"/>
      <c r="F867" s="811"/>
      <c r="G867" s="811"/>
      <c r="H867" s="811"/>
      <c r="I867" s="811"/>
      <c r="J867" s="811"/>
      <c r="K867" s="811"/>
      <c r="L867" s="811"/>
      <c r="M867" s="811"/>
      <c r="N867" s="811"/>
      <c r="O867" s="811"/>
      <c r="P867" s="811"/>
      <c r="Q867" s="811"/>
      <c r="R867" s="811"/>
      <c r="S867" s="811"/>
      <c r="T867" s="811"/>
      <c r="U867" s="811"/>
      <c r="V867" s="811"/>
      <c r="W867" s="811"/>
      <c r="X867" s="811"/>
      <c r="Y867" s="811"/>
      <c r="Z867" s="811"/>
    </row>
    <row r="868" spans="1:26" ht="15" thickBot="1">
      <c r="A868" s="811"/>
      <c r="B868" s="811"/>
      <c r="C868" s="811"/>
      <c r="D868" s="811"/>
      <c r="E868" s="811"/>
      <c r="F868" s="811"/>
      <c r="G868" s="811"/>
      <c r="H868" s="811"/>
      <c r="I868" s="811"/>
      <c r="J868" s="811"/>
      <c r="K868" s="811"/>
      <c r="L868" s="811"/>
      <c r="M868" s="811"/>
      <c r="N868" s="811"/>
      <c r="O868" s="811"/>
      <c r="P868" s="811"/>
      <c r="Q868" s="811"/>
      <c r="R868" s="811"/>
      <c r="S868" s="811"/>
      <c r="T868" s="811"/>
      <c r="U868" s="811"/>
      <c r="V868" s="811"/>
      <c r="W868" s="811"/>
      <c r="X868" s="811"/>
      <c r="Y868" s="811"/>
      <c r="Z868" s="811"/>
    </row>
    <row r="869" spans="1:26" ht="15" thickBot="1">
      <c r="A869" s="811"/>
      <c r="B869" s="811"/>
      <c r="C869" s="811"/>
      <c r="D869" s="811"/>
      <c r="E869" s="811"/>
      <c r="F869" s="811"/>
      <c r="G869" s="811"/>
      <c r="H869" s="811"/>
      <c r="I869" s="811"/>
      <c r="J869" s="811"/>
      <c r="K869" s="811"/>
      <c r="L869" s="811"/>
      <c r="M869" s="811"/>
      <c r="N869" s="811"/>
      <c r="O869" s="811"/>
      <c r="P869" s="811"/>
      <c r="Q869" s="811"/>
      <c r="R869" s="811"/>
      <c r="S869" s="811"/>
      <c r="T869" s="811"/>
      <c r="U869" s="811"/>
      <c r="V869" s="811"/>
      <c r="W869" s="811"/>
      <c r="X869" s="811"/>
      <c r="Y869" s="811"/>
      <c r="Z869" s="811"/>
    </row>
    <row r="870" spans="1:26" ht="15" thickBot="1">
      <c r="A870" s="811"/>
      <c r="B870" s="811"/>
      <c r="C870" s="811"/>
      <c r="D870" s="811"/>
      <c r="E870" s="811"/>
      <c r="F870" s="811"/>
      <c r="G870" s="811"/>
      <c r="H870" s="811"/>
      <c r="I870" s="811"/>
      <c r="J870" s="811"/>
      <c r="K870" s="811"/>
      <c r="L870" s="811"/>
      <c r="M870" s="811"/>
      <c r="N870" s="811"/>
      <c r="O870" s="811"/>
      <c r="P870" s="811"/>
      <c r="Q870" s="811"/>
      <c r="R870" s="811"/>
      <c r="S870" s="811"/>
      <c r="T870" s="811"/>
      <c r="U870" s="811"/>
      <c r="V870" s="811"/>
      <c r="W870" s="811"/>
      <c r="X870" s="811"/>
      <c r="Y870" s="811"/>
      <c r="Z870" s="811"/>
    </row>
    <row r="871" spans="1:26" ht="15" thickBot="1">
      <c r="A871" s="811"/>
      <c r="B871" s="811"/>
      <c r="C871" s="811"/>
      <c r="D871" s="811"/>
      <c r="E871" s="811"/>
      <c r="F871" s="811"/>
      <c r="G871" s="811"/>
      <c r="H871" s="811"/>
      <c r="I871" s="811"/>
      <c r="J871" s="811"/>
      <c r="K871" s="811"/>
      <c r="L871" s="811"/>
      <c r="M871" s="811"/>
      <c r="N871" s="811"/>
      <c r="O871" s="811"/>
      <c r="P871" s="811"/>
      <c r="Q871" s="811"/>
      <c r="R871" s="811"/>
      <c r="S871" s="811"/>
      <c r="T871" s="811"/>
      <c r="U871" s="811"/>
      <c r="V871" s="811"/>
      <c r="W871" s="811"/>
      <c r="X871" s="811"/>
      <c r="Y871" s="811"/>
      <c r="Z871" s="811"/>
    </row>
    <row r="872" spans="1:26" ht="15" thickBot="1">
      <c r="A872" s="811"/>
      <c r="B872" s="811"/>
      <c r="C872" s="811"/>
      <c r="D872" s="811"/>
      <c r="E872" s="811"/>
      <c r="F872" s="811"/>
      <c r="G872" s="811"/>
      <c r="H872" s="811"/>
      <c r="I872" s="811"/>
      <c r="J872" s="811"/>
      <c r="K872" s="811"/>
      <c r="L872" s="811"/>
      <c r="M872" s="811"/>
      <c r="N872" s="811"/>
      <c r="O872" s="811"/>
      <c r="P872" s="811"/>
      <c r="Q872" s="811"/>
      <c r="R872" s="811"/>
      <c r="S872" s="811"/>
      <c r="T872" s="811"/>
      <c r="U872" s="811"/>
      <c r="V872" s="811"/>
      <c r="W872" s="811"/>
      <c r="X872" s="811"/>
      <c r="Y872" s="811"/>
      <c r="Z872" s="811"/>
    </row>
    <row r="873" spans="1:26" ht="15" thickBot="1">
      <c r="A873" s="811"/>
      <c r="B873" s="811"/>
      <c r="C873" s="811"/>
      <c r="D873" s="811"/>
      <c r="E873" s="811"/>
      <c r="F873" s="811"/>
      <c r="G873" s="811"/>
      <c r="H873" s="811"/>
      <c r="I873" s="811"/>
      <c r="J873" s="811"/>
      <c r="K873" s="811"/>
      <c r="L873" s="811"/>
      <c r="M873" s="811"/>
      <c r="N873" s="811"/>
      <c r="O873" s="811"/>
      <c r="P873" s="811"/>
      <c r="Q873" s="811"/>
      <c r="R873" s="811"/>
      <c r="S873" s="811"/>
      <c r="T873" s="811"/>
      <c r="U873" s="811"/>
      <c r="V873" s="811"/>
      <c r="W873" s="811"/>
      <c r="X873" s="811"/>
      <c r="Y873" s="811"/>
      <c r="Z873" s="811"/>
    </row>
    <row r="874" spans="1:26" ht="15" thickBot="1">
      <c r="A874" s="811"/>
      <c r="B874" s="811"/>
      <c r="C874" s="811"/>
      <c r="D874" s="811"/>
      <c r="E874" s="811"/>
      <c r="F874" s="811"/>
      <c r="G874" s="811"/>
      <c r="H874" s="811"/>
      <c r="I874" s="811"/>
      <c r="J874" s="811"/>
      <c r="K874" s="811"/>
      <c r="L874" s="811"/>
      <c r="M874" s="811"/>
      <c r="N874" s="811"/>
      <c r="O874" s="811"/>
      <c r="P874" s="811"/>
      <c r="Q874" s="811"/>
      <c r="R874" s="811"/>
      <c r="S874" s="811"/>
      <c r="T874" s="811"/>
      <c r="U874" s="811"/>
      <c r="V874" s="811"/>
      <c r="W874" s="811"/>
      <c r="X874" s="811"/>
      <c r="Y874" s="811"/>
      <c r="Z874" s="811"/>
    </row>
    <row r="875" spans="1:26" ht="15" thickBot="1">
      <c r="A875" s="811"/>
      <c r="B875" s="811"/>
      <c r="C875" s="811"/>
      <c r="D875" s="811"/>
      <c r="E875" s="811"/>
      <c r="F875" s="811"/>
      <c r="G875" s="811"/>
      <c r="H875" s="811"/>
      <c r="I875" s="811"/>
      <c r="J875" s="811"/>
      <c r="K875" s="811"/>
      <c r="L875" s="811"/>
      <c r="M875" s="811"/>
      <c r="N875" s="811"/>
      <c r="O875" s="811"/>
      <c r="P875" s="811"/>
      <c r="Q875" s="811"/>
      <c r="R875" s="811"/>
      <c r="S875" s="811"/>
      <c r="T875" s="811"/>
      <c r="U875" s="811"/>
      <c r="V875" s="811"/>
      <c r="W875" s="811"/>
      <c r="X875" s="811"/>
      <c r="Y875" s="811"/>
      <c r="Z875" s="811"/>
    </row>
    <row r="876" spans="1:26" ht="15" thickBot="1">
      <c r="A876" s="811"/>
      <c r="B876" s="811"/>
      <c r="C876" s="811"/>
      <c r="D876" s="811"/>
      <c r="E876" s="811"/>
      <c r="F876" s="811"/>
      <c r="G876" s="811"/>
      <c r="H876" s="811"/>
      <c r="I876" s="811"/>
      <c r="J876" s="811"/>
      <c r="K876" s="811"/>
      <c r="L876" s="811"/>
      <c r="M876" s="811"/>
      <c r="N876" s="811"/>
      <c r="O876" s="811"/>
      <c r="P876" s="811"/>
      <c r="Q876" s="811"/>
      <c r="R876" s="811"/>
      <c r="S876" s="811"/>
      <c r="T876" s="811"/>
      <c r="U876" s="811"/>
      <c r="V876" s="811"/>
      <c r="W876" s="811"/>
      <c r="X876" s="811"/>
      <c r="Y876" s="811"/>
      <c r="Z876" s="811"/>
    </row>
    <row r="877" spans="1:26" ht="15" thickBot="1">
      <c r="A877" s="811"/>
      <c r="B877" s="811"/>
      <c r="C877" s="811"/>
      <c r="D877" s="811"/>
      <c r="E877" s="811"/>
      <c r="F877" s="811"/>
      <c r="G877" s="811"/>
      <c r="H877" s="811"/>
      <c r="I877" s="811"/>
      <c r="J877" s="811"/>
      <c r="K877" s="811"/>
      <c r="L877" s="811"/>
      <c r="M877" s="811"/>
      <c r="N877" s="811"/>
      <c r="O877" s="811"/>
      <c r="P877" s="811"/>
      <c r="Q877" s="811"/>
      <c r="R877" s="811"/>
      <c r="S877" s="811"/>
      <c r="T877" s="811"/>
      <c r="U877" s="811"/>
      <c r="V877" s="811"/>
      <c r="W877" s="811"/>
      <c r="X877" s="811"/>
      <c r="Y877" s="811"/>
      <c r="Z877" s="811"/>
    </row>
    <row r="878" spans="1:26" ht="15" thickBot="1">
      <c r="A878" s="811"/>
      <c r="B878" s="811"/>
      <c r="C878" s="811"/>
      <c r="D878" s="811"/>
      <c r="E878" s="811"/>
      <c r="F878" s="811"/>
      <c r="G878" s="811"/>
      <c r="H878" s="811"/>
      <c r="I878" s="811"/>
      <c r="J878" s="811"/>
      <c r="K878" s="811"/>
      <c r="L878" s="811"/>
      <c r="M878" s="811"/>
      <c r="N878" s="811"/>
      <c r="O878" s="811"/>
      <c r="P878" s="811"/>
      <c r="Q878" s="811"/>
      <c r="R878" s="811"/>
      <c r="S878" s="811"/>
      <c r="T878" s="811"/>
      <c r="U878" s="811"/>
      <c r="V878" s="811"/>
      <c r="W878" s="811"/>
      <c r="X878" s="811"/>
      <c r="Y878" s="811"/>
      <c r="Z878" s="811"/>
    </row>
    <row r="879" spans="1:26" ht="15" thickBot="1">
      <c r="A879" s="811"/>
      <c r="B879" s="811"/>
      <c r="C879" s="811"/>
      <c r="D879" s="811"/>
      <c r="E879" s="811"/>
      <c r="F879" s="811"/>
      <c r="G879" s="811"/>
      <c r="H879" s="811"/>
      <c r="I879" s="811"/>
      <c r="J879" s="811"/>
      <c r="K879" s="811"/>
      <c r="L879" s="811"/>
      <c r="M879" s="811"/>
      <c r="N879" s="811"/>
      <c r="O879" s="811"/>
      <c r="P879" s="811"/>
      <c r="Q879" s="811"/>
      <c r="R879" s="811"/>
      <c r="S879" s="811"/>
      <c r="T879" s="811"/>
      <c r="U879" s="811"/>
      <c r="V879" s="811"/>
      <c r="W879" s="811"/>
      <c r="X879" s="811"/>
      <c r="Y879" s="811"/>
      <c r="Z879" s="811"/>
    </row>
    <row r="880" spans="1:26" ht="15" thickBot="1">
      <c r="A880" s="811"/>
      <c r="B880" s="811"/>
      <c r="C880" s="811"/>
      <c r="D880" s="811"/>
      <c r="E880" s="811"/>
      <c r="F880" s="811"/>
      <c r="G880" s="811"/>
      <c r="H880" s="811"/>
      <c r="I880" s="811"/>
      <c r="J880" s="811"/>
      <c r="K880" s="811"/>
      <c r="L880" s="811"/>
      <c r="M880" s="811"/>
      <c r="N880" s="811"/>
      <c r="O880" s="811"/>
      <c r="P880" s="811"/>
      <c r="Q880" s="811"/>
      <c r="R880" s="811"/>
      <c r="S880" s="811"/>
      <c r="T880" s="811"/>
      <c r="U880" s="811"/>
      <c r="V880" s="811"/>
      <c r="W880" s="811"/>
      <c r="X880" s="811"/>
      <c r="Y880" s="811"/>
      <c r="Z880" s="811"/>
    </row>
    <row r="881" spans="1:26" ht="15" thickBot="1">
      <c r="A881" s="811"/>
      <c r="B881" s="811"/>
      <c r="C881" s="811"/>
      <c r="D881" s="811"/>
      <c r="E881" s="811"/>
      <c r="F881" s="811"/>
      <c r="G881" s="811"/>
      <c r="H881" s="811"/>
      <c r="I881" s="811"/>
      <c r="J881" s="811"/>
      <c r="K881" s="811"/>
      <c r="L881" s="811"/>
      <c r="M881" s="811"/>
      <c r="N881" s="811"/>
      <c r="O881" s="811"/>
      <c r="P881" s="811"/>
      <c r="Q881" s="811"/>
      <c r="R881" s="811"/>
      <c r="S881" s="811"/>
      <c r="T881" s="811"/>
      <c r="U881" s="811"/>
      <c r="V881" s="811"/>
      <c r="W881" s="811"/>
      <c r="X881" s="811"/>
      <c r="Y881" s="811"/>
      <c r="Z881" s="811"/>
    </row>
    <row r="882" spans="1:26" ht="15" thickBot="1">
      <c r="A882" s="811"/>
      <c r="B882" s="811"/>
      <c r="C882" s="811"/>
      <c r="D882" s="811"/>
      <c r="E882" s="811"/>
      <c r="F882" s="811"/>
      <c r="G882" s="811"/>
      <c r="H882" s="811"/>
      <c r="I882" s="811"/>
      <c r="J882" s="811"/>
      <c r="K882" s="811"/>
      <c r="L882" s="811"/>
      <c r="M882" s="811"/>
      <c r="N882" s="811"/>
      <c r="O882" s="811"/>
      <c r="P882" s="811"/>
      <c r="Q882" s="811"/>
      <c r="R882" s="811"/>
      <c r="S882" s="811"/>
      <c r="T882" s="811"/>
      <c r="U882" s="811"/>
      <c r="V882" s="811"/>
      <c r="W882" s="811"/>
      <c r="X882" s="811"/>
      <c r="Y882" s="811"/>
      <c r="Z882" s="811"/>
    </row>
    <row r="883" spans="1:26" ht="15" thickBot="1">
      <c r="A883" s="811"/>
      <c r="B883" s="811"/>
      <c r="C883" s="811"/>
      <c r="D883" s="811"/>
      <c r="E883" s="811"/>
      <c r="F883" s="811"/>
      <c r="G883" s="811"/>
      <c r="H883" s="811"/>
      <c r="I883" s="811"/>
      <c r="J883" s="811"/>
      <c r="K883" s="811"/>
      <c r="L883" s="811"/>
      <c r="M883" s="811"/>
      <c r="N883" s="811"/>
      <c r="O883" s="811"/>
      <c r="P883" s="811"/>
      <c r="Q883" s="811"/>
      <c r="R883" s="811"/>
      <c r="S883" s="811"/>
      <c r="T883" s="811"/>
      <c r="U883" s="811"/>
      <c r="V883" s="811"/>
      <c r="W883" s="811"/>
      <c r="X883" s="811"/>
      <c r="Y883" s="811"/>
      <c r="Z883" s="811"/>
    </row>
    <row r="884" spans="1:26" ht="15" thickBot="1">
      <c r="A884" s="811"/>
      <c r="B884" s="811"/>
      <c r="C884" s="811"/>
      <c r="D884" s="811"/>
      <c r="E884" s="811"/>
      <c r="F884" s="811"/>
      <c r="G884" s="811"/>
      <c r="H884" s="811"/>
      <c r="I884" s="811"/>
      <c r="J884" s="811"/>
      <c r="K884" s="811"/>
      <c r="L884" s="811"/>
      <c r="M884" s="811"/>
      <c r="N884" s="811"/>
      <c r="O884" s="811"/>
      <c r="P884" s="811"/>
      <c r="Q884" s="811"/>
      <c r="R884" s="811"/>
      <c r="S884" s="811"/>
      <c r="T884" s="811"/>
      <c r="U884" s="811"/>
      <c r="V884" s="811"/>
      <c r="W884" s="811"/>
      <c r="X884" s="811"/>
      <c r="Y884" s="811"/>
      <c r="Z884" s="811"/>
    </row>
    <row r="885" spans="1:26" ht="15" thickBot="1">
      <c r="A885" s="811"/>
      <c r="B885" s="811"/>
      <c r="C885" s="811"/>
      <c r="D885" s="811"/>
      <c r="E885" s="811"/>
      <c r="F885" s="811"/>
      <c r="G885" s="811"/>
      <c r="H885" s="811"/>
      <c r="I885" s="811"/>
      <c r="J885" s="811"/>
      <c r="K885" s="811"/>
      <c r="L885" s="811"/>
      <c r="M885" s="811"/>
      <c r="N885" s="811"/>
      <c r="O885" s="811"/>
      <c r="P885" s="811"/>
      <c r="Q885" s="811"/>
      <c r="R885" s="811"/>
      <c r="S885" s="811"/>
      <c r="T885" s="811"/>
      <c r="U885" s="811"/>
      <c r="V885" s="811"/>
      <c r="W885" s="811"/>
      <c r="X885" s="811"/>
      <c r="Y885" s="811"/>
      <c r="Z885" s="811"/>
    </row>
    <row r="886" spans="1:26" ht="15" thickBot="1">
      <c r="A886" s="811"/>
      <c r="B886" s="811"/>
      <c r="C886" s="811"/>
      <c r="D886" s="811"/>
      <c r="E886" s="811"/>
      <c r="F886" s="811"/>
      <c r="G886" s="811"/>
      <c r="H886" s="811"/>
      <c r="I886" s="811"/>
      <c r="J886" s="811"/>
      <c r="K886" s="811"/>
      <c r="L886" s="811"/>
      <c r="M886" s="811"/>
      <c r="N886" s="811"/>
      <c r="O886" s="811"/>
      <c r="P886" s="811"/>
      <c r="Q886" s="811"/>
      <c r="R886" s="811"/>
      <c r="S886" s="811"/>
      <c r="T886" s="811"/>
      <c r="U886" s="811"/>
      <c r="V886" s="811"/>
      <c r="W886" s="811"/>
      <c r="X886" s="811"/>
      <c r="Y886" s="811"/>
      <c r="Z886" s="811"/>
    </row>
    <row r="887" spans="1:26" ht="15" thickBot="1">
      <c r="A887" s="811"/>
      <c r="B887" s="811"/>
      <c r="C887" s="811"/>
      <c r="D887" s="811"/>
      <c r="E887" s="811"/>
      <c r="F887" s="811"/>
      <c r="G887" s="811"/>
      <c r="H887" s="811"/>
      <c r="I887" s="811"/>
      <c r="J887" s="811"/>
      <c r="K887" s="811"/>
      <c r="L887" s="811"/>
      <c r="M887" s="811"/>
      <c r="N887" s="811"/>
      <c r="O887" s="811"/>
      <c r="P887" s="811"/>
      <c r="Q887" s="811"/>
      <c r="R887" s="811"/>
      <c r="S887" s="811"/>
      <c r="T887" s="811"/>
      <c r="U887" s="811"/>
      <c r="V887" s="811"/>
      <c r="W887" s="811"/>
      <c r="X887" s="811"/>
      <c r="Y887" s="811"/>
      <c r="Z887" s="811"/>
    </row>
    <row r="888" spans="1:26" ht="15" thickBot="1">
      <c r="A888" s="811"/>
      <c r="B888" s="811"/>
      <c r="C888" s="811"/>
      <c r="D888" s="811"/>
      <c r="E888" s="811"/>
      <c r="F888" s="811"/>
      <c r="G888" s="811"/>
      <c r="H888" s="811"/>
      <c r="I888" s="811"/>
      <c r="J888" s="811"/>
      <c r="K888" s="811"/>
      <c r="L888" s="811"/>
      <c r="M888" s="811"/>
      <c r="N888" s="811"/>
      <c r="O888" s="811"/>
      <c r="P888" s="811"/>
      <c r="Q888" s="811"/>
      <c r="R888" s="811"/>
      <c r="S888" s="811"/>
      <c r="T888" s="811"/>
      <c r="U888" s="811"/>
      <c r="V888" s="811"/>
      <c r="W888" s="811"/>
      <c r="X888" s="811"/>
      <c r="Y888" s="811"/>
      <c r="Z888" s="811"/>
    </row>
    <row r="889" spans="1:26" ht="15" thickBot="1">
      <c r="A889" s="811"/>
      <c r="B889" s="811"/>
      <c r="C889" s="811"/>
      <c r="D889" s="811"/>
      <c r="E889" s="811"/>
      <c r="F889" s="811"/>
      <c r="G889" s="811"/>
      <c r="H889" s="811"/>
      <c r="I889" s="811"/>
      <c r="J889" s="811"/>
      <c r="K889" s="811"/>
      <c r="L889" s="811"/>
      <c r="M889" s="811"/>
      <c r="N889" s="811"/>
      <c r="O889" s="811"/>
      <c r="P889" s="811"/>
      <c r="Q889" s="811"/>
      <c r="R889" s="811"/>
      <c r="S889" s="811"/>
      <c r="T889" s="811"/>
      <c r="U889" s="811"/>
      <c r="V889" s="811"/>
      <c r="W889" s="811"/>
      <c r="X889" s="811"/>
      <c r="Y889" s="811"/>
      <c r="Z889" s="811"/>
    </row>
    <row r="890" spans="1:26" ht="15" thickBot="1">
      <c r="A890" s="811"/>
      <c r="B890" s="811"/>
      <c r="C890" s="811"/>
      <c r="D890" s="811"/>
      <c r="E890" s="811"/>
      <c r="F890" s="811"/>
      <c r="G890" s="811"/>
      <c r="H890" s="811"/>
      <c r="I890" s="811"/>
      <c r="J890" s="811"/>
      <c r="K890" s="811"/>
      <c r="L890" s="811"/>
      <c r="M890" s="811"/>
      <c r="N890" s="811"/>
      <c r="O890" s="811"/>
      <c r="P890" s="811"/>
      <c r="Q890" s="811"/>
      <c r="R890" s="811"/>
      <c r="S890" s="811"/>
      <c r="T890" s="811"/>
      <c r="U890" s="811"/>
      <c r="V890" s="811"/>
      <c r="W890" s="811"/>
      <c r="X890" s="811"/>
      <c r="Y890" s="811"/>
      <c r="Z890" s="811"/>
    </row>
    <row r="891" spans="1:26" ht="15" thickBot="1">
      <c r="A891" s="811"/>
      <c r="B891" s="811"/>
      <c r="C891" s="811"/>
      <c r="D891" s="811"/>
      <c r="E891" s="811"/>
      <c r="F891" s="811"/>
      <c r="G891" s="811"/>
      <c r="H891" s="811"/>
      <c r="I891" s="811"/>
      <c r="J891" s="811"/>
      <c r="K891" s="811"/>
      <c r="L891" s="811"/>
      <c r="M891" s="811"/>
      <c r="N891" s="811"/>
      <c r="O891" s="811"/>
      <c r="P891" s="811"/>
      <c r="Q891" s="811"/>
      <c r="R891" s="811"/>
      <c r="S891" s="811"/>
      <c r="T891" s="811"/>
      <c r="U891" s="811"/>
      <c r="V891" s="811"/>
      <c r="W891" s="811"/>
      <c r="X891" s="811"/>
      <c r="Y891" s="811"/>
      <c r="Z891" s="811"/>
    </row>
    <row r="892" spans="1:26" ht="15" thickBot="1">
      <c r="A892" s="811"/>
      <c r="B892" s="811"/>
      <c r="C892" s="811"/>
      <c r="D892" s="811"/>
      <c r="E892" s="811"/>
      <c r="F892" s="811"/>
      <c r="G892" s="811"/>
      <c r="H892" s="811"/>
      <c r="I892" s="811"/>
      <c r="J892" s="811"/>
      <c r="K892" s="811"/>
      <c r="L892" s="811"/>
      <c r="M892" s="811"/>
      <c r="N892" s="811"/>
      <c r="O892" s="811"/>
      <c r="P892" s="811"/>
      <c r="Q892" s="811"/>
      <c r="R892" s="811"/>
      <c r="S892" s="811"/>
      <c r="T892" s="811"/>
      <c r="U892" s="811"/>
      <c r="V892" s="811"/>
      <c r="W892" s="811"/>
      <c r="X892" s="811"/>
      <c r="Y892" s="811"/>
      <c r="Z892" s="811"/>
    </row>
    <row r="893" spans="1:26" ht="15" thickBot="1">
      <c r="A893" s="811"/>
      <c r="B893" s="811"/>
      <c r="C893" s="811"/>
      <c r="D893" s="811"/>
      <c r="E893" s="811"/>
      <c r="F893" s="811"/>
      <c r="G893" s="811"/>
      <c r="H893" s="811"/>
      <c r="I893" s="811"/>
      <c r="J893" s="811"/>
      <c r="K893" s="811"/>
      <c r="L893" s="811"/>
      <c r="M893" s="811"/>
      <c r="N893" s="811"/>
      <c r="O893" s="811"/>
      <c r="P893" s="811"/>
      <c r="Q893" s="811"/>
      <c r="R893" s="811"/>
      <c r="S893" s="811"/>
      <c r="T893" s="811"/>
      <c r="U893" s="811"/>
      <c r="V893" s="811"/>
      <c r="W893" s="811"/>
      <c r="X893" s="811"/>
      <c r="Y893" s="811"/>
      <c r="Z893" s="811"/>
    </row>
    <row r="894" spans="1:26" ht="15" thickBot="1">
      <c r="A894" s="811"/>
      <c r="B894" s="811"/>
      <c r="C894" s="811"/>
      <c r="D894" s="811"/>
      <c r="E894" s="811"/>
      <c r="F894" s="811"/>
      <c r="G894" s="811"/>
      <c r="H894" s="811"/>
      <c r="I894" s="811"/>
      <c r="J894" s="811"/>
      <c r="K894" s="811"/>
      <c r="L894" s="811"/>
      <c r="M894" s="811"/>
      <c r="N894" s="811"/>
      <c r="O894" s="811"/>
      <c r="P894" s="811"/>
      <c r="Q894" s="811"/>
      <c r="R894" s="811"/>
      <c r="S894" s="811"/>
      <c r="T894" s="811"/>
      <c r="U894" s="811"/>
      <c r="V894" s="811"/>
      <c r="W894" s="811"/>
      <c r="X894" s="811"/>
      <c r="Y894" s="811"/>
      <c r="Z894" s="811"/>
    </row>
    <row r="895" spans="1:26" ht="15" thickBot="1">
      <c r="A895" s="811"/>
      <c r="B895" s="811"/>
      <c r="C895" s="811"/>
      <c r="D895" s="811"/>
      <c r="E895" s="811"/>
      <c r="F895" s="811"/>
      <c r="G895" s="811"/>
      <c r="H895" s="811"/>
      <c r="I895" s="811"/>
      <c r="J895" s="811"/>
      <c r="K895" s="811"/>
      <c r="L895" s="811"/>
      <c r="M895" s="811"/>
      <c r="N895" s="811"/>
      <c r="O895" s="811"/>
      <c r="P895" s="811"/>
      <c r="Q895" s="811"/>
      <c r="R895" s="811"/>
      <c r="S895" s="811"/>
      <c r="T895" s="811"/>
      <c r="U895" s="811"/>
      <c r="V895" s="811"/>
      <c r="W895" s="811"/>
      <c r="X895" s="811"/>
      <c r="Y895" s="811"/>
      <c r="Z895" s="811"/>
    </row>
    <row r="896" spans="1:26" ht="15" thickBot="1">
      <c r="A896" s="811"/>
      <c r="B896" s="811"/>
      <c r="C896" s="811"/>
      <c r="D896" s="811"/>
      <c r="E896" s="811"/>
      <c r="F896" s="811"/>
      <c r="G896" s="811"/>
      <c r="H896" s="811"/>
      <c r="I896" s="811"/>
      <c r="J896" s="811"/>
      <c r="K896" s="811"/>
      <c r="L896" s="811"/>
      <c r="M896" s="811"/>
      <c r="N896" s="811"/>
      <c r="O896" s="811"/>
      <c r="P896" s="811"/>
      <c r="Q896" s="811"/>
      <c r="R896" s="811"/>
      <c r="S896" s="811"/>
      <c r="T896" s="811"/>
      <c r="U896" s="811"/>
      <c r="V896" s="811"/>
      <c r="W896" s="811"/>
      <c r="X896" s="811"/>
      <c r="Y896" s="811"/>
      <c r="Z896" s="811"/>
    </row>
    <row r="897" spans="1:26" ht="15" thickBot="1">
      <c r="A897" s="811"/>
      <c r="B897" s="811"/>
      <c r="C897" s="811"/>
      <c r="D897" s="811"/>
      <c r="E897" s="811"/>
      <c r="F897" s="811"/>
      <c r="G897" s="811"/>
      <c r="H897" s="811"/>
      <c r="I897" s="811"/>
      <c r="J897" s="811"/>
      <c r="K897" s="811"/>
      <c r="L897" s="811"/>
      <c r="M897" s="811"/>
      <c r="N897" s="811"/>
      <c r="O897" s="811"/>
      <c r="P897" s="811"/>
      <c r="Q897" s="811"/>
      <c r="R897" s="811"/>
      <c r="S897" s="811"/>
      <c r="T897" s="811"/>
      <c r="U897" s="811"/>
      <c r="V897" s="811"/>
      <c r="W897" s="811"/>
      <c r="X897" s="811"/>
      <c r="Y897" s="811"/>
      <c r="Z897" s="811"/>
    </row>
    <row r="898" spans="1:26" ht="15" thickBot="1">
      <c r="A898" s="811"/>
      <c r="B898" s="811"/>
      <c r="C898" s="811"/>
      <c r="D898" s="811"/>
      <c r="E898" s="811"/>
      <c r="F898" s="811"/>
      <c r="G898" s="811"/>
      <c r="H898" s="811"/>
      <c r="I898" s="811"/>
      <c r="J898" s="811"/>
      <c r="K898" s="811"/>
      <c r="L898" s="811"/>
      <c r="M898" s="811"/>
      <c r="N898" s="811"/>
      <c r="O898" s="811"/>
      <c r="P898" s="811"/>
      <c r="Q898" s="811"/>
      <c r="R898" s="811"/>
      <c r="S898" s="811"/>
      <c r="T898" s="811"/>
      <c r="U898" s="811"/>
      <c r="V898" s="811"/>
      <c r="W898" s="811"/>
      <c r="X898" s="811"/>
      <c r="Y898" s="811"/>
      <c r="Z898" s="811"/>
    </row>
    <row r="899" spans="1:26" ht="15" thickBot="1">
      <c r="A899" s="811"/>
      <c r="B899" s="811"/>
      <c r="C899" s="811"/>
      <c r="D899" s="811"/>
      <c r="E899" s="811"/>
      <c r="F899" s="811"/>
      <c r="G899" s="811"/>
      <c r="H899" s="811"/>
      <c r="I899" s="811"/>
      <c r="J899" s="811"/>
      <c r="K899" s="811"/>
      <c r="L899" s="811"/>
      <c r="M899" s="811"/>
      <c r="N899" s="811"/>
      <c r="O899" s="811"/>
      <c r="P899" s="811"/>
      <c r="Q899" s="811"/>
      <c r="R899" s="811"/>
      <c r="S899" s="811"/>
      <c r="T899" s="811"/>
      <c r="U899" s="811"/>
      <c r="V899" s="811"/>
      <c r="W899" s="811"/>
      <c r="X899" s="811"/>
      <c r="Y899" s="811"/>
      <c r="Z899" s="811"/>
    </row>
    <row r="900" spans="1:26" ht="15" thickBot="1">
      <c r="A900" s="811"/>
      <c r="B900" s="811"/>
      <c r="C900" s="811"/>
      <c r="D900" s="811"/>
      <c r="E900" s="811"/>
      <c r="F900" s="811"/>
      <c r="G900" s="811"/>
      <c r="H900" s="811"/>
      <c r="I900" s="811"/>
      <c r="J900" s="811"/>
      <c r="K900" s="811"/>
      <c r="L900" s="811"/>
      <c r="M900" s="811"/>
      <c r="N900" s="811"/>
      <c r="O900" s="811"/>
      <c r="P900" s="811"/>
      <c r="Q900" s="811"/>
      <c r="R900" s="811"/>
      <c r="S900" s="811"/>
      <c r="T900" s="811"/>
      <c r="U900" s="811"/>
      <c r="V900" s="811"/>
      <c r="W900" s="811"/>
      <c r="X900" s="811"/>
      <c r="Y900" s="811"/>
      <c r="Z900" s="811"/>
    </row>
    <row r="901" spans="1:26" ht="15" thickBot="1">
      <c r="A901" s="811"/>
      <c r="B901" s="811"/>
      <c r="C901" s="811"/>
      <c r="D901" s="811"/>
      <c r="E901" s="811"/>
      <c r="F901" s="811"/>
      <c r="G901" s="811"/>
      <c r="H901" s="811"/>
      <c r="I901" s="811"/>
      <c r="J901" s="811"/>
      <c r="K901" s="811"/>
      <c r="L901" s="811"/>
      <c r="M901" s="811"/>
      <c r="N901" s="811"/>
      <c r="O901" s="811"/>
      <c r="P901" s="811"/>
      <c r="Q901" s="811"/>
      <c r="R901" s="811"/>
      <c r="S901" s="811"/>
      <c r="T901" s="811"/>
      <c r="U901" s="811"/>
      <c r="V901" s="811"/>
      <c r="W901" s="811"/>
      <c r="X901" s="811"/>
      <c r="Y901" s="811"/>
      <c r="Z901" s="811"/>
    </row>
    <row r="902" spans="1:26" ht="15" thickBot="1">
      <c r="A902" s="811"/>
      <c r="B902" s="811"/>
      <c r="C902" s="811"/>
      <c r="D902" s="811"/>
      <c r="E902" s="811"/>
      <c r="F902" s="811"/>
      <c r="G902" s="811"/>
      <c r="H902" s="811"/>
      <c r="I902" s="811"/>
      <c r="J902" s="811"/>
      <c r="K902" s="811"/>
      <c r="L902" s="811"/>
      <c r="M902" s="811"/>
      <c r="N902" s="811"/>
      <c r="O902" s="811"/>
      <c r="P902" s="811"/>
      <c r="Q902" s="811"/>
      <c r="R902" s="811"/>
      <c r="S902" s="811"/>
      <c r="T902" s="811"/>
      <c r="U902" s="811"/>
      <c r="V902" s="811"/>
      <c r="W902" s="811"/>
      <c r="X902" s="811"/>
      <c r="Y902" s="811"/>
      <c r="Z902" s="811"/>
    </row>
    <row r="903" spans="1:26" ht="15" thickBot="1">
      <c r="A903" s="811"/>
      <c r="B903" s="811"/>
      <c r="C903" s="811"/>
      <c r="D903" s="811"/>
      <c r="E903" s="811"/>
      <c r="F903" s="811"/>
      <c r="G903" s="811"/>
      <c r="H903" s="811"/>
      <c r="I903" s="811"/>
      <c r="J903" s="811"/>
      <c r="K903" s="811"/>
      <c r="L903" s="811"/>
      <c r="M903" s="811"/>
      <c r="N903" s="811"/>
      <c r="O903" s="811"/>
      <c r="P903" s="811"/>
      <c r="Q903" s="811"/>
      <c r="R903" s="811"/>
      <c r="S903" s="811"/>
      <c r="T903" s="811"/>
      <c r="U903" s="811"/>
      <c r="V903" s="811"/>
      <c r="W903" s="811"/>
      <c r="X903" s="811"/>
      <c r="Y903" s="811"/>
      <c r="Z903" s="811"/>
    </row>
    <row r="904" spans="1:26" ht="15" thickBot="1">
      <c r="A904" s="811"/>
      <c r="B904" s="811"/>
      <c r="C904" s="811"/>
      <c r="D904" s="811"/>
      <c r="E904" s="811"/>
      <c r="F904" s="811"/>
      <c r="G904" s="811"/>
      <c r="H904" s="811"/>
      <c r="I904" s="811"/>
      <c r="J904" s="811"/>
      <c r="K904" s="811"/>
      <c r="L904" s="811"/>
      <c r="M904" s="811"/>
      <c r="N904" s="811"/>
      <c r="O904" s="811"/>
      <c r="P904" s="811"/>
      <c r="Q904" s="811"/>
      <c r="R904" s="811"/>
      <c r="S904" s="811"/>
      <c r="T904" s="811"/>
      <c r="U904" s="811"/>
      <c r="V904" s="811"/>
      <c r="W904" s="811"/>
      <c r="X904" s="811"/>
      <c r="Y904" s="811"/>
      <c r="Z904" s="811"/>
    </row>
    <row r="905" spans="1:26" ht="15" thickBot="1">
      <c r="A905" s="811"/>
      <c r="B905" s="811"/>
      <c r="C905" s="811"/>
      <c r="D905" s="811"/>
      <c r="E905" s="811"/>
      <c r="F905" s="811"/>
      <c r="G905" s="811"/>
      <c r="H905" s="811"/>
      <c r="I905" s="811"/>
      <c r="J905" s="811"/>
      <c r="K905" s="811"/>
      <c r="L905" s="811"/>
      <c r="M905" s="811"/>
      <c r="N905" s="811"/>
      <c r="O905" s="811"/>
      <c r="P905" s="811"/>
      <c r="Q905" s="811"/>
      <c r="R905" s="811"/>
      <c r="S905" s="811"/>
      <c r="T905" s="811"/>
      <c r="U905" s="811"/>
      <c r="V905" s="811"/>
      <c r="W905" s="811"/>
      <c r="X905" s="811"/>
      <c r="Y905" s="811"/>
      <c r="Z905" s="811"/>
    </row>
    <row r="906" spans="1:26" ht="15" thickBot="1">
      <c r="A906" s="811"/>
      <c r="B906" s="811"/>
      <c r="C906" s="811"/>
      <c r="D906" s="811"/>
      <c r="E906" s="811"/>
      <c r="F906" s="811"/>
      <c r="G906" s="811"/>
      <c r="H906" s="811"/>
      <c r="I906" s="811"/>
      <c r="J906" s="811"/>
      <c r="K906" s="811"/>
      <c r="L906" s="811"/>
      <c r="M906" s="811"/>
      <c r="N906" s="811"/>
      <c r="O906" s="811"/>
      <c r="P906" s="811"/>
      <c r="Q906" s="811"/>
      <c r="R906" s="811"/>
      <c r="S906" s="811"/>
      <c r="T906" s="811"/>
      <c r="U906" s="811"/>
      <c r="V906" s="811"/>
      <c r="W906" s="811"/>
      <c r="X906" s="811"/>
      <c r="Y906" s="811"/>
      <c r="Z906" s="811"/>
    </row>
    <row r="907" spans="1:26" ht="15" thickBot="1">
      <c r="A907" s="811"/>
      <c r="B907" s="811"/>
      <c r="C907" s="811"/>
      <c r="D907" s="811"/>
      <c r="E907" s="811"/>
      <c r="F907" s="811"/>
      <c r="G907" s="811"/>
      <c r="H907" s="811"/>
      <c r="I907" s="811"/>
      <c r="J907" s="811"/>
      <c r="K907" s="811"/>
      <c r="L907" s="811"/>
      <c r="M907" s="811"/>
      <c r="N907" s="811"/>
      <c r="O907" s="811"/>
      <c r="P907" s="811"/>
      <c r="Q907" s="811"/>
      <c r="R907" s="811"/>
      <c r="S907" s="811"/>
      <c r="T907" s="811"/>
      <c r="U907" s="811"/>
      <c r="V907" s="811"/>
      <c r="W907" s="811"/>
      <c r="X907" s="811"/>
      <c r="Y907" s="811"/>
      <c r="Z907" s="811"/>
    </row>
    <row r="908" spans="1:26" ht="15" thickBot="1">
      <c r="A908" s="811"/>
      <c r="B908" s="811"/>
      <c r="C908" s="811"/>
      <c r="D908" s="811"/>
      <c r="E908" s="811"/>
      <c r="F908" s="811"/>
      <c r="G908" s="811"/>
      <c r="H908" s="811"/>
      <c r="I908" s="811"/>
      <c r="J908" s="811"/>
      <c r="K908" s="811"/>
      <c r="L908" s="811"/>
      <c r="M908" s="811"/>
      <c r="N908" s="811"/>
      <c r="O908" s="811"/>
      <c r="P908" s="811"/>
      <c r="Q908" s="811"/>
      <c r="R908" s="811"/>
      <c r="S908" s="811"/>
      <c r="T908" s="811"/>
      <c r="U908" s="811"/>
      <c r="V908" s="811"/>
      <c r="W908" s="811"/>
      <c r="X908" s="811"/>
      <c r="Y908" s="811"/>
      <c r="Z908" s="811"/>
    </row>
    <row r="909" spans="1:26" ht="15" thickBot="1">
      <c r="A909" s="811"/>
      <c r="B909" s="811"/>
      <c r="C909" s="811"/>
      <c r="D909" s="811"/>
      <c r="E909" s="811"/>
      <c r="F909" s="811"/>
      <c r="G909" s="811"/>
      <c r="H909" s="811"/>
      <c r="I909" s="811"/>
      <c r="J909" s="811"/>
      <c r="K909" s="811"/>
      <c r="L909" s="811"/>
      <c r="M909" s="811"/>
      <c r="N909" s="811"/>
      <c r="O909" s="811"/>
      <c r="P909" s="811"/>
      <c r="Q909" s="811"/>
      <c r="R909" s="811"/>
      <c r="S909" s="811"/>
      <c r="T909" s="811"/>
      <c r="U909" s="811"/>
      <c r="V909" s="811"/>
      <c r="W909" s="811"/>
      <c r="X909" s="811"/>
      <c r="Y909" s="811"/>
      <c r="Z909" s="811"/>
    </row>
    <row r="910" spans="1:26" ht="15" thickBot="1">
      <c r="A910" s="811"/>
      <c r="B910" s="811"/>
      <c r="C910" s="811"/>
      <c r="D910" s="811"/>
      <c r="E910" s="811"/>
      <c r="F910" s="811"/>
      <c r="G910" s="811"/>
      <c r="H910" s="811"/>
      <c r="I910" s="811"/>
      <c r="J910" s="811"/>
      <c r="K910" s="811"/>
      <c r="L910" s="811"/>
      <c r="M910" s="811"/>
      <c r="N910" s="811"/>
      <c r="O910" s="811"/>
      <c r="P910" s="811"/>
      <c r="Q910" s="811"/>
      <c r="R910" s="811"/>
      <c r="S910" s="811"/>
      <c r="T910" s="811"/>
      <c r="U910" s="811"/>
      <c r="V910" s="811"/>
      <c r="W910" s="811"/>
      <c r="X910" s="811"/>
      <c r="Y910" s="811"/>
      <c r="Z910" s="811"/>
    </row>
    <row r="911" spans="1:26" ht="15" thickBot="1">
      <c r="A911" s="811"/>
      <c r="B911" s="811"/>
      <c r="C911" s="811"/>
      <c r="D911" s="811"/>
      <c r="E911" s="811"/>
      <c r="F911" s="811"/>
      <c r="G911" s="811"/>
      <c r="H911" s="811"/>
      <c r="I911" s="811"/>
      <c r="J911" s="811"/>
      <c r="K911" s="811"/>
      <c r="L911" s="811"/>
      <c r="M911" s="811"/>
      <c r="N911" s="811"/>
      <c r="O911" s="811"/>
      <c r="P911" s="811"/>
      <c r="Q911" s="811"/>
      <c r="R911" s="811"/>
      <c r="S911" s="811"/>
      <c r="T911" s="811"/>
      <c r="U911" s="811"/>
      <c r="V911" s="811"/>
      <c r="W911" s="811"/>
      <c r="X911" s="811"/>
      <c r="Y911" s="811"/>
      <c r="Z911" s="811"/>
    </row>
    <row r="912" spans="1:26" ht="15" thickBot="1">
      <c r="A912" s="811"/>
      <c r="B912" s="811"/>
      <c r="C912" s="811"/>
      <c r="D912" s="811"/>
      <c r="E912" s="811"/>
      <c r="F912" s="811"/>
      <c r="G912" s="811"/>
      <c r="H912" s="811"/>
      <c r="I912" s="811"/>
      <c r="J912" s="811"/>
      <c r="K912" s="811"/>
      <c r="L912" s="811"/>
      <c r="M912" s="811"/>
      <c r="N912" s="811"/>
      <c r="O912" s="811"/>
      <c r="P912" s="811"/>
      <c r="Q912" s="811"/>
      <c r="R912" s="811"/>
      <c r="S912" s="811"/>
      <c r="T912" s="811"/>
      <c r="U912" s="811"/>
      <c r="V912" s="811"/>
      <c r="W912" s="811"/>
      <c r="X912" s="811"/>
      <c r="Y912" s="811"/>
      <c r="Z912" s="811"/>
    </row>
    <row r="913" spans="1:26" ht="15" thickBot="1">
      <c r="A913" s="811"/>
      <c r="B913" s="811"/>
      <c r="C913" s="811"/>
      <c r="D913" s="811"/>
      <c r="E913" s="811"/>
      <c r="F913" s="811"/>
      <c r="G913" s="811"/>
      <c r="H913" s="811"/>
      <c r="I913" s="811"/>
      <c r="J913" s="811"/>
      <c r="K913" s="811"/>
      <c r="L913" s="811"/>
      <c r="M913" s="811"/>
      <c r="N913" s="811"/>
      <c r="O913" s="811"/>
      <c r="P913" s="811"/>
      <c r="Q913" s="811"/>
      <c r="R913" s="811"/>
      <c r="S913" s="811"/>
      <c r="T913" s="811"/>
      <c r="U913" s="811"/>
      <c r="V913" s="811"/>
      <c r="W913" s="811"/>
      <c r="X913" s="811"/>
      <c r="Y913" s="811"/>
      <c r="Z913" s="811"/>
    </row>
    <row r="914" spans="1:26" ht="15" thickBot="1">
      <c r="A914" s="811"/>
      <c r="B914" s="811"/>
      <c r="C914" s="811"/>
      <c r="D914" s="811"/>
      <c r="E914" s="811"/>
      <c r="F914" s="811"/>
      <c r="G914" s="811"/>
      <c r="H914" s="811"/>
      <c r="I914" s="811"/>
      <c r="J914" s="811"/>
      <c r="K914" s="811"/>
      <c r="L914" s="811"/>
      <c r="M914" s="811"/>
      <c r="N914" s="811"/>
      <c r="O914" s="811"/>
      <c r="P914" s="811"/>
      <c r="Q914" s="811"/>
      <c r="R914" s="811"/>
      <c r="S914" s="811"/>
      <c r="T914" s="811"/>
      <c r="U914" s="811"/>
      <c r="V914" s="811"/>
      <c r="W914" s="811"/>
      <c r="X914" s="811"/>
      <c r="Y914" s="811"/>
      <c r="Z914" s="811"/>
    </row>
    <row r="915" spans="1:26" ht="15" thickBot="1">
      <c r="A915" s="811"/>
      <c r="B915" s="811"/>
      <c r="C915" s="811"/>
      <c r="D915" s="811"/>
      <c r="E915" s="811"/>
      <c r="F915" s="811"/>
      <c r="G915" s="811"/>
      <c r="H915" s="811"/>
      <c r="I915" s="811"/>
      <c r="J915" s="811"/>
      <c r="K915" s="811"/>
      <c r="L915" s="811"/>
      <c r="M915" s="811"/>
      <c r="N915" s="811"/>
      <c r="O915" s="811"/>
      <c r="P915" s="811"/>
      <c r="Q915" s="811"/>
      <c r="R915" s="811"/>
      <c r="S915" s="811"/>
      <c r="T915" s="811"/>
      <c r="U915" s="811"/>
      <c r="V915" s="811"/>
      <c r="W915" s="811"/>
      <c r="X915" s="811"/>
      <c r="Y915" s="811"/>
      <c r="Z915" s="811"/>
    </row>
    <row r="916" spans="1:26" ht="15" thickBot="1">
      <c r="A916" s="811"/>
      <c r="B916" s="811"/>
      <c r="C916" s="811"/>
      <c r="D916" s="811"/>
      <c r="E916" s="811"/>
      <c r="F916" s="811"/>
      <c r="G916" s="811"/>
      <c r="H916" s="811"/>
      <c r="I916" s="811"/>
      <c r="J916" s="811"/>
      <c r="K916" s="811"/>
      <c r="L916" s="811"/>
      <c r="M916" s="811"/>
      <c r="N916" s="811"/>
      <c r="O916" s="811"/>
      <c r="P916" s="811"/>
      <c r="Q916" s="811"/>
      <c r="R916" s="811"/>
      <c r="S916" s="811"/>
      <c r="T916" s="811"/>
      <c r="U916" s="811"/>
      <c r="V916" s="811"/>
      <c r="W916" s="811"/>
      <c r="X916" s="811"/>
      <c r="Y916" s="811"/>
      <c r="Z916" s="811"/>
    </row>
    <row r="917" spans="1:26" ht="15" thickBot="1">
      <c r="A917" s="811"/>
      <c r="B917" s="811"/>
      <c r="C917" s="811"/>
      <c r="D917" s="811"/>
      <c r="E917" s="811"/>
      <c r="F917" s="811"/>
      <c r="G917" s="811"/>
      <c r="H917" s="811"/>
      <c r="I917" s="811"/>
      <c r="J917" s="811"/>
      <c r="K917" s="811"/>
      <c r="L917" s="811"/>
      <c r="M917" s="811"/>
      <c r="N917" s="811"/>
      <c r="O917" s="811"/>
      <c r="P917" s="811"/>
      <c r="Q917" s="811"/>
      <c r="R917" s="811"/>
      <c r="S917" s="811"/>
      <c r="T917" s="811"/>
      <c r="U917" s="811"/>
      <c r="V917" s="811"/>
      <c r="W917" s="811"/>
      <c r="X917" s="811"/>
      <c r="Y917" s="811"/>
      <c r="Z917" s="811"/>
    </row>
    <row r="918" spans="1:26" ht="15" thickBot="1">
      <c r="A918" s="811"/>
      <c r="B918" s="811"/>
      <c r="C918" s="811"/>
      <c r="D918" s="811"/>
      <c r="E918" s="811"/>
      <c r="F918" s="811"/>
      <c r="G918" s="811"/>
      <c r="H918" s="811"/>
      <c r="I918" s="811"/>
      <c r="J918" s="811"/>
      <c r="K918" s="811"/>
      <c r="L918" s="811"/>
      <c r="M918" s="811"/>
      <c r="N918" s="811"/>
      <c r="O918" s="811"/>
      <c r="P918" s="811"/>
      <c r="Q918" s="811"/>
      <c r="R918" s="811"/>
      <c r="S918" s="811"/>
      <c r="T918" s="811"/>
      <c r="U918" s="811"/>
      <c r="V918" s="811"/>
      <c r="W918" s="811"/>
      <c r="X918" s="811"/>
      <c r="Y918" s="811"/>
      <c r="Z918" s="811"/>
    </row>
    <row r="919" spans="1:26" ht="15" thickBot="1">
      <c r="A919" s="811"/>
      <c r="B919" s="811"/>
      <c r="C919" s="811"/>
      <c r="D919" s="811"/>
      <c r="E919" s="811"/>
      <c r="F919" s="811"/>
      <c r="G919" s="811"/>
      <c r="H919" s="811"/>
      <c r="I919" s="811"/>
      <c r="J919" s="811"/>
      <c r="K919" s="811"/>
      <c r="L919" s="811"/>
      <c r="M919" s="811"/>
      <c r="N919" s="811"/>
      <c r="O919" s="811"/>
      <c r="P919" s="811"/>
      <c r="Q919" s="811"/>
      <c r="R919" s="811"/>
      <c r="S919" s="811"/>
      <c r="T919" s="811"/>
      <c r="U919" s="811"/>
      <c r="V919" s="811"/>
      <c r="W919" s="811"/>
      <c r="X919" s="811"/>
      <c r="Y919" s="811"/>
      <c r="Z919" s="811"/>
    </row>
    <row r="920" spans="1:26" ht="15" thickBot="1">
      <c r="A920" s="811"/>
      <c r="B920" s="811"/>
      <c r="C920" s="811"/>
      <c r="D920" s="811"/>
      <c r="E920" s="811"/>
      <c r="F920" s="811"/>
      <c r="G920" s="811"/>
      <c r="H920" s="811"/>
      <c r="I920" s="811"/>
      <c r="J920" s="811"/>
      <c r="K920" s="811"/>
      <c r="L920" s="811"/>
      <c r="M920" s="811"/>
      <c r="N920" s="811"/>
      <c r="O920" s="811"/>
      <c r="P920" s="811"/>
      <c r="Q920" s="811"/>
      <c r="R920" s="811"/>
      <c r="S920" s="811"/>
      <c r="T920" s="811"/>
      <c r="U920" s="811"/>
      <c r="V920" s="811"/>
      <c r="W920" s="811"/>
      <c r="X920" s="811"/>
      <c r="Y920" s="811"/>
      <c r="Z920" s="811"/>
    </row>
    <row r="921" spans="1:26" ht="15" thickBot="1">
      <c r="A921" s="811"/>
      <c r="B921" s="811"/>
      <c r="C921" s="811"/>
      <c r="D921" s="811"/>
      <c r="E921" s="811"/>
      <c r="F921" s="811"/>
      <c r="G921" s="811"/>
      <c r="H921" s="811"/>
      <c r="I921" s="811"/>
      <c r="J921" s="811"/>
      <c r="K921" s="811"/>
      <c r="L921" s="811"/>
      <c r="M921" s="811"/>
      <c r="N921" s="811"/>
      <c r="O921" s="811"/>
      <c r="P921" s="811"/>
      <c r="Q921" s="811"/>
      <c r="R921" s="811"/>
      <c r="S921" s="811"/>
      <c r="T921" s="811"/>
      <c r="U921" s="811"/>
      <c r="V921" s="811"/>
      <c r="W921" s="811"/>
      <c r="X921" s="811"/>
      <c r="Y921" s="811"/>
      <c r="Z921" s="811"/>
    </row>
    <row r="922" spans="1:26" ht="15" thickBot="1">
      <c r="A922" s="811"/>
      <c r="B922" s="811"/>
      <c r="C922" s="811"/>
      <c r="D922" s="811"/>
      <c r="E922" s="811"/>
      <c r="F922" s="811"/>
      <c r="G922" s="811"/>
      <c r="H922" s="811"/>
      <c r="I922" s="811"/>
      <c r="J922" s="811"/>
      <c r="K922" s="811"/>
      <c r="L922" s="811"/>
      <c r="M922" s="811"/>
      <c r="N922" s="811"/>
      <c r="O922" s="811"/>
      <c r="P922" s="811"/>
      <c r="Q922" s="811"/>
      <c r="R922" s="811"/>
      <c r="S922" s="811"/>
      <c r="T922" s="811"/>
      <c r="U922" s="811"/>
      <c r="V922" s="811"/>
      <c r="W922" s="811"/>
      <c r="X922" s="811"/>
      <c r="Y922" s="811"/>
      <c r="Z922" s="811"/>
    </row>
    <row r="923" spans="1:26" ht="15" thickBot="1">
      <c r="A923" s="811"/>
      <c r="B923" s="811"/>
      <c r="C923" s="811"/>
      <c r="D923" s="811"/>
      <c r="E923" s="811"/>
      <c r="F923" s="811"/>
      <c r="G923" s="811"/>
      <c r="H923" s="811"/>
      <c r="I923" s="811"/>
      <c r="J923" s="811"/>
      <c r="K923" s="811"/>
      <c r="L923" s="811"/>
      <c r="M923" s="811"/>
      <c r="N923" s="811"/>
      <c r="O923" s="811"/>
      <c r="P923" s="811"/>
      <c r="Q923" s="811"/>
      <c r="R923" s="811"/>
      <c r="S923" s="811"/>
      <c r="T923" s="811"/>
      <c r="U923" s="811"/>
      <c r="V923" s="811"/>
      <c r="W923" s="811"/>
      <c r="X923" s="811"/>
      <c r="Y923" s="811"/>
      <c r="Z923" s="811"/>
    </row>
    <row r="924" spans="1:26" ht="15" thickBot="1">
      <c r="A924" s="811"/>
      <c r="B924" s="811"/>
      <c r="C924" s="811"/>
      <c r="D924" s="811"/>
      <c r="E924" s="811"/>
      <c r="F924" s="811"/>
      <c r="G924" s="811"/>
      <c r="H924" s="811"/>
      <c r="I924" s="811"/>
      <c r="J924" s="811"/>
      <c r="K924" s="811"/>
      <c r="L924" s="811"/>
      <c r="M924" s="811"/>
      <c r="N924" s="811"/>
      <c r="O924" s="811"/>
      <c r="P924" s="811"/>
      <c r="Q924" s="811"/>
      <c r="R924" s="811"/>
      <c r="S924" s="811"/>
      <c r="T924" s="811"/>
      <c r="U924" s="811"/>
      <c r="V924" s="811"/>
      <c r="W924" s="811"/>
      <c r="X924" s="811"/>
      <c r="Y924" s="811"/>
      <c r="Z924" s="811"/>
    </row>
    <row r="925" spans="1:26" ht="15" thickBot="1">
      <c r="A925" s="811"/>
      <c r="B925" s="811"/>
      <c r="C925" s="811"/>
      <c r="D925" s="811"/>
      <c r="E925" s="811"/>
      <c r="F925" s="811"/>
      <c r="G925" s="811"/>
      <c r="H925" s="811"/>
      <c r="I925" s="811"/>
      <c r="J925" s="811"/>
      <c r="K925" s="811"/>
      <c r="L925" s="811"/>
      <c r="M925" s="811"/>
      <c r="N925" s="811"/>
      <c r="O925" s="811"/>
      <c r="P925" s="811"/>
      <c r="Q925" s="811"/>
      <c r="R925" s="811"/>
      <c r="S925" s="811"/>
      <c r="T925" s="811"/>
      <c r="U925" s="811"/>
      <c r="V925" s="811"/>
      <c r="W925" s="811"/>
      <c r="X925" s="811"/>
      <c r="Y925" s="811"/>
      <c r="Z925" s="811"/>
    </row>
    <row r="926" spans="1:26" ht="15" thickBot="1">
      <c r="A926" s="811"/>
      <c r="B926" s="811"/>
      <c r="C926" s="811"/>
      <c r="D926" s="811"/>
      <c r="E926" s="811"/>
      <c r="F926" s="811"/>
      <c r="G926" s="811"/>
      <c r="H926" s="811"/>
      <c r="I926" s="811"/>
      <c r="J926" s="811"/>
      <c r="K926" s="811"/>
      <c r="L926" s="811"/>
      <c r="M926" s="811"/>
      <c r="N926" s="811"/>
      <c r="O926" s="811"/>
      <c r="P926" s="811"/>
      <c r="Q926" s="811"/>
      <c r="R926" s="811"/>
      <c r="S926" s="811"/>
      <c r="T926" s="811"/>
      <c r="U926" s="811"/>
      <c r="V926" s="811"/>
      <c r="W926" s="811"/>
      <c r="X926" s="811"/>
      <c r="Y926" s="811"/>
      <c r="Z926" s="811"/>
    </row>
    <row r="927" spans="1:26" ht="15" thickBot="1">
      <c r="A927" s="811"/>
      <c r="B927" s="811"/>
      <c r="C927" s="811"/>
      <c r="D927" s="811"/>
      <c r="E927" s="811"/>
      <c r="F927" s="811"/>
      <c r="G927" s="811"/>
      <c r="H927" s="811"/>
      <c r="I927" s="811"/>
      <c r="J927" s="811"/>
      <c r="K927" s="811"/>
      <c r="L927" s="811"/>
      <c r="M927" s="811"/>
      <c r="N927" s="811"/>
      <c r="O927" s="811"/>
      <c r="P927" s="811"/>
      <c r="Q927" s="811"/>
      <c r="R927" s="811"/>
      <c r="S927" s="811"/>
      <c r="T927" s="811"/>
      <c r="U927" s="811"/>
      <c r="V927" s="811"/>
      <c r="W927" s="811"/>
      <c r="X927" s="811"/>
      <c r="Y927" s="811"/>
      <c r="Z927" s="811"/>
    </row>
    <row r="928" spans="1:26" ht="15" thickBot="1">
      <c r="A928" s="811"/>
      <c r="B928" s="811"/>
      <c r="C928" s="811"/>
      <c r="D928" s="811"/>
      <c r="E928" s="811"/>
      <c r="F928" s="811"/>
      <c r="G928" s="811"/>
      <c r="H928" s="811"/>
      <c r="I928" s="811"/>
      <c r="J928" s="811"/>
      <c r="K928" s="811"/>
      <c r="L928" s="811"/>
      <c r="M928" s="811"/>
      <c r="N928" s="811"/>
      <c r="O928" s="811"/>
      <c r="P928" s="811"/>
      <c r="Q928" s="811"/>
      <c r="R928" s="811"/>
      <c r="S928" s="811"/>
      <c r="T928" s="811"/>
      <c r="U928" s="811"/>
      <c r="V928" s="811"/>
      <c r="W928" s="811"/>
      <c r="X928" s="811"/>
      <c r="Y928" s="811"/>
      <c r="Z928" s="811"/>
    </row>
    <row r="929" spans="1:26" ht="15" thickBot="1">
      <c r="A929" s="811"/>
      <c r="B929" s="811"/>
      <c r="C929" s="811"/>
      <c r="D929" s="811"/>
      <c r="E929" s="811"/>
      <c r="F929" s="811"/>
      <c r="G929" s="811"/>
      <c r="H929" s="811"/>
      <c r="I929" s="811"/>
      <c r="J929" s="811"/>
      <c r="K929" s="811"/>
      <c r="L929" s="811"/>
      <c r="M929" s="811"/>
      <c r="N929" s="811"/>
      <c r="O929" s="811"/>
      <c r="P929" s="811"/>
      <c r="Q929" s="811"/>
      <c r="R929" s="811"/>
      <c r="S929" s="811"/>
      <c r="T929" s="811"/>
      <c r="U929" s="811"/>
      <c r="V929" s="811"/>
      <c r="W929" s="811"/>
      <c r="X929" s="811"/>
      <c r="Y929" s="811"/>
      <c r="Z929" s="811"/>
    </row>
    <row r="930" spans="1:26" ht="15" thickBot="1">
      <c r="A930" s="811"/>
      <c r="B930" s="811"/>
      <c r="C930" s="811"/>
      <c r="D930" s="811"/>
      <c r="E930" s="811"/>
      <c r="F930" s="811"/>
      <c r="G930" s="811"/>
      <c r="H930" s="811"/>
      <c r="I930" s="811"/>
      <c r="J930" s="811"/>
      <c r="K930" s="811"/>
      <c r="L930" s="811"/>
      <c r="M930" s="811"/>
      <c r="N930" s="811"/>
      <c r="O930" s="811"/>
      <c r="P930" s="811"/>
      <c r="Q930" s="811"/>
      <c r="R930" s="811"/>
      <c r="S930" s="811"/>
      <c r="T930" s="811"/>
      <c r="U930" s="811"/>
      <c r="V930" s="811"/>
      <c r="W930" s="811"/>
      <c r="X930" s="811"/>
      <c r="Y930" s="811"/>
      <c r="Z930" s="811"/>
    </row>
    <row r="931" spans="1:26" ht="15" thickBot="1">
      <c r="A931" s="811"/>
      <c r="B931" s="811"/>
      <c r="C931" s="811"/>
      <c r="D931" s="811"/>
      <c r="E931" s="811"/>
      <c r="F931" s="811"/>
      <c r="G931" s="811"/>
      <c r="H931" s="811"/>
      <c r="I931" s="811"/>
      <c r="J931" s="811"/>
      <c r="K931" s="811"/>
      <c r="L931" s="811"/>
      <c r="M931" s="811"/>
      <c r="N931" s="811"/>
      <c r="O931" s="811"/>
      <c r="P931" s="811"/>
      <c r="Q931" s="811"/>
      <c r="R931" s="811"/>
      <c r="S931" s="811"/>
      <c r="T931" s="811"/>
      <c r="U931" s="811"/>
      <c r="V931" s="811"/>
      <c r="W931" s="811"/>
      <c r="X931" s="811"/>
      <c r="Y931" s="811"/>
      <c r="Z931" s="811"/>
    </row>
    <row r="932" spans="1:26" ht="15" thickBot="1">
      <c r="A932" s="811"/>
      <c r="B932" s="811"/>
      <c r="C932" s="811"/>
      <c r="D932" s="811"/>
      <c r="E932" s="811"/>
      <c r="F932" s="811"/>
      <c r="G932" s="811"/>
      <c r="H932" s="811"/>
      <c r="I932" s="811"/>
      <c r="J932" s="811"/>
      <c r="K932" s="811"/>
      <c r="L932" s="811"/>
      <c r="M932" s="811"/>
      <c r="N932" s="811"/>
      <c r="O932" s="811"/>
      <c r="P932" s="811"/>
      <c r="Q932" s="811"/>
      <c r="R932" s="811"/>
      <c r="S932" s="811"/>
      <c r="T932" s="811"/>
      <c r="U932" s="811"/>
      <c r="V932" s="811"/>
      <c r="W932" s="811"/>
      <c r="X932" s="811"/>
      <c r="Y932" s="811"/>
      <c r="Z932" s="811"/>
    </row>
    <row r="933" spans="1:26" ht="15" thickBot="1">
      <c r="A933" s="811"/>
      <c r="B933" s="811"/>
      <c r="C933" s="811"/>
      <c r="D933" s="811"/>
      <c r="E933" s="811"/>
      <c r="F933" s="811"/>
      <c r="G933" s="811"/>
      <c r="H933" s="811"/>
      <c r="I933" s="811"/>
      <c r="J933" s="811"/>
      <c r="K933" s="811"/>
      <c r="L933" s="811"/>
      <c r="M933" s="811"/>
      <c r="N933" s="811"/>
      <c r="O933" s="811"/>
      <c r="P933" s="811"/>
      <c r="Q933" s="811"/>
      <c r="R933" s="811"/>
      <c r="S933" s="811"/>
      <c r="T933" s="811"/>
      <c r="U933" s="811"/>
      <c r="V933" s="811"/>
      <c r="W933" s="811"/>
      <c r="X933" s="811"/>
      <c r="Y933" s="811"/>
      <c r="Z933" s="811"/>
    </row>
    <row r="934" spans="1:26" ht="15" thickBot="1">
      <c r="A934" s="811"/>
      <c r="B934" s="811"/>
      <c r="C934" s="811"/>
      <c r="D934" s="811"/>
      <c r="E934" s="811"/>
      <c r="F934" s="811"/>
      <c r="G934" s="811"/>
      <c r="H934" s="811"/>
      <c r="I934" s="811"/>
      <c r="J934" s="811"/>
      <c r="K934" s="811"/>
      <c r="L934" s="811"/>
      <c r="M934" s="811"/>
      <c r="N934" s="811"/>
      <c r="O934" s="811"/>
      <c r="P934" s="811"/>
      <c r="Q934" s="811"/>
      <c r="R934" s="811"/>
      <c r="S934" s="811"/>
      <c r="T934" s="811"/>
      <c r="U934" s="811"/>
      <c r="V934" s="811"/>
      <c r="W934" s="811"/>
      <c r="X934" s="811"/>
      <c r="Y934" s="811"/>
      <c r="Z934" s="811"/>
    </row>
    <row r="935" spans="1:26" ht="15" thickBot="1">
      <c r="A935" s="811"/>
      <c r="B935" s="811"/>
      <c r="C935" s="811"/>
      <c r="D935" s="811"/>
      <c r="E935" s="811"/>
      <c r="F935" s="811"/>
      <c r="G935" s="811"/>
      <c r="H935" s="811"/>
      <c r="I935" s="811"/>
      <c r="J935" s="811"/>
      <c r="K935" s="811"/>
      <c r="L935" s="811"/>
      <c r="M935" s="811"/>
      <c r="N935" s="811"/>
      <c r="O935" s="811"/>
      <c r="P935" s="811"/>
      <c r="Q935" s="811"/>
      <c r="R935" s="811"/>
      <c r="S935" s="811"/>
      <c r="T935" s="811"/>
      <c r="U935" s="811"/>
      <c r="V935" s="811"/>
      <c r="W935" s="811"/>
      <c r="X935" s="811"/>
      <c r="Y935" s="811"/>
      <c r="Z935" s="811"/>
    </row>
    <row r="936" spans="1:26" ht="15" thickBot="1">
      <c r="A936" s="811"/>
      <c r="B936" s="811"/>
      <c r="C936" s="811"/>
      <c r="D936" s="811"/>
      <c r="E936" s="811"/>
      <c r="F936" s="811"/>
      <c r="G936" s="811"/>
      <c r="H936" s="811"/>
      <c r="I936" s="811"/>
      <c r="J936" s="811"/>
      <c r="K936" s="811"/>
      <c r="L936" s="811"/>
      <c r="M936" s="811"/>
      <c r="N936" s="811"/>
      <c r="O936" s="811"/>
      <c r="P936" s="811"/>
      <c r="Q936" s="811"/>
      <c r="R936" s="811"/>
      <c r="S936" s="811"/>
      <c r="T936" s="811"/>
      <c r="U936" s="811"/>
      <c r="V936" s="811"/>
      <c r="W936" s="811"/>
      <c r="X936" s="811"/>
      <c r="Y936" s="811"/>
      <c r="Z936" s="811"/>
    </row>
    <row r="937" spans="1:26" ht="15" thickBot="1">
      <c r="A937" s="811"/>
      <c r="B937" s="811"/>
      <c r="C937" s="811"/>
      <c r="D937" s="811"/>
      <c r="E937" s="811"/>
      <c r="F937" s="811"/>
      <c r="G937" s="811"/>
      <c r="H937" s="811"/>
      <c r="I937" s="811"/>
      <c r="J937" s="811"/>
      <c r="K937" s="811"/>
      <c r="L937" s="811"/>
      <c r="M937" s="811"/>
      <c r="N937" s="811"/>
      <c r="O937" s="811"/>
      <c r="P937" s="811"/>
      <c r="Q937" s="811"/>
      <c r="R937" s="811"/>
      <c r="S937" s="811"/>
      <c r="T937" s="811"/>
      <c r="U937" s="811"/>
      <c r="V937" s="811"/>
      <c r="W937" s="811"/>
      <c r="X937" s="811"/>
      <c r="Y937" s="811"/>
      <c r="Z937" s="811"/>
    </row>
    <row r="938" spans="1:26" ht="15" thickBot="1">
      <c r="A938" s="811"/>
      <c r="B938" s="811"/>
      <c r="C938" s="811"/>
      <c r="D938" s="811"/>
      <c r="E938" s="811"/>
      <c r="F938" s="811"/>
      <c r="G938" s="811"/>
      <c r="H938" s="811"/>
      <c r="I938" s="811"/>
      <c r="J938" s="811"/>
      <c r="K938" s="811"/>
      <c r="L938" s="811"/>
      <c r="M938" s="811"/>
      <c r="N938" s="811"/>
      <c r="O938" s="811"/>
      <c r="P938" s="811"/>
      <c r="Q938" s="811"/>
      <c r="R938" s="811"/>
      <c r="S938" s="811"/>
      <c r="T938" s="811"/>
      <c r="U938" s="811"/>
      <c r="V938" s="811"/>
      <c r="W938" s="811"/>
      <c r="X938" s="811"/>
      <c r="Y938" s="811"/>
      <c r="Z938" s="811"/>
    </row>
    <row r="939" spans="1:26" ht="15" thickBot="1">
      <c r="A939" s="811"/>
      <c r="B939" s="811"/>
      <c r="C939" s="811"/>
      <c r="D939" s="811"/>
      <c r="E939" s="811"/>
      <c r="F939" s="811"/>
      <c r="G939" s="811"/>
      <c r="H939" s="811"/>
      <c r="I939" s="811"/>
      <c r="J939" s="811"/>
      <c r="K939" s="811"/>
      <c r="L939" s="811"/>
      <c r="M939" s="811"/>
      <c r="N939" s="811"/>
      <c r="O939" s="811"/>
      <c r="P939" s="811"/>
      <c r="Q939" s="811"/>
      <c r="R939" s="811"/>
      <c r="S939" s="811"/>
      <c r="T939" s="811"/>
      <c r="U939" s="811"/>
      <c r="V939" s="811"/>
      <c r="W939" s="811"/>
      <c r="X939" s="811"/>
      <c r="Y939" s="811"/>
      <c r="Z939" s="811"/>
    </row>
    <row r="940" spans="1:26" ht="15" thickBot="1">
      <c r="A940" s="811"/>
      <c r="B940" s="811"/>
      <c r="C940" s="811"/>
      <c r="D940" s="811"/>
      <c r="E940" s="811"/>
      <c r="F940" s="811"/>
      <c r="G940" s="811"/>
      <c r="H940" s="811"/>
      <c r="I940" s="811"/>
      <c r="J940" s="811"/>
      <c r="K940" s="811"/>
      <c r="L940" s="811"/>
      <c r="M940" s="811"/>
      <c r="N940" s="811"/>
      <c r="O940" s="811"/>
      <c r="P940" s="811"/>
      <c r="Q940" s="811"/>
      <c r="R940" s="811"/>
      <c r="S940" s="811"/>
      <c r="T940" s="811"/>
      <c r="U940" s="811"/>
      <c r="V940" s="811"/>
      <c r="W940" s="811"/>
      <c r="X940" s="811"/>
      <c r="Y940" s="811"/>
      <c r="Z940" s="811"/>
    </row>
    <row r="941" spans="1:26" ht="15" thickBot="1">
      <c r="A941" s="811"/>
      <c r="B941" s="811"/>
      <c r="C941" s="811"/>
      <c r="D941" s="811"/>
      <c r="E941" s="811"/>
      <c r="F941" s="811"/>
      <c r="G941" s="811"/>
      <c r="H941" s="811"/>
      <c r="I941" s="811"/>
      <c r="J941" s="811"/>
      <c r="K941" s="811"/>
      <c r="L941" s="811"/>
      <c r="M941" s="811"/>
      <c r="N941" s="811"/>
      <c r="O941" s="811"/>
      <c r="P941" s="811"/>
      <c r="Q941" s="811"/>
      <c r="R941" s="811"/>
      <c r="S941" s="811"/>
      <c r="T941" s="811"/>
      <c r="U941" s="811"/>
      <c r="V941" s="811"/>
      <c r="W941" s="811"/>
      <c r="X941" s="811"/>
      <c r="Y941" s="811"/>
      <c r="Z941" s="811"/>
    </row>
    <row r="942" spans="1:26" ht="15" thickBot="1">
      <c r="A942" s="811"/>
      <c r="B942" s="811"/>
      <c r="C942" s="811"/>
      <c r="D942" s="811"/>
      <c r="E942" s="811"/>
      <c r="F942" s="811"/>
      <c r="G942" s="811"/>
      <c r="H942" s="811"/>
      <c r="I942" s="811"/>
      <c r="J942" s="811"/>
      <c r="K942" s="811"/>
      <c r="L942" s="811"/>
      <c r="M942" s="811"/>
      <c r="N942" s="811"/>
      <c r="O942" s="811"/>
      <c r="P942" s="811"/>
      <c r="Q942" s="811"/>
      <c r="R942" s="811"/>
      <c r="S942" s="811"/>
      <c r="T942" s="811"/>
      <c r="U942" s="811"/>
      <c r="V942" s="811"/>
      <c r="W942" s="811"/>
      <c r="X942" s="811"/>
      <c r="Y942" s="811"/>
      <c r="Z942" s="811"/>
    </row>
    <row r="943" spans="1:26" ht="15" thickBot="1">
      <c r="A943" s="811"/>
      <c r="B943" s="811"/>
      <c r="C943" s="811"/>
      <c r="D943" s="811"/>
      <c r="E943" s="811"/>
      <c r="F943" s="811"/>
      <c r="G943" s="811"/>
      <c r="H943" s="811"/>
      <c r="I943" s="811"/>
      <c r="J943" s="811"/>
      <c r="K943" s="811"/>
      <c r="L943" s="811"/>
      <c r="M943" s="811"/>
      <c r="N943" s="811"/>
      <c r="O943" s="811"/>
      <c r="P943" s="811"/>
      <c r="Q943" s="811"/>
      <c r="R943" s="811"/>
      <c r="S943" s="811"/>
      <c r="T943" s="811"/>
      <c r="U943" s="811"/>
      <c r="V943" s="811"/>
      <c r="W943" s="811"/>
      <c r="X943" s="811"/>
      <c r="Y943" s="811"/>
      <c r="Z943" s="811"/>
    </row>
    <row r="944" spans="1:26" ht="15" thickBot="1">
      <c r="A944" s="811"/>
      <c r="B944" s="811"/>
      <c r="C944" s="811"/>
      <c r="D944" s="811"/>
      <c r="E944" s="811"/>
      <c r="F944" s="811"/>
      <c r="G944" s="811"/>
      <c r="H944" s="811"/>
      <c r="I944" s="811"/>
      <c r="J944" s="811"/>
      <c r="K944" s="811"/>
      <c r="L944" s="811"/>
      <c r="M944" s="811"/>
      <c r="N944" s="811"/>
      <c r="O944" s="811"/>
      <c r="P944" s="811"/>
      <c r="Q944" s="811"/>
      <c r="R944" s="811"/>
      <c r="S944" s="811"/>
      <c r="T944" s="811"/>
      <c r="U944" s="811"/>
      <c r="V944" s="811"/>
      <c r="W944" s="811"/>
      <c r="X944" s="811"/>
      <c r="Y944" s="811"/>
      <c r="Z944" s="811"/>
    </row>
    <row r="945" spans="1:26" ht="15" thickBot="1">
      <c r="A945" s="811"/>
      <c r="B945" s="811"/>
      <c r="C945" s="811"/>
      <c r="D945" s="811"/>
      <c r="E945" s="811"/>
      <c r="F945" s="811"/>
      <c r="G945" s="811"/>
      <c r="H945" s="811"/>
      <c r="I945" s="811"/>
      <c r="J945" s="811"/>
      <c r="K945" s="811"/>
      <c r="L945" s="811"/>
      <c r="M945" s="811"/>
      <c r="N945" s="811"/>
      <c r="O945" s="811"/>
      <c r="P945" s="811"/>
      <c r="Q945" s="811"/>
      <c r="R945" s="811"/>
      <c r="S945" s="811"/>
      <c r="T945" s="811"/>
      <c r="U945" s="811"/>
      <c r="V945" s="811"/>
      <c r="W945" s="811"/>
      <c r="X945" s="811"/>
      <c r="Y945" s="811"/>
      <c r="Z945" s="811"/>
    </row>
    <row r="946" spans="1:26" ht="15" thickBot="1">
      <c r="A946" s="811"/>
      <c r="B946" s="811"/>
      <c r="C946" s="811"/>
      <c r="D946" s="811"/>
      <c r="E946" s="811"/>
      <c r="F946" s="811"/>
      <c r="G946" s="811"/>
      <c r="H946" s="811"/>
      <c r="I946" s="811"/>
      <c r="J946" s="811"/>
      <c r="K946" s="811"/>
      <c r="L946" s="811"/>
      <c r="M946" s="811"/>
      <c r="N946" s="811"/>
      <c r="O946" s="811"/>
      <c r="P946" s="811"/>
      <c r="Q946" s="811"/>
      <c r="R946" s="811"/>
      <c r="S946" s="811"/>
      <c r="T946" s="811"/>
      <c r="U946" s="811"/>
      <c r="V946" s="811"/>
      <c r="W946" s="811"/>
      <c r="X946" s="811"/>
      <c r="Y946" s="811"/>
      <c r="Z946" s="811"/>
    </row>
    <row r="947" spans="1:26" ht="15" thickBot="1">
      <c r="A947" s="811"/>
      <c r="B947" s="811"/>
      <c r="C947" s="811"/>
      <c r="D947" s="811"/>
      <c r="E947" s="811"/>
      <c r="F947" s="811"/>
      <c r="G947" s="811"/>
      <c r="H947" s="811"/>
      <c r="I947" s="811"/>
      <c r="J947" s="811"/>
      <c r="K947" s="811"/>
      <c r="L947" s="811"/>
      <c r="M947" s="811"/>
      <c r="N947" s="811"/>
      <c r="O947" s="811"/>
      <c r="P947" s="811"/>
      <c r="Q947" s="811"/>
      <c r="R947" s="811"/>
      <c r="S947" s="811"/>
      <c r="T947" s="811"/>
      <c r="U947" s="811"/>
      <c r="V947" s="811"/>
      <c r="W947" s="811"/>
      <c r="X947" s="811"/>
      <c r="Y947" s="811"/>
      <c r="Z947" s="811"/>
    </row>
    <row r="948" spans="1:26" ht="15" thickBot="1">
      <c r="A948" s="811"/>
      <c r="B948" s="811"/>
      <c r="C948" s="811"/>
      <c r="D948" s="811"/>
      <c r="E948" s="811"/>
      <c r="F948" s="811"/>
      <c r="G948" s="811"/>
      <c r="H948" s="811"/>
      <c r="I948" s="811"/>
      <c r="J948" s="811"/>
      <c r="K948" s="811"/>
      <c r="L948" s="811"/>
      <c r="M948" s="811"/>
      <c r="N948" s="811"/>
      <c r="O948" s="811"/>
      <c r="P948" s="811"/>
      <c r="Q948" s="811"/>
      <c r="R948" s="811"/>
      <c r="S948" s="811"/>
      <c r="T948" s="811"/>
      <c r="U948" s="811"/>
      <c r="V948" s="811"/>
      <c r="W948" s="811"/>
      <c r="X948" s="811"/>
      <c r="Y948" s="811"/>
      <c r="Z948" s="811"/>
    </row>
    <row r="949" spans="1:26" ht="15" thickBot="1">
      <c r="A949" s="811"/>
      <c r="B949" s="811"/>
      <c r="C949" s="811"/>
      <c r="D949" s="811"/>
      <c r="E949" s="811"/>
      <c r="F949" s="811"/>
      <c r="G949" s="811"/>
      <c r="H949" s="811"/>
      <c r="I949" s="811"/>
      <c r="J949" s="811"/>
      <c r="K949" s="811"/>
      <c r="L949" s="811"/>
      <c r="M949" s="811"/>
      <c r="N949" s="811"/>
      <c r="O949" s="811"/>
      <c r="P949" s="811"/>
      <c r="Q949" s="811"/>
      <c r="R949" s="811"/>
      <c r="S949" s="811"/>
      <c r="T949" s="811"/>
      <c r="U949" s="811"/>
      <c r="V949" s="811"/>
      <c r="W949" s="811"/>
      <c r="X949" s="811"/>
      <c r="Y949" s="811"/>
      <c r="Z949" s="811"/>
    </row>
    <row r="950" spans="1:26" ht="15" thickBot="1">
      <c r="A950" s="811"/>
      <c r="B950" s="811"/>
      <c r="C950" s="811"/>
      <c r="D950" s="811"/>
      <c r="E950" s="811"/>
      <c r="F950" s="811"/>
      <c r="G950" s="811"/>
      <c r="H950" s="811"/>
      <c r="I950" s="811"/>
      <c r="J950" s="811"/>
      <c r="K950" s="811"/>
      <c r="L950" s="811"/>
      <c r="M950" s="811"/>
      <c r="N950" s="811"/>
      <c r="O950" s="811"/>
      <c r="P950" s="811"/>
      <c r="Q950" s="811"/>
      <c r="R950" s="811"/>
      <c r="S950" s="811"/>
      <c r="T950" s="811"/>
      <c r="U950" s="811"/>
      <c r="V950" s="811"/>
      <c r="W950" s="811"/>
      <c r="X950" s="811"/>
      <c r="Y950" s="811"/>
      <c r="Z950" s="811"/>
    </row>
    <row r="951" spans="1:26" ht="15" thickBot="1">
      <c r="A951" s="811"/>
      <c r="B951" s="811"/>
      <c r="C951" s="811"/>
      <c r="D951" s="811"/>
      <c r="E951" s="811"/>
      <c r="F951" s="811"/>
      <c r="G951" s="811"/>
      <c r="H951" s="811"/>
      <c r="I951" s="811"/>
      <c r="J951" s="811"/>
      <c r="K951" s="811"/>
      <c r="L951" s="811"/>
      <c r="M951" s="811"/>
      <c r="N951" s="811"/>
      <c r="O951" s="811"/>
      <c r="P951" s="811"/>
      <c r="Q951" s="811"/>
      <c r="R951" s="811"/>
      <c r="S951" s="811"/>
      <c r="T951" s="811"/>
      <c r="U951" s="811"/>
      <c r="V951" s="811"/>
      <c r="W951" s="811"/>
      <c r="X951" s="811"/>
      <c r="Y951" s="811"/>
      <c r="Z951" s="811"/>
    </row>
    <row r="952" spans="1:26" ht="15" thickBot="1">
      <c r="A952" s="811"/>
      <c r="B952" s="811"/>
      <c r="C952" s="811"/>
      <c r="D952" s="811"/>
      <c r="E952" s="811"/>
      <c r="F952" s="811"/>
      <c r="G952" s="811"/>
      <c r="H952" s="811"/>
      <c r="I952" s="811"/>
      <c r="J952" s="811"/>
      <c r="K952" s="811"/>
      <c r="L952" s="811"/>
      <c r="M952" s="811"/>
      <c r="N952" s="811"/>
      <c r="O952" s="811"/>
      <c r="P952" s="811"/>
      <c r="Q952" s="811"/>
      <c r="R952" s="811"/>
      <c r="S952" s="811"/>
      <c r="T952" s="811"/>
      <c r="U952" s="811"/>
      <c r="V952" s="811"/>
      <c r="W952" s="811"/>
      <c r="X952" s="811"/>
      <c r="Y952" s="811"/>
      <c r="Z952" s="811"/>
    </row>
    <row r="953" spans="1:26" ht="15" thickBot="1">
      <c r="A953" s="811"/>
      <c r="B953" s="811"/>
      <c r="C953" s="811"/>
      <c r="D953" s="811"/>
      <c r="E953" s="811"/>
      <c r="F953" s="811"/>
      <c r="G953" s="811"/>
      <c r="H953" s="811"/>
      <c r="I953" s="811"/>
      <c r="J953" s="811"/>
      <c r="K953" s="811"/>
      <c r="L953" s="811"/>
      <c r="M953" s="811"/>
      <c r="N953" s="811"/>
      <c r="O953" s="811"/>
      <c r="P953" s="811"/>
      <c r="Q953" s="811"/>
      <c r="R953" s="811"/>
      <c r="S953" s="811"/>
      <c r="T953" s="811"/>
      <c r="U953" s="811"/>
      <c r="V953" s="811"/>
      <c r="W953" s="811"/>
      <c r="X953" s="811"/>
      <c r="Y953" s="811"/>
      <c r="Z953" s="811"/>
    </row>
    <row r="954" spans="1:26" ht="15" thickBot="1">
      <c r="A954" s="811"/>
      <c r="B954" s="811"/>
      <c r="C954" s="811"/>
      <c r="D954" s="811"/>
      <c r="E954" s="811"/>
      <c r="F954" s="811"/>
      <c r="G954" s="811"/>
      <c r="H954" s="811"/>
      <c r="I954" s="811"/>
      <c r="J954" s="811"/>
      <c r="K954" s="811"/>
      <c r="L954" s="811"/>
      <c r="M954" s="811"/>
      <c r="N954" s="811"/>
      <c r="O954" s="811"/>
      <c r="P954" s="811"/>
      <c r="Q954" s="811"/>
      <c r="R954" s="811"/>
      <c r="S954" s="811"/>
      <c r="T954" s="811"/>
      <c r="U954" s="811"/>
      <c r="V954" s="811"/>
      <c r="W954" s="811"/>
      <c r="X954" s="811"/>
      <c r="Y954" s="811"/>
      <c r="Z954" s="811"/>
    </row>
    <row r="955" spans="1:26" ht="15" thickBot="1">
      <c r="A955" s="811"/>
      <c r="B955" s="811"/>
      <c r="C955" s="811"/>
      <c r="D955" s="811"/>
      <c r="E955" s="811"/>
      <c r="F955" s="811"/>
      <c r="G955" s="811"/>
      <c r="H955" s="811"/>
      <c r="I955" s="811"/>
      <c r="J955" s="811"/>
      <c r="K955" s="811"/>
      <c r="L955" s="811"/>
      <c r="M955" s="811"/>
      <c r="N955" s="811"/>
      <c r="O955" s="811"/>
      <c r="P955" s="811"/>
      <c r="Q955" s="811"/>
      <c r="R955" s="811"/>
      <c r="S955" s="811"/>
      <c r="T955" s="811"/>
      <c r="U955" s="811"/>
      <c r="V955" s="811"/>
      <c r="W955" s="811"/>
      <c r="X955" s="811"/>
      <c r="Y955" s="811"/>
      <c r="Z955" s="811"/>
    </row>
    <row r="956" spans="1:26" ht="15" thickBot="1">
      <c r="A956" s="811"/>
      <c r="B956" s="811"/>
      <c r="C956" s="811"/>
      <c r="D956" s="811"/>
      <c r="E956" s="811"/>
      <c r="F956" s="811"/>
      <c r="G956" s="811"/>
      <c r="H956" s="811"/>
      <c r="I956" s="811"/>
      <c r="J956" s="811"/>
      <c r="K956" s="811"/>
      <c r="L956" s="811"/>
      <c r="M956" s="811"/>
      <c r="N956" s="811"/>
      <c r="O956" s="811"/>
      <c r="P956" s="811"/>
      <c r="Q956" s="811"/>
      <c r="R956" s="811"/>
      <c r="S956" s="811"/>
      <c r="T956" s="811"/>
      <c r="U956" s="811"/>
      <c r="V956" s="811"/>
      <c r="W956" s="811"/>
      <c r="X956" s="811"/>
      <c r="Y956" s="811"/>
      <c r="Z956" s="811"/>
    </row>
    <row r="957" spans="1:26" ht="15" thickBot="1">
      <c r="A957" s="811"/>
      <c r="B957" s="811"/>
      <c r="C957" s="811"/>
      <c r="D957" s="811"/>
      <c r="E957" s="811"/>
      <c r="F957" s="811"/>
      <c r="G957" s="811"/>
      <c r="H957" s="811"/>
      <c r="I957" s="811"/>
      <c r="J957" s="811"/>
      <c r="K957" s="811"/>
      <c r="L957" s="811"/>
      <c r="M957" s="811"/>
      <c r="N957" s="811"/>
      <c r="O957" s="811"/>
      <c r="P957" s="811"/>
      <c r="Q957" s="811"/>
      <c r="R957" s="811"/>
      <c r="S957" s="811"/>
      <c r="T957" s="811"/>
      <c r="U957" s="811"/>
      <c r="V957" s="811"/>
      <c r="W957" s="811"/>
      <c r="X957" s="811"/>
      <c r="Y957" s="811"/>
      <c r="Z957" s="811"/>
    </row>
    <row r="958" spans="1:26" ht="15" thickBot="1">
      <c r="A958" s="811"/>
      <c r="B958" s="811"/>
      <c r="C958" s="811"/>
      <c r="D958" s="811"/>
      <c r="E958" s="811"/>
      <c r="F958" s="811"/>
      <c r="G958" s="811"/>
      <c r="H958" s="811"/>
      <c r="I958" s="811"/>
      <c r="J958" s="811"/>
      <c r="K958" s="811"/>
      <c r="L958" s="811"/>
      <c r="M958" s="811"/>
      <c r="N958" s="811"/>
      <c r="O958" s="811"/>
      <c r="P958" s="811"/>
      <c r="Q958" s="811"/>
      <c r="R958" s="811"/>
      <c r="S958" s="811"/>
      <c r="T958" s="811"/>
      <c r="U958" s="811"/>
      <c r="V958" s="811"/>
      <c r="W958" s="811"/>
      <c r="X958" s="811"/>
      <c r="Y958" s="811"/>
      <c r="Z958" s="811"/>
    </row>
    <row r="959" spans="1:26" ht="15" thickBot="1">
      <c r="A959" s="811"/>
      <c r="B959" s="811"/>
      <c r="C959" s="811"/>
      <c r="D959" s="811"/>
      <c r="E959" s="811"/>
      <c r="F959" s="811"/>
      <c r="G959" s="811"/>
      <c r="H959" s="811"/>
      <c r="I959" s="811"/>
      <c r="J959" s="811"/>
      <c r="K959" s="811"/>
      <c r="L959" s="811"/>
      <c r="M959" s="811"/>
      <c r="N959" s="811"/>
      <c r="O959" s="811"/>
      <c r="P959" s="811"/>
      <c r="Q959" s="811"/>
      <c r="R959" s="811"/>
      <c r="S959" s="811"/>
      <c r="T959" s="811"/>
      <c r="U959" s="811"/>
      <c r="V959" s="811"/>
      <c r="W959" s="811"/>
      <c r="X959" s="811"/>
      <c r="Y959" s="811"/>
      <c r="Z959" s="811"/>
    </row>
    <row r="960" spans="1:26" ht="15" thickBot="1">
      <c r="A960" s="811"/>
      <c r="B960" s="811"/>
      <c r="C960" s="811"/>
      <c r="D960" s="811"/>
      <c r="E960" s="811"/>
      <c r="F960" s="811"/>
      <c r="G960" s="811"/>
      <c r="H960" s="811"/>
      <c r="I960" s="811"/>
      <c r="J960" s="811"/>
      <c r="K960" s="811"/>
      <c r="L960" s="811"/>
      <c r="M960" s="811"/>
      <c r="N960" s="811"/>
      <c r="O960" s="811"/>
      <c r="P960" s="811"/>
      <c r="Q960" s="811"/>
      <c r="R960" s="811"/>
      <c r="S960" s="811"/>
      <c r="T960" s="811"/>
      <c r="U960" s="811"/>
      <c r="V960" s="811"/>
      <c r="W960" s="811"/>
      <c r="X960" s="811"/>
      <c r="Y960" s="811"/>
      <c r="Z960" s="811"/>
    </row>
    <row r="961" spans="1:26" ht="15" thickBot="1">
      <c r="A961" s="811"/>
      <c r="B961" s="811"/>
      <c r="C961" s="811"/>
      <c r="D961" s="811"/>
      <c r="E961" s="811"/>
      <c r="F961" s="811"/>
      <c r="G961" s="811"/>
      <c r="H961" s="811"/>
      <c r="I961" s="811"/>
      <c r="J961" s="811"/>
      <c r="K961" s="811"/>
      <c r="L961" s="811"/>
      <c r="M961" s="811"/>
      <c r="N961" s="811"/>
      <c r="O961" s="811"/>
      <c r="P961" s="811"/>
      <c r="Q961" s="811"/>
      <c r="R961" s="811"/>
      <c r="S961" s="811"/>
      <c r="T961" s="811"/>
      <c r="U961" s="811"/>
      <c r="V961" s="811"/>
      <c r="W961" s="811"/>
      <c r="X961" s="811"/>
      <c r="Y961" s="811"/>
      <c r="Z961" s="811"/>
    </row>
    <row r="962" spans="1:26" ht="15" thickBot="1">
      <c r="A962" s="811"/>
      <c r="B962" s="811"/>
      <c r="C962" s="811"/>
      <c r="D962" s="811"/>
      <c r="E962" s="811"/>
      <c r="F962" s="811"/>
      <c r="G962" s="811"/>
      <c r="H962" s="811"/>
      <c r="I962" s="811"/>
      <c r="J962" s="811"/>
      <c r="K962" s="811"/>
      <c r="L962" s="811"/>
      <c r="M962" s="811"/>
      <c r="N962" s="811"/>
      <c r="O962" s="811"/>
      <c r="P962" s="811"/>
      <c r="Q962" s="811"/>
      <c r="R962" s="811"/>
      <c r="S962" s="811"/>
      <c r="T962" s="811"/>
      <c r="U962" s="811"/>
      <c r="V962" s="811"/>
      <c r="W962" s="811"/>
      <c r="X962" s="811"/>
      <c r="Y962" s="811"/>
      <c r="Z962" s="811"/>
    </row>
    <row r="963" spans="1:26" ht="15" thickBot="1">
      <c r="A963" s="811"/>
      <c r="B963" s="811"/>
      <c r="C963" s="811"/>
      <c r="D963" s="811"/>
      <c r="E963" s="811"/>
      <c r="F963" s="811"/>
      <c r="G963" s="811"/>
      <c r="H963" s="811"/>
      <c r="I963" s="811"/>
      <c r="J963" s="811"/>
      <c r="K963" s="811"/>
      <c r="L963" s="811"/>
      <c r="M963" s="811"/>
      <c r="N963" s="811"/>
      <c r="O963" s="811"/>
      <c r="P963" s="811"/>
      <c r="Q963" s="811"/>
      <c r="R963" s="811"/>
      <c r="S963" s="811"/>
      <c r="T963" s="811"/>
      <c r="U963" s="811"/>
      <c r="V963" s="811"/>
      <c r="W963" s="811"/>
      <c r="X963" s="811"/>
      <c r="Y963" s="811"/>
      <c r="Z963" s="811"/>
    </row>
    <row r="964" spans="1:26" ht="15" thickBot="1">
      <c r="A964" s="811"/>
      <c r="B964" s="811"/>
      <c r="C964" s="811"/>
      <c r="D964" s="811"/>
      <c r="E964" s="811"/>
      <c r="F964" s="811"/>
      <c r="G964" s="811"/>
      <c r="H964" s="811"/>
      <c r="I964" s="811"/>
      <c r="J964" s="811"/>
      <c r="K964" s="811"/>
      <c r="L964" s="811"/>
      <c r="M964" s="811"/>
      <c r="N964" s="811"/>
      <c r="O964" s="811"/>
      <c r="P964" s="811"/>
      <c r="Q964" s="811"/>
      <c r="R964" s="811"/>
      <c r="S964" s="811"/>
      <c r="T964" s="811"/>
      <c r="U964" s="811"/>
      <c r="V964" s="811"/>
      <c r="W964" s="811"/>
      <c r="X964" s="811"/>
      <c r="Y964" s="811"/>
      <c r="Z964" s="811"/>
    </row>
    <row r="965" spans="1:26" ht="15" thickBot="1">
      <c r="A965" s="811"/>
      <c r="B965" s="811"/>
      <c r="C965" s="811"/>
      <c r="D965" s="811"/>
      <c r="E965" s="811"/>
      <c r="F965" s="811"/>
      <c r="G965" s="811"/>
      <c r="H965" s="811"/>
      <c r="I965" s="811"/>
      <c r="J965" s="811"/>
      <c r="K965" s="811"/>
      <c r="L965" s="811"/>
      <c r="M965" s="811"/>
      <c r="N965" s="811"/>
      <c r="O965" s="811"/>
      <c r="P965" s="811"/>
      <c r="Q965" s="811"/>
      <c r="R965" s="811"/>
      <c r="S965" s="811"/>
      <c r="T965" s="811"/>
      <c r="U965" s="811"/>
      <c r="V965" s="811"/>
      <c r="W965" s="811"/>
      <c r="X965" s="811"/>
      <c r="Y965" s="811"/>
      <c r="Z965" s="811"/>
    </row>
    <row r="966" spans="1:26" ht="15" thickBot="1">
      <c r="A966" s="811"/>
      <c r="B966" s="811"/>
      <c r="C966" s="811"/>
      <c r="D966" s="811"/>
      <c r="E966" s="811"/>
      <c r="F966" s="811"/>
      <c r="G966" s="811"/>
      <c r="H966" s="811"/>
      <c r="I966" s="811"/>
      <c r="J966" s="811"/>
      <c r="K966" s="811"/>
      <c r="L966" s="811"/>
      <c r="M966" s="811"/>
      <c r="N966" s="811"/>
      <c r="O966" s="811"/>
      <c r="P966" s="811"/>
      <c r="Q966" s="811"/>
      <c r="R966" s="811"/>
      <c r="S966" s="811"/>
      <c r="T966" s="811"/>
      <c r="U966" s="811"/>
      <c r="V966" s="811"/>
      <c r="W966" s="811"/>
      <c r="X966" s="811"/>
      <c r="Y966" s="811"/>
      <c r="Z966" s="811"/>
    </row>
    <row r="967" spans="1:26" ht="15" thickBot="1">
      <c r="A967" s="811"/>
      <c r="B967" s="811"/>
      <c r="C967" s="811"/>
      <c r="D967" s="811"/>
      <c r="E967" s="811"/>
      <c r="F967" s="811"/>
      <c r="G967" s="811"/>
      <c r="H967" s="811"/>
      <c r="I967" s="811"/>
      <c r="J967" s="811"/>
      <c r="K967" s="811"/>
      <c r="L967" s="811"/>
      <c r="M967" s="811"/>
      <c r="N967" s="811"/>
      <c r="O967" s="811"/>
      <c r="P967" s="811"/>
      <c r="Q967" s="811"/>
      <c r="R967" s="811"/>
      <c r="S967" s="811"/>
      <c r="T967" s="811"/>
      <c r="U967" s="811"/>
      <c r="V967" s="811"/>
      <c r="W967" s="811"/>
      <c r="X967" s="811"/>
      <c r="Y967" s="811"/>
      <c r="Z967" s="811"/>
    </row>
    <row r="968" spans="1:26" ht="15" thickBot="1">
      <c r="A968" s="811"/>
      <c r="B968" s="811"/>
      <c r="C968" s="811"/>
      <c r="D968" s="811"/>
      <c r="E968" s="811"/>
      <c r="F968" s="811"/>
      <c r="G968" s="811"/>
      <c r="H968" s="811"/>
      <c r="I968" s="811"/>
      <c r="J968" s="811"/>
      <c r="K968" s="811"/>
      <c r="L968" s="811"/>
      <c r="M968" s="811"/>
      <c r="N968" s="811"/>
      <c r="O968" s="811"/>
      <c r="P968" s="811"/>
      <c r="Q968" s="811"/>
      <c r="R968" s="811"/>
      <c r="S968" s="811"/>
      <c r="T968" s="811"/>
      <c r="U968" s="811"/>
      <c r="V968" s="811"/>
      <c r="W968" s="811"/>
      <c r="X968" s="811"/>
      <c r="Y968" s="811"/>
      <c r="Z968" s="811"/>
    </row>
    <row r="969" spans="1:26" ht="15" thickBot="1">
      <c r="A969" s="811"/>
      <c r="B969" s="811"/>
      <c r="C969" s="811"/>
      <c r="D969" s="811"/>
      <c r="E969" s="811"/>
      <c r="F969" s="811"/>
      <c r="G969" s="811"/>
      <c r="H969" s="811"/>
      <c r="I969" s="811"/>
      <c r="J969" s="811"/>
      <c r="K969" s="811"/>
      <c r="L969" s="811"/>
      <c r="M969" s="811"/>
      <c r="N969" s="811"/>
      <c r="O969" s="811"/>
      <c r="P969" s="811"/>
      <c r="Q969" s="811"/>
      <c r="R969" s="811"/>
      <c r="S969" s="811"/>
      <c r="T969" s="811"/>
      <c r="U969" s="811"/>
      <c r="V969" s="811"/>
      <c r="W969" s="811"/>
      <c r="X969" s="811"/>
      <c r="Y969" s="811"/>
      <c r="Z969" s="811"/>
    </row>
    <row r="970" spans="1:26" ht="15" thickBot="1">
      <c r="A970" s="811"/>
      <c r="B970" s="811"/>
      <c r="C970" s="811"/>
      <c r="D970" s="811"/>
      <c r="E970" s="811"/>
      <c r="F970" s="811"/>
      <c r="G970" s="811"/>
      <c r="H970" s="811"/>
      <c r="I970" s="811"/>
      <c r="J970" s="811"/>
      <c r="K970" s="811"/>
      <c r="L970" s="811"/>
      <c r="M970" s="811"/>
      <c r="N970" s="811"/>
      <c r="O970" s="811"/>
      <c r="P970" s="811"/>
      <c r="Q970" s="811"/>
      <c r="R970" s="811"/>
      <c r="S970" s="811"/>
      <c r="T970" s="811"/>
      <c r="U970" s="811"/>
      <c r="V970" s="811"/>
      <c r="W970" s="811"/>
      <c r="X970" s="811"/>
      <c r="Y970" s="811"/>
      <c r="Z970" s="811"/>
    </row>
    <row r="971" spans="1:26" ht="15" thickBot="1">
      <c r="A971" s="811"/>
      <c r="B971" s="811"/>
      <c r="C971" s="811"/>
      <c r="D971" s="811"/>
      <c r="E971" s="811"/>
      <c r="F971" s="811"/>
      <c r="G971" s="811"/>
      <c r="H971" s="811"/>
      <c r="I971" s="811"/>
      <c r="J971" s="811"/>
      <c r="K971" s="811"/>
      <c r="L971" s="811"/>
      <c r="M971" s="811"/>
      <c r="N971" s="811"/>
      <c r="O971" s="811"/>
      <c r="P971" s="811"/>
      <c r="Q971" s="811"/>
      <c r="R971" s="811"/>
      <c r="S971" s="811"/>
      <c r="T971" s="811"/>
      <c r="U971" s="811"/>
      <c r="V971" s="811"/>
      <c r="W971" s="811"/>
      <c r="X971" s="811"/>
      <c r="Y971" s="811"/>
      <c r="Z971" s="811"/>
    </row>
    <row r="972" spans="1:26" ht="15" thickBot="1">
      <c r="A972" s="811"/>
      <c r="B972" s="811"/>
      <c r="C972" s="811"/>
      <c r="D972" s="811"/>
      <c r="E972" s="811"/>
      <c r="F972" s="811"/>
      <c r="G972" s="811"/>
      <c r="H972" s="811"/>
      <c r="I972" s="811"/>
      <c r="J972" s="811"/>
      <c r="K972" s="811"/>
      <c r="L972" s="811"/>
      <c r="M972" s="811"/>
      <c r="N972" s="811"/>
      <c r="O972" s="811"/>
      <c r="P972" s="811"/>
      <c r="Q972" s="811"/>
      <c r="R972" s="811"/>
      <c r="S972" s="811"/>
      <c r="T972" s="811"/>
      <c r="U972" s="811"/>
      <c r="V972" s="811"/>
      <c r="W972" s="811"/>
      <c r="X972" s="811"/>
      <c r="Y972" s="811"/>
      <c r="Z972" s="811"/>
    </row>
    <row r="973" spans="1:26" ht="15" thickBot="1">
      <c r="A973" s="811"/>
      <c r="B973" s="811"/>
      <c r="C973" s="811"/>
      <c r="D973" s="811"/>
      <c r="E973" s="811"/>
      <c r="F973" s="811"/>
      <c r="G973" s="811"/>
      <c r="H973" s="811"/>
      <c r="I973" s="811"/>
      <c r="J973" s="811"/>
      <c r="K973" s="811"/>
      <c r="L973" s="811"/>
      <c r="M973" s="811"/>
      <c r="N973" s="811"/>
      <c r="O973" s="811"/>
      <c r="P973" s="811"/>
      <c r="Q973" s="811"/>
      <c r="R973" s="811"/>
      <c r="S973" s="811"/>
      <c r="T973" s="811"/>
      <c r="U973" s="811"/>
      <c r="V973" s="811"/>
      <c r="W973" s="811"/>
      <c r="X973" s="811"/>
      <c r="Y973" s="811"/>
      <c r="Z973" s="811"/>
    </row>
    <row r="974" spans="1:26" ht="15" thickBot="1">
      <c r="A974" s="811"/>
      <c r="B974" s="811"/>
      <c r="C974" s="811"/>
      <c r="D974" s="811"/>
      <c r="E974" s="811"/>
      <c r="F974" s="811"/>
      <c r="G974" s="811"/>
      <c r="H974" s="811"/>
      <c r="I974" s="811"/>
      <c r="J974" s="811"/>
      <c r="K974" s="811"/>
      <c r="L974" s="811"/>
      <c r="M974" s="811"/>
      <c r="N974" s="811"/>
      <c r="O974" s="811"/>
      <c r="P974" s="811"/>
      <c r="Q974" s="811"/>
      <c r="R974" s="811"/>
      <c r="S974" s="811"/>
      <c r="T974" s="811"/>
      <c r="U974" s="811"/>
      <c r="V974" s="811"/>
      <c r="W974" s="811"/>
      <c r="X974" s="811"/>
      <c r="Y974" s="811"/>
      <c r="Z974" s="811"/>
    </row>
    <row r="975" spans="1:26" ht="15" thickBot="1">
      <c r="A975" s="811"/>
      <c r="B975" s="811"/>
      <c r="C975" s="811"/>
      <c r="D975" s="811"/>
      <c r="E975" s="811"/>
      <c r="F975" s="811"/>
      <c r="G975" s="811"/>
      <c r="H975" s="811"/>
      <c r="I975" s="811"/>
      <c r="J975" s="811"/>
      <c r="K975" s="811"/>
      <c r="L975" s="811"/>
      <c r="M975" s="811"/>
      <c r="N975" s="811"/>
      <c r="O975" s="811"/>
      <c r="P975" s="811"/>
      <c r="Q975" s="811"/>
      <c r="R975" s="811"/>
      <c r="S975" s="811"/>
      <c r="T975" s="811"/>
      <c r="U975" s="811"/>
      <c r="V975" s="811"/>
      <c r="W975" s="811"/>
      <c r="X975" s="811"/>
      <c r="Y975" s="811"/>
      <c r="Z975" s="811"/>
    </row>
    <row r="976" spans="1:26" ht="15" thickBot="1">
      <c r="A976" s="811"/>
      <c r="B976" s="811"/>
      <c r="C976" s="811"/>
      <c r="D976" s="811"/>
      <c r="E976" s="811"/>
      <c r="F976" s="811"/>
      <c r="G976" s="811"/>
      <c r="H976" s="811"/>
      <c r="I976" s="811"/>
      <c r="J976" s="811"/>
      <c r="K976" s="811"/>
      <c r="L976" s="811"/>
      <c r="M976" s="811"/>
      <c r="N976" s="811"/>
      <c r="O976" s="811"/>
      <c r="P976" s="811"/>
      <c r="Q976" s="811"/>
      <c r="R976" s="811"/>
      <c r="S976" s="811"/>
      <c r="T976" s="811"/>
      <c r="U976" s="811"/>
      <c r="V976" s="811"/>
      <c r="W976" s="811"/>
      <c r="X976" s="811"/>
      <c r="Y976" s="811"/>
      <c r="Z976" s="811"/>
    </row>
    <row r="977" spans="1:26" ht="15" thickBot="1">
      <c r="A977" s="811"/>
      <c r="B977" s="811"/>
      <c r="C977" s="811"/>
      <c r="D977" s="811"/>
      <c r="E977" s="811"/>
      <c r="F977" s="811"/>
      <c r="G977" s="811"/>
      <c r="H977" s="811"/>
      <c r="I977" s="811"/>
      <c r="J977" s="811"/>
      <c r="K977" s="811"/>
      <c r="L977" s="811"/>
      <c r="M977" s="811"/>
      <c r="N977" s="811"/>
      <c r="O977" s="811"/>
      <c r="P977" s="811"/>
      <c r="Q977" s="811"/>
      <c r="R977" s="811"/>
      <c r="S977" s="811"/>
      <c r="T977" s="811"/>
      <c r="U977" s="811"/>
      <c r="V977" s="811"/>
      <c r="W977" s="811"/>
      <c r="X977" s="811"/>
      <c r="Y977" s="811"/>
      <c r="Z977" s="811"/>
    </row>
    <row r="978" spans="1:26" ht="15" thickBot="1">
      <c r="A978" s="811"/>
      <c r="B978" s="811"/>
      <c r="C978" s="811"/>
      <c r="D978" s="811"/>
      <c r="E978" s="811"/>
      <c r="F978" s="811"/>
      <c r="G978" s="811"/>
      <c r="H978" s="811"/>
      <c r="I978" s="811"/>
      <c r="J978" s="811"/>
      <c r="K978" s="811"/>
      <c r="L978" s="811"/>
      <c r="M978" s="811"/>
      <c r="N978" s="811"/>
      <c r="O978" s="811"/>
      <c r="P978" s="811"/>
      <c r="Q978" s="811"/>
      <c r="R978" s="811"/>
      <c r="S978" s="811"/>
      <c r="T978" s="811"/>
      <c r="U978" s="811"/>
      <c r="V978" s="811"/>
      <c r="W978" s="811"/>
      <c r="X978" s="811"/>
      <c r="Y978" s="811"/>
      <c r="Z978" s="811"/>
    </row>
    <row r="979" spans="1:26" ht="15" thickBot="1">
      <c r="A979" s="811"/>
      <c r="B979" s="811"/>
      <c r="C979" s="811"/>
      <c r="D979" s="811"/>
      <c r="E979" s="811"/>
      <c r="F979" s="811"/>
      <c r="G979" s="811"/>
      <c r="H979" s="811"/>
      <c r="I979" s="811"/>
      <c r="J979" s="811"/>
      <c r="K979" s="811"/>
      <c r="L979" s="811"/>
      <c r="M979" s="811"/>
      <c r="N979" s="811"/>
      <c r="O979" s="811"/>
      <c r="P979" s="811"/>
      <c r="Q979" s="811"/>
      <c r="R979" s="811"/>
      <c r="S979" s="811"/>
      <c r="T979" s="811"/>
      <c r="U979" s="811"/>
      <c r="V979" s="811"/>
      <c r="W979" s="811"/>
      <c r="X979" s="811"/>
      <c r="Y979" s="811"/>
      <c r="Z979" s="811"/>
    </row>
    <row r="980" spans="1:26" ht="15" thickBot="1">
      <c r="A980" s="811"/>
      <c r="B980" s="811"/>
      <c r="C980" s="811"/>
      <c r="D980" s="811"/>
      <c r="E980" s="811"/>
      <c r="F980" s="811"/>
      <c r="G980" s="811"/>
      <c r="H980" s="811"/>
      <c r="I980" s="811"/>
      <c r="J980" s="811"/>
      <c r="K980" s="811"/>
      <c r="L980" s="811"/>
      <c r="M980" s="811"/>
      <c r="N980" s="811"/>
      <c r="O980" s="811"/>
      <c r="P980" s="811"/>
      <c r="Q980" s="811"/>
      <c r="R980" s="811"/>
      <c r="S980" s="811"/>
      <c r="T980" s="811"/>
      <c r="U980" s="811"/>
      <c r="V980" s="811"/>
      <c r="W980" s="811"/>
      <c r="X980" s="811"/>
      <c r="Y980" s="811"/>
      <c r="Z980" s="811"/>
    </row>
    <row r="981" spans="1:26" ht="15" thickBot="1">
      <c r="A981" s="811"/>
      <c r="B981" s="811"/>
      <c r="C981" s="811"/>
      <c r="D981" s="811"/>
      <c r="E981" s="811"/>
      <c r="F981" s="811"/>
      <c r="G981" s="811"/>
      <c r="H981" s="811"/>
      <c r="I981" s="811"/>
      <c r="J981" s="811"/>
      <c r="K981" s="811"/>
      <c r="L981" s="811"/>
      <c r="M981" s="811"/>
      <c r="N981" s="811"/>
      <c r="O981" s="811"/>
      <c r="P981" s="811"/>
      <c r="Q981" s="811"/>
      <c r="R981" s="811"/>
      <c r="S981" s="811"/>
      <c r="T981" s="811"/>
      <c r="U981" s="811"/>
      <c r="V981" s="811"/>
      <c r="W981" s="811"/>
      <c r="X981" s="811"/>
      <c r="Y981" s="811"/>
      <c r="Z981" s="811"/>
    </row>
    <row r="982" spans="1:26" ht="15" thickBot="1">
      <c r="A982" s="811"/>
      <c r="B982" s="811"/>
      <c r="C982" s="811"/>
      <c r="D982" s="811"/>
      <c r="E982" s="811"/>
      <c r="F982" s="811"/>
      <c r="G982" s="811"/>
      <c r="H982" s="811"/>
      <c r="I982" s="811"/>
      <c r="J982" s="811"/>
      <c r="K982" s="811"/>
      <c r="L982" s="811"/>
      <c r="M982" s="811"/>
      <c r="N982" s="811"/>
      <c r="O982" s="811"/>
      <c r="P982" s="811"/>
      <c r="Q982" s="811"/>
      <c r="R982" s="811"/>
      <c r="S982" s="811"/>
      <c r="T982" s="811"/>
      <c r="U982" s="811"/>
      <c r="V982" s="811"/>
      <c r="W982" s="811"/>
      <c r="X982" s="811"/>
      <c r="Y982" s="811"/>
      <c r="Z982" s="811"/>
    </row>
    <row r="983" spans="1:26" ht="15" thickBot="1">
      <c r="A983" s="811"/>
      <c r="B983" s="811"/>
      <c r="C983" s="811"/>
      <c r="D983" s="811"/>
      <c r="E983" s="811"/>
      <c r="F983" s="811"/>
      <c r="G983" s="811"/>
      <c r="H983" s="811"/>
      <c r="I983" s="811"/>
      <c r="J983" s="811"/>
      <c r="K983" s="811"/>
      <c r="L983" s="811"/>
      <c r="M983" s="811"/>
      <c r="N983" s="811"/>
      <c r="O983" s="811"/>
      <c r="P983" s="811"/>
      <c r="Q983" s="811"/>
      <c r="R983" s="811"/>
      <c r="S983" s="811"/>
      <c r="T983" s="811"/>
      <c r="U983" s="811"/>
      <c r="V983" s="811"/>
      <c r="W983" s="811"/>
      <c r="X983" s="811"/>
      <c r="Y983" s="811"/>
      <c r="Z983" s="811"/>
    </row>
    <row r="984" spans="1:26" ht="15" thickBot="1">
      <c r="A984" s="811"/>
      <c r="B984" s="811"/>
      <c r="C984" s="811"/>
      <c r="D984" s="811"/>
      <c r="E984" s="811"/>
      <c r="F984" s="811"/>
      <c r="G984" s="811"/>
      <c r="H984" s="811"/>
      <c r="I984" s="811"/>
      <c r="J984" s="811"/>
      <c r="K984" s="811"/>
      <c r="L984" s="811"/>
      <c r="M984" s="811"/>
      <c r="N984" s="811"/>
      <c r="O984" s="811"/>
      <c r="P984" s="811"/>
      <c r="Q984" s="811"/>
      <c r="R984" s="811"/>
      <c r="S984" s="811"/>
      <c r="T984" s="811"/>
      <c r="U984" s="811"/>
      <c r="V984" s="811"/>
      <c r="W984" s="811"/>
      <c r="X984" s="811"/>
      <c r="Y984" s="811"/>
      <c r="Z984" s="811"/>
    </row>
    <row r="985" spans="1:26" ht="15" thickBot="1">
      <c r="A985" s="811"/>
      <c r="B985" s="811"/>
      <c r="C985" s="811"/>
      <c r="D985" s="811"/>
      <c r="E985" s="811"/>
      <c r="F985" s="811"/>
      <c r="G985" s="811"/>
      <c r="H985" s="811"/>
      <c r="I985" s="811"/>
      <c r="J985" s="811"/>
      <c r="K985" s="811"/>
      <c r="L985" s="811"/>
      <c r="M985" s="811"/>
      <c r="N985" s="811"/>
      <c r="O985" s="811"/>
      <c r="P985" s="811"/>
      <c r="Q985" s="811"/>
      <c r="R985" s="811"/>
      <c r="S985" s="811"/>
      <c r="T985" s="811"/>
      <c r="U985" s="811"/>
      <c r="V985" s="811"/>
      <c r="W985" s="811"/>
      <c r="X985" s="811"/>
      <c r="Y985" s="811"/>
      <c r="Z985" s="811"/>
    </row>
    <row r="986" spans="1:26" ht="15" thickBot="1">
      <c r="A986" s="811"/>
      <c r="B986" s="811"/>
      <c r="C986" s="811"/>
      <c r="D986" s="811"/>
      <c r="E986" s="811"/>
      <c r="F986" s="811"/>
      <c r="G986" s="811"/>
      <c r="H986" s="811"/>
      <c r="I986" s="811"/>
      <c r="J986" s="811"/>
      <c r="K986" s="811"/>
      <c r="L986" s="811"/>
      <c r="M986" s="811"/>
      <c r="N986" s="811"/>
      <c r="O986" s="811"/>
      <c r="P986" s="811"/>
      <c r="Q986" s="811"/>
      <c r="R986" s="811"/>
      <c r="S986" s="811"/>
      <c r="T986" s="811"/>
      <c r="U986" s="811"/>
      <c r="V986" s="811"/>
      <c r="W986" s="811"/>
      <c r="X986" s="811"/>
      <c r="Y986" s="811"/>
      <c r="Z986" s="811"/>
    </row>
    <row r="987" spans="1:26" ht="15" thickBot="1">
      <c r="A987" s="811"/>
      <c r="B987" s="811"/>
      <c r="C987" s="811"/>
      <c r="D987" s="811"/>
      <c r="E987" s="811"/>
      <c r="F987" s="811"/>
      <c r="G987" s="811"/>
      <c r="H987" s="811"/>
      <c r="I987" s="811"/>
      <c r="J987" s="811"/>
      <c r="K987" s="811"/>
      <c r="L987" s="811"/>
      <c r="M987" s="811"/>
      <c r="N987" s="811"/>
      <c r="O987" s="811"/>
      <c r="P987" s="811"/>
      <c r="Q987" s="811"/>
      <c r="R987" s="811"/>
      <c r="S987" s="811"/>
      <c r="T987" s="811"/>
      <c r="U987" s="811"/>
      <c r="V987" s="811"/>
      <c r="W987" s="811"/>
      <c r="X987" s="811"/>
      <c r="Y987" s="811"/>
      <c r="Z987" s="811"/>
    </row>
    <row r="988" spans="1:26" ht="15" thickBot="1">
      <c r="A988" s="811"/>
      <c r="B988" s="811"/>
      <c r="C988" s="811"/>
      <c r="D988" s="811"/>
      <c r="E988" s="811"/>
      <c r="F988" s="811"/>
      <c r="G988" s="811"/>
      <c r="H988" s="811"/>
      <c r="I988" s="811"/>
      <c r="J988" s="811"/>
      <c r="K988" s="811"/>
      <c r="L988" s="811"/>
      <c r="M988" s="811"/>
      <c r="N988" s="811"/>
      <c r="O988" s="811"/>
      <c r="P988" s="811"/>
      <c r="Q988" s="811"/>
      <c r="R988" s="811"/>
      <c r="S988" s="811"/>
      <c r="T988" s="811"/>
      <c r="U988" s="811"/>
      <c r="V988" s="811"/>
      <c r="W988" s="811"/>
      <c r="X988" s="811"/>
      <c r="Y988" s="811"/>
      <c r="Z988" s="811"/>
    </row>
    <row r="989" spans="1:26" ht="15" thickBot="1">
      <c r="A989" s="811"/>
      <c r="B989" s="811"/>
      <c r="C989" s="811"/>
      <c r="D989" s="811"/>
      <c r="E989" s="811"/>
      <c r="F989" s="811"/>
      <c r="G989" s="811"/>
      <c r="H989" s="811"/>
      <c r="I989" s="811"/>
      <c r="J989" s="811"/>
      <c r="K989" s="811"/>
      <c r="L989" s="811"/>
      <c r="M989" s="811"/>
      <c r="N989" s="811"/>
      <c r="O989" s="811"/>
      <c r="P989" s="811"/>
      <c r="Q989" s="811"/>
      <c r="R989" s="811"/>
      <c r="S989" s="811"/>
      <c r="T989" s="811"/>
      <c r="U989" s="811"/>
      <c r="V989" s="811"/>
      <c r="W989" s="811"/>
      <c r="X989" s="811"/>
      <c r="Y989" s="811"/>
      <c r="Z989" s="811"/>
    </row>
    <row r="990" spans="1:26" ht="15" thickBot="1">
      <c r="A990" s="811"/>
      <c r="B990" s="811"/>
      <c r="C990" s="811"/>
      <c r="D990" s="811"/>
      <c r="E990" s="811"/>
      <c r="F990" s="811"/>
      <c r="G990" s="811"/>
      <c r="H990" s="811"/>
      <c r="I990" s="811"/>
      <c r="J990" s="811"/>
      <c r="K990" s="811"/>
      <c r="L990" s="811"/>
      <c r="M990" s="811"/>
      <c r="N990" s="811"/>
      <c r="O990" s="811"/>
      <c r="P990" s="811"/>
      <c r="Q990" s="811"/>
      <c r="R990" s="811"/>
      <c r="S990" s="811"/>
      <c r="T990" s="811"/>
      <c r="U990" s="811"/>
      <c r="V990" s="811"/>
      <c r="W990" s="811"/>
      <c r="X990" s="811"/>
      <c r="Y990" s="811"/>
      <c r="Z990" s="811"/>
    </row>
    <row r="991" spans="1:26" ht="15" thickBot="1">
      <c r="A991" s="811"/>
      <c r="B991" s="811"/>
      <c r="C991" s="811"/>
      <c r="D991" s="811"/>
      <c r="E991" s="811"/>
      <c r="F991" s="811"/>
      <c r="G991" s="811"/>
      <c r="H991" s="811"/>
      <c r="I991" s="811"/>
      <c r="J991" s="811"/>
      <c r="K991" s="811"/>
      <c r="L991" s="811"/>
      <c r="M991" s="811"/>
      <c r="N991" s="811"/>
      <c r="O991" s="811"/>
      <c r="P991" s="811"/>
      <c r="Q991" s="811"/>
      <c r="R991" s="811"/>
      <c r="S991" s="811"/>
      <c r="T991" s="811"/>
      <c r="U991" s="811"/>
      <c r="V991" s="811"/>
      <c r="W991" s="811"/>
      <c r="X991" s="811"/>
      <c r="Y991" s="811"/>
      <c r="Z991" s="811"/>
    </row>
    <row r="992" spans="1:26" ht="15" thickBot="1">
      <c r="A992" s="811"/>
      <c r="B992" s="811"/>
      <c r="C992" s="811"/>
      <c r="D992" s="811"/>
      <c r="E992" s="811"/>
      <c r="F992" s="811"/>
      <c r="G992" s="811"/>
      <c r="H992" s="811"/>
      <c r="I992" s="811"/>
      <c r="J992" s="811"/>
      <c r="K992" s="811"/>
      <c r="L992" s="811"/>
      <c r="M992" s="811"/>
      <c r="N992" s="811"/>
      <c r="O992" s="811"/>
      <c r="P992" s="811"/>
      <c r="Q992" s="811"/>
      <c r="R992" s="811"/>
      <c r="S992" s="811"/>
      <c r="T992" s="811"/>
      <c r="U992" s="811"/>
      <c r="V992" s="811"/>
      <c r="W992" s="811"/>
      <c r="X992" s="811"/>
      <c r="Y992" s="811"/>
      <c r="Z992" s="811"/>
    </row>
    <row r="993" spans="1:26" ht="15" thickBot="1">
      <c r="A993" s="811"/>
      <c r="B993" s="811"/>
      <c r="C993" s="811"/>
      <c r="D993" s="811"/>
      <c r="E993" s="811"/>
      <c r="F993" s="811"/>
      <c r="G993" s="811"/>
      <c r="H993" s="811"/>
      <c r="I993" s="811"/>
      <c r="J993" s="811"/>
      <c r="K993" s="811"/>
      <c r="L993" s="811"/>
      <c r="M993" s="811"/>
      <c r="N993" s="811"/>
      <c r="O993" s="811"/>
      <c r="P993" s="811"/>
      <c r="Q993" s="811"/>
      <c r="R993" s="811"/>
      <c r="S993" s="811"/>
      <c r="T993" s="811"/>
      <c r="U993" s="811"/>
      <c r="V993" s="811"/>
      <c r="W993" s="811"/>
      <c r="X993" s="811"/>
      <c r="Y993" s="811"/>
      <c r="Z993" s="811"/>
    </row>
    <row r="994" spans="1:26" ht="15" thickBot="1">
      <c r="A994" s="811"/>
      <c r="B994" s="811"/>
      <c r="C994" s="811"/>
      <c r="D994" s="811"/>
      <c r="E994" s="811"/>
      <c r="F994" s="811"/>
      <c r="G994" s="811"/>
      <c r="H994" s="811"/>
      <c r="I994" s="811"/>
      <c r="J994" s="811"/>
      <c r="K994" s="811"/>
      <c r="L994" s="811"/>
      <c r="M994" s="811"/>
      <c r="N994" s="811"/>
      <c r="O994" s="811"/>
      <c r="P994" s="811"/>
      <c r="Q994" s="811"/>
      <c r="R994" s="811"/>
      <c r="S994" s="811"/>
      <c r="T994" s="811"/>
      <c r="U994" s="811"/>
      <c r="V994" s="811"/>
      <c r="W994" s="811"/>
      <c r="X994" s="811"/>
      <c r="Y994" s="811"/>
      <c r="Z994" s="811"/>
    </row>
    <row r="995" spans="1:26" ht="15" thickBot="1">
      <c r="A995" s="811"/>
      <c r="B995" s="811"/>
      <c r="C995" s="811"/>
      <c r="D995" s="811"/>
      <c r="E995" s="811"/>
      <c r="F995" s="811"/>
      <c r="G995" s="811"/>
      <c r="H995" s="811"/>
      <c r="I995" s="811"/>
      <c r="J995" s="811"/>
      <c r="K995" s="811"/>
      <c r="L995" s="811"/>
      <c r="M995" s="811"/>
      <c r="N995" s="811"/>
      <c r="O995" s="811"/>
      <c r="P995" s="811"/>
      <c r="Q995" s="811"/>
      <c r="R995" s="811"/>
      <c r="S995" s="811"/>
      <c r="T995" s="811"/>
      <c r="U995" s="811"/>
      <c r="V995" s="811"/>
      <c r="W995" s="811"/>
      <c r="X995" s="811"/>
      <c r="Y995" s="811"/>
      <c r="Z995" s="811"/>
    </row>
    <row r="996" spans="1:26" ht="15" thickBot="1">
      <c r="A996" s="811"/>
      <c r="B996" s="811"/>
      <c r="C996" s="811"/>
      <c r="D996" s="811"/>
      <c r="E996" s="811"/>
      <c r="F996" s="811"/>
      <c r="G996" s="811"/>
      <c r="H996" s="811"/>
      <c r="I996" s="811"/>
      <c r="J996" s="811"/>
      <c r="K996" s="811"/>
      <c r="L996" s="811"/>
      <c r="M996" s="811"/>
      <c r="N996" s="811"/>
      <c r="O996" s="811"/>
      <c r="P996" s="811"/>
      <c r="Q996" s="811"/>
      <c r="R996" s="811"/>
      <c r="S996" s="811"/>
      <c r="T996" s="811"/>
      <c r="U996" s="811"/>
      <c r="V996" s="811"/>
      <c r="W996" s="811"/>
      <c r="X996" s="811"/>
      <c r="Y996" s="811"/>
      <c r="Z996" s="811"/>
    </row>
    <row r="997" spans="1:26" ht="15" thickBot="1">
      <c r="A997" s="811"/>
      <c r="B997" s="811"/>
      <c r="C997" s="811"/>
      <c r="D997" s="811"/>
      <c r="E997" s="811"/>
      <c r="F997" s="811"/>
      <c r="G997" s="811"/>
      <c r="H997" s="811"/>
      <c r="I997" s="811"/>
      <c r="J997" s="811"/>
      <c r="K997" s="811"/>
      <c r="L997" s="811"/>
      <c r="M997" s="811"/>
      <c r="N997" s="811"/>
      <c r="O997" s="811"/>
      <c r="P997" s="811"/>
      <c r="Q997" s="811"/>
      <c r="R997" s="811"/>
      <c r="S997" s="811"/>
      <c r="T997" s="811"/>
      <c r="U997" s="811"/>
      <c r="V997" s="811"/>
      <c r="W997" s="811"/>
      <c r="X997" s="811"/>
      <c r="Y997" s="811"/>
      <c r="Z997" s="811"/>
    </row>
    <row r="998" spans="1:26" ht="15" thickBot="1">
      <c r="A998" s="811"/>
      <c r="B998" s="811"/>
      <c r="C998" s="811"/>
      <c r="D998" s="811"/>
      <c r="E998" s="811"/>
      <c r="F998" s="811"/>
      <c r="G998" s="811"/>
      <c r="H998" s="811"/>
      <c r="I998" s="811"/>
      <c r="J998" s="811"/>
      <c r="K998" s="811"/>
      <c r="L998" s="811"/>
      <c r="M998" s="811"/>
      <c r="N998" s="811"/>
      <c r="O998" s="811"/>
      <c r="P998" s="811"/>
      <c r="Q998" s="811"/>
      <c r="R998" s="811"/>
      <c r="S998" s="811"/>
      <c r="T998" s="811"/>
      <c r="U998" s="811"/>
      <c r="V998" s="811"/>
      <c r="W998" s="811"/>
      <c r="X998" s="811"/>
      <c r="Y998" s="811"/>
      <c r="Z998" s="811"/>
    </row>
    <row r="999" spans="1:26" ht="15" thickBot="1">
      <c r="A999" s="811"/>
      <c r="B999" s="811"/>
      <c r="C999" s="811"/>
      <c r="D999" s="811"/>
      <c r="E999" s="811"/>
      <c r="F999" s="811"/>
      <c r="G999" s="811"/>
      <c r="H999" s="811"/>
      <c r="I999" s="811"/>
      <c r="J999" s="811"/>
      <c r="K999" s="811"/>
      <c r="L999" s="811"/>
      <c r="M999" s="811"/>
      <c r="N999" s="811"/>
      <c r="O999" s="811"/>
      <c r="P999" s="811"/>
      <c r="Q999" s="811"/>
      <c r="R999" s="811"/>
      <c r="S999" s="811"/>
      <c r="T999" s="811"/>
      <c r="U999" s="811"/>
      <c r="V999" s="811"/>
      <c r="W999" s="811"/>
      <c r="X999" s="811"/>
      <c r="Y999" s="811"/>
      <c r="Z999" s="811"/>
    </row>
    <row r="1000" spans="1:26" ht="15" thickBot="1">
      <c r="A1000" s="811"/>
      <c r="B1000" s="811"/>
      <c r="C1000" s="811"/>
      <c r="D1000" s="811"/>
      <c r="E1000" s="811"/>
      <c r="F1000" s="811"/>
      <c r="G1000" s="811"/>
      <c r="H1000" s="811"/>
      <c r="I1000" s="811"/>
      <c r="J1000" s="811"/>
      <c r="K1000" s="811"/>
      <c r="L1000" s="811"/>
      <c r="M1000" s="811"/>
      <c r="N1000" s="811"/>
      <c r="O1000" s="811"/>
      <c r="P1000" s="811"/>
      <c r="Q1000" s="811"/>
      <c r="R1000" s="811"/>
      <c r="S1000" s="811"/>
      <c r="T1000" s="811"/>
      <c r="U1000" s="811"/>
      <c r="V1000" s="811"/>
      <c r="W1000" s="811"/>
      <c r="X1000" s="811"/>
      <c r="Y1000" s="811"/>
      <c r="Z1000" s="811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36"/>
  <sheetViews>
    <sheetView showGridLines="0" workbookViewId="0">
      <selection activeCell="M18" sqref="M18"/>
    </sheetView>
  </sheetViews>
  <sheetFormatPr defaultRowHeight="13"/>
  <cols>
    <col min="3" max="3" width="13.6640625" customWidth="1"/>
    <col min="7" max="7" width="12.109375" bestFit="1" customWidth="1"/>
    <col min="9" max="9" width="11.44140625" customWidth="1"/>
  </cols>
  <sheetData>
    <row r="3" spans="2:9" ht="13.5" thickBot="1"/>
    <row r="4" spans="2:9">
      <c r="B4" s="842" t="s">
        <v>1586</v>
      </c>
      <c r="C4" s="843"/>
      <c r="D4" s="844">
        <v>20</v>
      </c>
      <c r="E4" s="845" t="s">
        <v>299</v>
      </c>
      <c r="F4" s="843"/>
      <c r="G4" s="846"/>
      <c r="H4" s="846"/>
      <c r="I4" s="847"/>
    </row>
    <row r="5" spans="2:9">
      <c r="B5" s="833" t="s">
        <v>1843</v>
      </c>
      <c r="D5" s="1">
        <v>45</v>
      </c>
      <c r="E5" s="2" t="s">
        <v>299</v>
      </c>
      <c r="F5" s="519"/>
      <c r="G5" s="520"/>
      <c r="H5" s="521"/>
      <c r="I5" s="848"/>
    </row>
    <row r="6" spans="2:9">
      <c r="B6" s="833" t="s">
        <v>284</v>
      </c>
      <c r="D6" s="63">
        <v>974</v>
      </c>
      <c r="E6" s="2" t="s">
        <v>298</v>
      </c>
      <c r="F6" s="523" t="s">
        <v>1661</v>
      </c>
      <c r="G6" s="524"/>
      <c r="H6" s="525"/>
      <c r="I6" s="849"/>
    </row>
    <row r="7" spans="2:9">
      <c r="B7" s="833" t="s">
        <v>1563</v>
      </c>
      <c r="D7" s="63">
        <v>6088.7999999999993</v>
      </c>
      <c r="E7" s="2" t="s">
        <v>1757</v>
      </c>
      <c r="F7" s="527"/>
      <c r="G7" s="528"/>
      <c r="H7" s="529"/>
      <c r="I7" s="850"/>
    </row>
    <row r="8" spans="2:9">
      <c r="B8" s="851" t="s">
        <v>2077</v>
      </c>
      <c r="D8" s="63">
        <v>3445.6288923925899</v>
      </c>
      <c r="E8" s="2" t="s">
        <v>1370</v>
      </c>
      <c r="F8" s="531"/>
      <c r="G8" s="523" t="s">
        <v>1956</v>
      </c>
      <c r="H8" s="525"/>
      <c r="I8" s="852"/>
    </row>
    <row r="9" spans="2:9">
      <c r="B9" s="833"/>
      <c r="D9" s="20">
        <v>822.99397912260008</v>
      </c>
      <c r="F9" s="534" t="s">
        <v>357</v>
      </c>
      <c r="G9" s="535" t="s">
        <v>358</v>
      </c>
      <c r="H9" s="526" t="s">
        <v>359</v>
      </c>
      <c r="I9" s="829" t="s">
        <v>2073</v>
      </c>
    </row>
    <row r="10" spans="2:9">
      <c r="B10" s="833"/>
      <c r="F10" s="538"/>
      <c r="G10" s="538" t="s">
        <v>2076</v>
      </c>
      <c r="H10" s="526" t="s">
        <v>344</v>
      </c>
      <c r="I10" s="830"/>
    </row>
    <row r="11" spans="2:9">
      <c r="B11" s="853" t="s">
        <v>772</v>
      </c>
      <c r="C11" s="11"/>
      <c r="D11" s="11"/>
      <c r="E11" s="11"/>
      <c r="F11" s="10"/>
      <c r="G11" s="512"/>
      <c r="H11" s="49"/>
      <c r="I11" s="854"/>
    </row>
    <row r="12" spans="2:9">
      <c r="B12" s="833" t="s">
        <v>318</v>
      </c>
      <c r="D12" s="2" t="s">
        <v>1328</v>
      </c>
      <c r="E12" s="66"/>
      <c r="G12" s="12"/>
      <c r="I12" s="855">
        <v>822.97432224911392</v>
      </c>
    </row>
    <row r="13" spans="2:9">
      <c r="B13" s="833"/>
      <c r="D13" s="19" t="s">
        <v>418</v>
      </c>
      <c r="E13" s="66"/>
      <c r="F13" s="211"/>
      <c r="G13" s="401"/>
      <c r="H13" s="211"/>
      <c r="I13" s="856" t="s">
        <v>2074</v>
      </c>
    </row>
    <row r="14" spans="2:9">
      <c r="B14" s="833"/>
      <c r="D14" t="s">
        <v>792</v>
      </c>
      <c r="E14" s="66"/>
      <c r="G14" s="12"/>
      <c r="I14" s="835">
        <v>1.7835433689732458</v>
      </c>
    </row>
    <row r="15" spans="2:9">
      <c r="B15" s="833" t="s">
        <v>317</v>
      </c>
      <c r="C15" s="18"/>
      <c r="D15" t="s">
        <v>792</v>
      </c>
      <c r="E15" s="66"/>
      <c r="F15" s="192">
        <v>1.6200236499802918</v>
      </c>
      <c r="G15" s="192">
        <f>0.862642804/4.186</f>
        <v>0.20607807071189682</v>
      </c>
      <c r="H15" s="69">
        <v>70</v>
      </c>
      <c r="I15" s="835">
        <v>16.68937785379423</v>
      </c>
    </row>
    <row r="16" spans="2:9">
      <c r="B16" s="833"/>
      <c r="D16" t="s">
        <v>578</v>
      </c>
      <c r="F16" s="192" t="s">
        <v>2074</v>
      </c>
      <c r="G16" s="400" t="s">
        <v>2074</v>
      </c>
      <c r="H16" s="236"/>
      <c r="I16" s="835" t="s">
        <v>2074</v>
      </c>
    </row>
    <row r="17" spans="2:9">
      <c r="B17" s="833" t="s">
        <v>1532</v>
      </c>
      <c r="D17" t="s">
        <v>792</v>
      </c>
      <c r="E17" s="66"/>
      <c r="F17" s="192">
        <v>3.4607804493496257E-2</v>
      </c>
      <c r="G17" s="192">
        <f>1.300672248/4.186</f>
        <v>0.31071960057333969</v>
      </c>
      <c r="H17" s="76">
        <v>40</v>
      </c>
      <c r="I17" s="835">
        <v>0.39943778791907858</v>
      </c>
    </row>
    <row r="18" spans="2:9">
      <c r="B18" s="833" t="s">
        <v>1180</v>
      </c>
      <c r="D18" t="s">
        <v>824</v>
      </c>
      <c r="E18" s="66"/>
      <c r="F18" s="192">
        <v>1.5037563304494499</v>
      </c>
      <c r="G18" s="192">
        <f>1.3/4.186</f>
        <v>0.31055900621118016</v>
      </c>
      <c r="H18" s="69">
        <v>45</v>
      </c>
      <c r="I18" s="835">
        <v>8.5601179817525335</v>
      </c>
    </row>
    <row r="19" spans="2:9">
      <c r="B19" s="857" t="s">
        <v>2075</v>
      </c>
      <c r="C19" s="14"/>
      <c r="D19" s="14"/>
      <c r="E19" s="61"/>
      <c r="F19" s="21"/>
      <c r="G19" s="514"/>
      <c r="H19" s="15"/>
      <c r="I19" s="858">
        <v>5.0369577543838728</v>
      </c>
    </row>
    <row r="20" spans="2:9" ht="13.5" thickBot="1">
      <c r="B20" s="837" t="s">
        <v>1753</v>
      </c>
      <c r="C20" s="838"/>
      <c r="D20" s="838"/>
      <c r="E20" s="838"/>
      <c r="F20" s="838"/>
      <c r="G20" s="839"/>
      <c r="H20" s="840"/>
      <c r="I20" s="841">
        <v>855.44375699593695</v>
      </c>
    </row>
    <row r="21" spans="2:9">
      <c r="B21" s="823"/>
      <c r="C21" s="824"/>
      <c r="D21" s="824"/>
      <c r="E21" s="824"/>
      <c r="F21" s="824"/>
      <c r="G21" s="825"/>
      <c r="H21" s="826"/>
      <c r="I21" s="827"/>
    </row>
    <row r="22" spans="2:9">
      <c r="B22" s="828"/>
      <c r="C22" s="576"/>
      <c r="D22" s="576"/>
      <c r="E22" s="576"/>
      <c r="F22" s="534" t="s">
        <v>357</v>
      </c>
      <c r="G22" s="535" t="s">
        <v>358</v>
      </c>
      <c r="H22" s="526" t="s">
        <v>359</v>
      </c>
      <c r="I22" s="829" t="s">
        <v>2073</v>
      </c>
    </row>
    <row r="23" spans="2:9">
      <c r="B23" s="828"/>
      <c r="C23" s="576"/>
      <c r="D23" s="576"/>
      <c r="E23" s="576"/>
      <c r="F23" s="538"/>
      <c r="G23" s="538" t="s">
        <v>2076</v>
      </c>
      <c r="H23" s="526" t="s">
        <v>344</v>
      </c>
      <c r="I23" s="830"/>
    </row>
    <row r="24" spans="2:9">
      <c r="B24" s="831" t="s">
        <v>477</v>
      </c>
      <c r="E24" s="66"/>
      <c r="F24" s="43"/>
      <c r="G24" s="64"/>
      <c r="H24" s="13"/>
      <c r="I24" s="832"/>
    </row>
    <row r="25" spans="2:9">
      <c r="B25" s="833" t="s">
        <v>1306</v>
      </c>
      <c r="E25" s="66"/>
      <c r="F25" s="64"/>
      <c r="G25" s="73"/>
      <c r="H25" s="74"/>
      <c r="I25" s="834">
        <v>405.08264068023311</v>
      </c>
    </row>
    <row r="26" spans="2:9">
      <c r="B26" s="833" t="s">
        <v>1483</v>
      </c>
      <c r="D26" t="s">
        <v>792</v>
      </c>
      <c r="E26" s="66"/>
      <c r="F26" s="192">
        <v>1.6688419930660299</v>
      </c>
      <c r="G26" s="154">
        <f>1.50581490608866/4.186</f>
        <v>0.35972644674836601</v>
      </c>
      <c r="H26" s="83">
        <v>357</v>
      </c>
      <c r="I26" s="835">
        <v>202.27140757501778</v>
      </c>
    </row>
    <row r="27" spans="2:9">
      <c r="B27" s="833"/>
      <c r="C27" s="77"/>
      <c r="D27" s="19" t="s">
        <v>659</v>
      </c>
      <c r="E27" s="66"/>
      <c r="F27" s="78">
        <v>83</v>
      </c>
      <c r="G27" s="410">
        <f>12640/4.186</f>
        <v>3019.5891065456285</v>
      </c>
      <c r="H27" s="75"/>
      <c r="I27" s="835">
        <v>0.40770824199414396</v>
      </c>
    </row>
    <row r="28" spans="2:9">
      <c r="B28" s="836"/>
      <c r="C28" s="77" t="s">
        <v>1693</v>
      </c>
      <c r="D28" t="s">
        <v>792</v>
      </c>
      <c r="E28" s="66"/>
      <c r="F28" s="192">
        <v>0.15175404020496649</v>
      </c>
      <c r="G28" s="154">
        <f>1.015621411796/4.186</f>
        <v>0.24262336641089347</v>
      </c>
      <c r="H28" s="83">
        <v>357</v>
      </c>
      <c r="I28" s="835">
        <v>12.405657760649417</v>
      </c>
    </row>
    <row r="29" spans="2:9">
      <c r="B29" s="833" t="s">
        <v>1180</v>
      </c>
      <c r="C29" s="77" t="s">
        <v>398</v>
      </c>
      <c r="D29" t="s">
        <v>792</v>
      </c>
      <c r="E29" s="66"/>
      <c r="F29" s="192">
        <v>0.64146857471009633</v>
      </c>
      <c r="G29" s="154">
        <f>1.3383767582/4.186</f>
        <v>0.31972688920210224</v>
      </c>
      <c r="H29" s="409">
        <v>450</v>
      </c>
      <c r="I29" s="835">
        <v>88.173892124844656</v>
      </c>
    </row>
    <row r="30" spans="2:9">
      <c r="B30" s="833"/>
      <c r="C30" s="77" t="s">
        <v>1286</v>
      </c>
      <c r="D30" t="s">
        <v>792</v>
      </c>
      <c r="E30" s="66"/>
      <c r="F30" s="79">
        <v>1</v>
      </c>
      <c r="G30" s="154">
        <f>0.8649986213504/4.186</f>
        <v>0.20664085555432393</v>
      </c>
      <c r="H30" s="83">
        <v>276</v>
      </c>
      <c r="I30" s="835">
        <v>52.889951052283948</v>
      </c>
    </row>
    <row r="31" spans="2:9">
      <c r="B31" s="833" t="s">
        <v>1742</v>
      </c>
      <c r="D31" t="s">
        <v>51</v>
      </c>
      <c r="E31" s="66"/>
      <c r="F31" s="66"/>
      <c r="G31" s="12"/>
      <c r="H31" s="66"/>
      <c r="I31" s="835">
        <v>66.787236075284227</v>
      </c>
    </row>
    <row r="32" spans="2:9">
      <c r="B32" s="836" t="s">
        <v>1325</v>
      </c>
      <c r="D32" t="s">
        <v>1462</v>
      </c>
      <c r="E32" s="66"/>
      <c r="F32" s="84"/>
      <c r="G32" s="84"/>
      <c r="H32" s="85"/>
      <c r="I32" s="835">
        <v>19.996178465653962</v>
      </c>
    </row>
    <row r="33" spans="2:9">
      <c r="B33" s="833"/>
      <c r="D33" t="s">
        <v>1184</v>
      </c>
      <c r="E33" s="66"/>
      <c r="F33" s="84"/>
      <c r="G33" s="84"/>
      <c r="H33" s="85"/>
      <c r="I33" s="835">
        <v>3.999235693130792</v>
      </c>
    </row>
    <row r="34" spans="2:9">
      <c r="B34" s="833"/>
      <c r="D34" t="s">
        <v>1800</v>
      </c>
      <c r="E34" s="66"/>
      <c r="F34" s="66"/>
      <c r="G34" s="66"/>
      <c r="H34" s="66"/>
      <c r="I34" s="835">
        <v>0</v>
      </c>
    </row>
    <row r="35" spans="2:9">
      <c r="B35" s="833" t="s">
        <v>1590</v>
      </c>
      <c r="C35" s="87">
        <v>0.40094387255678948</v>
      </c>
      <c r="D35" t="s">
        <v>297</v>
      </c>
      <c r="E35" s="66"/>
      <c r="F35" s="66"/>
      <c r="G35" s="66"/>
      <c r="H35" s="66"/>
      <c r="I35" s="835">
        <v>3.4298493268448014</v>
      </c>
    </row>
    <row r="36" spans="2:9" ht="13.5" thickBot="1">
      <c r="B36" s="837" t="s">
        <v>1749</v>
      </c>
      <c r="C36" s="838"/>
      <c r="D36" s="838"/>
      <c r="E36" s="838"/>
      <c r="F36" s="838"/>
      <c r="G36" s="839"/>
      <c r="H36" s="840"/>
      <c r="I36" s="841">
        <v>855.44375699593695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382</vt:i4>
      </vt:variant>
    </vt:vector>
  </HeadingPairs>
  <TitlesOfParts>
    <vt:vector size="387" baseType="lpstr">
      <vt:lpstr>Visualization</vt:lpstr>
      <vt:lpstr>Summary Monthly</vt:lpstr>
      <vt:lpstr>HBL</vt:lpstr>
      <vt:lpstr>Sheet1</vt:lpstr>
      <vt:lpstr>Sheet2</vt:lpstr>
      <vt:lpstr>ABSHUM</vt:lpstr>
      <vt:lpstr>AIRBAL_ERROR</vt:lpstr>
      <vt:lpstr>Al2O3</vt:lpstr>
      <vt:lpstr>Alk</vt:lpstr>
      <vt:lpstr>HBL!ALTITUDE</vt:lpstr>
      <vt:lpstr>Amin_FUEL1</vt:lpstr>
      <vt:lpstr>Amin_FUEL2</vt:lpstr>
      <vt:lpstr>Amin_FUEL3</vt:lpstr>
      <vt:lpstr>Amin_FUEL4</vt:lpstr>
      <vt:lpstr>Amin_FUEL5</vt:lpstr>
      <vt:lpstr>Amin_FUEL6</vt:lpstr>
      <vt:lpstr>BYPASS_PERCENT</vt:lpstr>
      <vt:lpstr>BYPRAD</vt:lpstr>
      <vt:lpstr>CALCINATION</vt:lpstr>
      <vt:lpstr>CaO</vt:lpstr>
      <vt:lpstr>CaO_BYPASS</vt:lpstr>
      <vt:lpstr>CaO_DUSTFILTER</vt:lpstr>
      <vt:lpstr>CaOnc_BYPASS</vt:lpstr>
      <vt:lpstr>CaOnc_DUSTSMOKE</vt:lpstr>
      <vt:lpstr>CL</vt:lpstr>
      <vt:lpstr>Cl_BYPASS</vt:lpstr>
      <vt:lpstr>Cl_HOTMEAL</vt:lpstr>
      <vt:lpstr>CLI_DUST</vt:lpstr>
      <vt:lpstr>CLI_FACTOR</vt:lpstr>
      <vt:lpstr>CO_BYPASSEXTRAC</vt:lpstr>
      <vt:lpstr>CO_EXHAUST</vt:lpstr>
      <vt:lpstr>CO_EXHAUSTCALCINER</vt:lpstr>
      <vt:lpstr>CO_KILNINLET</vt:lpstr>
      <vt:lpstr>CODE</vt:lpstr>
      <vt:lpstr>Cooler</vt:lpstr>
      <vt:lpstr>COOLHBL_ERROR</vt:lpstr>
      <vt:lpstr>CP_BYDUSTEXTRAC</vt:lpstr>
      <vt:lpstr>CP_BYDUSTQUENCH</vt:lpstr>
      <vt:lpstr>CP_BYPASSEXTRAC</vt:lpstr>
      <vt:lpstr>CP_BYPASSQUENCH</vt:lpstr>
      <vt:lpstr>CP_CLI</vt:lpstr>
      <vt:lpstr>CP_CLIDUST</vt:lpstr>
      <vt:lpstr>CP_CLIHOT</vt:lpstr>
      <vt:lpstr>CP_DUSTEXHAUST</vt:lpstr>
      <vt:lpstr>CP_EXHAUST</vt:lpstr>
      <vt:lpstr>CP_EXHAUSTCALCINER</vt:lpstr>
      <vt:lpstr>CP_EXHAUSTCALCINERman</vt:lpstr>
      <vt:lpstr>CP_EXHAUSTman</vt:lpstr>
      <vt:lpstr>CP_FALSEAIR</vt:lpstr>
      <vt:lpstr>CP_H2OCOOLER</vt:lpstr>
      <vt:lpstr>CP_H2Ovap</vt:lpstr>
      <vt:lpstr>CP_H2OvapTA</vt:lpstr>
      <vt:lpstr>CP_MEALDRY</vt:lpstr>
      <vt:lpstr>CP_MIDDLE</vt:lpstr>
      <vt:lpstr>CP_PRIMAIR</vt:lpstr>
      <vt:lpstr>CP_PRIMAIRCAL</vt:lpstr>
      <vt:lpstr>CP_SECONDAIR</vt:lpstr>
      <vt:lpstr>CP_TERTAIR</vt:lpstr>
      <vt:lpstr>CP_WASTE</vt:lpstr>
      <vt:lpstr>CP_WATER</vt:lpstr>
      <vt:lpstr>CPH2O_PRIMAIR</vt:lpstr>
      <vt:lpstr>CPH2O_PRIMAIRCAL</vt:lpstr>
      <vt:lpstr>DATE1</vt:lpstr>
      <vt:lpstr>DATE2</vt:lpstr>
      <vt:lpstr>HBL!DIAMETER</vt:lpstr>
      <vt:lpstr>DUSTBYPASS_CORR</vt:lpstr>
      <vt:lpstr>DUSTBYPASS_R2</vt:lpstr>
      <vt:lpstr>DUSTBYPASS_T2</vt:lpstr>
      <vt:lpstr>DUSTFILTER_CORR</vt:lpstr>
      <vt:lpstr>DUSTFILTER_R1</vt:lpstr>
      <vt:lpstr>DUSTFILTER_R2</vt:lpstr>
      <vt:lpstr>DUSTFILTER_T2</vt:lpstr>
      <vt:lpstr>Fe2O3</vt:lpstr>
      <vt:lpstr>FEED_CALCINER</vt:lpstr>
      <vt:lpstr>FEED_R2</vt:lpstr>
      <vt:lpstr>FEED_T2</vt:lpstr>
      <vt:lpstr>FUEL1</vt:lpstr>
      <vt:lpstr>FUEL2</vt:lpstr>
      <vt:lpstr>FUEL3</vt:lpstr>
      <vt:lpstr>FUEL4</vt:lpstr>
      <vt:lpstr>FUEL5</vt:lpstr>
      <vt:lpstr>FUEL6</vt:lpstr>
      <vt:lpstr>FUELBZ1_R2</vt:lpstr>
      <vt:lpstr>FUELBZ2_R2</vt:lpstr>
      <vt:lpstr>FUELBZ3_R2</vt:lpstr>
      <vt:lpstr>FUELBZ4_R2</vt:lpstr>
      <vt:lpstr>FUELBZ5_R2</vt:lpstr>
      <vt:lpstr>FUELBZ6_R2</vt:lpstr>
      <vt:lpstr>FUELCZ1_R2</vt:lpstr>
      <vt:lpstr>FUELCZ2_R2</vt:lpstr>
      <vt:lpstr>FUELCZ3_R2</vt:lpstr>
      <vt:lpstr>FUELCZ4_R2</vt:lpstr>
      <vt:lpstr>FUELCZ5_R2</vt:lpstr>
      <vt:lpstr>FUELCZ6_R2</vt:lpstr>
      <vt:lpstr>FUELSF1_R2</vt:lpstr>
      <vt:lpstr>FUELSF2_R2</vt:lpstr>
      <vt:lpstr>FUELSF3_R2</vt:lpstr>
      <vt:lpstr>FUELSF4_R2</vt:lpstr>
      <vt:lpstr>FUELSF5_R2</vt:lpstr>
      <vt:lpstr>FUELSF6_R2</vt:lpstr>
      <vt:lpstr>H2O_BYPASS</vt:lpstr>
      <vt:lpstr>H2O_DRYCOAL</vt:lpstr>
      <vt:lpstr>H2O_DRYCOALCAL</vt:lpstr>
      <vt:lpstr>H2O_DUSTFILTER</vt:lpstr>
      <vt:lpstr>H2O_FEED</vt:lpstr>
      <vt:lpstr>H2O_FUEL1</vt:lpstr>
      <vt:lpstr>H2O_FUEL2</vt:lpstr>
      <vt:lpstr>H2O_FUEL3</vt:lpstr>
      <vt:lpstr>H2O_FUEL4</vt:lpstr>
      <vt:lpstr>H2O_FUEL5</vt:lpstr>
      <vt:lpstr>H2O_FUEL6</vt:lpstr>
      <vt:lpstr>H2O_PREHEATER</vt:lpstr>
      <vt:lpstr>H2O_RAWCOAL</vt:lpstr>
      <vt:lpstr>H2O_RAWCOALCAL</vt:lpstr>
      <vt:lpstr>H2O_Vmin1</vt:lpstr>
      <vt:lpstr>H2O_Vmin2</vt:lpstr>
      <vt:lpstr>H2O_Vmin3</vt:lpstr>
      <vt:lpstr>H2O_Vmin4</vt:lpstr>
      <vt:lpstr>H2O_Vmin5</vt:lpstr>
      <vt:lpstr>H2O_Vmin6</vt:lpstr>
      <vt:lpstr>H2OCOOLER_R1</vt:lpstr>
      <vt:lpstr>H2OCOOLER_R2</vt:lpstr>
      <vt:lpstr>H2OCOOLER_T2</vt:lpstr>
      <vt:lpstr>H2OVAPOR_COALMILL</vt:lpstr>
      <vt:lpstr>H2OVAPOR_COALMILLCAL</vt:lpstr>
      <vt:lpstr>K</vt:lpstr>
      <vt:lpstr>K2O_BYPASS</vt:lpstr>
      <vt:lpstr>K2O_CLINKER</vt:lpstr>
      <vt:lpstr>K2O_FEED</vt:lpstr>
      <vt:lpstr>K2O_HOTMEAL</vt:lpstr>
      <vt:lpstr>K2O_KILNDUST</vt:lpstr>
      <vt:lpstr>KILN_NO</vt:lpstr>
      <vt:lpstr>KILNHBL_ERROR</vt:lpstr>
      <vt:lpstr>HBL!Language</vt:lpstr>
      <vt:lpstr>HBL!LENGTH</vt:lpstr>
      <vt:lpstr>LHV_CO</vt:lpstr>
      <vt:lpstr>LHV_FUEL1</vt:lpstr>
      <vt:lpstr>LHV_FUEL2</vt:lpstr>
      <vt:lpstr>LHV_FUEL3</vt:lpstr>
      <vt:lpstr>LHV_FUEL4</vt:lpstr>
      <vt:lpstr>LHV_FUEL5</vt:lpstr>
      <vt:lpstr>LHV_FUEL6</vt:lpstr>
      <vt:lpstr>LHV_ORGMATTER</vt:lpstr>
      <vt:lpstr>LHV_PYRITE</vt:lpstr>
      <vt:lpstr>LOI_BYPASS</vt:lpstr>
      <vt:lpstr>LOI_CLI</vt:lpstr>
      <vt:lpstr>LOI_DUSTFILTER</vt:lpstr>
      <vt:lpstr>LOI_FEED</vt:lpstr>
      <vt:lpstr>M_BYPASS</vt:lpstr>
      <vt:lpstr>HBL!M_CLI</vt:lpstr>
      <vt:lpstr>Sheet2!M_CLI</vt:lpstr>
      <vt:lpstr>'Summary Monthly'!M_CLI</vt:lpstr>
      <vt:lpstr>M_CLIDUST</vt:lpstr>
      <vt:lpstr>M_COALMILL</vt:lpstr>
      <vt:lpstr>M_COALMILLCAL</vt:lpstr>
      <vt:lpstr>M_DUSTFILTER</vt:lpstr>
      <vt:lpstr>M_FEED</vt:lpstr>
      <vt:lpstr>M_FUEL1</vt:lpstr>
      <vt:lpstr>M_FUEL2</vt:lpstr>
      <vt:lpstr>M_FUEL3</vt:lpstr>
      <vt:lpstr>M_FUEL4</vt:lpstr>
      <vt:lpstr>M_FUEL5</vt:lpstr>
      <vt:lpstr>M_FUEL6</vt:lpstr>
      <vt:lpstr>M_H2OCOOLER</vt:lpstr>
      <vt:lpstr>M_H2OFEED</vt:lpstr>
      <vt:lpstr>M_H2OFUEL</vt:lpstr>
      <vt:lpstr>M_H2OFUELCAL</vt:lpstr>
      <vt:lpstr>MASBAL_ERROR</vt:lpstr>
      <vt:lpstr>MBZ_FUEL1</vt:lpstr>
      <vt:lpstr>MBZ_FUEL2</vt:lpstr>
      <vt:lpstr>MBZ_FUEL3</vt:lpstr>
      <vt:lpstr>MBZ_FUEL4</vt:lpstr>
      <vt:lpstr>MBZ_FUEL5</vt:lpstr>
      <vt:lpstr>MBZ_FUEL6</vt:lpstr>
      <vt:lpstr>MCZ_FUEL1</vt:lpstr>
      <vt:lpstr>MCZ_FUEL2</vt:lpstr>
      <vt:lpstr>MCZ_FUEL3</vt:lpstr>
      <vt:lpstr>MCZ_FUEL4</vt:lpstr>
      <vt:lpstr>MCZ_FUEL5</vt:lpstr>
      <vt:lpstr>MCZ_FUEL6</vt:lpstr>
      <vt:lpstr>MgO</vt:lpstr>
      <vt:lpstr>MSF_FUEL1</vt:lpstr>
      <vt:lpstr>MSF_FUEL2</vt:lpstr>
      <vt:lpstr>MSF_FUEL3</vt:lpstr>
      <vt:lpstr>MSF_FUEL4</vt:lpstr>
      <vt:lpstr>MSF_FUEL5</vt:lpstr>
      <vt:lpstr>MSF_FUEL6</vt:lpstr>
      <vt:lpstr>Na</vt:lpstr>
      <vt:lpstr>Na2O_BYPASS</vt:lpstr>
      <vt:lpstr>Na2O_CLINKER</vt:lpstr>
      <vt:lpstr>Na2O_FEED</vt:lpstr>
      <vt:lpstr>Na2O_HOTMEAL</vt:lpstr>
      <vt:lpstr>Na2O_KILNDUST</vt:lpstr>
      <vt:lpstr>NOx_EXHAUST</vt:lpstr>
      <vt:lpstr>NOx_KILNINLET</vt:lpstr>
      <vt:lpstr>O2_BYPASSEXTRAC</vt:lpstr>
      <vt:lpstr>O2_BYPASSQUENCH</vt:lpstr>
      <vt:lpstr>O2_EXHAUST</vt:lpstr>
      <vt:lpstr>O2_EXHAUSTCALCINER</vt:lpstr>
      <vt:lpstr>O2_KILNINLET</vt:lpstr>
      <vt:lpstr>O2_PRECALEXIT</vt:lpstr>
      <vt:lpstr>O2_STACK</vt:lpstr>
      <vt:lpstr>ORG_MATTER</vt:lpstr>
      <vt:lpstr>P_mechconsidered</vt:lpstr>
      <vt:lpstr>HBL!PAMB</vt:lpstr>
      <vt:lpstr>Sheet2!PAMB</vt:lpstr>
      <vt:lpstr>'Summary Monthly'!PAMB</vt:lpstr>
      <vt:lpstr>HBL!PLANT_NAME</vt:lpstr>
      <vt:lpstr>PRECAL</vt:lpstr>
      <vt:lpstr>HBL!Print_Area</vt:lpstr>
      <vt:lpstr>Visualization!Print_Area</vt:lpstr>
      <vt:lpstr>PYRITE</vt:lpstr>
      <vt:lpstr>Q_BZ</vt:lpstr>
      <vt:lpstr>Q_CONDALK</vt:lpstr>
      <vt:lpstr>Q_CZ</vt:lpstr>
      <vt:lpstr>Q_FUEL</vt:lpstr>
      <vt:lpstr>Q_FUELALT</vt:lpstr>
      <vt:lpstr>Q_FUELCON</vt:lpstr>
      <vt:lpstr>Q_ORGMATTER</vt:lpstr>
      <vt:lpstr>Q_SF</vt:lpstr>
      <vt:lpstr>QIN_OTHER</vt:lpstr>
      <vt:lpstr>QIN_OTHERCOOLER</vt:lpstr>
      <vt:lpstr>QOUT_CaOBYPASS</vt:lpstr>
      <vt:lpstr>QOUT_CLIFORM</vt:lpstr>
      <vt:lpstr>QOUT_CO</vt:lpstr>
      <vt:lpstr>QOUT_COBYPASS</vt:lpstr>
      <vt:lpstr>QOUT_COCALCINER</vt:lpstr>
      <vt:lpstr>QOUT_COOLRAD</vt:lpstr>
      <vt:lpstr>QOUT_H2OCOOLER</vt:lpstr>
      <vt:lpstr>QOUT_H2OFEED</vt:lpstr>
      <vt:lpstr>QOUT_H2OPREHEAT</vt:lpstr>
      <vt:lpstr>QOUT_KILNRAD</vt:lpstr>
      <vt:lpstr>QOUT_OTHER</vt:lpstr>
      <vt:lpstr>QOUT_OTHERCOOLER</vt:lpstr>
      <vt:lpstr>QOUT_PREHEATER</vt:lpstr>
      <vt:lpstr>QOUT_SULFUR_ALCALI</vt:lpstr>
      <vt:lpstr>QOUT_TERTIARYDUCT</vt:lpstr>
      <vt:lpstr>QP_BZ</vt:lpstr>
      <vt:lpstr>QP_CZ</vt:lpstr>
      <vt:lpstr>RELHUM</vt:lpstr>
      <vt:lpstr>S</vt:lpstr>
      <vt:lpstr>SECFIRING</vt:lpstr>
      <vt:lpstr>SHIN_CLIHOT</vt:lpstr>
      <vt:lpstr>SHIN_COOLAIR</vt:lpstr>
      <vt:lpstr>SHIN_FALSEAIR</vt:lpstr>
      <vt:lpstr>SHIN_FEED</vt:lpstr>
      <vt:lpstr>SHIN_FEEDWATER</vt:lpstr>
      <vt:lpstr>SHIN_FUEL</vt:lpstr>
      <vt:lpstr>SHIN_FUELALT</vt:lpstr>
      <vt:lpstr>SHIN_FUELCON</vt:lpstr>
      <vt:lpstr>SHIN_H2OCOOLER</vt:lpstr>
      <vt:lpstr>SHIN_H2OPREHEAT</vt:lpstr>
      <vt:lpstr>SHIN_MEALDRY</vt:lpstr>
      <vt:lpstr>SHIN_PRIMAIR</vt:lpstr>
      <vt:lpstr>SHOUT_BYPASSDUST</vt:lpstr>
      <vt:lpstr>SHOUT_BYPASSGAS</vt:lpstr>
      <vt:lpstr>SHOUT_CLINKER</vt:lpstr>
      <vt:lpstr>SHOUT_DUST</vt:lpstr>
      <vt:lpstr>SHOUT_DUSTCALCINER</vt:lpstr>
      <vt:lpstr>SHOUT_EXHAUST</vt:lpstr>
      <vt:lpstr>SHOUT_EXHAUSTCALCINER</vt:lpstr>
      <vt:lpstr>SHOUT_H2OCOOLER</vt:lpstr>
      <vt:lpstr>SHOUT_MIDDLE</vt:lpstr>
      <vt:lpstr>SHOUT_SECONDAIR</vt:lpstr>
      <vt:lpstr>SHOUT_TERTAIR</vt:lpstr>
      <vt:lpstr>SHOUT_WASTE</vt:lpstr>
      <vt:lpstr>SHOUT_WASTEandH2O</vt:lpstr>
      <vt:lpstr>SiO2_CLI</vt:lpstr>
      <vt:lpstr>SO2_STACK</vt:lpstr>
      <vt:lpstr>SO3_BYPASS</vt:lpstr>
      <vt:lpstr>SO3_CLINKER</vt:lpstr>
      <vt:lpstr>SO3_FEED</vt:lpstr>
      <vt:lpstr>SO3_HOTMEAL</vt:lpstr>
      <vt:lpstr>SO3_KILNDUST</vt:lpstr>
      <vt:lpstr>T_BYPASSEXTRAC</vt:lpstr>
      <vt:lpstr>T_BYPASSQUENCH</vt:lpstr>
      <vt:lpstr>T_CENTRALAIR</vt:lpstr>
      <vt:lpstr>T_CLI</vt:lpstr>
      <vt:lpstr>T_CLIHOT</vt:lpstr>
      <vt:lpstr>T_EXHAUST</vt:lpstr>
      <vt:lpstr>T_EXHAUSTCALCINER</vt:lpstr>
      <vt:lpstr>T_FAN1</vt:lpstr>
      <vt:lpstr>T_FAN10</vt:lpstr>
      <vt:lpstr>T_FAN11</vt:lpstr>
      <vt:lpstr>T_FAN12</vt:lpstr>
      <vt:lpstr>T_FAN13</vt:lpstr>
      <vt:lpstr>T_FAN2</vt:lpstr>
      <vt:lpstr>T_FAN3</vt:lpstr>
      <vt:lpstr>T_FAN4</vt:lpstr>
      <vt:lpstr>T_FAN5</vt:lpstr>
      <vt:lpstr>T_FAN6</vt:lpstr>
      <vt:lpstr>T_FAN7</vt:lpstr>
      <vt:lpstr>T_FAN8</vt:lpstr>
      <vt:lpstr>T_FAN9</vt:lpstr>
      <vt:lpstr>T_FEED</vt:lpstr>
      <vt:lpstr>T_H2OCOOLER</vt:lpstr>
      <vt:lpstr>T_MIDDLE</vt:lpstr>
      <vt:lpstr>T_PRIMAIR</vt:lpstr>
      <vt:lpstr>T_PRIMAIRJET</vt:lpstr>
      <vt:lpstr>T_PRIMAIRPRECAL</vt:lpstr>
      <vt:lpstr>T_PRIMAIRSWIRL</vt:lpstr>
      <vt:lpstr>T_PRIMAIRTRANS</vt:lpstr>
      <vt:lpstr>T_QUENCHAIR</vt:lpstr>
      <vt:lpstr>T_SECONDAIR</vt:lpstr>
      <vt:lpstr>T_TERTAIR</vt:lpstr>
      <vt:lpstr>T_WASTE</vt:lpstr>
      <vt:lpstr>HBL!TAMB</vt:lpstr>
      <vt:lpstr>'Summary Monthly'!TAMB</vt:lpstr>
      <vt:lpstr>Text_hbl</vt:lpstr>
      <vt:lpstr>TIME</vt:lpstr>
      <vt:lpstr>TIME1</vt:lpstr>
      <vt:lpstr>TIME2</vt:lpstr>
      <vt:lpstr>V_PRECALAIR</vt:lpstr>
      <vt:lpstr>Vmin_FUEL1</vt:lpstr>
      <vt:lpstr>Vmin_FUEL2</vt:lpstr>
      <vt:lpstr>Vmin_FUEL3</vt:lpstr>
      <vt:lpstr>Vmin_FUEL4</vt:lpstr>
      <vt:lpstr>Vmin_FUEL5</vt:lpstr>
      <vt:lpstr>Vmin_FUEL6</vt:lpstr>
      <vt:lpstr>VN_AminBZ</vt:lpstr>
      <vt:lpstr>VN_AminCZ</vt:lpstr>
      <vt:lpstr>VN_BYPASS</vt:lpstr>
      <vt:lpstr>VN_BYPASSBALANCE</vt:lpstr>
      <vt:lpstr>VN_BYPASSO2</vt:lpstr>
      <vt:lpstr>VN_BZTRANSAIR</vt:lpstr>
      <vt:lpstr>VN_CENTRALAIR</vt:lpstr>
      <vt:lpstr>VN_COEXHAUST</vt:lpstr>
      <vt:lpstr>VN_COEXHAUSTCALCINER</vt:lpstr>
      <vt:lpstr>VN_COMBUSTION</vt:lpstr>
      <vt:lpstr>VN_COOLAIR</vt:lpstr>
      <vt:lpstr>VN_EXCESS</vt:lpstr>
      <vt:lpstr>VN_EXCESSINLET</vt:lpstr>
      <vt:lpstr>VN_EXHAUSTCOMBCO2</vt:lpstr>
      <vt:lpstr>VN_EXHAUSTCOMBCO2CALCINER</vt:lpstr>
      <vt:lpstr>VN_EXHAUSTDRY</vt:lpstr>
      <vt:lpstr>VN_EXHAUSTDRYCALCINER</vt:lpstr>
      <vt:lpstr>VN_EXHAUSTWET</vt:lpstr>
      <vt:lpstr>VN_EXHAUSTWETCALCINER</vt:lpstr>
      <vt:lpstr>VN_FALSECOOLER</vt:lpstr>
      <vt:lpstr>VN_FALSEKILNHOOD</vt:lpstr>
      <vt:lpstr>VN_FAN1</vt:lpstr>
      <vt:lpstr>VN_FAN10</vt:lpstr>
      <vt:lpstr>VN_FAN11</vt:lpstr>
      <vt:lpstr>VN_FAN12</vt:lpstr>
      <vt:lpstr>VN_FAN13</vt:lpstr>
      <vt:lpstr>VN_FAN2</vt:lpstr>
      <vt:lpstr>VN_FAN3</vt:lpstr>
      <vt:lpstr>VN_FAN4</vt:lpstr>
      <vt:lpstr>VN_FAN5</vt:lpstr>
      <vt:lpstr>VN_FAN6</vt:lpstr>
      <vt:lpstr>VN_FAN7</vt:lpstr>
      <vt:lpstr>VN_FAN8</vt:lpstr>
      <vt:lpstr>VN_FAN9</vt:lpstr>
      <vt:lpstr>VN_H2OAIR</vt:lpstr>
      <vt:lpstr>VN_H2OCOOLER</vt:lpstr>
      <vt:lpstr>VN_H2OFEED</vt:lpstr>
      <vt:lpstr>VN_H2OFUEL</vt:lpstr>
      <vt:lpstr>VN_JETAIR</vt:lpstr>
      <vt:lpstr>VN_MIDDLE</vt:lpstr>
      <vt:lpstr>VN_PRIMAIR</vt:lpstr>
      <vt:lpstr>VN_PRIMAIRCAL</vt:lpstr>
      <vt:lpstr>VN_PRIMCOMB</vt:lpstr>
      <vt:lpstr>VN_PRIMCOMBCAL</vt:lpstr>
      <vt:lpstr>VN_PRIMDIRECT</vt:lpstr>
      <vt:lpstr>VN_PRIMDIRECTCAL</vt:lpstr>
      <vt:lpstr>VN_PRIMINDIRECTCAL</vt:lpstr>
      <vt:lpstr>VN_QUENCHAIR</vt:lpstr>
      <vt:lpstr>VN_RAWMEAL</vt:lpstr>
      <vt:lpstr>VN_SECONDAIR</vt:lpstr>
      <vt:lpstr>VN_SWIRLAIR</vt:lpstr>
      <vt:lpstr>VN_TERTAIR</vt:lpstr>
      <vt:lpstr>VN_WASTE</vt:lpstr>
      <vt:lpstr>VN_WASTECALC</vt:lpstr>
      <vt:lpstr>VNCO_BYPASS</vt:lpstr>
      <vt:lpstr>VNSP_COOLAIR</vt:lpstr>
      <vt:lpstr>VNSP_EXCESSINLET</vt:lpstr>
      <vt:lpstr>VNSP_EXHAUSTDRY</vt:lpstr>
      <vt:lpstr>VNSP_EXHAUSTWET</vt:lpstr>
      <vt:lpstr>VNSP_EXHAUSTWETCALCINER</vt:lpstr>
      <vt:lpstr>VNSP_FALSECOOLER</vt:lpstr>
      <vt:lpstr>VNSP_INLET</vt:lpstr>
      <vt:lpstr>VNSP_MIDDLE</vt:lpstr>
      <vt:lpstr>VNSP_OUTLETSEAL</vt:lpstr>
      <vt:lpstr>VNSP_PRIMCOMB</vt:lpstr>
      <vt:lpstr>VNSP_SECONDAIR</vt:lpstr>
      <vt:lpstr>VNSP_TERTAIR</vt:lpstr>
      <vt:lpstr>VNSP_WASTE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Engmann</dc:creator>
  <cp:lastModifiedBy>Pavan Gandhi</cp:lastModifiedBy>
  <cp:lastPrinted>2025-10-08T08:45:49Z</cp:lastPrinted>
  <dcterms:created xsi:type="dcterms:W3CDTF">1999-05-10T09:35:43Z</dcterms:created>
  <dcterms:modified xsi:type="dcterms:W3CDTF">2026-03-06T06:18:15Z</dcterms:modified>
</cp:coreProperties>
</file>