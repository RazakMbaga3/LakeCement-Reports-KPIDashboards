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F:\Lake Cement\MD Reports\2026\Feb 2026\"/>
    </mc:Choice>
  </mc:AlternateContent>
  <xr:revisionPtr revIDLastSave="0" documentId="13_ncr:1_{45A75DD9-7E5A-4471-91A2-B1A81E853B4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ining Compliance Master" sheetId="1" r:id="rId1"/>
    <sheet name="Mining Compliance Requiremen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7" i="2" l="1"/>
  <c r="E37" i="2" s="1"/>
  <c r="D36" i="2"/>
  <c r="E36" i="2" s="1"/>
</calcChain>
</file>

<file path=xl/sharedStrings.xml><?xml version="1.0" encoding="utf-8"?>
<sst xmlns="http://schemas.openxmlformats.org/spreadsheetml/2006/main" count="683" uniqueCount="187">
  <si>
    <t>ML 395/10</t>
  </si>
  <si>
    <t>Tarawanda, Bagamoyo</t>
  </si>
  <si>
    <t>ML 552/15</t>
  </si>
  <si>
    <t>Primary Mining Licence - renewable after 7 years</t>
  </si>
  <si>
    <t xml:space="preserve"> </t>
  </si>
  <si>
    <t>PL/11811/2022</t>
  </si>
  <si>
    <t>LAKE CEMENT LIMITED</t>
  </si>
  <si>
    <t>Demarcation of lease boundary with coordinates displayed at site</t>
  </si>
  <si>
    <t>Continuous</t>
  </si>
  <si>
    <t>Providing fence or rock bund along the lease boundary for prevetion of unauthorised entry</t>
  </si>
  <si>
    <t>Monthly mining royalty returns in prescribed format</t>
  </si>
  <si>
    <t>Quarterly mining royalty returns prescribed format</t>
  </si>
  <si>
    <t>Payment of Ushuru to local Municipal Council for transport od sand from Kijaka</t>
  </si>
  <si>
    <t>As &amp; when required</t>
  </si>
  <si>
    <t>Maintain a distance of minimum 200 meters from any Govt. or public building alrteady in existance at the time of granting of lease</t>
  </si>
  <si>
    <t>Maintain a distance of atleast 1000 meters from any aerodrome or Helipad</t>
  </si>
  <si>
    <t>Submission of compensation plan for the surface right owners within lease area to MC</t>
  </si>
  <si>
    <t>Display of Safety Signage at prominently and key locations as needed</t>
  </si>
  <si>
    <t>One-time. To be reviewed annually</t>
  </si>
  <si>
    <t>Pollution control - Water sprinkling on all haul roads for dust suppression</t>
  </si>
  <si>
    <t>Should cover the lease period</t>
  </si>
  <si>
    <t>Maintain the records of all the boreholes drilled within lease area</t>
  </si>
  <si>
    <t>Compliance to the Environmental Act</t>
  </si>
  <si>
    <t>License No.</t>
  </si>
  <si>
    <t xml:space="preserve">License Type </t>
  </si>
  <si>
    <t>Sq.Km</t>
  </si>
  <si>
    <t>Location</t>
  </si>
  <si>
    <t>Limestone</t>
  </si>
  <si>
    <t xml:space="preserve">ML - Industrial Minerals </t>
  </si>
  <si>
    <t>Resource</t>
  </si>
  <si>
    <t>Rent @ US $12,320</t>
  </si>
  <si>
    <t>Mining Plan Compliance Report (before 30th Jan)</t>
  </si>
  <si>
    <t>Local Content Implementation Plan (before 15th Jan)</t>
  </si>
  <si>
    <t>Local Content Compliance Annual Report (before 30th Jan)</t>
  </si>
  <si>
    <t xml:space="preserve">Mining Royalty Returns </t>
  </si>
  <si>
    <t xml:space="preserve">Submission of CSR Plan to Local Municipal Council / Ward for the next year (before July) </t>
  </si>
  <si>
    <t xml:space="preserve">Note </t>
  </si>
  <si>
    <t>Responsibility</t>
  </si>
  <si>
    <t>Frequency</t>
  </si>
  <si>
    <t>Annual</t>
  </si>
  <si>
    <t>Annual (before 15th Jan)</t>
  </si>
  <si>
    <t xml:space="preserve">Status </t>
  </si>
  <si>
    <t xml:space="preserve">Due Next </t>
  </si>
  <si>
    <t>Annual (before 30th Jan)</t>
  </si>
  <si>
    <t>Annual (before July)</t>
  </si>
  <si>
    <t>Monthly (before 4th)</t>
  </si>
  <si>
    <t xml:space="preserve">Hydrogeological Investigation </t>
  </si>
  <si>
    <t>Mines Closure Plan</t>
  </si>
  <si>
    <t>Every 3 yrs</t>
  </si>
  <si>
    <t>One-time, Review Every 3 yrs</t>
  </si>
  <si>
    <t>MINING COMPLIANCE MASTER</t>
  </si>
  <si>
    <t xml:space="preserve">Every 10 Years </t>
  </si>
  <si>
    <t>Active</t>
  </si>
  <si>
    <t>Mining Lease (Date of Issue - 24/05/10)</t>
  </si>
  <si>
    <t>Rent @ US$ 10,120 or Tsh 25,603,600</t>
  </si>
  <si>
    <t>Mining Lease (Date of Issue - 30/09/15)</t>
  </si>
  <si>
    <t>PL/31929/25</t>
  </si>
  <si>
    <t>Prospective License (Date of Issue - xxxxxxx)</t>
  </si>
  <si>
    <t>Clay, Limestone</t>
  </si>
  <si>
    <t>Kimbiji, Kigamboni</t>
  </si>
  <si>
    <t>Prospective License (Date of Issue - 02/02/2022)</t>
  </si>
  <si>
    <t xml:space="preserve">Active, Modify for Buyuni at Renewal </t>
  </si>
  <si>
    <t>Payment @ US$ 1,140</t>
  </si>
  <si>
    <t>Application done on 11/07/2025, Recommended</t>
  </si>
  <si>
    <t>Rent @ Tsh 538,000</t>
  </si>
  <si>
    <t>PSS Sajiv</t>
  </si>
  <si>
    <t>Complied</t>
  </si>
  <si>
    <t>LEGAL COMPLIANCE REQUIREMENTS FOR MINING DEPARTMENT</t>
  </si>
  <si>
    <t>Applicable to all existing MLs as per The Mining Act CAP. 123 R.E. 2019</t>
  </si>
  <si>
    <t>ML/395 (Kimbiji)</t>
  </si>
  <si>
    <t>ML/509 (Kijaka)</t>
  </si>
  <si>
    <t>ML/395 (Tarawanda)</t>
  </si>
  <si>
    <t>Sr No</t>
  </si>
  <si>
    <t>LEGAL REQUIREMENT</t>
  </si>
  <si>
    <t>FREQUENCY</t>
  </si>
  <si>
    <t>CURRENT STATUS</t>
  </si>
  <si>
    <t>RESPONSIBLE</t>
  </si>
  <si>
    <t>Mining Plan compliance report</t>
  </si>
  <si>
    <t>Every Year by 30th January</t>
  </si>
  <si>
    <t>Approved</t>
  </si>
  <si>
    <t>HOD- Mining</t>
  </si>
  <si>
    <t>Mining Lease</t>
  </si>
  <si>
    <t>Once in 10 Years</t>
  </si>
  <si>
    <t>Given below</t>
  </si>
  <si>
    <t>Unit Head</t>
  </si>
  <si>
    <t xml:space="preserve">Mines closure plan </t>
  </si>
  <si>
    <t>One time, Review once in 3 year</t>
  </si>
  <si>
    <t>Provisional approval received</t>
  </si>
  <si>
    <t>Not complied</t>
  </si>
  <si>
    <t>Hydrogeological investigation</t>
  </si>
  <si>
    <t>Every 3  years</t>
  </si>
  <si>
    <t>Complied. Due in 2026</t>
  </si>
  <si>
    <t>In progress as per new lease map</t>
  </si>
  <si>
    <t>Partly Complied</t>
  </si>
  <si>
    <t>HOD- Mining/ HOD-Safety</t>
  </si>
  <si>
    <t>Submission of Annual Local Content implementation plan</t>
  </si>
  <si>
    <t>Every year by 15t January</t>
  </si>
  <si>
    <t>HOD- Mining/ Unit Haed</t>
  </si>
  <si>
    <t>Submission of Local Content compliance annual report in prescribed format</t>
  </si>
  <si>
    <t>Everty year by 30th Jaunuary</t>
  </si>
  <si>
    <t>Every Month before 4th</t>
  </si>
  <si>
    <t>Jan/Apr/July/Oct by 15th</t>
  </si>
  <si>
    <t>Annual mining royalty returns prescribed format</t>
  </si>
  <si>
    <t>Every year by 15th January</t>
  </si>
  <si>
    <t>HOD-Mining/ Unit Head</t>
  </si>
  <si>
    <t>Annual land rent payment (Municipal Council)</t>
  </si>
  <si>
    <t xml:space="preserve">Every Year </t>
  </si>
  <si>
    <t>Unit Head/ CFO</t>
  </si>
  <si>
    <t>Payment of City Service Levy (Municipal Council)</t>
  </si>
  <si>
    <t>Quarterly - Jan/Apr/July/Oct by 15th</t>
  </si>
  <si>
    <t>Plant Finance Head/ CFO</t>
  </si>
  <si>
    <t>NA</t>
  </si>
  <si>
    <t xml:space="preserve">HOD-Mining </t>
  </si>
  <si>
    <t>Submission of CSR Plan approved by local municipal council / Kimbiji ward for the next year</t>
  </si>
  <si>
    <t>Every Year before July</t>
  </si>
  <si>
    <t>Mandatory insurance of own mining assets, to cover envronmental damage, thrird party loss of property or bodily damage directly attributable to the mining operations</t>
  </si>
  <si>
    <t>N A</t>
  </si>
  <si>
    <t>PRESENT STATUS OF MLS, PLS AND PMLS AS AT 01st Nov2025</t>
  </si>
  <si>
    <t>Lic.No</t>
  </si>
  <si>
    <t>sq.km/hec</t>
  </si>
  <si>
    <t>Area</t>
  </si>
  <si>
    <t>Date issued</t>
  </si>
  <si>
    <t xml:space="preserve">Annual Rent </t>
  </si>
  <si>
    <t>Due date</t>
  </si>
  <si>
    <t>Renewal date</t>
  </si>
  <si>
    <t>Limestone/Clay</t>
  </si>
  <si>
    <t>8.08 km2</t>
  </si>
  <si>
    <t>Kimbiji, Temeke</t>
  </si>
  <si>
    <t>24/05/10</t>
  </si>
  <si>
    <t>US$12320</t>
  </si>
  <si>
    <t>23/05/30</t>
  </si>
  <si>
    <t>ML 509/14</t>
  </si>
  <si>
    <t>9.99 km2</t>
  </si>
  <si>
    <t>Kijaka, Kimbiji</t>
  </si>
  <si>
    <t>31/01/14</t>
  </si>
  <si>
    <t>US$19980</t>
  </si>
  <si>
    <t>31/01/24</t>
  </si>
  <si>
    <t>5.06 km2</t>
  </si>
  <si>
    <t>30/09/15</t>
  </si>
  <si>
    <t>US$10120 or TSH25603600</t>
  </si>
  <si>
    <t>30/09/25</t>
  </si>
  <si>
    <t>PL/31929/2025</t>
  </si>
  <si>
    <t>2.4757 km2</t>
  </si>
  <si>
    <t>TSH538000</t>
  </si>
  <si>
    <t>2.2312 km2</t>
  </si>
  <si>
    <t>Kimbiji, Temeke(kigamboni)</t>
  </si>
  <si>
    <t>US$1140</t>
  </si>
  <si>
    <t xml:space="preserve">PL/17158/2021-Old no </t>
  </si>
  <si>
    <t>Mining Licence - renewable after every 10 years</t>
  </si>
  <si>
    <t xml:space="preserve">Prospecting Licence  </t>
  </si>
  <si>
    <t xml:space="preserve"> 1st renewal     4 years</t>
  </si>
  <si>
    <t>2nd renewal     3 years</t>
  </si>
  <si>
    <t>3rd renewal      2 years</t>
  </si>
  <si>
    <t>extension          2 years</t>
  </si>
  <si>
    <t>Pavan Gandhi</t>
  </si>
  <si>
    <t>24/05/2026</t>
  </si>
  <si>
    <t>Approved with conditions</t>
  </si>
  <si>
    <t>15/01/2026</t>
  </si>
  <si>
    <t>30/09/2025</t>
  </si>
  <si>
    <t>One operations start</t>
  </si>
  <si>
    <t>To be verified</t>
  </si>
  <si>
    <t>Under preparation</t>
  </si>
  <si>
    <t>Will be done as part of MCP</t>
  </si>
  <si>
    <t>Complied. To be verified once again.</t>
  </si>
  <si>
    <t>15/01/2015</t>
  </si>
  <si>
    <t xml:space="preserve">Active </t>
  </si>
  <si>
    <t>Partially complied</t>
  </si>
  <si>
    <t>Providing fence or rock bund along the lease boundary for prevention of unauthorized entry</t>
  </si>
  <si>
    <t>Mandatory Insurance of own mining assets, covering- environmental damage, third party loss of property, bodily damage directly attributable to the mining operations</t>
  </si>
  <si>
    <t>Quarterly - (Jan/Apr/July/Oct by 15th)</t>
  </si>
  <si>
    <t>To be reviewed periodically</t>
  </si>
  <si>
    <t>Maintain a distance of minimum 200 meters from any Govt. or public building already in existence at the time of granting of lease</t>
  </si>
  <si>
    <t>Maintain a distance of at least 1000 meters from any aerodrome or Helipad</t>
  </si>
  <si>
    <t>1st renewal 4 yrs, 2nd renewal 3 yrs, 3rd renewal 2 yrs, extension 2 yrs</t>
  </si>
  <si>
    <t>Primary Mining License - renewable after 7 years</t>
  </si>
  <si>
    <t>Sankalp Jaithalia</t>
  </si>
  <si>
    <t>Responsibility L1</t>
  </si>
  <si>
    <t>Responsibility L2</t>
  </si>
  <si>
    <t>Mukesh Agrawal</t>
  </si>
  <si>
    <t>Punit Aswala</t>
  </si>
  <si>
    <t>Already Process is satrted for new MCP Preparation</t>
  </si>
  <si>
    <t>under process of lease surrender</t>
  </si>
  <si>
    <t>DONE</t>
  </si>
  <si>
    <t>UNDER PROCESS</t>
  </si>
  <si>
    <t>NEXT DUE DATE IS APRIL FIRST WEEK</t>
  </si>
  <si>
    <t>DONE BY SAFETY DEPARTMENT</t>
  </si>
  <si>
    <t>Updated Month - Feb'26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</si>
</sst>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 Light"/>
      <family val="2"/>
    </font>
    <font>
      <b/>
      <sz val="14"/>
      <color theme="1"/>
      <name val="Calibri Light"/>
      <family val="2"/>
    </font>
    <font>
      <b/>
      <sz val="11"/>
      <color theme="1"/>
      <name val="Calibri Light"/>
      <family val="2"/>
    </font>
    <font>
      <sz val="11"/>
      <color theme="1"/>
      <name val="Calibri"/>
      <family val="2"/>
      <scheme val="minor"/>
    </font>
    <font>
      <b/>
      <sz val="12"/>
      <color theme="1"/>
      <name val="Calibri Light"/>
      <family val="2"/>
    </font>
    <font>
      <sz val="12"/>
      <color theme="1"/>
      <name val="Calibri Light"/>
      <family val="2"/>
    </font>
    <font>
      <sz val="11"/>
      <name val="Calibri Light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70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left" vertical="center" wrapText="1"/>
    </xf>
    <xf numFmtId="14" fontId="1" fillId="3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3" fillId="0" borderId="1" xfId="0" applyFont="1" applyBorder="1" applyAlignment="1">
      <alignment vertical="top"/>
    </xf>
    <xf numFmtId="14" fontId="3" fillId="3" borderId="1" xfId="0" applyNumberFormat="1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" fillId="0" borderId="0" xfId="0" quotePrefix="1" applyFont="1" applyAlignment="1">
      <alignment vertical="center"/>
    </xf>
    <xf numFmtId="0" fontId="3" fillId="0" borderId="1" xfId="0" applyFont="1" applyBorder="1" applyAlignment="1">
      <alignment vertical="center"/>
    </xf>
    <xf numFmtId="10" fontId="1" fillId="0" borderId="1" xfId="1" applyNumberFormat="1" applyFont="1" applyBorder="1" applyAlignment="1">
      <alignment vertical="center"/>
    </xf>
    <xf numFmtId="14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14" fontId="1" fillId="0" borderId="1" xfId="0" applyNumberFormat="1" applyFont="1" applyBorder="1" applyAlignment="1">
      <alignment horizontal="left" vertical="center"/>
    </xf>
    <xf numFmtId="14" fontId="1" fillId="0" borderId="1" xfId="0" applyNumberFormat="1" applyFont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1" fillId="5" borderId="0" xfId="0" applyFont="1" applyFill="1" applyAlignment="1">
      <alignment vertical="center"/>
    </xf>
    <xf numFmtId="0" fontId="1" fillId="6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left" vertical="center"/>
    </xf>
    <xf numFmtId="14" fontId="1" fillId="6" borderId="1" xfId="0" applyNumberFormat="1" applyFont="1" applyFill="1" applyBorder="1" applyAlignment="1">
      <alignment horizontal="left" vertical="center"/>
    </xf>
    <xf numFmtId="0" fontId="1" fillId="6" borderId="1" xfId="0" applyFont="1" applyFill="1" applyBorder="1" applyAlignment="1">
      <alignment vertical="center" wrapText="1"/>
    </xf>
    <xf numFmtId="0" fontId="1" fillId="6" borderId="0" xfId="0" applyFont="1" applyFill="1" applyAlignment="1">
      <alignment vertical="center"/>
    </xf>
    <xf numFmtId="0" fontId="1" fillId="7" borderId="1" xfId="0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vertical="center" wrapText="1"/>
    </xf>
    <xf numFmtId="14" fontId="1" fillId="7" borderId="1" xfId="0" applyNumberFormat="1" applyFont="1" applyFill="1" applyBorder="1" applyAlignment="1">
      <alignment horizontal="left" vertical="center"/>
    </xf>
    <xf numFmtId="0" fontId="1" fillId="7" borderId="0" xfId="0" applyFont="1" applyFill="1" applyAlignment="1">
      <alignment vertical="center"/>
    </xf>
    <xf numFmtId="14" fontId="1" fillId="6" borderId="1" xfId="0" applyNumberFormat="1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vertical="center"/>
    </xf>
    <xf numFmtId="0" fontId="3" fillId="0" borderId="2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I83"/>
  <sheetViews>
    <sheetView tabSelected="1" zoomScale="86" zoomScaleNormal="86" workbookViewId="0">
      <selection activeCell="C4" sqref="C4"/>
    </sheetView>
  </sheetViews>
  <sheetFormatPr defaultColWidth="9.1796875" defaultRowHeight="14.5" x14ac:dyDescent="0.35"/>
  <cols>
    <col min="1" max="1" width="3.7265625" style="2" customWidth="1"/>
    <col min="2" max="2" width="3.81640625" style="23" customWidth="1"/>
    <col min="3" max="3" width="81.7265625" style="6" customWidth="1"/>
    <col min="4" max="4" width="30.453125" style="2" customWidth="1"/>
    <col min="5" max="5" width="26.54296875" style="8" customWidth="1"/>
    <col min="6" max="6" width="24.26953125" style="2" bestFit="1" customWidth="1"/>
    <col min="7" max="8" width="22.26953125" style="2" bestFit="1" customWidth="1"/>
    <col min="9" max="9" width="45.26953125" style="2" customWidth="1"/>
    <col min="10" max="16384" width="9.1796875" style="2"/>
  </cols>
  <sheetData>
    <row r="1" spans="2:9" ht="18.5" x14ac:dyDescent="0.35">
      <c r="B1" s="56" t="s">
        <v>6</v>
      </c>
      <c r="C1" s="56"/>
      <c r="D1" s="56"/>
      <c r="E1" s="56"/>
      <c r="F1" s="56"/>
      <c r="G1" s="56"/>
      <c r="H1" s="56"/>
    </row>
    <row r="2" spans="2:9" ht="18.5" x14ac:dyDescent="0.35">
      <c r="C2" s="1"/>
      <c r="D2" s="1"/>
      <c r="E2" s="9"/>
      <c r="F2" s="1"/>
      <c r="G2" s="1"/>
      <c r="H2" s="1"/>
    </row>
    <row r="3" spans="2:9" ht="18.5" x14ac:dyDescent="0.35">
      <c r="B3" s="56" t="s">
        <v>50</v>
      </c>
      <c r="C3" s="56"/>
      <c r="D3" s="56"/>
      <c r="E3" s="56"/>
      <c r="F3" s="56"/>
      <c r="G3" s="56"/>
      <c r="H3" s="56"/>
    </row>
    <row r="4" spans="2:9" x14ac:dyDescent="0.35">
      <c r="C4" s="39" t="s">
        <v>186</v>
      </c>
    </row>
    <row r="5" spans="2:9" x14ac:dyDescent="0.35">
      <c r="B5" s="52">
        <v>1</v>
      </c>
      <c r="C5" s="10" t="s">
        <v>23</v>
      </c>
      <c r="D5" s="11" t="s">
        <v>0</v>
      </c>
      <c r="E5" s="11"/>
      <c r="F5" s="10" t="s">
        <v>29</v>
      </c>
      <c r="G5" s="11" t="s">
        <v>27</v>
      </c>
      <c r="H5" s="11"/>
    </row>
    <row r="6" spans="2:9" x14ac:dyDescent="0.35">
      <c r="B6" s="53"/>
      <c r="C6" s="10" t="s">
        <v>26</v>
      </c>
      <c r="D6" s="10" t="s">
        <v>59</v>
      </c>
      <c r="E6" s="11"/>
      <c r="F6" s="10" t="s">
        <v>25</v>
      </c>
      <c r="G6" s="11">
        <v>8.0846999999999998</v>
      </c>
      <c r="H6" s="11"/>
    </row>
    <row r="7" spans="2:9" x14ac:dyDescent="0.35">
      <c r="B7" s="53"/>
      <c r="C7" s="10" t="s">
        <v>24</v>
      </c>
      <c r="D7" s="11" t="s">
        <v>28</v>
      </c>
      <c r="E7" s="10"/>
      <c r="F7" s="10"/>
      <c r="G7" s="10"/>
      <c r="H7" s="10"/>
    </row>
    <row r="8" spans="2:9" s="3" customFormat="1" x14ac:dyDescent="0.35">
      <c r="B8" s="53"/>
      <c r="C8" s="12" t="s">
        <v>4</v>
      </c>
      <c r="D8" s="12" t="s">
        <v>38</v>
      </c>
      <c r="E8" s="12" t="s">
        <v>41</v>
      </c>
      <c r="F8" s="13" t="s">
        <v>42</v>
      </c>
      <c r="G8" s="13" t="s">
        <v>176</v>
      </c>
      <c r="H8" s="13" t="s">
        <v>177</v>
      </c>
    </row>
    <row r="9" spans="2:9" x14ac:dyDescent="0.35">
      <c r="B9" s="53"/>
      <c r="C9" s="14" t="s">
        <v>53</v>
      </c>
      <c r="D9" s="15" t="s">
        <v>51</v>
      </c>
      <c r="E9" s="15" t="s">
        <v>52</v>
      </c>
      <c r="F9" s="16">
        <v>47626</v>
      </c>
      <c r="G9" s="17" t="s">
        <v>65</v>
      </c>
      <c r="H9" s="17" t="s">
        <v>65</v>
      </c>
    </row>
    <row r="10" spans="2:9" x14ac:dyDescent="0.35">
      <c r="B10" s="53"/>
      <c r="C10" s="18" t="s">
        <v>30</v>
      </c>
      <c r="D10" s="18" t="s">
        <v>39</v>
      </c>
      <c r="E10" s="16" t="s">
        <v>66</v>
      </c>
      <c r="F10" s="16" t="s">
        <v>155</v>
      </c>
      <c r="G10" s="17" t="s">
        <v>65</v>
      </c>
      <c r="H10" s="17" t="s">
        <v>65</v>
      </c>
    </row>
    <row r="11" spans="2:9" x14ac:dyDescent="0.35">
      <c r="B11" s="53"/>
      <c r="C11" s="42" t="s">
        <v>34</v>
      </c>
      <c r="D11" s="42" t="s">
        <v>40</v>
      </c>
      <c r="E11" s="43" t="s">
        <v>66</v>
      </c>
      <c r="F11" s="43">
        <v>46402</v>
      </c>
      <c r="G11" s="44" t="s">
        <v>178</v>
      </c>
      <c r="H11" s="44" t="s">
        <v>154</v>
      </c>
      <c r="I11" s="45" t="s">
        <v>182</v>
      </c>
    </row>
    <row r="12" spans="2:9" x14ac:dyDescent="0.35">
      <c r="B12" s="53"/>
      <c r="C12" s="41" t="s">
        <v>31</v>
      </c>
      <c r="D12" s="42" t="s">
        <v>43</v>
      </c>
      <c r="E12" s="43" t="s">
        <v>66</v>
      </c>
      <c r="F12" s="43">
        <v>46417</v>
      </c>
      <c r="G12" s="44" t="s">
        <v>178</v>
      </c>
      <c r="H12" s="44" t="s">
        <v>154</v>
      </c>
      <c r="I12" s="45" t="s">
        <v>182</v>
      </c>
    </row>
    <row r="13" spans="2:9" s="40" customFormat="1" x14ac:dyDescent="0.35">
      <c r="B13" s="53"/>
      <c r="C13" s="42" t="s">
        <v>32</v>
      </c>
      <c r="D13" s="42" t="s">
        <v>40</v>
      </c>
      <c r="E13" s="43" t="s">
        <v>66</v>
      </c>
      <c r="F13" s="43">
        <v>46402</v>
      </c>
      <c r="G13" s="44" t="s">
        <v>178</v>
      </c>
      <c r="H13" s="44" t="s">
        <v>154</v>
      </c>
      <c r="I13" s="45" t="s">
        <v>182</v>
      </c>
    </row>
    <row r="14" spans="2:9" s="40" customFormat="1" x14ac:dyDescent="0.35">
      <c r="B14" s="53"/>
      <c r="C14" s="42" t="s">
        <v>33</v>
      </c>
      <c r="D14" s="42" t="s">
        <v>43</v>
      </c>
      <c r="E14" s="43" t="s">
        <v>66</v>
      </c>
      <c r="F14" s="43">
        <v>46052</v>
      </c>
      <c r="G14" s="44" t="s">
        <v>178</v>
      </c>
      <c r="H14" s="44" t="s">
        <v>154</v>
      </c>
      <c r="I14" s="45" t="s">
        <v>182</v>
      </c>
    </row>
    <row r="15" spans="2:9" ht="14.25" customHeight="1" x14ac:dyDescent="0.35">
      <c r="B15" s="53"/>
      <c r="C15" s="44" t="s">
        <v>35</v>
      </c>
      <c r="D15" s="42" t="s">
        <v>44</v>
      </c>
      <c r="E15" s="43" t="s">
        <v>66</v>
      </c>
      <c r="F15" s="43">
        <v>46029</v>
      </c>
      <c r="G15" s="44" t="s">
        <v>178</v>
      </c>
      <c r="H15" s="44" t="s">
        <v>154</v>
      </c>
      <c r="I15" s="45" t="s">
        <v>182</v>
      </c>
    </row>
    <row r="16" spans="2:9" x14ac:dyDescent="0.35">
      <c r="B16" s="53"/>
      <c r="C16" s="17"/>
      <c r="D16" s="17"/>
      <c r="E16" s="18"/>
      <c r="F16" s="16"/>
      <c r="G16" s="19"/>
      <c r="H16" s="19"/>
    </row>
    <row r="17" spans="2:9" x14ac:dyDescent="0.35">
      <c r="B17" s="53"/>
      <c r="C17" s="46" t="s">
        <v>47</v>
      </c>
      <c r="D17" s="47" t="s">
        <v>49</v>
      </c>
      <c r="E17" s="48" t="s">
        <v>156</v>
      </c>
      <c r="F17" s="48">
        <v>46026</v>
      </c>
      <c r="G17" s="47" t="s">
        <v>178</v>
      </c>
      <c r="H17" s="47" t="s">
        <v>154</v>
      </c>
      <c r="I17" s="49" t="s">
        <v>180</v>
      </c>
    </row>
    <row r="18" spans="2:9" ht="14.25" customHeight="1" x14ac:dyDescent="0.35">
      <c r="B18" s="53"/>
      <c r="C18" s="15" t="s">
        <v>46</v>
      </c>
      <c r="D18" s="14" t="s">
        <v>48</v>
      </c>
      <c r="E18" s="16" t="s">
        <v>66</v>
      </c>
      <c r="F18" s="16"/>
      <c r="G18" s="14" t="s">
        <v>178</v>
      </c>
      <c r="H18" s="14" t="s">
        <v>154</v>
      </c>
    </row>
    <row r="19" spans="2:9" x14ac:dyDescent="0.35">
      <c r="B19" s="53"/>
      <c r="C19" s="14" t="s">
        <v>16</v>
      </c>
      <c r="D19" s="14" t="s">
        <v>49</v>
      </c>
      <c r="E19" s="15" t="s">
        <v>166</v>
      </c>
      <c r="F19" s="16"/>
      <c r="G19" s="14" t="s">
        <v>178</v>
      </c>
      <c r="H19" s="14" t="s">
        <v>154</v>
      </c>
    </row>
    <row r="20" spans="2:9" ht="14.25" customHeight="1" x14ac:dyDescent="0.35">
      <c r="B20" s="53"/>
      <c r="C20" s="47" t="s">
        <v>7</v>
      </c>
      <c r="D20" s="47" t="s">
        <v>18</v>
      </c>
      <c r="E20" s="48" t="s">
        <v>66</v>
      </c>
      <c r="F20" s="48"/>
      <c r="G20" s="47" t="s">
        <v>178</v>
      </c>
      <c r="H20" s="47" t="s">
        <v>154</v>
      </c>
      <c r="I20" s="49" t="s">
        <v>183</v>
      </c>
    </row>
    <row r="21" spans="2:9" ht="14.25" customHeight="1" x14ac:dyDescent="0.35">
      <c r="B21" s="53"/>
      <c r="C21" s="44" t="s">
        <v>167</v>
      </c>
      <c r="D21" s="44" t="s">
        <v>18</v>
      </c>
      <c r="E21" s="43" t="s">
        <v>66</v>
      </c>
      <c r="F21" s="43"/>
      <c r="G21" s="44" t="s">
        <v>178</v>
      </c>
      <c r="H21" s="44" t="s">
        <v>154</v>
      </c>
      <c r="I21" s="45" t="s">
        <v>182</v>
      </c>
    </row>
    <row r="22" spans="2:9" ht="14.25" customHeight="1" x14ac:dyDescent="0.35">
      <c r="B22" s="53"/>
      <c r="C22" s="44" t="s">
        <v>168</v>
      </c>
      <c r="D22" s="44" t="s">
        <v>20</v>
      </c>
      <c r="E22" s="43" t="s">
        <v>66</v>
      </c>
      <c r="F22" s="43"/>
      <c r="G22" s="51" t="s">
        <v>179</v>
      </c>
      <c r="H22" s="51" t="s">
        <v>175</v>
      </c>
      <c r="I22" s="45" t="s">
        <v>182</v>
      </c>
    </row>
    <row r="23" spans="2:9" x14ac:dyDescent="0.35">
      <c r="B23" s="53"/>
      <c r="C23" s="17"/>
      <c r="D23" s="17"/>
      <c r="E23" s="18"/>
      <c r="F23" s="16"/>
      <c r="G23" s="19"/>
      <c r="H23" s="19"/>
    </row>
    <row r="24" spans="2:9" ht="14.25" customHeight="1" x14ac:dyDescent="0.35">
      <c r="B24" s="53"/>
      <c r="C24" s="44" t="s">
        <v>10</v>
      </c>
      <c r="D24" s="41" t="s">
        <v>45</v>
      </c>
      <c r="E24" s="43" t="s">
        <v>66</v>
      </c>
      <c r="F24" s="43">
        <v>45759</v>
      </c>
      <c r="G24" s="44" t="s">
        <v>178</v>
      </c>
      <c r="H24" s="44" t="s">
        <v>154</v>
      </c>
      <c r="I24" s="45" t="s">
        <v>182</v>
      </c>
    </row>
    <row r="25" spans="2:9" ht="14.25" customHeight="1" x14ac:dyDescent="0.35">
      <c r="B25" s="53"/>
      <c r="C25" s="44" t="s">
        <v>11</v>
      </c>
      <c r="D25" s="41" t="s">
        <v>169</v>
      </c>
      <c r="E25" s="43" t="s">
        <v>66</v>
      </c>
      <c r="F25" s="42" t="s">
        <v>157</v>
      </c>
      <c r="G25" s="44" t="s">
        <v>178</v>
      </c>
      <c r="H25" s="44" t="s">
        <v>154</v>
      </c>
      <c r="I25" s="45" t="s">
        <v>184</v>
      </c>
    </row>
    <row r="26" spans="2:9" ht="14.25" customHeight="1" x14ac:dyDescent="0.35">
      <c r="B26" s="53"/>
      <c r="C26" s="14"/>
      <c r="D26" s="20"/>
      <c r="E26" s="18"/>
      <c r="F26" s="16"/>
      <c r="G26" s="19"/>
      <c r="H26" s="19"/>
    </row>
    <row r="27" spans="2:9" ht="14.25" customHeight="1" x14ac:dyDescent="0.35">
      <c r="B27" s="53"/>
      <c r="C27" s="14" t="s">
        <v>21</v>
      </c>
      <c r="D27" s="15" t="s">
        <v>8</v>
      </c>
      <c r="E27" s="16" t="s">
        <v>66</v>
      </c>
      <c r="F27" s="16" t="s">
        <v>170</v>
      </c>
      <c r="G27" s="14" t="s">
        <v>178</v>
      </c>
      <c r="H27" s="14" t="s">
        <v>154</v>
      </c>
    </row>
    <row r="28" spans="2:9" ht="14.25" customHeight="1" x14ac:dyDescent="0.35">
      <c r="B28" s="53"/>
      <c r="C28" s="44" t="s">
        <v>17</v>
      </c>
      <c r="D28" s="41" t="s">
        <v>8</v>
      </c>
      <c r="E28" s="43" t="s">
        <v>66</v>
      </c>
      <c r="F28" s="43" t="s">
        <v>170</v>
      </c>
      <c r="G28" s="44" t="s">
        <v>178</v>
      </c>
      <c r="H28" s="44" t="s">
        <v>154</v>
      </c>
      <c r="I28" s="45" t="s">
        <v>182</v>
      </c>
    </row>
    <row r="29" spans="2:9" ht="14.25" customHeight="1" x14ac:dyDescent="0.35">
      <c r="B29" s="53"/>
      <c r="C29" s="44" t="s">
        <v>22</v>
      </c>
      <c r="D29" s="41" t="s">
        <v>8</v>
      </c>
      <c r="E29" s="43" t="s">
        <v>66</v>
      </c>
      <c r="F29" s="43" t="s">
        <v>170</v>
      </c>
      <c r="G29" s="44" t="s">
        <v>178</v>
      </c>
      <c r="H29" s="44" t="s">
        <v>154</v>
      </c>
      <c r="I29" s="45" t="s">
        <v>185</v>
      </c>
    </row>
    <row r="30" spans="2:9" ht="14.25" customHeight="1" x14ac:dyDescent="0.35">
      <c r="B30" s="53"/>
      <c r="C30" s="44" t="s">
        <v>171</v>
      </c>
      <c r="D30" s="41" t="s">
        <v>8</v>
      </c>
      <c r="E30" s="43" t="s">
        <v>66</v>
      </c>
      <c r="F30" s="43" t="s">
        <v>170</v>
      </c>
      <c r="G30" s="44" t="s">
        <v>178</v>
      </c>
      <c r="H30" s="44" t="s">
        <v>154</v>
      </c>
      <c r="I30" s="45" t="s">
        <v>182</v>
      </c>
    </row>
    <row r="31" spans="2:9" ht="14.25" customHeight="1" x14ac:dyDescent="0.35">
      <c r="B31" s="53"/>
      <c r="C31" s="44" t="s">
        <v>172</v>
      </c>
      <c r="D31" s="41" t="s">
        <v>8</v>
      </c>
      <c r="E31" s="43" t="s">
        <v>66</v>
      </c>
      <c r="F31" s="43" t="s">
        <v>170</v>
      </c>
      <c r="G31" s="44" t="s">
        <v>178</v>
      </c>
      <c r="H31" s="44" t="s">
        <v>154</v>
      </c>
      <c r="I31" s="45" t="s">
        <v>182</v>
      </c>
    </row>
    <row r="32" spans="2:9" ht="14.25" customHeight="1" x14ac:dyDescent="0.35">
      <c r="B32" s="53"/>
      <c r="C32" s="44" t="s">
        <v>19</v>
      </c>
      <c r="D32" s="41" t="s">
        <v>8</v>
      </c>
      <c r="E32" s="43" t="s">
        <v>66</v>
      </c>
      <c r="F32" s="43" t="s">
        <v>170</v>
      </c>
      <c r="G32" s="44" t="s">
        <v>178</v>
      </c>
      <c r="H32" s="44" t="s">
        <v>154</v>
      </c>
      <c r="I32" s="45" t="s">
        <v>182</v>
      </c>
    </row>
    <row r="33" spans="2:9" ht="14.25" customHeight="1" x14ac:dyDescent="0.35">
      <c r="B33" s="53"/>
      <c r="C33" s="14"/>
      <c r="D33" s="15"/>
      <c r="E33" s="18"/>
      <c r="F33" s="16"/>
      <c r="G33" s="18"/>
      <c r="H33" s="18"/>
    </row>
    <row r="34" spans="2:9" s="3" customFormat="1" ht="14.25" customHeight="1" x14ac:dyDescent="0.35">
      <c r="B34" s="53"/>
      <c r="C34" s="21" t="s">
        <v>36</v>
      </c>
      <c r="D34" s="22"/>
      <c r="E34" s="12"/>
      <c r="F34" s="16"/>
      <c r="G34" s="12"/>
      <c r="H34" s="12"/>
    </row>
    <row r="35" spans="2:9" ht="14.25" customHeight="1" x14ac:dyDescent="0.35">
      <c r="B35" s="54"/>
      <c r="C35" s="14" t="s">
        <v>12</v>
      </c>
      <c r="D35" s="15" t="s">
        <v>13</v>
      </c>
      <c r="E35" s="16" t="s">
        <v>66</v>
      </c>
      <c r="F35" s="15" t="s">
        <v>13</v>
      </c>
      <c r="G35" s="18" t="s">
        <v>154</v>
      </c>
      <c r="H35" s="18" t="s">
        <v>154</v>
      </c>
    </row>
    <row r="36" spans="2:9" x14ac:dyDescent="0.35">
      <c r="B36" s="24"/>
    </row>
    <row r="37" spans="2:9" x14ac:dyDescent="0.35">
      <c r="B37" s="55">
        <v>2</v>
      </c>
      <c r="C37" s="10" t="s">
        <v>23</v>
      </c>
      <c r="D37" s="11" t="s">
        <v>2</v>
      </c>
      <c r="E37" s="11"/>
      <c r="F37" s="11" t="s">
        <v>29</v>
      </c>
      <c r="G37" s="10" t="s">
        <v>27</v>
      </c>
      <c r="H37" s="10"/>
    </row>
    <row r="38" spans="2:9" x14ac:dyDescent="0.35">
      <c r="B38" s="55"/>
      <c r="C38" s="10" t="s">
        <v>26</v>
      </c>
      <c r="D38" s="10" t="s">
        <v>1</v>
      </c>
      <c r="E38" s="10"/>
      <c r="F38" s="11" t="s">
        <v>25</v>
      </c>
      <c r="G38" s="10">
        <v>5.0599999999999996</v>
      </c>
      <c r="H38" s="10"/>
    </row>
    <row r="39" spans="2:9" x14ac:dyDescent="0.35">
      <c r="B39" s="55"/>
      <c r="C39" s="10" t="s">
        <v>24</v>
      </c>
      <c r="D39" s="11" t="s">
        <v>28</v>
      </c>
      <c r="E39" s="10"/>
      <c r="F39" s="10"/>
      <c r="G39" s="10"/>
      <c r="H39" s="10"/>
    </row>
    <row r="40" spans="2:9" x14ac:dyDescent="0.35">
      <c r="B40" s="55"/>
      <c r="C40" s="12" t="s">
        <v>4</v>
      </c>
      <c r="D40" s="12" t="s">
        <v>38</v>
      </c>
      <c r="E40" s="12" t="s">
        <v>41</v>
      </c>
      <c r="F40" s="13" t="s">
        <v>42</v>
      </c>
      <c r="G40" s="13" t="s">
        <v>176</v>
      </c>
      <c r="H40" s="13" t="s">
        <v>177</v>
      </c>
    </row>
    <row r="41" spans="2:9" x14ac:dyDescent="0.35">
      <c r="B41" s="55"/>
      <c r="C41" s="14" t="s">
        <v>55</v>
      </c>
      <c r="D41" s="15" t="s">
        <v>51</v>
      </c>
      <c r="E41" s="15" t="s">
        <v>52</v>
      </c>
      <c r="F41" s="16" t="s">
        <v>158</v>
      </c>
      <c r="G41" s="17" t="s">
        <v>65</v>
      </c>
      <c r="H41" s="17" t="s">
        <v>65</v>
      </c>
    </row>
    <row r="42" spans="2:9" x14ac:dyDescent="0.35">
      <c r="B42" s="55"/>
      <c r="C42" s="18" t="s">
        <v>54</v>
      </c>
      <c r="D42" s="18" t="s">
        <v>39</v>
      </c>
      <c r="E42" s="16" t="s">
        <v>66</v>
      </c>
      <c r="F42" s="16" t="s">
        <v>155</v>
      </c>
      <c r="G42" s="17" t="s">
        <v>65</v>
      </c>
      <c r="H42" s="17" t="s">
        <v>65</v>
      </c>
    </row>
    <row r="43" spans="2:9" x14ac:dyDescent="0.35">
      <c r="B43" s="55"/>
      <c r="C43" s="42" t="s">
        <v>34</v>
      </c>
      <c r="D43" s="42" t="s">
        <v>40</v>
      </c>
      <c r="E43" s="43" t="s">
        <v>66</v>
      </c>
      <c r="F43" s="43">
        <v>46037</v>
      </c>
      <c r="G43" s="44" t="s">
        <v>178</v>
      </c>
      <c r="H43" s="44" t="s">
        <v>154</v>
      </c>
      <c r="I43" s="45" t="s">
        <v>182</v>
      </c>
    </row>
    <row r="44" spans="2:9" x14ac:dyDescent="0.35">
      <c r="B44" s="55"/>
      <c r="C44" s="15" t="s">
        <v>31</v>
      </c>
      <c r="D44" s="18" t="s">
        <v>43</v>
      </c>
      <c r="E44" s="16" t="s">
        <v>88</v>
      </c>
      <c r="F44" s="16">
        <v>46052</v>
      </c>
      <c r="G44" s="14" t="s">
        <v>178</v>
      </c>
      <c r="H44" s="14" t="s">
        <v>154</v>
      </c>
    </row>
    <row r="45" spans="2:9" x14ac:dyDescent="0.35">
      <c r="B45" s="55"/>
      <c r="C45" s="18" t="s">
        <v>32</v>
      </c>
      <c r="D45" s="18" t="s">
        <v>40</v>
      </c>
      <c r="E45" s="16" t="s">
        <v>88</v>
      </c>
      <c r="F45" s="16">
        <v>46037</v>
      </c>
      <c r="G45" s="14" t="s">
        <v>178</v>
      </c>
      <c r="H45" s="14" t="s">
        <v>154</v>
      </c>
    </row>
    <row r="46" spans="2:9" x14ac:dyDescent="0.35">
      <c r="B46" s="55"/>
      <c r="C46" s="18" t="s">
        <v>33</v>
      </c>
      <c r="D46" s="18" t="s">
        <v>43</v>
      </c>
      <c r="E46" s="16" t="s">
        <v>66</v>
      </c>
      <c r="F46" s="16">
        <v>46052</v>
      </c>
      <c r="G46" s="14" t="s">
        <v>178</v>
      </c>
      <c r="H46" s="14" t="s">
        <v>154</v>
      </c>
    </row>
    <row r="47" spans="2:9" x14ac:dyDescent="0.35">
      <c r="B47" s="55"/>
      <c r="C47" s="14" t="s">
        <v>35</v>
      </c>
      <c r="D47" s="18" t="s">
        <v>44</v>
      </c>
      <c r="E47" s="16" t="s">
        <v>66</v>
      </c>
      <c r="F47" s="16">
        <v>46029</v>
      </c>
      <c r="G47" s="14" t="s">
        <v>178</v>
      </c>
      <c r="H47" s="14" t="s">
        <v>154</v>
      </c>
    </row>
    <row r="48" spans="2:9" x14ac:dyDescent="0.35">
      <c r="B48" s="55"/>
      <c r="C48" s="17"/>
      <c r="D48" s="17"/>
      <c r="E48" s="18"/>
      <c r="F48" s="16"/>
      <c r="G48" s="19"/>
      <c r="H48" s="19"/>
    </row>
    <row r="49" spans="2:9" x14ac:dyDescent="0.35">
      <c r="B49" s="55"/>
      <c r="C49" s="46" t="s">
        <v>47</v>
      </c>
      <c r="D49" s="47" t="s">
        <v>49</v>
      </c>
      <c r="E49" s="48" t="s">
        <v>161</v>
      </c>
      <c r="F49" s="48">
        <v>46026</v>
      </c>
      <c r="G49" s="47" t="s">
        <v>178</v>
      </c>
      <c r="H49" s="47" t="s">
        <v>154</v>
      </c>
      <c r="I49" s="49" t="s">
        <v>183</v>
      </c>
    </row>
    <row r="50" spans="2:9" x14ac:dyDescent="0.35">
      <c r="B50" s="55"/>
      <c r="C50" s="46" t="s">
        <v>46</v>
      </c>
      <c r="D50" s="47" t="s">
        <v>48</v>
      </c>
      <c r="E50" s="48" t="s">
        <v>162</v>
      </c>
      <c r="F50" s="48"/>
      <c r="G50" s="47" t="s">
        <v>178</v>
      </c>
      <c r="H50" s="47" t="s">
        <v>154</v>
      </c>
      <c r="I50" s="49" t="s">
        <v>183</v>
      </c>
    </row>
    <row r="51" spans="2:9" x14ac:dyDescent="0.35">
      <c r="B51" s="55"/>
      <c r="C51" s="47" t="s">
        <v>16</v>
      </c>
      <c r="D51" s="47" t="s">
        <v>49</v>
      </c>
      <c r="E51" s="46" t="s">
        <v>88</v>
      </c>
      <c r="F51" s="48"/>
      <c r="G51" s="47" t="s">
        <v>178</v>
      </c>
      <c r="H51" s="47" t="s">
        <v>154</v>
      </c>
      <c r="I51" s="49" t="s">
        <v>183</v>
      </c>
    </row>
    <row r="52" spans="2:9" ht="29" x14ac:dyDescent="0.35">
      <c r="B52" s="55"/>
      <c r="C52" s="44" t="s">
        <v>7</v>
      </c>
      <c r="D52" s="44" t="s">
        <v>18</v>
      </c>
      <c r="E52" s="50" t="s">
        <v>163</v>
      </c>
      <c r="F52" s="43" t="s">
        <v>164</v>
      </c>
      <c r="G52" s="44" t="s">
        <v>178</v>
      </c>
      <c r="H52" s="44" t="s">
        <v>154</v>
      </c>
      <c r="I52" s="45" t="s">
        <v>182</v>
      </c>
    </row>
    <row r="53" spans="2:9" x14ac:dyDescent="0.35">
      <c r="B53" s="55"/>
      <c r="C53" s="44" t="s">
        <v>167</v>
      </c>
      <c r="D53" s="44" t="s">
        <v>18</v>
      </c>
      <c r="E53" s="43" t="s">
        <v>66</v>
      </c>
      <c r="F53" s="43"/>
      <c r="G53" s="44" t="s">
        <v>178</v>
      </c>
      <c r="H53" s="44" t="s">
        <v>154</v>
      </c>
      <c r="I53" s="45" t="s">
        <v>182</v>
      </c>
    </row>
    <row r="54" spans="2:9" ht="29" x14ac:dyDescent="0.35">
      <c r="B54" s="55"/>
      <c r="C54" s="44" t="s">
        <v>168</v>
      </c>
      <c r="D54" s="44" t="s">
        <v>20</v>
      </c>
      <c r="E54" s="43" t="s">
        <v>66</v>
      </c>
      <c r="F54" s="43"/>
      <c r="G54" s="51" t="s">
        <v>179</v>
      </c>
      <c r="H54" s="51" t="s">
        <v>175</v>
      </c>
      <c r="I54" s="45" t="s">
        <v>182</v>
      </c>
    </row>
    <row r="55" spans="2:9" x14ac:dyDescent="0.35">
      <c r="B55" s="55"/>
      <c r="C55" s="17"/>
      <c r="D55" s="17"/>
      <c r="E55" s="18"/>
      <c r="F55" s="16"/>
      <c r="G55" s="19"/>
      <c r="H55" s="19"/>
    </row>
    <row r="56" spans="2:9" x14ac:dyDescent="0.35">
      <c r="B56" s="55"/>
      <c r="C56" s="44" t="s">
        <v>10</v>
      </c>
      <c r="D56" s="41" t="s">
        <v>45</v>
      </c>
      <c r="E56" s="43" t="s">
        <v>66</v>
      </c>
      <c r="F56" s="43">
        <v>45759</v>
      </c>
      <c r="G56" s="44" t="s">
        <v>178</v>
      </c>
      <c r="H56" s="44" t="s">
        <v>154</v>
      </c>
      <c r="I56" s="45" t="s">
        <v>182</v>
      </c>
    </row>
    <row r="57" spans="2:9" ht="29" x14ac:dyDescent="0.35">
      <c r="B57" s="55"/>
      <c r="C57" s="44" t="s">
        <v>11</v>
      </c>
      <c r="D57" s="41" t="s">
        <v>169</v>
      </c>
      <c r="E57" s="43" t="s">
        <v>66</v>
      </c>
      <c r="F57" s="42" t="s">
        <v>157</v>
      </c>
      <c r="G57" s="44" t="s">
        <v>178</v>
      </c>
      <c r="H57" s="44" t="s">
        <v>154</v>
      </c>
      <c r="I57" s="45" t="s">
        <v>182</v>
      </c>
    </row>
    <row r="58" spans="2:9" x14ac:dyDescent="0.35">
      <c r="B58" s="55"/>
      <c r="C58" s="14"/>
      <c r="D58" s="20"/>
      <c r="E58" s="18"/>
      <c r="F58" s="16"/>
      <c r="G58" s="19"/>
      <c r="H58" s="19"/>
    </row>
    <row r="59" spans="2:9" x14ac:dyDescent="0.35">
      <c r="B59" s="55"/>
      <c r="C59" s="44" t="s">
        <v>21</v>
      </c>
      <c r="D59" s="41" t="s">
        <v>8</v>
      </c>
      <c r="E59" s="43" t="s">
        <v>66</v>
      </c>
      <c r="F59" s="43" t="s">
        <v>170</v>
      </c>
      <c r="G59" s="44" t="s">
        <v>178</v>
      </c>
      <c r="H59" s="44" t="s">
        <v>154</v>
      </c>
      <c r="I59" s="45" t="s">
        <v>182</v>
      </c>
    </row>
    <row r="60" spans="2:9" x14ac:dyDescent="0.35">
      <c r="B60" s="55"/>
      <c r="C60" s="44" t="s">
        <v>17</v>
      </c>
      <c r="D60" s="41" t="s">
        <v>8</v>
      </c>
      <c r="E60" s="43" t="s">
        <v>88</v>
      </c>
      <c r="F60" s="43" t="s">
        <v>170</v>
      </c>
      <c r="G60" s="44" t="s">
        <v>178</v>
      </c>
      <c r="H60" s="44" t="s">
        <v>154</v>
      </c>
      <c r="I60" s="45"/>
    </row>
    <row r="61" spans="2:9" x14ac:dyDescent="0.35">
      <c r="B61" s="55"/>
      <c r="C61" s="14" t="s">
        <v>22</v>
      </c>
      <c r="D61" s="15" t="s">
        <v>8</v>
      </c>
      <c r="E61" s="16" t="s">
        <v>66</v>
      </c>
      <c r="F61" s="16" t="s">
        <v>170</v>
      </c>
      <c r="G61" s="14" t="s">
        <v>178</v>
      </c>
      <c r="H61" s="14" t="s">
        <v>154</v>
      </c>
    </row>
    <row r="62" spans="2:9" ht="29" x14ac:dyDescent="0.35">
      <c r="B62" s="55"/>
      <c r="C62" s="44" t="s">
        <v>171</v>
      </c>
      <c r="D62" s="41" t="s">
        <v>8</v>
      </c>
      <c r="E62" s="43" t="s">
        <v>160</v>
      </c>
      <c r="F62" s="43" t="s">
        <v>170</v>
      </c>
      <c r="G62" s="44" t="s">
        <v>178</v>
      </c>
      <c r="H62" s="44" t="s">
        <v>154</v>
      </c>
      <c r="I62" s="45" t="s">
        <v>182</v>
      </c>
    </row>
    <row r="63" spans="2:9" x14ac:dyDescent="0.35">
      <c r="B63" s="55"/>
      <c r="C63" s="44" t="s">
        <v>172</v>
      </c>
      <c r="D63" s="41" t="s">
        <v>8</v>
      </c>
      <c r="E63" s="43" t="s">
        <v>66</v>
      </c>
      <c r="F63" s="43" t="s">
        <v>170</v>
      </c>
      <c r="G63" s="44" t="s">
        <v>178</v>
      </c>
      <c r="H63" s="44" t="s">
        <v>154</v>
      </c>
      <c r="I63" s="45" t="s">
        <v>182</v>
      </c>
    </row>
    <row r="64" spans="2:9" x14ac:dyDescent="0.35">
      <c r="B64" s="55"/>
      <c r="C64" s="14" t="s">
        <v>19</v>
      </c>
      <c r="D64" s="15" t="s">
        <v>8</v>
      </c>
      <c r="E64" s="16" t="s">
        <v>111</v>
      </c>
      <c r="F64" s="16" t="s">
        <v>159</v>
      </c>
      <c r="G64" s="14" t="s">
        <v>178</v>
      </c>
      <c r="H64" s="14" t="s">
        <v>154</v>
      </c>
    </row>
    <row r="65" spans="2:8" x14ac:dyDescent="0.35">
      <c r="B65" s="55"/>
      <c r="C65" s="14"/>
      <c r="D65" s="15"/>
      <c r="E65" s="18"/>
      <c r="F65" s="16"/>
      <c r="G65" s="18"/>
      <c r="H65" s="18"/>
    </row>
    <row r="66" spans="2:8" x14ac:dyDescent="0.35">
      <c r="B66" s="55"/>
      <c r="C66" s="21" t="s">
        <v>36</v>
      </c>
      <c r="D66" s="22"/>
      <c r="E66" s="12"/>
      <c r="F66" s="16"/>
      <c r="G66" s="12"/>
      <c r="H66" s="12"/>
    </row>
    <row r="67" spans="2:8" x14ac:dyDescent="0.35">
      <c r="B67" s="55"/>
      <c r="C67" s="14" t="s">
        <v>12</v>
      </c>
      <c r="D67" s="15" t="s">
        <v>13</v>
      </c>
      <c r="E67" s="15" t="s">
        <v>13</v>
      </c>
      <c r="F67" s="15" t="s">
        <v>13</v>
      </c>
      <c r="G67" s="18"/>
      <c r="H67" s="18"/>
    </row>
    <row r="69" spans="2:8" x14ac:dyDescent="0.35">
      <c r="B69" s="52">
        <v>3</v>
      </c>
      <c r="C69" s="10" t="s">
        <v>23</v>
      </c>
      <c r="D69" s="10" t="s">
        <v>56</v>
      </c>
      <c r="E69" s="10"/>
      <c r="F69" s="10" t="s">
        <v>29</v>
      </c>
      <c r="G69" s="11" t="s">
        <v>27</v>
      </c>
      <c r="H69" s="11" t="s">
        <v>27</v>
      </c>
    </row>
    <row r="70" spans="2:8" x14ac:dyDescent="0.35">
      <c r="B70" s="53"/>
      <c r="C70" s="10" t="s">
        <v>26</v>
      </c>
      <c r="D70" s="10" t="s">
        <v>1</v>
      </c>
      <c r="E70" s="10"/>
      <c r="F70" s="10" t="s">
        <v>25</v>
      </c>
      <c r="G70" s="11">
        <v>2.4756999999999998</v>
      </c>
      <c r="H70" s="11">
        <v>2.4756999999999998</v>
      </c>
    </row>
    <row r="71" spans="2:8" x14ac:dyDescent="0.35">
      <c r="B71" s="53"/>
      <c r="C71" s="10" t="s">
        <v>24</v>
      </c>
      <c r="D71" s="11" t="s">
        <v>28</v>
      </c>
      <c r="E71" s="10"/>
      <c r="F71" s="10"/>
      <c r="G71" s="10"/>
      <c r="H71" s="10"/>
    </row>
    <row r="72" spans="2:8" x14ac:dyDescent="0.35">
      <c r="B72" s="53"/>
      <c r="C72" s="12" t="s">
        <v>4</v>
      </c>
      <c r="D72" s="12" t="s">
        <v>38</v>
      </c>
      <c r="E72" s="12" t="s">
        <v>41</v>
      </c>
      <c r="F72" s="13" t="s">
        <v>42</v>
      </c>
      <c r="G72" s="13" t="s">
        <v>37</v>
      </c>
      <c r="H72" s="13" t="s">
        <v>37</v>
      </c>
    </row>
    <row r="73" spans="2:8" ht="43.5" x14ac:dyDescent="0.35">
      <c r="B73" s="53"/>
      <c r="C73" s="14" t="s">
        <v>57</v>
      </c>
      <c r="D73" s="15" t="s">
        <v>173</v>
      </c>
      <c r="E73" s="15" t="s">
        <v>63</v>
      </c>
      <c r="F73" s="16"/>
      <c r="G73" s="17" t="s">
        <v>65</v>
      </c>
      <c r="H73" s="17" t="s">
        <v>65</v>
      </c>
    </row>
    <row r="74" spans="2:8" x14ac:dyDescent="0.35">
      <c r="B74" s="54"/>
      <c r="C74" s="18" t="s">
        <v>64</v>
      </c>
      <c r="D74" s="18" t="s">
        <v>39</v>
      </c>
      <c r="E74" s="16"/>
      <c r="F74" s="16"/>
      <c r="G74" s="17" t="s">
        <v>65</v>
      </c>
      <c r="H74" s="17" t="s">
        <v>65</v>
      </c>
    </row>
    <row r="75" spans="2:8" x14ac:dyDescent="0.35">
      <c r="B75" s="25"/>
      <c r="C75" s="5"/>
      <c r="D75" s="4"/>
      <c r="E75" s="7"/>
      <c r="F75" s="16"/>
      <c r="G75" s="4"/>
      <c r="H75" s="4"/>
    </row>
    <row r="76" spans="2:8" x14ac:dyDescent="0.35">
      <c r="B76" s="52">
        <v>4</v>
      </c>
      <c r="C76" s="10" t="s">
        <v>23</v>
      </c>
      <c r="D76" s="10" t="s">
        <v>5</v>
      </c>
      <c r="E76" s="10"/>
      <c r="F76" s="16" t="s">
        <v>29</v>
      </c>
      <c r="G76" s="11" t="s">
        <v>58</v>
      </c>
      <c r="H76" s="11" t="s">
        <v>58</v>
      </c>
    </row>
    <row r="77" spans="2:8" x14ac:dyDescent="0.35">
      <c r="B77" s="53"/>
      <c r="C77" s="10" t="s">
        <v>26</v>
      </c>
      <c r="D77" s="10" t="s">
        <v>59</v>
      </c>
      <c r="E77" s="10"/>
      <c r="F77" s="16" t="s">
        <v>25</v>
      </c>
      <c r="G77" s="11">
        <v>2.2321</v>
      </c>
      <c r="H77" s="11">
        <v>2.2321</v>
      </c>
    </row>
    <row r="78" spans="2:8" x14ac:dyDescent="0.35">
      <c r="B78" s="53"/>
      <c r="C78" s="10" t="s">
        <v>24</v>
      </c>
      <c r="D78" s="11" t="s">
        <v>28</v>
      </c>
      <c r="E78" s="10"/>
      <c r="F78" s="16"/>
      <c r="G78" s="10"/>
      <c r="H78" s="10"/>
    </row>
    <row r="79" spans="2:8" x14ac:dyDescent="0.35">
      <c r="B79" s="53"/>
      <c r="C79" s="12" t="s">
        <v>4</v>
      </c>
      <c r="D79" s="12" t="s">
        <v>38</v>
      </c>
      <c r="E79" s="12" t="s">
        <v>41</v>
      </c>
      <c r="F79" s="26" t="s">
        <v>42</v>
      </c>
      <c r="G79" s="13" t="s">
        <v>37</v>
      </c>
      <c r="H79" s="13" t="s">
        <v>37</v>
      </c>
    </row>
    <row r="80" spans="2:8" ht="43.5" x14ac:dyDescent="0.35">
      <c r="B80" s="53"/>
      <c r="C80" s="14" t="s">
        <v>60</v>
      </c>
      <c r="D80" s="15" t="s">
        <v>173</v>
      </c>
      <c r="E80" s="15" t="s">
        <v>61</v>
      </c>
      <c r="F80" s="16">
        <v>46054</v>
      </c>
      <c r="G80" s="17" t="s">
        <v>65</v>
      </c>
      <c r="H80" s="17" t="s">
        <v>65</v>
      </c>
    </row>
    <row r="81" spans="2:8" x14ac:dyDescent="0.35">
      <c r="B81" s="54"/>
      <c r="C81" s="18" t="s">
        <v>62</v>
      </c>
      <c r="D81" s="18" t="s">
        <v>39</v>
      </c>
      <c r="E81" s="17" t="s">
        <v>165</v>
      </c>
      <c r="F81" s="16">
        <v>46054</v>
      </c>
      <c r="G81" s="17" t="s">
        <v>65</v>
      </c>
      <c r="H81" s="17" t="s">
        <v>65</v>
      </c>
    </row>
    <row r="83" spans="2:8" x14ac:dyDescent="0.35">
      <c r="C83" s="2" t="s">
        <v>174</v>
      </c>
    </row>
  </sheetData>
  <mergeCells count="6">
    <mergeCell ref="B76:B81"/>
    <mergeCell ref="B5:B35"/>
    <mergeCell ref="B37:B67"/>
    <mergeCell ref="B69:B74"/>
    <mergeCell ref="B1:H1"/>
    <mergeCell ref="B3:H3"/>
  </mergeCells>
  <pageMargins left="0" right="0.25" top="0.75" bottom="0.75" header="0.3" footer="0.3"/>
  <pageSetup scale="58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748B8-4EF7-4773-867A-4D27117ED0E1}">
  <dimension ref="A1:S48"/>
  <sheetViews>
    <sheetView topLeftCell="A22" workbookViewId="0">
      <selection activeCell="A2" sqref="A2:R2"/>
    </sheetView>
  </sheetViews>
  <sheetFormatPr defaultColWidth="9.1796875" defaultRowHeight="14.5" x14ac:dyDescent="0.35"/>
  <cols>
    <col min="1" max="1" width="6" style="6" customWidth="1"/>
    <col min="2" max="2" width="26" style="2" bestFit="1" customWidth="1"/>
    <col min="3" max="3" width="10.26953125" style="2" bestFit="1" customWidth="1"/>
    <col min="4" max="5" width="10.26953125" style="2" customWidth="1"/>
    <col min="6" max="6" width="40.7265625" style="2" bestFit="1" customWidth="1"/>
    <col min="7" max="7" width="20.7265625" style="2" customWidth="1"/>
    <col min="8" max="8" width="17.81640625" style="2" bestFit="1" customWidth="1"/>
    <col min="9" max="9" width="11.7265625" style="2" bestFit="1" customWidth="1"/>
    <col min="10" max="10" width="14.81640625" style="2" customWidth="1"/>
    <col min="11" max="11" width="20.7265625" style="2" customWidth="1"/>
    <col min="12" max="12" width="17.81640625" style="2" bestFit="1" customWidth="1"/>
    <col min="13" max="13" width="11.7265625" style="2" bestFit="1" customWidth="1"/>
    <col min="14" max="14" width="14.81640625" style="2" customWidth="1"/>
    <col min="15" max="15" width="20.7265625" style="2" customWidth="1"/>
    <col min="16" max="16" width="17.81640625" style="2" bestFit="1" customWidth="1"/>
    <col min="17" max="17" width="11.7265625" style="2" bestFit="1" customWidth="1"/>
    <col min="18" max="18" width="14.81640625" style="2" customWidth="1"/>
    <col min="19" max="16384" width="9.1796875" style="2"/>
  </cols>
  <sheetData>
    <row r="1" spans="1:18" ht="23.25" customHeight="1" x14ac:dyDescent="0.35">
      <c r="A1" s="64" t="s">
        <v>6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</row>
    <row r="2" spans="1:18" ht="25.5" customHeight="1" x14ac:dyDescent="0.35">
      <c r="A2" s="65" t="s">
        <v>67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</row>
    <row r="3" spans="1:18" ht="22.5" customHeight="1" x14ac:dyDescent="0.35">
      <c r="A3" s="66" t="s">
        <v>68</v>
      </c>
      <c r="B3" s="67"/>
      <c r="C3" s="67"/>
      <c r="D3" s="67"/>
      <c r="E3" s="67"/>
      <c r="F3" s="68"/>
      <c r="G3" s="66" t="s">
        <v>69</v>
      </c>
      <c r="H3" s="67"/>
      <c r="I3" s="67"/>
      <c r="J3" s="68"/>
      <c r="K3" s="66" t="s">
        <v>70</v>
      </c>
      <c r="L3" s="67"/>
      <c r="M3" s="67"/>
      <c r="N3" s="68"/>
      <c r="O3" s="66" t="s">
        <v>71</v>
      </c>
      <c r="P3" s="67"/>
      <c r="Q3" s="67"/>
      <c r="R3" s="68"/>
    </row>
    <row r="4" spans="1:18" ht="33.75" customHeight="1" x14ac:dyDescent="0.35">
      <c r="A4" s="27" t="s">
        <v>72</v>
      </c>
      <c r="B4" s="69" t="s">
        <v>73</v>
      </c>
      <c r="C4" s="69"/>
      <c r="D4" s="69"/>
      <c r="E4" s="69"/>
      <c r="F4" s="69"/>
      <c r="G4" s="27" t="s">
        <v>74</v>
      </c>
      <c r="H4" s="27" t="s">
        <v>75</v>
      </c>
      <c r="I4" s="69" t="s">
        <v>76</v>
      </c>
      <c r="J4" s="69"/>
      <c r="K4" s="27" t="s">
        <v>74</v>
      </c>
      <c r="L4" s="27" t="s">
        <v>75</v>
      </c>
      <c r="M4" s="69" t="s">
        <v>76</v>
      </c>
      <c r="N4" s="69"/>
      <c r="O4" s="27" t="s">
        <v>74</v>
      </c>
      <c r="P4" s="27" t="s">
        <v>75</v>
      </c>
      <c r="Q4" s="69" t="s">
        <v>76</v>
      </c>
      <c r="R4" s="69"/>
    </row>
    <row r="5" spans="1:18" ht="30" customHeight="1" x14ac:dyDescent="0.35">
      <c r="A5" s="28">
        <v>1</v>
      </c>
      <c r="B5" s="57" t="s">
        <v>77</v>
      </c>
      <c r="C5" s="57"/>
      <c r="D5" s="57"/>
      <c r="E5" s="57"/>
      <c r="F5" s="57"/>
      <c r="G5" s="29" t="s">
        <v>78</v>
      </c>
      <c r="H5" s="28" t="s">
        <v>79</v>
      </c>
      <c r="I5" s="58" t="s">
        <v>80</v>
      </c>
      <c r="J5" s="58"/>
      <c r="K5" s="29" t="s">
        <v>78</v>
      </c>
      <c r="L5" s="28" t="s">
        <v>79</v>
      </c>
      <c r="M5" s="58" t="s">
        <v>80</v>
      </c>
      <c r="N5" s="58"/>
      <c r="O5" s="29" t="s">
        <v>78</v>
      </c>
      <c r="P5" s="28" t="s">
        <v>79</v>
      </c>
      <c r="Q5" s="58" t="s">
        <v>80</v>
      </c>
      <c r="R5" s="58"/>
    </row>
    <row r="6" spans="1:18" ht="30" customHeight="1" x14ac:dyDescent="0.35">
      <c r="A6" s="28">
        <v>2</v>
      </c>
      <c r="B6" s="57" t="s">
        <v>81</v>
      </c>
      <c r="C6" s="57"/>
      <c r="D6" s="57"/>
      <c r="E6" s="57"/>
      <c r="F6" s="57"/>
      <c r="G6" s="29" t="s">
        <v>82</v>
      </c>
      <c r="H6" s="28" t="s">
        <v>83</v>
      </c>
      <c r="I6" s="62" t="s">
        <v>84</v>
      </c>
      <c r="J6" s="63"/>
      <c r="K6" s="29" t="s">
        <v>82</v>
      </c>
      <c r="L6" s="28" t="s">
        <v>83</v>
      </c>
      <c r="M6" s="62" t="s">
        <v>84</v>
      </c>
      <c r="N6" s="63"/>
      <c r="O6" s="29" t="s">
        <v>82</v>
      </c>
      <c r="P6" s="28" t="s">
        <v>83</v>
      </c>
      <c r="Q6" s="62" t="s">
        <v>84</v>
      </c>
      <c r="R6" s="63"/>
    </row>
    <row r="7" spans="1:18" ht="30" customHeight="1" x14ac:dyDescent="0.35">
      <c r="A7" s="28">
        <v>3</v>
      </c>
      <c r="B7" s="57" t="s">
        <v>85</v>
      </c>
      <c r="C7" s="57"/>
      <c r="D7" s="57"/>
      <c r="E7" s="57"/>
      <c r="F7" s="57"/>
      <c r="G7" s="29" t="s">
        <v>86</v>
      </c>
      <c r="H7" s="29" t="s">
        <v>87</v>
      </c>
      <c r="I7" s="62" t="s">
        <v>84</v>
      </c>
      <c r="J7" s="63"/>
      <c r="K7" s="29" t="s">
        <v>86</v>
      </c>
      <c r="L7" s="29" t="s">
        <v>88</v>
      </c>
      <c r="M7" s="62" t="s">
        <v>84</v>
      </c>
      <c r="N7" s="63"/>
      <c r="O7" s="29" t="s">
        <v>86</v>
      </c>
      <c r="P7" s="29" t="s">
        <v>87</v>
      </c>
      <c r="Q7" s="62" t="s">
        <v>84</v>
      </c>
      <c r="R7" s="63"/>
    </row>
    <row r="8" spans="1:18" ht="30" customHeight="1" x14ac:dyDescent="0.35">
      <c r="A8" s="28">
        <v>4</v>
      </c>
      <c r="B8" s="57" t="s">
        <v>89</v>
      </c>
      <c r="C8" s="57"/>
      <c r="D8" s="57"/>
      <c r="E8" s="57"/>
      <c r="F8" s="57"/>
      <c r="G8" s="29" t="s">
        <v>90</v>
      </c>
      <c r="H8" s="29" t="s">
        <v>91</v>
      </c>
      <c r="I8" s="58" t="s">
        <v>80</v>
      </c>
      <c r="J8" s="58"/>
      <c r="K8" s="29" t="s">
        <v>90</v>
      </c>
      <c r="L8" s="29" t="s">
        <v>88</v>
      </c>
      <c r="M8" s="58" t="s">
        <v>80</v>
      </c>
      <c r="N8" s="58"/>
      <c r="O8" s="29" t="s">
        <v>90</v>
      </c>
      <c r="P8" s="29" t="s">
        <v>91</v>
      </c>
      <c r="Q8" s="58" t="s">
        <v>80</v>
      </c>
      <c r="R8" s="58"/>
    </row>
    <row r="9" spans="1:18" ht="30" customHeight="1" x14ac:dyDescent="0.35">
      <c r="A9" s="28">
        <v>5</v>
      </c>
      <c r="B9" s="57" t="s">
        <v>7</v>
      </c>
      <c r="C9" s="57"/>
      <c r="D9" s="57"/>
      <c r="E9" s="57"/>
      <c r="F9" s="57"/>
      <c r="G9" s="29" t="s">
        <v>18</v>
      </c>
      <c r="H9" s="29" t="s">
        <v>92</v>
      </c>
      <c r="I9" s="58" t="s">
        <v>80</v>
      </c>
      <c r="J9" s="58"/>
      <c r="K9" s="29" t="s">
        <v>18</v>
      </c>
      <c r="L9" s="29" t="s">
        <v>88</v>
      </c>
      <c r="M9" s="58" t="s">
        <v>80</v>
      </c>
      <c r="N9" s="58"/>
      <c r="O9" s="29" t="s">
        <v>18</v>
      </c>
      <c r="P9" s="29" t="s">
        <v>92</v>
      </c>
      <c r="Q9" s="58" t="s">
        <v>80</v>
      </c>
      <c r="R9" s="58"/>
    </row>
    <row r="10" spans="1:18" ht="30" customHeight="1" x14ac:dyDescent="0.35">
      <c r="A10" s="28">
        <v>6</v>
      </c>
      <c r="B10" s="59" t="s">
        <v>9</v>
      </c>
      <c r="C10" s="60"/>
      <c r="D10" s="60"/>
      <c r="E10" s="60"/>
      <c r="F10" s="61"/>
      <c r="G10" s="29" t="s">
        <v>18</v>
      </c>
      <c r="H10" s="28" t="s">
        <v>93</v>
      </c>
      <c r="I10" s="58" t="s">
        <v>80</v>
      </c>
      <c r="J10" s="58"/>
      <c r="K10" s="29" t="s">
        <v>18</v>
      </c>
      <c r="L10" s="28" t="s">
        <v>88</v>
      </c>
      <c r="M10" s="58" t="s">
        <v>80</v>
      </c>
      <c r="N10" s="58"/>
      <c r="O10" s="29" t="s">
        <v>18</v>
      </c>
      <c r="P10" s="28" t="s">
        <v>93</v>
      </c>
      <c r="Q10" s="58" t="s">
        <v>80</v>
      </c>
      <c r="R10" s="58"/>
    </row>
    <row r="11" spans="1:18" ht="30" customHeight="1" x14ac:dyDescent="0.35">
      <c r="A11" s="28">
        <v>7</v>
      </c>
      <c r="B11" s="59" t="s">
        <v>17</v>
      </c>
      <c r="C11" s="60"/>
      <c r="D11" s="60"/>
      <c r="E11" s="60"/>
      <c r="F11" s="61"/>
      <c r="G11" s="29" t="s">
        <v>8</v>
      </c>
      <c r="H11" s="28" t="s">
        <v>66</v>
      </c>
      <c r="I11" s="58" t="s">
        <v>94</v>
      </c>
      <c r="J11" s="58"/>
      <c r="K11" s="29" t="s">
        <v>8</v>
      </c>
      <c r="L11" s="28" t="s">
        <v>88</v>
      </c>
      <c r="M11" s="58" t="s">
        <v>94</v>
      </c>
      <c r="N11" s="58"/>
      <c r="O11" s="29" t="s">
        <v>8</v>
      </c>
      <c r="P11" s="28" t="s">
        <v>66</v>
      </c>
      <c r="Q11" s="58" t="s">
        <v>94</v>
      </c>
      <c r="R11" s="58"/>
    </row>
    <row r="12" spans="1:18" ht="30" customHeight="1" x14ac:dyDescent="0.35">
      <c r="A12" s="28">
        <v>8</v>
      </c>
      <c r="B12" s="59" t="s">
        <v>95</v>
      </c>
      <c r="C12" s="60"/>
      <c r="D12" s="60"/>
      <c r="E12" s="60"/>
      <c r="F12" s="61"/>
      <c r="G12" s="29" t="s">
        <v>96</v>
      </c>
      <c r="H12" s="28" t="s">
        <v>66</v>
      </c>
      <c r="I12" s="58" t="s">
        <v>97</v>
      </c>
      <c r="J12" s="58"/>
      <c r="K12" s="29" t="s">
        <v>96</v>
      </c>
      <c r="L12" s="28" t="s">
        <v>88</v>
      </c>
      <c r="M12" s="58" t="s">
        <v>97</v>
      </c>
      <c r="N12" s="58"/>
      <c r="O12" s="29" t="s">
        <v>96</v>
      </c>
      <c r="P12" s="28" t="s">
        <v>66</v>
      </c>
      <c r="Q12" s="58" t="s">
        <v>97</v>
      </c>
      <c r="R12" s="58"/>
    </row>
    <row r="13" spans="1:18" ht="30" customHeight="1" x14ac:dyDescent="0.35">
      <c r="A13" s="28">
        <v>9</v>
      </c>
      <c r="B13" s="59" t="s">
        <v>98</v>
      </c>
      <c r="C13" s="60"/>
      <c r="D13" s="60"/>
      <c r="E13" s="60"/>
      <c r="F13" s="61"/>
      <c r="G13" s="29" t="s">
        <v>99</v>
      </c>
      <c r="H13" s="28" t="s">
        <v>66</v>
      </c>
      <c r="I13" s="58" t="s">
        <v>97</v>
      </c>
      <c r="J13" s="58"/>
      <c r="K13" s="29" t="s">
        <v>99</v>
      </c>
      <c r="L13" s="28" t="s">
        <v>88</v>
      </c>
      <c r="M13" s="58" t="s">
        <v>97</v>
      </c>
      <c r="N13" s="58"/>
      <c r="O13" s="29" t="s">
        <v>99</v>
      </c>
      <c r="P13" s="28" t="s">
        <v>66</v>
      </c>
      <c r="Q13" s="58" t="s">
        <v>97</v>
      </c>
      <c r="R13" s="58"/>
    </row>
    <row r="14" spans="1:18" ht="30" customHeight="1" x14ac:dyDescent="0.35">
      <c r="A14" s="28">
        <v>10</v>
      </c>
      <c r="B14" s="57" t="s">
        <v>10</v>
      </c>
      <c r="C14" s="57"/>
      <c r="D14" s="57"/>
      <c r="E14" s="57"/>
      <c r="F14" s="57"/>
      <c r="G14" s="29" t="s">
        <v>100</v>
      </c>
      <c r="H14" s="28" t="s">
        <v>66</v>
      </c>
      <c r="I14" s="58" t="s">
        <v>80</v>
      </c>
      <c r="J14" s="58"/>
      <c r="K14" s="29" t="s">
        <v>100</v>
      </c>
      <c r="L14" s="28" t="s">
        <v>66</v>
      </c>
      <c r="M14" s="58" t="s">
        <v>80</v>
      </c>
      <c r="N14" s="58"/>
      <c r="O14" s="29" t="s">
        <v>100</v>
      </c>
      <c r="P14" s="28" t="s">
        <v>66</v>
      </c>
      <c r="Q14" s="58" t="s">
        <v>80</v>
      </c>
      <c r="R14" s="58"/>
    </row>
    <row r="15" spans="1:18" ht="30" customHeight="1" x14ac:dyDescent="0.35">
      <c r="A15" s="28">
        <v>11</v>
      </c>
      <c r="B15" s="57" t="s">
        <v>11</v>
      </c>
      <c r="C15" s="57"/>
      <c r="D15" s="57"/>
      <c r="E15" s="57"/>
      <c r="F15" s="57"/>
      <c r="G15" s="29" t="s">
        <v>101</v>
      </c>
      <c r="H15" s="28" t="s">
        <v>66</v>
      </c>
      <c r="I15" s="58" t="s">
        <v>80</v>
      </c>
      <c r="J15" s="58"/>
      <c r="K15" s="29" t="s">
        <v>101</v>
      </c>
      <c r="L15" s="28" t="s">
        <v>66</v>
      </c>
      <c r="M15" s="58" t="s">
        <v>80</v>
      </c>
      <c r="N15" s="58"/>
      <c r="O15" s="29" t="s">
        <v>101</v>
      </c>
      <c r="P15" s="28" t="s">
        <v>66</v>
      </c>
      <c r="Q15" s="58" t="s">
        <v>80</v>
      </c>
      <c r="R15" s="58"/>
    </row>
    <row r="16" spans="1:18" ht="30" customHeight="1" x14ac:dyDescent="0.35">
      <c r="A16" s="28">
        <v>12</v>
      </c>
      <c r="B16" s="57" t="s">
        <v>102</v>
      </c>
      <c r="C16" s="57"/>
      <c r="D16" s="57"/>
      <c r="E16" s="57"/>
      <c r="F16" s="57"/>
      <c r="G16" s="29" t="s">
        <v>103</v>
      </c>
      <c r="H16" s="28" t="s">
        <v>66</v>
      </c>
      <c r="I16" s="58" t="s">
        <v>104</v>
      </c>
      <c r="J16" s="58"/>
      <c r="K16" s="29" t="s">
        <v>103</v>
      </c>
      <c r="L16" s="28" t="s">
        <v>66</v>
      </c>
      <c r="M16" s="58" t="s">
        <v>104</v>
      </c>
      <c r="N16" s="58"/>
      <c r="O16" s="29" t="s">
        <v>103</v>
      </c>
      <c r="P16" s="28" t="s">
        <v>66</v>
      </c>
      <c r="Q16" s="58" t="s">
        <v>104</v>
      </c>
      <c r="R16" s="58"/>
    </row>
    <row r="17" spans="1:18" ht="30" customHeight="1" x14ac:dyDescent="0.35">
      <c r="A17" s="28">
        <v>13</v>
      </c>
      <c r="B17" s="57" t="s">
        <v>105</v>
      </c>
      <c r="C17" s="57"/>
      <c r="D17" s="57"/>
      <c r="E17" s="57"/>
      <c r="F17" s="57"/>
      <c r="G17" s="29" t="s">
        <v>106</v>
      </c>
      <c r="H17" s="28" t="s">
        <v>66</v>
      </c>
      <c r="I17" s="58" t="s">
        <v>107</v>
      </c>
      <c r="J17" s="58"/>
      <c r="K17" s="29" t="s">
        <v>106</v>
      </c>
      <c r="L17" s="28" t="s">
        <v>66</v>
      </c>
      <c r="M17" s="58" t="s">
        <v>107</v>
      </c>
      <c r="N17" s="58"/>
      <c r="O17" s="29" t="s">
        <v>106</v>
      </c>
      <c r="P17" s="28" t="s">
        <v>66</v>
      </c>
      <c r="Q17" s="58" t="s">
        <v>107</v>
      </c>
      <c r="R17" s="58"/>
    </row>
    <row r="18" spans="1:18" ht="30" customHeight="1" x14ac:dyDescent="0.35">
      <c r="A18" s="28">
        <v>14</v>
      </c>
      <c r="B18" s="57" t="s">
        <v>108</v>
      </c>
      <c r="C18" s="57"/>
      <c r="D18" s="57"/>
      <c r="E18" s="57"/>
      <c r="F18" s="57"/>
      <c r="G18" s="29" t="s">
        <v>109</v>
      </c>
      <c r="H18" s="28" t="s">
        <v>66</v>
      </c>
      <c r="I18" s="58" t="s">
        <v>110</v>
      </c>
      <c r="J18" s="58"/>
      <c r="K18" s="29" t="s">
        <v>109</v>
      </c>
      <c r="L18" s="28" t="s">
        <v>66</v>
      </c>
      <c r="M18" s="58" t="s">
        <v>110</v>
      </c>
      <c r="N18" s="58"/>
      <c r="O18" s="29" t="s">
        <v>109</v>
      </c>
      <c r="P18" s="28" t="s">
        <v>66</v>
      </c>
      <c r="Q18" s="58" t="s">
        <v>110</v>
      </c>
      <c r="R18" s="58"/>
    </row>
    <row r="19" spans="1:18" ht="30" customHeight="1" x14ac:dyDescent="0.35">
      <c r="A19" s="28">
        <v>15</v>
      </c>
      <c r="B19" s="57" t="s">
        <v>12</v>
      </c>
      <c r="C19" s="57"/>
      <c r="D19" s="57"/>
      <c r="E19" s="57"/>
      <c r="F19" s="57"/>
      <c r="G19" s="29" t="s">
        <v>13</v>
      </c>
      <c r="H19" s="28" t="s">
        <v>111</v>
      </c>
      <c r="I19" s="58" t="s">
        <v>104</v>
      </c>
      <c r="J19" s="58"/>
      <c r="K19" s="29" t="s">
        <v>13</v>
      </c>
      <c r="L19" s="28" t="s">
        <v>66</v>
      </c>
      <c r="M19" s="58" t="s">
        <v>104</v>
      </c>
      <c r="N19" s="58"/>
      <c r="O19" s="29" t="s">
        <v>13</v>
      </c>
      <c r="P19" s="28" t="s">
        <v>66</v>
      </c>
      <c r="Q19" s="58" t="s">
        <v>104</v>
      </c>
      <c r="R19" s="58"/>
    </row>
    <row r="20" spans="1:18" ht="30" customHeight="1" x14ac:dyDescent="0.35">
      <c r="A20" s="28">
        <v>16</v>
      </c>
      <c r="B20" s="57" t="s">
        <v>14</v>
      </c>
      <c r="C20" s="57"/>
      <c r="D20" s="57"/>
      <c r="E20" s="57"/>
      <c r="F20" s="57"/>
      <c r="G20" s="29" t="s">
        <v>8</v>
      </c>
      <c r="H20" s="28" t="s">
        <v>66</v>
      </c>
      <c r="I20" s="58" t="s">
        <v>104</v>
      </c>
      <c r="J20" s="58"/>
      <c r="K20" s="29" t="s">
        <v>8</v>
      </c>
      <c r="L20" s="28" t="s">
        <v>66</v>
      </c>
      <c r="M20" s="58" t="s">
        <v>104</v>
      </c>
      <c r="N20" s="58"/>
      <c r="O20" s="29" t="s">
        <v>8</v>
      </c>
      <c r="P20" s="28" t="s">
        <v>66</v>
      </c>
      <c r="Q20" s="58" t="s">
        <v>104</v>
      </c>
      <c r="R20" s="58"/>
    </row>
    <row r="21" spans="1:18" ht="30" customHeight="1" x14ac:dyDescent="0.35">
      <c r="A21" s="28">
        <v>17</v>
      </c>
      <c r="B21" s="57" t="s">
        <v>15</v>
      </c>
      <c r="C21" s="57"/>
      <c r="D21" s="57"/>
      <c r="E21" s="57"/>
      <c r="F21" s="57"/>
      <c r="G21" s="29" t="s">
        <v>8</v>
      </c>
      <c r="H21" s="28" t="s">
        <v>66</v>
      </c>
      <c r="I21" s="58" t="s">
        <v>104</v>
      </c>
      <c r="J21" s="58"/>
      <c r="K21" s="29" t="s">
        <v>8</v>
      </c>
      <c r="L21" s="28" t="s">
        <v>66</v>
      </c>
      <c r="M21" s="58" t="s">
        <v>104</v>
      </c>
      <c r="N21" s="58"/>
      <c r="O21" s="29" t="s">
        <v>8</v>
      </c>
      <c r="P21" s="28" t="s">
        <v>66</v>
      </c>
      <c r="Q21" s="58" t="s">
        <v>104</v>
      </c>
      <c r="R21" s="58"/>
    </row>
    <row r="22" spans="1:18" ht="30" customHeight="1" x14ac:dyDescent="0.35">
      <c r="A22" s="28">
        <v>18</v>
      </c>
      <c r="B22" s="57" t="s">
        <v>16</v>
      </c>
      <c r="C22" s="57"/>
      <c r="D22" s="57"/>
      <c r="E22" s="57"/>
      <c r="F22" s="57"/>
      <c r="G22" s="29" t="s">
        <v>86</v>
      </c>
      <c r="H22" s="28" t="s">
        <v>88</v>
      </c>
      <c r="I22" s="58" t="s">
        <v>112</v>
      </c>
      <c r="J22" s="58"/>
      <c r="K22" s="29" t="s">
        <v>86</v>
      </c>
      <c r="L22" s="28" t="s">
        <v>88</v>
      </c>
      <c r="M22" s="58" t="s">
        <v>112</v>
      </c>
      <c r="N22" s="58"/>
      <c r="O22" s="29" t="s">
        <v>86</v>
      </c>
      <c r="P22" s="28" t="s">
        <v>88</v>
      </c>
      <c r="Q22" s="58" t="s">
        <v>112</v>
      </c>
      <c r="R22" s="58"/>
    </row>
    <row r="23" spans="1:18" ht="30" customHeight="1" x14ac:dyDescent="0.35">
      <c r="A23" s="28">
        <v>19</v>
      </c>
      <c r="B23" s="57" t="s">
        <v>113</v>
      </c>
      <c r="C23" s="57"/>
      <c r="D23" s="57"/>
      <c r="E23" s="57"/>
      <c r="F23" s="57"/>
      <c r="G23" s="29" t="s">
        <v>114</v>
      </c>
      <c r="H23" s="28" t="s">
        <v>66</v>
      </c>
      <c r="I23" s="58" t="s">
        <v>104</v>
      </c>
      <c r="J23" s="58"/>
      <c r="K23" s="29" t="s">
        <v>114</v>
      </c>
      <c r="L23" s="28" t="s">
        <v>66</v>
      </c>
      <c r="M23" s="58" t="s">
        <v>104</v>
      </c>
      <c r="N23" s="58"/>
      <c r="O23" s="29" t="s">
        <v>114</v>
      </c>
      <c r="P23" s="28" t="s">
        <v>66</v>
      </c>
      <c r="Q23" s="58" t="s">
        <v>104</v>
      </c>
      <c r="R23" s="58"/>
    </row>
    <row r="24" spans="1:18" ht="30" customHeight="1" x14ac:dyDescent="0.35">
      <c r="A24" s="28">
        <v>20</v>
      </c>
      <c r="B24" s="57" t="s">
        <v>19</v>
      </c>
      <c r="C24" s="57"/>
      <c r="D24" s="57"/>
      <c r="E24" s="57"/>
      <c r="F24" s="57"/>
      <c r="G24" s="29" t="s">
        <v>8</v>
      </c>
      <c r="H24" s="28" t="s">
        <v>66</v>
      </c>
      <c r="I24" s="58" t="s">
        <v>112</v>
      </c>
      <c r="J24" s="58"/>
      <c r="K24" s="29" t="s">
        <v>8</v>
      </c>
      <c r="L24" s="28" t="s">
        <v>88</v>
      </c>
      <c r="M24" s="58" t="s">
        <v>112</v>
      </c>
      <c r="N24" s="58"/>
      <c r="O24" s="29" t="s">
        <v>8</v>
      </c>
      <c r="P24" s="28" t="s">
        <v>66</v>
      </c>
      <c r="Q24" s="58" t="s">
        <v>112</v>
      </c>
      <c r="R24" s="58"/>
    </row>
    <row r="25" spans="1:18" ht="30" customHeight="1" x14ac:dyDescent="0.35">
      <c r="A25" s="28">
        <v>21</v>
      </c>
      <c r="B25" s="57" t="s">
        <v>115</v>
      </c>
      <c r="C25" s="57"/>
      <c r="D25" s="57"/>
      <c r="E25" s="57"/>
      <c r="F25" s="57"/>
      <c r="G25" s="29" t="s">
        <v>20</v>
      </c>
      <c r="H25" s="28" t="s">
        <v>66</v>
      </c>
      <c r="I25" s="58" t="s">
        <v>107</v>
      </c>
      <c r="J25" s="58"/>
      <c r="K25" s="29" t="s">
        <v>20</v>
      </c>
      <c r="L25" s="28" t="s">
        <v>66</v>
      </c>
      <c r="M25" s="58" t="s">
        <v>107</v>
      </c>
      <c r="N25" s="58"/>
      <c r="O25" s="29" t="s">
        <v>20</v>
      </c>
      <c r="P25" s="28" t="s">
        <v>66</v>
      </c>
      <c r="Q25" s="58" t="s">
        <v>107</v>
      </c>
      <c r="R25" s="58"/>
    </row>
    <row r="26" spans="1:18" ht="30" customHeight="1" x14ac:dyDescent="0.35">
      <c r="A26" s="28">
        <v>22</v>
      </c>
      <c r="B26" s="57" t="s">
        <v>21</v>
      </c>
      <c r="C26" s="57"/>
      <c r="D26" s="57"/>
      <c r="E26" s="57"/>
      <c r="F26" s="57"/>
      <c r="G26" s="29" t="s">
        <v>8</v>
      </c>
      <c r="H26" s="28" t="s">
        <v>66</v>
      </c>
      <c r="I26" s="58" t="s">
        <v>104</v>
      </c>
      <c r="J26" s="58"/>
      <c r="K26" s="29" t="s">
        <v>8</v>
      </c>
      <c r="L26" s="28" t="s">
        <v>116</v>
      </c>
      <c r="M26" s="58" t="s">
        <v>104</v>
      </c>
      <c r="N26" s="58"/>
      <c r="O26" s="29" t="s">
        <v>8</v>
      </c>
      <c r="P26" s="28" t="s">
        <v>66</v>
      </c>
      <c r="Q26" s="58" t="s">
        <v>104</v>
      </c>
      <c r="R26" s="58"/>
    </row>
    <row r="27" spans="1:18" ht="30" customHeight="1" x14ac:dyDescent="0.35">
      <c r="A27" s="28">
        <v>23</v>
      </c>
      <c r="B27" s="57" t="s">
        <v>22</v>
      </c>
      <c r="C27" s="57"/>
      <c r="D27" s="57"/>
      <c r="E27" s="57"/>
      <c r="F27" s="57"/>
      <c r="G27" s="29" t="s">
        <v>8</v>
      </c>
      <c r="H27" s="28" t="s">
        <v>66</v>
      </c>
      <c r="I27" s="58" t="s">
        <v>104</v>
      </c>
      <c r="J27" s="58"/>
      <c r="K27" s="29" t="s">
        <v>8</v>
      </c>
      <c r="L27" s="28" t="s">
        <v>66</v>
      </c>
      <c r="M27" s="58" t="s">
        <v>104</v>
      </c>
      <c r="N27" s="58"/>
      <c r="O27" s="29" t="s">
        <v>8</v>
      </c>
      <c r="P27" s="28" t="s">
        <v>66</v>
      </c>
      <c r="Q27" s="58" t="s">
        <v>104</v>
      </c>
      <c r="R27" s="58"/>
    </row>
    <row r="28" spans="1:18" ht="30" customHeight="1" x14ac:dyDescent="0.35">
      <c r="A28" s="28">
        <v>20</v>
      </c>
      <c r="B28" s="57"/>
      <c r="C28" s="57"/>
      <c r="D28" s="57"/>
      <c r="E28" s="57"/>
      <c r="F28" s="57"/>
      <c r="G28" s="29"/>
      <c r="H28" s="28"/>
      <c r="I28" s="58"/>
      <c r="J28" s="58"/>
      <c r="K28" s="29"/>
      <c r="L28" s="28"/>
      <c r="M28" s="58"/>
      <c r="N28" s="58"/>
      <c r="O28" s="29"/>
      <c r="P28" s="28"/>
      <c r="Q28" s="58"/>
      <c r="R28" s="58"/>
    </row>
    <row r="29" spans="1:18" ht="30" customHeight="1" x14ac:dyDescent="0.35">
      <c r="A29" s="28">
        <v>21</v>
      </c>
      <c r="B29" s="57"/>
      <c r="C29" s="57"/>
      <c r="D29" s="57"/>
      <c r="E29" s="57"/>
      <c r="F29" s="57"/>
      <c r="G29" s="29"/>
      <c r="H29" s="28"/>
      <c r="I29" s="58"/>
      <c r="J29" s="58"/>
      <c r="K29" s="29"/>
      <c r="L29" s="28"/>
      <c r="M29" s="58"/>
      <c r="N29" s="58"/>
      <c r="O29" s="29"/>
      <c r="P29" s="28"/>
      <c r="Q29" s="58"/>
      <c r="R29" s="58"/>
    </row>
    <row r="30" spans="1:18" ht="30" customHeight="1" x14ac:dyDescent="0.35">
      <c r="A30" s="28">
        <v>22</v>
      </c>
      <c r="B30" s="57"/>
      <c r="C30" s="57"/>
      <c r="D30" s="57"/>
      <c r="E30" s="57"/>
      <c r="F30" s="57"/>
      <c r="G30" s="29"/>
      <c r="H30" s="28"/>
      <c r="I30" s="58"/>
      <c r="J30" s="58"/>
      <c r="K30" s="29"/>
      <c r="L30" s="28"/>
      <c r="M30" s="58"/>
      <c r="N30" s="58"/>
      <c r="O30" s="29"/>
      <c r="P30" s="28"/>
      <c r="Q30" s="58"/>
      <c r="R30" s="58"/>
    </row>
    <row r="32" spans="1:18" ht="18.5" x14ac:dyDescent="0.35">
      <c r="B32" s="30"/>
      <c r="C32" s="1" t="s">
        <v>117</v>
      </c>
      <c r="D32" s="1"/>
      <c r="E32" s="1"/>
      <c r="F32" s="1"/>
      <c r="G32" s="1"/>
      <c r="I32" s="3"/>
      <c r="K32" s="1"/>
      <c r="M32" s="3"/>
      <c r="O32" s="1"/>
      <c r="Q32" s="3"/>
    </row>
    <row r="34" spans="1:19" x14ac:dyDescent="0.35">
      <c r="A34" s="5" t="s">
        <v>72</v>
      </c>
      <c r="B34" s="31" t="s">
        <v>118</v>
      </c>
      <c r="C34" s="31" t="s">
        <v>119</v>
      </c>
      <c r="D34" s="31"/>
      <c r="E34" s="31"/>
      <c r="F34" s="31" t="s">
        <v>120</v>
      </c>
      <c r="G34" s="31" t="s">
        <v>121</v>
      </c>
      <c r="H34" s="31" t="s">
        <v>122</v>
      </c>
      <c r="I34" s="31" t="s">
        <v>123</v>
      </c>
      <c r="J34" s="31" t="s">
        <v>124</v>
      </c>
      <c r="K34" s="31" t="s">
        <v>121</v>
      </c>
      <c r="L34" s="31" t="s">
        <v>122</v>
      </c>
      <c r="M34" s="31" t="s">
        <v>123</v>
      </c>
      <c r="N34" s="31" t="s">
        <v>124</v>
      </c>
      <c r="O34" s="31" t="s">
        <v>121</v>
      </c>
      <c r="P34" s="31" t="s">
        <v>122</v>
      </c>
      <c r="Q34" s="31" t="s">
        <v>123</v>
      </c>
      <c r="R34" s="31" t="s">
        <v>124</v>
      </c>
    </row>
    <row r="35" spans="1:19" x14ac:dyDescent="0.35">
      <c r="A35" s="5"/>
      <c r="B35" s="31" t="s">
        <v>125</v>
      </c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</row>
    <row r="36" spans="1:19" x14ac:dyDescent="0.35">
      <c r="A36" s="5">
        <v>1</v>
      </c>
      <c r="B36" s="4" t="s">
        <v>0</v>
      </c>
      <c r="C36" s="4" t="s">
        <v>126</v>
      </c>
      <c r="D36" s="4">
        <f>0.936-0.5545</f>
        <v>0.38150000000000006</v>
      </c>
      <c r="E36" s="32">
        <f>D36/6.16</f>
        <v>6.1931818181818192E-2</v>
      </c>
      <c r="F36" s="4" t="s">
        <v>127</v>
      </c>
      <c r="G36" s="4" t="s">
        <v>128</v>
      </c>
      <c r="H36" s="4" t="s">
        <v>129</v>
      </c>
      <c r="I36" s="33">
        <v>46165</v>
      </c>
      <c r="J36" s="34" t="s">
        <v>130</v>
      </c>
      <c r="K36" s="4" t="s">
        <v>128</v>
      </c>
      <c r="L36" s="4" t="s">
        <v>129</v>
      </c>
      <c r="M36" s="33">
        <v>46165</v>
      </c>
      <c r="N36" s="34" t="s">
        <v>130</v>
      </c>
      <c r="O36" s="4" t="s">
        <v>128</v>
      </c>
      <c r="P36" s="4" t="s">
        <v>129</v>
      </c>
      <c r="Q36" s="33">
        <v>46165</v>
      </c>
      <c r="R36" s="34" t="s">
        <v>130</v>
      </c>
    </row>
    <row r="37" spans="1:19" x14ac:dyDescent="0.35">
      <c r="A37" s="5">
        <v>2</v>
      </c>
      <c r="B37" s="4" t="s">
        <v>131</v>
      </c>
      <c r="C37" s="4" t="s">
        <v>132</v>
      </c>
      <c r="D37" s="4">
        <f>55.45*0.01</f>
        <v>0.55449999999999999</v>
      </c>
      <c r="E37" s="32">
        <f>D37/9.99</f>
        <v>5.5505505505505502E-2</v>
      </c>
      <c r="F37" s="4" t="s">
        <v>133</v>
      </c>
      <c r="G37" s="4" t="s">
        <v>134</v>
      </c>
      <c r="H37" s="4" t="s">
        <v>135</v>
      </c>
      <c r="I37" s="33">
        <v>46052</v>
      </c>
      <c r="J37" s="34" t="s">
        <v>136</v>
      </c>
      <c r="K37" s="4" t="s">
        <v>134</v>
      </c>
      <c r="L37" s="4" t="s">
        <v>135</v>
      </c>
      <c r="M37" s="33">
        <v>46052</v>
      </c>
      <c r="N37" s="34" t="s">
        <v>136</v>
      </c>
      <c r="O37" s="4" t="s">
        <v>134</v>
      </c>
      <c r="P37" s="4" t="s">
        <v>135</v>
      </c>
      <c r="Q37" s="33">
        <v>46052</v>
      </c>
      <c r="R37" s="34" t="s">
        <v>136</v>
      </c>
      <c r="S37" s="2" t="s">
        <v>181</v>
      </c>
    </row>
    <row r="38" spans="1:19" ht="29" x14ac:dyDescent="0.35">
      <c r="A38" s="5">
        <v>3</v>
      </c>
      <c r="B38" s="4" t="s">
        <v>2</v>
      </c>
      <c r="C38" s="4" t="s">
        <v>137</v>
      </c>
      <c r="D38" s="4"/>
      <c r="E38" s="4"/>
      <c r="F38" s="4" t="s">
        <v>1</v>
      </c>
      <c r="G38" s="4" t="s">
        <v>138</v>
      </c>
      <c r="H38" s="35" t="s">
        <v>139</v>
      </c>
      <c r="I38" s="33">
        <v>45930</v>
      </c>
      <c r="J38" s="34" t="s">
        <v>140</v>
      </c>
      <c r="K38" s="4" t="s">
        <v>138</v>
      </c>
      <c r="L38" s="35" t="s">
        <v>139</v>
      </c>
      <c r="M38" s="33">
        <v>45930</v>
      </c>
      <c r="N38" s="34" t="s">
        <v>140</v>
      </c>
      <c r="O38" s="4" t="s">
        <v>138</v>
      </c>
      <c r="P38" s="35" t="s">
        <v>139</v>
      </c>
      <c r="Q38" s="33">
        <v>45930</v>
      </c>
      <c r="R38" s="34" t="s">
        <v>140</v>
      </c>
    </row>
    <row r="39" spans="1:19" x14ac:dyDescent="0.35">
      <c r="A39" s="5">
        <v>4</v>
      </c>
      <c r="B39" s="36" t="s">
        <v>141</v>
      </c>
      <c r="C39" s="4" t="s">
        <v>142</v>
      </c>
      <c r="D39" s="4"/>
      <c r="E39" s="4"/>
      <c r="F39" s="4" t="s">
        <v>1</v>
      </c>
      <c r="G39" s="37">
        <v>45876</v>
      </c>
      <c r="H39" s="4" t="s">
        <v>143</v>
      </c>
      <c r="I39" s="38"/>
      <c r="J39" s="38"/>
      <c r="K39" s="37">
        <v>45876</v>
      </c>
      <c r="L39" s="4" t="s">
        <v>143</v>
      </c>
      <c r="M39" s="38"/>
      <c r="N39" s="38"/>
      <c r="O39" s="37">
        <v>45876</v>
      </c>
      <c r="P39" s="4" t="s">
        <v>143</v>
      </c>
      <c r="Q39" s="38"/>
      <c r="R39" s="38"/>
    </row>
    <row r="40" spans="1:19" x14ac:dyDescent="0.35">
      <c r="A40" s="5">
        <v>5</v>
      </c>
      <c r="B40" s="36" t="s">
        <v>5</v>
      </c>
      <c r="C40" s="4" t="s">
        <v>144</v>
      </c>
      <c r="D40" s="4"/>
      <c r="E40" s="4"/>
      <c r="F40" s="4" t="s">
        <v>145</v>
      </c>
      <c r="G40" s="37">
        <v>44594</v>
      </c>
      <c r="H40" s="4" t="s">
        <v>146</v>
      </c>
      <c r="I40" s="38">
        <v>46055</v>
      </c>
      <c r="J40" s="38">
        <v>46055</v>
      </c>
      <c r="K40" s="37">
        <v>44594</v>
      </c>
      <c r="L40" s="4" t="s">
        <v>146</v>
      </c>
      <c r="M40" s="38">
        <v>46055</v>
      </c>
      <c r="N40" s="38">
        <v>46055</v>
      </c>
      <c r="O40" s="37">
        <v>44594</v>
      </c>
      <c r="P40" s="4" t="s">
        <v>146</v>
      </c>
      <c r="Q40" s="38">
        <v>46055</v>
      </c>
      <c r="R40" s="38">
        <v>46055</v>
      </c>
    </row>
    <row r="41" spans="1:19" x14ac:dyDescent="0.35">
      <c r="B41" s="36" t="s">
        <v>147</v>
      </c>
    </row>
    <row r="42" spans="1:19" x14ac:dyDescent="0.35">
      <c r="F42" s="4" t="s">
        <v>148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</row>
    <row r="43" spans="1:19" x14ac:dyDescent="0.35">
      <c r="F43" s="4" t="s">
        <v>149</v>
      </c>
      <c r="G43" s="4" t="s">
        <v>150</v>
      </c>
      <c r="H43" s="4"/>
      <c r="I43" s="4"/>
      <c r="J43" s="4"/>
      <c r="K43" s="4" t="s">
        <v>150</v>
      </c>
      <c r="L43" s="4"/>
      <c r="M43" s="4"/>
      <c r="N43" s="4"/>
      <c r="O43" s="4" t="s">
        <v>150</v>
      </c>
      <c r="P43" s="4"/>
      <c r="Q43" s="4"/>
      <c r="R43" s="4"/>
    </row>
    <row r="44" spans="1:19" x14ac:dyDescent="0.35">
      <c r="F44" s="4"/>
      <c r="G44" s="4" t="s">
        <v>151</v>
      </c>
      <c r="H44" s="4"/>
      <c r="I44" s="4"/>
      <c r="J44" s="4"/>
      <c r="K44" s="4" t="s">
        <v>151</v>
      </c>
      <c r="L44" s="4"/>
      <c r="M44" s="4"/>
      <c r="N44" s="4"/>
      <c r="O44" s="4" t="s">
        <v>151</v>
      </c>
      <c r="P44" s="4"/>
      <c r="Q44" s="4"/>
      <c r="R44" s="4"/>
    </row>
    <row r="45" spans="1:19" x14ac:dyDescent="0.35">
      <c r="F45" s="4"/>
      <c r="G45" s="4" t="s">
        <v>152</v>
      </c>
      <c r="H45" s="4"/>
      <c r="I45" s="4"/>
      <c r="J45" s="4"/>
      <c r="K45" s="4" t="s">
        <v>152</v>
      </c>
      <c r="L45" s="4"/>
      <c r="M45" s="4"/>
      <c r="N45" s="4"/>
      <c r="O45" s="4" t="s">
        <v>152</v>
      </c>
      <c r="P45" s="4"/>
      <c r="Q45" s="4"/>
      <c r="R45" s="4"/>
    </row>
    <row r="46" spans="1:19" x14ac:dyDescent="0.35">
      <c r="F46" s="4"/>
      <c r="G46" s="4" t="s">
        <v>153</v>
      </c>
      <c r="H46" s="4"/>
      <c r="I46" s="4"/>
      <c r="J46" s="4"/>
      <c r="K46" s="4" t="s">
        <v>153</v>
      </c>
      <c r="L46" s="4"/>
      <c r="M46" s="4"/>
      <c r="N46" s="4"/>
      <c r="O46" s="4" t="s">
        <v>153</v>
      </c>
      <c r="P46" s="4"/>
      <c r="Q46" s="4"/>
      <c r="R46" s="4"/>
    </row>
    <row r="47" spans="1:19" x14ac:dyDescent="0.35">
      <c r="F47" s="4" t="s">
        <v>3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</row>
    <row r="48" spans="1:19" x14ac:dyDescent="0.35"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</row>
  </sheetData>
  <mergeCells count="114">
    <mergeCell ref="A1:R1"/>
    <mergeCell ref="A2:R2"/>
    <mergeCell ref="B5:F5"/>
    <mergeCell ref="I5:J5"/>
    <mergeCell ref="M5:N5"/>
    <mergeCell ref="Q5:R5"/>
    <mergeCell ref="B6:F6"/>
    <mergeCell ref="I6:J6"/>
    <mergeCell ref="M6:N6"/>
    <mergeCell ref="Q6:R6"/>
    <mergeCell ref="A3:F3"/>
    <mergeCell ref="G3:J3"/>
    <mergeCell ref="K3:N3"/>
    <mergeCell ref="O3:R3"/>
    <mergeCell ref="B4:F4"/>
    <mergeCell ref="I4:J4"/>
    <mergeCell ref="M4:N4"/>
    <mergeCell ref="Q4:R4"/>
    <mergeCell ref="B9:F9"/>
    <mergeCell ref="I9:J9"/>
    <mergeCell ref="M9:N9"/>
    <mergeCell ref="Q9:R9"/>
    <mergeCell ref="B10:F10"/>
    <mergeCell ref="I10:J10"/>
    <mergeCell ref="M10:N10"/>
    <mergeCell ref="Q10:R10"/>
    <mergeCell ref="B7:F7"/>
    <mergeCell ref="I7:J7"/>
    <mergeCell ref="M7:N7"/>
    <mergeCell ref="Q7:R7"/>
    <mergeCell ref="B8:F8"/>
    <mergeCell ref="I8:J8"/>
    <mergeCell ref="M8:N8"/>
    <mergeCell ref="Q8:R8"/>
    <mergeCell ref="B13:F13"/>
    <mergeCell ref="I13:J13"/>
    <mergeCell ref="M13:N13"/>
    <mergeCell ref="Q13:R13"/>
    <mergeCell ref="B14:F14"/>
    <mergeCell ref="I14:J14"/>
    <mergeCell ref="M14:N14"/>
    <mergeCell ref="Q14:R14"/>
    <mergeCell ref="B11:F11"/>
    <mergeCell ref="I11:J11"/>
    <mergeCell ref="M11:N11"/>
    <mergeCell ref="Q11:R11"/>
    <mergeCell ref="B12:F12"/>
    <mergeCell ref="I12:J12"/>
    <mergeCell ref="M12:N12"/>
    <mergeCell ref="Q12:R12"/>
    <mergeCell ref="B17:F17"/>
    <mergeCell ref="I17:J17"/>
    <mergeCell ref="M17:N17"/>
    <mergeCell ref="Q17:R17"/>
    <mergeCell ref="B18:F18"/>
    <mergeCell ref="I18:J18"/>
    <mergeCell ref="M18:N18"/>
    <mergeCell ref="Q18:R18"/>
    <mergeCell ref="B15:F15"/>
    <mergeCell ref="I15:J15"/>
    <mergeCell ref="M15:N15"/>
    <mergeCell ref="Q15:R15"/>
    <mergeCell ref="B16:F16"/>
    <mergeCell ref="I16:J16"/>
    <mergeCell ref="M16:N16"/>
    <mergeCell ref="Q16:R16"/>
    <mergeCell ref="B21:F21"/>
    <mergeCell ref="I21:J21"/>
    <mergeCell ref="M21:N21"/>
    <mergeCell ref="Q21:R21"/>
    <mergeCell ref="B22:F22"/>
    <mergeCell ref="I22:J22"/>
    <mergeCell ref="M22:N22"/>
    <mergeCell ref="Q22:R22"/>
    <mergeCell ref="B19:F19"/>
    <mergeCell ref="I19:J19"/>
    <mergeCell ref="M19:N19"/>
    <mergeCell ref="Q19:R19"/>
    <mergeCell ref="B20:F20"/>
    <mergeCell ref="I20:J20"/>
    <mergeCell ref="M20:N20"/>
    <mergeCell ref="Q20:R20"/>
    <mergeCell ref="B25:F25"/>
    <mergeCell ref="I25:J25"/>
    <mergeCell ref="M25:N25"/>
    <mergeCell ref="Q25:R25"/>
    <mergeCell ref="B26:F26"/>
    <mergeCell ref="I26:J26"/>
    <mergeCell ref="M26:N26"/>
    <mergeCell ref="Q26:R26"/>
    <mergeCell ref="B23:F23"/>
    <mergeCell ref="I23:J23"/>
    <mergeCell ref="M23:N23"/>
    <mergeCell ref="Q23:R23"/>
    <mergeCell ref="B24:F24"/>
    <mergeCell ref="I24:J24"/>
    <mergeCell ref="M24:N24"/>
    <mergeCell ref="Q24:R24"/>
    <mergeCell ref="B29:F29"/>
    <mergeCell ref="I29:J29"/>
    <mergeCell ref="M29:N29"/>
    <mergeCell ref="Q29:R29"/>
    <mergeCell ref="B30:F30"/>
    <mergeCell ref="I30:J30"/>
    <mergeCell ref="M30:N30"/>
    <mergeCell ref="Q30:R30"/>
    <mergeCell ref="B27:F27"/>
    <mergeCell ref="I27:J27"/>
    <mergeCell ref="M27:N27"/>
    <mergeCell ref="Q27:R27"/>
    <mergeCell ref="B28:F28"/>
    <mergeCell ref="I28:J28"/>
    <mergeCell ref="M28:N28"/>
    <mergeCell ref="Q28:R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Mining Compliance Master</vt:lpstr>
      <vt:lpstr>Mining Compliance Requirement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shukuru mohamed sudi</dc:creator>
  <cp:lastModifiedBy>Pavan Gandhi</cp:lastModifiedBy>
  <cp:lastPrinted>2019-01-29T11:22:49Z</cp:lastPrinted>
  <dcterms:created xsi:type="dcterms:W3CDTF">2016-06-23T08:58:06Z</dcterms:created>
  <dcterms:modified xsi:type="dcterms:W3CDTF">2026-03-06T08:23:04Z</dcterms:modified>
</cp:coreProperties>
</file>