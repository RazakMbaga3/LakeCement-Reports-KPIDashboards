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STORE DATA\LCL STORE ALL DATA\kishor Report\Management Report\RM STOCK\RM PHYSICAL STOCK\"/>
    </mc:Choice>
  </mc:AlternateContent>
  <xr:revisionPtr revIDLastSave="0" documentId="13_ncr:1_{D99DDFF1-159C-442D-9833-64FD42D6601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-12 Stock Audit Report - Raw M" sheetId="1" r:id="rId1"/>
    <sheet name="Sheet1" sheetId="2" r:id="rId2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70" i="1" l="1"/>
  <c r="T47" i="2"/>
  <c r="R47" i="2"/>
  <c r="Q47" i="2"/>
  <c r="O47" i="2"/>
  <c r="N47" i="2"/>
  <c r="L47" i="2"/>
  <c r="K47" i="2"/>
  <c r="I47" i="2"/>
  <c r="G47" i="2"/>
  <c r="I38" i="2"/>
  <c r="G38" i="2"/>
  <c r="E38" i="2"/>
  <c r="G161" i="1" l="1"/>
  <c r="I161" i="1" s="1"/>
  <c r="G145" i="1"/>
  <c r="I145" i="1" s="1"/>
  <c r="D171" i="1"/>
  <c r="K147" i="1" s="1"/>
  <c r="D170" i="1"/>
  <c r="K152" i="1" s="1"/>
  <c r="D169" i="1"/>
  <c r="K164" i="1" s="1"/>
  <c r="D168" i="1"/>
  <c r="K158" i="1" s="1"/>
  <c r="G160" i="1"/>
  <c r="G159" i="1"/>
  <c r="I159" i="1" s="1"/>
  <c r="G157" i="1"/>
  <c r="G156" i="1"/>
  <c r="G155" i="1"/>
  <c r="I155" i="1" s="1"/>
  <c r="G154" i="1"/>
  <c r="I154" i="1" s="1"/>
  <c r="G153" i="1"/>
  <c r="I153" i="1" s="1"/>
  <c r="G151" i="1"/>
  <c r="G150" i="1"/>
  <c r="I150" i="1" s="1"/>
  <c r="G149" i="1"/>
  <c r="I149" i="1" s="1"/>
  <c r="G148" i="1"/>
  <c r="I148" i="1" s="1"/>
  <c r="G144" i="1"/>
  <c r="I144" i="1" s="1"/>
  <c r="H25" i="2"/>
  <c r="F25" i="2"/>
  <c r="C133" i="1"/>
  <c r="I152" i="1" l="1"/>
  <c r="L152" i="1" s="1"/>
  <c r="M152" i="1" s="1"/>
  <c r="I147" i="1"/>
  <c r="L147" i="1" s="1"/>
  <c r="M147" i="1" s="1"/>
  <c r="G158" i="1"/>
  <c r="G147" i="1"/>
  <c r="G164" i="1"/>
  <c r="G152" i="1"/>
  <c r="I160" i="1"/>
  <c r="I164" i="1" s="1"/>
  <c r="L164" i="1" s="1"/>
  <c r="M164" i="1" s="1"/>
  <c r="I156" i="1"/>
  <c r="I158" i="1" s="1"/>
  <c r="G124" i="1"/>
  <c r="I124" i="1" s="1"/>
  <c r="H152" i="1" l="1"/>
  <c r="H147" i="1"/>
  <c r="L158" i="1"/>
  <c r="M158" i="1" s="1"/>
  <c r="H158" i="1"/>
  <c r="D134" i="1"/>
  <c r="D133" i="1"/>
  <c r="K116" i="1" s="1"/>
  <c r="D132" i="1"/>
  <c r="D131" i="1"/>
  <c r="K122" i="1" s="1"/>
  <c r="K127" i="1"/>
  <c r="G123" i="1"/>
  <c r="G127" i="1" s="1"/>
  <c r="G121" i="1"/>
  <c r="G120" i="1"/>
  <c r="I120" i="1" s="1"/>
  <c r="G119" i="1"/>
  <c r="I119" i="1" s="1"/>
  <c r="G118" i="1"/>
  <c r="I118" i="1" s="1"/>
  <c r="G117" i="1"/>
  <c r="I117" i="1" s="1"/>
  <c r="G115" i="1"/>
  <c r="G114" i="1"/>
  <c r="G113" i="1"/>
  <c r="I113" i="1" s="1"/>
  <c r="G112" i="1"/>
  <c r="I112" i="1" s="1"/>
  <c r="K111" i="1"/>
  <c r="G109" i="1"/>
  <c r="G111" i="1" s="1"/>
  <c r="T11" i="2"/>
  <c r="R11" i="2"/>
  <c r="Q11" i="2"/>
  <c r="O11" i="2"/>
  <c r="N11" i="2"/>
  <c r="L11" i="2"/>
  <c r="K11" i="2"/>
  <c r="I11" i="2"/>
  <c r="G11" i="2"/>
  <c r="C96" i="1"/>
  <c r="D96" i="1" s="1"/>
  <c r="K80" i="1" s="1"/>
  <c r="D97" i="1"/>
  <c r="K75" i="1" s="1"/>
  <c r="D95" i="1"/>
  <c r="K90" i="1" s="1"/>
  <c r="D94" i="1"/>
  <c r="K86" i="1" s="1"/>
  <c r="G87" i="1"/>
  <c r="I87" i="1" s="1"/>
  <c r="G85" i="1"/>
  <c r="G84" i="1"/>
  <c r="G83" i="1"/>
  <c r="I83" i="1" s="1"/>
  <c r="G82" i="1"/>
  <c r="I82" i="1" s="1"/>
  <c r="G81" i="1"/>
  <c r="I81" i="1" s="1"/>
  <c r="G79" i="1"/>
  <c r="G78" i="1"/>
  <c r="I78" i="1" s="1"/>
  <c r="G77" i="1"/>
  <c r="I77" i="1" s="1"/>
  <c r="G76" i="1"/>
  <c r="I76" i="1" s="1"/>
  <c r="G73" i="1"/>
  <c r="I73" i="1" s="1"/>
  <c r="I75" i="1" s="1"/>
  <c r="G42" i="1"/>
  <c r="I42" i="1" s="1"/>
  <c r="C61" i="1"/>
  <c r="G52" i="1"/>
  <c r="I52" i="1" s="1"/>
  <c r="D61" i="1"/>
  <c r="K44" i="1" s="1"/>
  <c r="D62" i="1"/>
  <c r="K39" i="1" s="1"/>
  <c r="D60" i="1"/>
  <c r="K55" i="1" s="1"/>
  <c r="D59" i="1"/>
  <c r="K50" i="1" s="1"/>
  <c r="G51" i="1"/>
  <c r="G49" i="1"/>
  <c r="G48" i="1"/>
  <c r="I48" i="1" s="1"/>
  <c r="G47" i="1"/>
  <c r="I47" i="1" s="1"/>
  <c r="G46" i="1"/>
  <c r="I46" i="1" s="1"/>
  <c r="G45" i="1"/>
  <c r="G43" i="1"/>
  <c r="G41" i="1"/>
  <c r="I41" i="1" s="1"/>
  <c r="G40" i="1"/>
  <c r="I40" i="1" s="1"/>
  <c r="G37" i="1"/>
  <c r="G39" i="1" s="1"/>
  <c r="C29" i="1"/>
  <c r="G17" i="1"/>
  <c r="I17" i="1" s="1"/>
  <c r="G15" i="1"/>
  <c r="I15" i="1" s="1"/>
  <c r="G14" i="1"/>
  <c r="I14" i="1" s="1"/>
  <c r="G13" i="1"/>
  <c r="I13" i="1" s="1"/>
  <c r="G116" i="1" l="1"/>
  <c r="I114" i="1"/>
  <c r="I116" i="1" s="1"/>
  <c r="I109" i="1"/>
  <c r="I111" i="1" s="1"/>
  <c r="L111" i="1" s="1"/>
  <c r="M111" i="1" s="1"/>
  <c r="I123" i="1"/>
  <c r="I127" i="1" s="1"/>
  <c r="L127" i="1" s="1"/>
  <c r="M127" i="1" s="1"/>
  <c r="G122" i="1"/>
  <c r="I122" i="1"/>
  <c r="G90" i="1"/>
  <c r="G86" i="1"/>
  <c r="I80" i="1"/>
  <c r="L80" i="1" s="1"/>
  <c r="M80" i="1" s="1"/>
  <c r="G80" i="1"/>
  <c r="G75" i="1"/>
  <c r="H75" i="1" s="1"/>
  <c r="L75" i="1"/>
  <c r="M75" i="1" s="1"/>
  <c r="I90" i="1"/>
  <c r="L90" i="1" s="1"/>
  <c r="M90" i="1" s="1"/>
  <c r="I84" i="1"/>
  <c r="I86" i="1" s="1"/>
  <c r="G50" i="1"/>
  <c r="G55" i="1"/>
  <c r="G44" i="1"/>
  <c r="I44" i="1"/>
  <c r="L44" i="1" s="1"/>
  <c r="M44" i="1" s="1"/>
  <c r="I45" i="1"/>
  <c r="I50" i="1" s="1"/>
  <c r="I51" i="1"/>
  <c r="I55" i="1" s="1"/>
  <c r="L55" i="1" s="1"/>
  <c r="M55" i="1" s="1"/>
  <c r="I37" i="1"/>
  <c r="I39" i="1" s="1"/>
  <c r="D30" i="1"/>
  <c r="K6" i="1" s="1"/>
  <c r="D29" i="1"/>
  <c r="K10" i="1" s="1"/>
  <c r="D28" i="1"/>
  <c r="K23" i="1" s="1"/>
  <c r="D27" i="1"/>
  <c r="K19" i="1" s="1"/>
  <c r="G20" i="1"/>
  <c r="I20" i="1" s="1"/>
  <c r="G18" i="1"/>
  <c r="G16" i="1"/>
  <c r="I16" i="1" s="1"/>
  <c r="G12" i="1"/>
  <c r="G11" i="1"/>
  <c r="I11" i="1" s="1"/>
  <c r="G9" i="1"/>
  <c r="G8" i="1"/>
  <c r="I8" i="1" s="1"/>
  <c r="G7" i="1"/>
  <c r="I7" i="1" s="1"/>
  <c r="G4" i="1"/>
  <c r="H116" i="1" l="1"/>
  <c r="L116" i="1"/>
  <c r="M116" i="1" s="1"/>
  <c r="H111" i="1"/>
  <c r="L122" i="1"/>
  <c r="M122" i="1" s="1"/>
  <c r="H122" i="1"/>
  <c r="H80" i="1"/>
  <c r="L86" i="1"/>
  <c r="M86" i="1" s="1"/>
  <c r="H86" i="1"/>
  <c r="H44" i="1"/>
  <c r="L39" i="1"/>
  <c r="M39" i="1" s="1"/>
  <c r="H39" i="1"/>
  <c r="H50" i="1"/>
  <c r="L50" i="1"/>
  <c r="M50" i="1" s="1"/>
  <c r="G23" i="1"/>
  <c r="G6" i="1"/>
  <c r="G19" i="1"/>
  <c r="G10" i="1"/>
  <c r="I23" i="1"/>
  <c r="L23" i="1" s="1"/>
  <c r="I10" i="1"/>
  <c r="I12" i="1"/>
  <c r="I19" i="1" s="1"/>
  <c r="I4" i="1"/>
  <c r="I6" i="1" s="1"/>
  <c r="H19" i="1" l="1"/>
  <c r="L19" i="1"/>
  <c r="H6" i="1"/>
  <c r="L6" i="1"/>
  <c r="L10" i="1"/>
  <c r="H10" i="1"/>
</calcChain>
</file>

<file path=xl/sharedStrings.xml><?xml version="1.0" encoding="utf-8"?>
<sst xmlns="http://schemas.openxmlformats.org/spreadsheetml/2006/main" count="535" uniqueCount="133">
  <si>
    <t xml:space="preserve">Sl. No. </t>
  </si>
  <si>
    <t>Raw materials</t>
  </si>
  <si>
    <t>Area location</t>
  </si>
  <si>
    <t>Length</t>
  </si>
  <si>
    <t>Width</t>
  </si>
  <si>
    <t>Height</t>
  </si>
  <si>
    <t>Quantity in Cub. MTR</t>
  </si>
  <si>
    <t>Density</t>
  </si>
  <si>
    <t>Total Qty MT</t>
  </si>
  <si>
    <t>VARINCE OF MANUAL MEASUREMENT</t>
  </si>
  <si>
    <t>Iron Ore</t>
  </si>
  <si>
    <t>Near yard area Heap-1</t>
  </si>
  <si>
    <t>Hopper In side</t>
  </si>
  <si>
    <t>-</t>
  </si>
  <si>
    <t>Total</t>
  </si>
  <si>
    <t>Clinker</t>
  </si>
  <si>
    <t>Clinker Stock Pile</t>
  </si>
  <si>
    <t xml:space="preserve"> </t>
  </si>
  <si>
    <t xml:space="preserve">Gypsum shed  </t>
  </si>
  <si>
    <t>Coal</t>
  </si>
  <si>
    <t>Open Yard-Heap-1</t>
  </si>
  <si>
    <t>Open Yard-Heap-2</t>
  </si>
  <si>
    <t>Coal Shed Heap-1</t>
  </si>
  <si>
    <t>Gypsum</t>
  </si>
  <si>
    <t>New yard Heap-1</t>
  </si>
  <si>
    <t>Gypsum powder</t>
  </si>
  <si>
    <t>GRN Pending Due to Invoice Not Received Qty in MT</t>
  </si>
  <si>
    <t>GRN QTY</t>
  </si>
  <si>
    <t xml:space="preserve">Odoo STOCK </t>
  </si>
  <si>
    <t xml:space="preserve">Iron ore </t>
  </si>
  <si>
    <t>PHYSICAL STOCK ON 09.07.2025</t>
  </si>
  <si>
    <t>Odoo  Stock</t>
  </si>
  <si>
    <t>Open Yard-Heap-3</t>
  </si>
  <si>
    <t>Open Yard-Heap-4</t>
  </si>
  <si>
    <t>Open Yard-Heap-5</t>
  </si>
  <si>
    <t>Heap-2</t>
  </si>
  <si>
    <t>PHYSICAL STOCK ON 20.10.2025</t>
  </si>
  <si>
    <t xml:space="preserve">Mining yard </t>
  </si>
  <si>
    <t xml:space="preserve">Percentage wise Varince  </t>
  </si>
  <si>
    <t>Gypsum shed  Size L 50 M x W 20 M x H 5</t>
  </si>
  <si>
    <t xml:space="preserve">Open Yard-Heap-1  </t>
  </si>
  <si>
    <t>Coal Shed Heap-1 Size L 90 M x W 35 M x H 5.5</t>
  </si>
  <si>
    <t xml:space="preserve">                                                                                       Physical Stock Check By </t>
  </si>
  <si>
    <t xml:space="preserve">        Prepared By</t>
  </si>
  <si>
    <t xml:space="preserve">   Kishorsinh Jadav </t>
  </si>
  <si>
    <t xml:space="preserve">               Approved By Unit Head &amp; COO</t>
  </si>
  <si>
    <t>Thirulok Chander                                  Madhusudhan</t>
  </si>
  <si>
    <t xml:space="preserve">                 Muneesh Kumar</t>
  </si>
  <si>
    <t xml:space="preserve">                 Petro Masigan  </t>
  </si>
  <si>
    <t>Ganesh Kumar                                       Govind Tanwar</t>
  </si>
  <si>
    <t>PHYSICAL STOCK ON 09.01.2026</t>
  </si>
  <si>
    <t>Coal Shed Heap-2</t>
  </si>
  <si>
    <t>Lake Cement Limited</t>
  </si>
  <si>
    <t>Date Period 08-01-2026 to 09-01-2026</t>
  </si>
  <si>
    <t>Includes all product categories</t>
  </si>
  <si>
    <t>Opening</t>
  </si>
  <si>
    <t>Inward (Purchased, Produced, Sales Return, Positive Inv. Adjust)</t>
  </si>
  <si>
    <t>Outward (Sales, Consumption, Purchase Return, Negative Inv. Adjust)</t>
  </si>
  <si>
    <t>Closing</t>
  </si>
  <si>
    <t>S.No</t>
  </si>
  <si>
    <t>Code</t>
  </si>
  <si>
    <t>Product</t>
  </si>
  <si>
    <t>ABC Analysis</t>
  </si>
  <si>
    <t>Criticality</t>
  </si>
  <si>
    <t>Main Category</t>
  </si>
  <si>
    <t>Sub Category</t>
  </si>
  <si>
    <t>UOM</t>
  </si>
  <si>
    <t>Opening Qty</t>
  </si>
  <si>
    <t>Unit Price</t>
  </si>
  <si>
    <t>Opening Value</t>
  </si>
  <si>
    <t>Inward Qty</t>
  </si>
  <si>
    <t>Inward Value</t>
  </si>
  <si>
    <t>Outward Qty</t>
  </si>
  <si>
    <t>Outward Value</t>
  </si>
  <si>
    <t>Closing Qty</t>
  </si>
  <si>
    <t>Closing Value</t>
  </si>
  <si>
    <t>Department</t>
  </si>
  <si>
    <t>Bin &amp; Location</t>
  </si>
  <si>
    <t>Last GRN No.</t>
  </si>
  <si>
    <t>GRN Date</t>
  </si>
  <si>
    <t>Warehouse</t>
  </si>
  <si>
    <t>RM000001</t>
  </si>
  <si>
    <t>COAL</t>
  </si>
  <si>
    <t>B</t>
  </si>
  <si>
    <t>Raw Material</t>
  </si>
  <si>
    <t>MT</t>
  </si>
  <si>
    <t>PRODUCTION</t>
  </si>
  <si>
    <t>CM/GRN/2025/10029</t>
  </si>
  <si>
    <t>09-01-2026</t>
  </si>
  <si>
    <t>CEMENT</t>
  </si>
  <si>
    <t>RM000003</t>
  </si>
  <si>
    <t>GYPSUM</t>
  </si>
  <si>
    <t>CM/GRN/2025/10031</t>
  </si>
  <si>
    <t>RM000004</t>
  </si>
  <si>
    <t>IRON ORE</t>
  </si>
  <si>
    <t>C</t>
  </si>
  <si>
    <t>IRON YARD-Iron Ore Yard</t>
  </si>
  <si>
    <t>CM/GRN/2025/09792</t>
  </si>
  <si>
    <t>02-01-2026</t>
  </si>
  <si>
    <t>RM000014</t>
  </si>
  <si>
    <t>CLINKER SPG</t>
  </si>
  <si>
    <t>CM/GRN/2025/10039</t>
  </si>
  <si>
    <t>PHYSICAL STOCK ON 03.02.2026</t>
  </si>
  <si>
    <t>New yard Heap-2</t>
  </si>
  <si>
    <t>Date Period 02-02-2026 to 03-02-2026</t>
  </si>
  <si>
    <t>CM/GRN/2025/11255</t>
  </si>
  <si>
    <t>03-02-2026</t>
  </si>
  <si>
    <t>CM/GRN/2025/11262</t>
  </si>
  <si>
    <t>CM/GRN/2025/11269</t>
  </si>
  <si>
    <t>WIP003</t>
  </si>
  <si>
    <t>CLINKER</t>
  </si>
  <si>
    <t>Muneesh Kumar</t>
  </si>
  <si>
    <t xml:space="preserve">                     Petro Masigan  </t>
  </si>
  <si>
    <t>PHYSICAL STOCK ON 31.03.2026</t>
  </si>
  <si>
    <r>
      <t xml:space="preserve">Open Yard-Heap-1  </t>
    </r>
    <r>
      <rPr>
        <b/>
        <sz val="10"/>
        <color rgb="FFFF0000"/>
        <rFont val="Calibri"/>
        <family val="2"/>
        <scheme val="minor"/>
      </rPr>
      <t xml:space="preserve">CPP COAL </t>
    </r>
  </si>
  <si>
    <r>
      <t>Open Yard-Heap-2</t>
    </r>
    <r>
      <rPr>
        <b/>
        <sz val="10"/>
        <color rgb="FFFF0000"/>
        <rFont val="Calibri"/>
        <family val="2"/>
        <scheme val="minor"/>
      </rPr>
      <t xml:space="preserve"> KILN COAL </t>
    </r>
  </si>
  <si>
    <t xml:space="preserve">Gypsum Yard Mining </t>
  </si>
  <si>
    <t>Date Period 30-03-2026 to 31-03-2026</t>
  </si>
  <si>
    <t>Includes Product Category(s) : Raw Material</t>
  </si>
  <si>
    <t>RM000007</t>
  </si>
  <si>
    <t>BAUXITE</t>
  </si>
  <si>
    <t>CM/GRN/2025/14223</t>
  </si>
  <si>
    <t>31-03-2026</t>
  </si>
  <si>
    <t>CM/GRN/2025/14233</t>
  </si>
  <si>
    <t>CM/GRN/2025/13996</t>
  </si>
  <si>
    <t>26-03-2026</t>
  </si>
  <si>
    <t>CM/GRN/2025/12528</t>
  </si>
  <si>
    <t>27-02-2026</t>
  </si>
  <si>
    <t>CM/GRN/2025/14248</t>
  </si>
  <si>
    <t>Semifinished Good</t>
  </si>
  <si>
    <r>
      <t xml:space="preserve">Coal Shed Heap-1 Size L 90 M x W 35 M x H 5.5 </t>
    </r>
    <r>
      <rPr>
        <b/>
        <sz val="10"/>
        <color rgb="FFFF0000"/>
        <rFont val="Calibri"/>
        <family val="2"/>
        <scheme val="minor"/>
      </rPr>
      <t xml:space="preserve"> CPP COAL </t>
    </r>
  </si>
  <si>
    <r>
      <t xml:space="preserve">Coal Shed Heap-2 </t>
    </r>
    <r>
      <rPr>
        <b/>
        <sz val="10"/>
        <color rgb="FFFF0000"/>
        <rFont val="Calibri"/>
        <family val="2"/>
        <scheme val="minor"/>
      </rPr>
      <t xml:space="preserve">KILN COAL </t>
    </r>
  </si>
  <si>
    <t xml:space="preserve">                                             Petro Masigan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</si>
</sst>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_-;\-* #,##0_-;_-* &quot;-&quot;??_-;_-@_-"/>
    <numFmt numFmtId="166" formatCode="########0"/>
    <numFmt numFmtId="167" formatCode="########0.000"/>
    <numFmt numFmtId="168" formatCode="########0.00"/>
    <numFmt numFmtId="169" formatCode="###,###,##0.00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2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B050"/>
      <name val="Calibri"/>
      <family val="2"/>
      <scheme val="minor"/>
    </font>
    <font>
      <b/>
      <sz val="10"/>
      <color rgb="FF00B050"/>
      <name val="Calibri"/>
      <family val="2"/>
      <scheme val="minor"/>
    </font>
    <font>
      <sz val="10"/>
      <color theme="5" tint="-0.499984740745262"/>
      <name val="Calibri"/>
      <family val="2"/>
      <scheme val="minor"/>
    </font>
    <font>
      <sz val="10"/>
      <name val="Arial"/>
      <family val="2"/>
    </font>
    <font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indexed="8"/>
      <name val="Arial"/>
      <family val="2"/>
    </font>
    <font>
      <b/>
      <i/>
      <sz val="10"/>
      <color indexed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2"/>
      <color indexed="8"/>
      <name val="Arial"/>
      <family val="2"/>
    </font>
    <font>
      <b/>
      <i/>
      <sz val="10"/>
      <color indexed="8"/>
      <name val="Arial"/>
      <family val="2"/>
    </font>
    <font>
      <b/>
      <sz val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indexed="31"/>
      </patternFill>
    </fill>
    <fill>
      <patternFill patternType="solid">
        <fgColor indexed="27"/>
      </patternFill>
    </fill>
    <fill>
      <patternFill patternType="solid">
        <fgColor indexed="26"/>
      </patternFill>
    </fill>
  </fills>
  <borders count="4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72">
    <xf numFmtId="0" fontId="0" fillId="0" borderId="0" xfId="0"/>
    <xf numFmtId="0" fontId="3" fillId="2" borderId="4" xfId="0" applyFont="1" applyFill="1" applyBorder="1" applyAlignment="1">
      <alignment horizontal="center"/>
    </xf>
    <xf numFmtId="0" fontId="3" fillId="2" borderId="0" xfId="0" applyFont="1" applyFill="1"/>
    <xf numFmtId="164" fontId="3" fillId="2" borderId="0" xfId="1" applyFont="1" applyFill="1" applyBorder="1"/>
    <xf numFmtId="0" fontId="3" fillId="2" borderId="5" xfId="0" applyFont="1" applyFill="1" applyBorder="1"/>
    <xf numFmtId="0" fontId="4" fillId="2" borderId="4" xfId="0" applyFont="1" applyFill="1" applyBorder="1" applyAlignment="1">
      <alignment horizontal="center"/>
    </xf>
    <xf numFmtId="0" fontId="4" fillId="2" borderId="11" xfId="0" applyFont="1" applyFill="1" applyBorder="1" applyAlignment="1">
      <alignment horizontal="center"/>
    </xf>
    <xf numFmtId="164" fontId="3" fillId="2" borderId="12" xfId="1" applyFont="1" applyFill="1" applyBorder="1" applyAlignment="1">
      <alignment horizontal="center"/>
    </xf>
    <xf numFmtId="165" fontId="3" fillId="2" borderId="13" xfId="1" applyNumberFormat="1" applyFont="1" applyFill="1" applyBorder="1" applyAlignment="1">
      <alignment horizontal="center"/>
    </xf>
    <xf numFmtId="165" fontId="3" fillId="2" borderId="11" xfId="1" applyNumberFormat="1" applyFont="1" applyFill="1" applyBorder="1" applyAlignment="1">
      <alignment horizontal="center"/>
    </xf>
    <xf numFmtId="165" fontId="3" fillId="2" borderId="12" xfId="1" applyNumberFormat="1" applyFont="1" applyFill="1" applyBorder="1" applyAlignment="1">
      <alignment horizontal="center"/>
    </xf>
    <xf numFmtId="165" fontId="3" fillId="2" borderId="14" xfId="1" applyNumberFormat="1" applyFont="1" applyFill="1" applyBorder="1" applyAlignment="1">
      <alignment horizontal="center"/>
    </xf>
    <xf numFmtId="164" fontId="4" fillId="3" borderId="9" xfId="1" applyFont="1" applyFill="1" applyBorder="1" applyAlignment="1">
      <alignment horizontal="center" vertical="center"/>
    </xf>
    <xf numFmtId="164" fontId="4" fillId="3" borderId="7" xfId="1" applyFont="1" applyFill="1" applyBorder="1" applyAlignment="1">
      <alignment horizontal="center" vertical="center"/>
    </xf>
    <xf numFmtId="164" fontId="4" fillId="3" borderId="16" xfId="1" applyFont="1" applyFill="1" applyBorder="1" applyAlignment="1">
      <alignment horizontal="center" vertical="center"/>
    </xf>
    <xf numFmtId="165" fontId="4" fillId="3" borderId="17" xfId="1" applyNumberFormat="1" applyFont="1" applyFill="1" applyBorder="1" applyAlignment="1">
      <alignment horizontal="center" vertical="center"/>
    </xf>
    <xf numFmtId="164" fontId="3" fillId="3" borderId="0" xfId="1" applyFont="1" applyFill="1" applyBorder="1" applyAlignment="1">
      <alignment vertical="center"/>
    </xf>
    <xf numFmtId="164" fontId="3" fillId="2" borderId="11" xfId="1" applyFont="1" applyFill="1" applyBorder="1" applyAlignment="1">
      <alignment horizontal="center"/>
    </xf>
    <xf numFmtId="165" fontId="5" fillId="0" borderId="14" xfId="1" applyNumberFormat="1" applyFont="1" applyFill="1" applyBorder="1" applyAlignment="1"/>
    <xf numFmtId="164" fontId="4" fillId="3" borderId="7" xfId="1" applyFont="1" applyFill="1" applyBorder="1" applyAlignment="1">
      <alignment horizontal="center"/>
    </xf>
    <xf numFmtId="164" fontId="4" fillId="3" borderId="9" xfId="1" applyFont="1" applyFill="1" applyBorder="1" applyAlignment="1">
      <alignment horizontal="center"/>
    </xf>
    <xf numFmtId="165" fontId="4" fillId="3" borderId="17" xfId="1" applyNumberFormat="1" applyFont="1" applyFill="1" applyBorder="1" applyAlignment="1">
      <alignment horizontal="center"/>
    </xf>
    <xf numFmtId="164" fontId="3" fillId="3" borderId="0" xfId="1" applyFont="1" applyFill="1" applyBorder="1"/>
    <xf numFmtId="165" fontId="6" fillId="0" borderId="18" xfId="1" applyNumberFormat="1" applyFont="1" applyFill="1" applyBorder="1" applyAlignment="1"/>
    <xf numFmtId="164" fontId="3" fillId="3" borderId="19" xfId="1" applyFont="1" applyFill="1" applyBorder="1"/>
    <xf numFmtId="0" fontId="4" fillId="4" borderId="20" xfId="0" applyFont="1" applyFill="1" applyBorder="1"/>
    <xf numFmtId="0" fontId="4" fillId="4" borderId="21" xfId="0" applyFont="1" applyFill="1" applyBorder="1"/>
    <xf numFmtId="0" fontId="4" fillId="4" borderId="22" xfId="0" applyFont="1" applyFill="1" applyBorder="1"/>
    <xf numFmtId="0" fontId="3" fillId="2" borderId="21" xfId="0" applyFont="1" applyFill="1" applyBorder="1"/>
    <xf numFmtId="164" fontId="3" fillId="2" borderId="21" xfId="1" applyFont="1" applyFill="1" applyBorder="1"/>
    <xf numFmtId="0" fontId="3" fillId="2" borderId="22" xfId="0" applyFont="1" applyFill="1" applyBorder="1"/>
    <xf numFmtId="0" fontId="3" fillId="2" borderId="23" xfId="0" applyFont="1" applyFill="1" applyBorder="1"/>
    <xf numFmtId="0" fontId="4" fillId="5" borderId="24" xfId="0" applyFont="1" applyFill="1" applyBorder="1" applyAlignment="1">
      <alignment horizontal="center"/>
    </xf>
    <xf numFmtId="0" fontId="4" fillId="5" borderId="25" xfId="0" applyFont="1" applyFill="1" applyBorder="1" applyAlignment="1">
      <alignment horizontal="center"/>
    </xf>
    <xf numFmtId="0" fontId="3" fillId="2" borderId="26" xfId="0" applyFont="1" applyFill="1" applyBorder="1"/>
    <xf numFmtId="0" fontId="4" fillId="2" borderId="27" xfId="0" applyFont="1" applyFill="1" applyBorder="1" applyAlignment="1">
      <alignment vertical="center"/>
    </xf>
    <xf numFmtId="1" fontId="3" fillId="2" borderId="28" xfId="0" applyNumberFormat="1" applyFont="1" applyFill="1" applyBorder="1" applyAlignment="1">
      <alignment horizontal="center"/>
    </xf>
    <xf numFmtId="1" fontId="3" fillId="2" borderId="29" xfId="0" applyNumberFormat="1" applyFont="1" applyFill="1" applyBorder="1" applyAlignment="1">
      <alignment horizontal="center"/>
    </xf>
    <xf numFmtId="0" fontId="3" fillId="2" borderId="30" xfId="0" applyFont="1" applyFill="1" applyBorder="1"/>
    <xf numFmtId="0" fontId="4" fillId="2" borderId="4" xfId="0" applyFont="1" applyFill="1" applyBorder="1" applyAlignment="1">
      <alignment vertical="center"/>
    </xf>
    <xf numFmtId="1" fontId="3" fillId="2" borderId="31" xfId="0" applyNumberFormat="1" applyFont="1" applyFill="1" applyBorder="1" applyAlignment="1">
      <alignment horizontal="center"/>
    </xf>
    <xf numFmtId="0" fontId="3" fillId="2" borderId="32" xfId="0" applyFont="1" applyFill="1" applyBorder="1"/>
    <xf numFmtId="0" fontId="4" fillId="2" borderId="33" xfId="0" applyFont="1" applyFill="1" applyBorder="1" applyAlignment="1">
      <alignment vertical="center"/>
    </xf>
    <xf numFmtId="1" fontId="3" fillId="2" borderId="34" xfId="0" applyNumberFormat="1" applyFont="1" applyFill="1" applyBorder="1" applyAlignment="1">
      <alignment horizontal="center"/>
    </xf>
    <xf numFmtId="1" fontId="3" fillId="2" borderId="35" xfId="0" applyNumberFormat="1" applyFont="1" applyFill="1" applyBorder="1" applyAlignment="1">
      <alignment horizontal="center"/>
    </xf>
    <xf numFmtId="0" fontId="3" fillId="2" borderId="36" xfId="0" applyFont="1" applyFill="1" applyBorder="1"/>
    <xf numFmtId="0" fontId="3" fillId="2" borderId="19" xfId="0" applyFont="1" applyFill="1" applyBorder="1"/>
    <xf numFmtId="164" fontId="3" fillId="2" borderId="19" xfId="1" applyFont="1" applyFill="1" applyBorder="1"/>
    <xf numFmtId="0" fontId="3" fillId="2" borderId="37" xfId="0" applyFont="1" applyFill="1" applyBorder="1"/>
    <xf numFmtId="165" fontId="6" fillId="0" borderId="18" xfId="1" applyNumberFormat="1" applyFont="1" applyFill="1" applyBorder="1" applyAlignment="1">
      <alignment vertical="center"/>
    </xf>
    <xf numFmtId="0" fontId="7" fillId="6" borderId="6" xfId="0" applyFont="1" applyFill="1" applyBorder="1" applyAlignment="1">
      <alignment horizontal="center" vertical="center"/>
    </xf>
    <xf numFmtId="0" fontId="7" fillId="6" borderId="7" xfId="0" applyFont="1" applyFill="1" applyBorder="1" applyAlignment="1">
      <alignment horizontal="center" vertical="center"/>
    </xf>
    <xf numFmtId="0" fontId="7" fillId="6" borderId="7" xfId="0" applyFont="1" applyFill="1" applyBorder="1" applyAlignment="1">
      <alignment horizontal="center" vertical="center" wrapText="1"/>
    </xf>
    <xf numFmtId="164" fontId="7" fillId="6" borderId="8" xfId="1" applyFont="1" applyFill="1" applyBorder="1"/>
    <xf numFmtId="0" fontId="7" fillId="6" borderId="10" xfId="0" applyFont="1" applyFill="1" applyBorder="1" applyAlignment="1">
      <alignment horizontal="center" vertical="center" wrapText="1"/>
    </xf>
    <xf numFmtId="166" fontId="8" fillId="0" borderId="29" xfId="0" applyNumberFormat="1" applyFont="1" applyBorder="1" applyAlignment="1">
      <alignment horizontal="center"/>
    </xf>
    <xf numFmtId="166" fontId="8" fillId="0" borderId="35" xfId="0" applyNumberFormat="1" applyFont="1" applyBorder="1" applyAlignment="1">
      <alignment horizontal="center"/>
    </xf>
    <xf numFmtId="0" fontId="7" fillId="6" borderId="38" xfId="0" applyFont="1" applyFill="1" applyBorder="1" applyAlignment="1">
      <alignment horizontal="center" vertical="center"/>
    </xf>
    <xf numFmtId="0" fontId="7" fillId="6" borderId="39" xfId="0" applyFont="1" applyFill="1" applyBorder="1" applyAlignment="1">
      <alignment horizontal="center" vertical="center"/>
    </xf>
    <xf numFmtId="0" fontId="7" fillId="6" borderId="39" xfId="0" applyFont="1" applyFill="1" applyBorder="1" applyAlignment="1">
      <alignment horizontal="center" vertical="center" wrapText="1"/>
    </xf>
    <xf numFmtId="164" fontId="7" fillId="6" borderId="19" xfId="1" applyFont="1" applyFill="1" applyBorder="1"/>
    <xf numFmtId="0" fontId="7" fillId="6" borderId="37" xfId="0" applyFont="1" applyFill="1" applyBorder="1" applyAlignment="1">
      <alignment horizontal="center" vertical="center" wrapText="1"/>
    </xf>
    <xf numFmtId="0" fontId="0" fillId="0" borderId="22" xfId="0" applyBorder="1"/>
    <xf numFmtId="0" fontId="3" fillId="2" borderId="40" xfId="0" applyFont="1" applyFill="1" applyBorder="1" applyAlignment="1">
      <alignment horizontal="center"/>
    </xf>
    <xf numFmtId="0" fontId="0" fillId="0" borderId="37" xfId="0" applyBorder="1"/>
    <xf numFmtId="0" fontId="0" fillId="0" borderId="41" xfId="0" applyBorder="1"/>
    <xf numFmtId="0" fontId="0" fillId="0" borderId="42" xfId="0" applyBorder="1"/>
    <xf numFmtId="0" fontId="4" fillId="5" borderId="43" xfId="0" applyFont="1" applyFill="1" applyBorder="1" applyAlignment="1">
      <alignment horizontal="center"/>
    </xf>
    <xf numFmtId="0" fontId="4" fillId="4" borderId="15" xfId="0" applyFont="1" applyFill="1" applyBorder="1"/>
    <xf numFmtId="0" fontId="4" fillId="4" borderId="8" xfId="0" applyFont="1" applyFill="1" applyBorder="1"/>
    <xf numFmtId="0" fontId="3" fillId="2" borderId="45" xfId="0" applyFont="1" applyFill="1" applyBorder="1"/>
    <xf numFmtId="0" fontId="4" fillId="2" borderId="46" xfId="0" applyFont="1" applyFill="1" applyBorder="1" applyAlignment="1">
      <alignment vertical="center"/>
    </xf>
    <xf numFmtId="0" fontId="4" fillId="2" borderId="47" xfId="0" applyFont="1" applyFill="1" applyBorder="1" applyAlignment="1">
      <alignment vertical="center"/>
    </xf>
    <xf numFmtId="1" fontId="3" fillId="2" borderId="30" xfId="0" applyNumberFormat="1" applyFont="1" applyFill="1" applyBorder="1" applyAlignment="1">
      <alignment horizontal="center"/>
    </xf>
    <xf numFmtId="1" fontId="3" fillId="2" borderId="36" xfId="0" applyNumberFormat="1" applyFont="1" applyFill="1" applyBorder="1" applyAlignment="1">
      <alignment horizontal="center"/>
    </xf>
    <xf numFmtId="0" fontId="4" fillId="5" borderId="44" xfId="0" applyFont="1" applyFill="1" applyBorder="1" applyAlignment="1">
      <alignment horizontal="center"/>
    </xf>
    <xf numFmtId="0" fontId="4" fillId="4" borderId="10" xfId="0" applyFont="1" applyFill="1" applyBorder="1"/>
    <xf numFmtId="2" fontId="9" fillId="0" borderId="0" xfId="0" applyNumberFormat="1" applyFont="1"/>
    <xf numFmtId="2" fontId="10" fillId="0" borderId="17" xfId="0" applyNumberFormat="1" applyFont="1" applyBorder="1"/>
    <xf numFmtId="0" fontId="0" fillId="2" borderId="5" xfId="0" applyFill="1" applyBorder="1"/>
    <xf numFmtId="0" fontId="0" fillId="2" borderId="37" xfId="0" applyFill="1" applyBorder="1"/>
    <xf numFmtId="165" fontId="5" fillId="2" borderId="14" xfId="1" applyNumberFormat="1" applyFont="1" applyFill="1" applyBorder="1" applyAlignment="1"/>
    <xf numFmtId="0" fontId="0" fillId="2" borderId="42" xfId="0" applyFill="1" applyBorder="1"/>
    <xf numFmtId="0" fontId="4" fillId="2" borderId="20" xfId="0" applyFont="1" applyFill="1" applyBorder="1" applyAlignment="1">
      <alignment vertical="center"/>
    </xf>
    <xf numFmtId="0" fontId="0" fillId="0" borderId="21" xfId="0" applyBorder="1"/>
    <xf numFmtId="0" fontId="0" fillId="0" borderId="40" xfId="0" applyBorder="1"/>
    <xf numFmtId="0" fontId="0" fillId="0" borderId="19" xfId="0" applyBorder="1"/>
    <xf numFmtId="0" fontId="0" fillId="0" borderId="20" xfId="0" applyBorder="1"/>
    <xf numFmtId="0" fontId="11" fillId="0" borderId="21" xfId="0" applyFont="1" applyBorder="1"/>
    <xf numFmtId="0" fontId="11" fillId="0" borderId="19" xfId="0" applyFont="1" applyBorder="1"/>
    <xf numFmtId="0" fontId="11" fillId="0" borderId="19" xfId="0" applyFont="1" applyBorder="1" applyAlignment="1">
      <alignment horizontal="left"/>
    </xf>
    <xf numFmtId="0" fontId="11" fillId="0" borderId="0" xfId="0" applyFont="1"/>
    <xf numFmtId="0" fontId="11" fillId="0" borderId="20" xfId="0" applyFont="1" applyBorder="1" applyAlignment="1">
      <alignment vertical="center"/>
    </xf>
    <xf numFmtId="0" fontId="11" fillId="0" borderId="21" xfId="0" applyFont="1" applyBorder="1" applyAlignment="1">
      <alignment vertical="center"/>
    </xf>
    <xf numFmtId="0" fontId="11" fillId="0" borderId="22" xfId="0" applyFont="1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10" xfId="0" applyBorder="1" applyAlignment="1">
      <alignment vertical="center"/>
    </xf>
    <xf numFmtId="167" fontId="8" fillId="0" borderId="29" xfId="0" applyNumberFormat="1" applyFont="1" applyBorder="1" applyAlignment="1">
      <alignment horizontal="center"/>
    </xf>
    <xf numFmtId="165" fontId="12" fillId="0" borderId="18" xfId="1" applyNumberFormat="1" applyFont="1" applyFill="1" applyBorder="1" applyAlignment="1">
      <alignment vertical="center"/>
    </xf>
    <xf numFmtId="2" fontId="13" fillId="0" borderId="17" xfId="0" applyNumberFormat="1" applyFont="1" applyBorder="1"/>
    <xf numFmtId="0" fontId="16" fillId="9" borderId="29" xfId="0" applyFont="1" applyFill="1" applyBorder="1" applyAlignment="1">
      <alignment horizontal="left" vertical="center"/>
    </xf>
    <xf numFmtId="0" fontId="16" fillId="9" borderId="29" xfId="0" applyFont="1" applyFill="1" applyBorder="1" applyAlignment="1">
      <alignment horizontal="center" vertical="center"/>
    </xf>
    <xf numFmtId="0" fontId="17" fillId="0" borderId="29" xfId="0" applyFont="1" applyBorder="1" applyAlignment="1">
      <alignment horizontal="left"/>
    </xf>
    <xf numFmtId="167" fontId="17" fillId="0" borderId="29" xfId="0" applyNumberFormat="1" applyFont="1" applyBorder="1" applyAlignment="1">
      <alignment horizontal="right"/>
    </xf>
    <xf numFmtId="169" fontId="16" fillId="8" borderId="29" xfId="0" applyNumberFormat="1" applyFont="1" applyFill="1" applyBorder="1" applyAlignment="1">
      <alignment horizontal="right" vertical="center"/>
    </xf>
    <xf numFmtId="167" fontId="8" fillId="0" borderId="29" xfId="0" applyNumberFormat="1" applyFont="1" applyBorder="1" applyAlignment="1">
      <alignment horizontal="right"/>
    </xf>
    <xf numFmtId="0" fontId="20" fillId="9" borderId="29" xfId="0" applyFont="1" applyFill="1" applyBorder="1" applyAlignment="1">
      <alignment horizontal="left" vertical="center"/>
    </xf>
    <xf numFmtId="0" fontId="20" fillId="9" borderId="29" xfId="0" applyFont="1" applyFill="1" applyBorder="1" applyAlignment="1">
      <alignment horizontal="center" vertical="center"/>
    </xf>
    <xf numFmtId="0" fontId="8" fillId="0" borderId="29" xfId="0" applyFont="1" applyBorder="1" applyAlignment="1">
      <alignment horizontal="left"/>
    </xf>
    <xf numFmtId="169" fontId="20" fillId="8" borderId="29" xfId="0" applyNumberFormat="1" applyFont="1" applyFill="1" applyBorder="1" applyAlignment="1">
      <alignment horizontal="right" vertical="center"/>
    </xf>
    <xf numFmtId="0" fontId="2" fillId="2" borderId="20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/>
    </xf>
    <xf numFmtId="0" fontId="4" fillId="3" borderId="15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16" xfId="0" applyFont="1" applyFill="1" applyBorder="1" applyAlignment="1">
      <alignment horizontal="center" vertical="center"/>
    </xf>
    <xf numFmtId="0" fontId="4" fillId="3" borderId="15" xfId="0" applyFont="1" applyFill="1" applyBorder="1" applyAlignment="1">
      <alignment horizontal="center"/>
    </xf>
    <xf numFmtId="0" fontId="4" fillId="3" borderId="8" xfId="0" applyFont="1" applyFill="1" applyBorder="1" applyAlignment="1">
      <alignment horizontal="center"/>
    </xf>
    <xf numFmtId="0" fontId="4" fillId="3" borderId="16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168" fontId="16" fillId="9" borderId="29" xfId="0" applyNumberFormat="1" applyFont="1" applyFill="1" applyBorder="1" applyAlignment="1">
      <alignment horizontal="right" vertical="center"/>
    </xf>
    <xf numFmtId="0" fontId="14" fillId="7" borderId="29" xfId="0" applyFont="1" applyFill="1" applyBorder="1" applyAlignment="1">
      <alignment horizontal="left" vertical="center"/>
    </xf>
    <xf numFmtId="0" fontId="15" fillId="8" borderId="29" xfId="0" applyFont="1" applyFill="1" applyBorder="1" applyAlignment="1">
      <alignment horizontal="left" vertical="center"/>
    </xf>
    <xf numFmtId="0" fontId="16" fillId="9" borderId="29" xfId="0" applyFont="1" applyFill="1" applyBorder="1" applyAlignment="1">
      <alignment horizontal="center" vertical="center"/>
    </xf>
    <xf numFmtId="0" fontId="18" fillId="7" borderId="29" xfId="0" applyFont="1" applyFill="1" applyBorder="1" applyAlignment="1">
      <alignment horizontal="left" vertical="center"/>
    </xf>
    <xf numFmtId="0" fontId="19" fillId="8" borderId="29" xfId="0" applyFont="1" applyFill="1" applyBorder="1" applyAlignment="1">
      <alignment horizontal="left" vertical="center"/>
    </xf>
    <xf numFmtId="0" fontId="20" fillId="9" borderId="29" xfId="0" applyFont="1" applyFill="1" applyBorder="1" applyAlignment="1">
      <alignment horizontal="center" vertical="center"/>
    </xf>
    <xf numFmtId="168" fontId="20" fillId="9" borderId="29" xfId="0" applyNumberFormat="1" applyFont="1" applyFill="1" applyBorder="1" applyAlignment="1">
      <alignment horizontal="right" vertical="center"/>
    </xf>
    <xf numFmtId="0" fontId="11" fillId="0" borderId="21" xfId="0" applyFont="1" applyBorder="1" applyAlignment="1"/>
    <xf numFmtId="0" fontId="0" fillId="0" borderId="22" xfId="0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164" fontId="3" fillId="2" borderId="19" xfId="1" applyFont="1" applyFill="1" applyBorder="1" applyAlignment="1">
      <alignment horizontal="center"/>
    </xf>
    <xf numFmtId="0" fontId="0" fillId="0" borderId="37" xfId="0" applyBorder="1" applyAlignment="1">
      <alignment horizontal="center"/>
    </xf>
    <xf numFmtId="164" fontId="7" fillId="6" borderId="19" xfId="1" applyFont="1" applyFill="1" applyBorder="1" applyAlignment="1">
      <alignment horizontal="center"/>
    </xf>
    <xf numFmtId="164" fontId="3" fillId="2" borderId="0" xfId="1" applyFont="1" applyFill="1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2" xfId="0" applyBorder="1" applyAlignment="1">
      <alignment horizontal="center"/>
    </xf>
    <xf numFmtId="164" fontId="3" fillId="3" borderId="0" xfId="1" applyFont="1" applyFill="1" applyBorder="1" applyAlignment="1">
      <alignment horizontal="center" vertical="center"/>
    </xf>
    <xf numFmtId="165" fontId="6" fillId="0" borderId="18" xfId="1" applyNumberFormat="1" applyFont="1" applyFill="1" applyBorder="1" applyAlignment="1">
      <alignment horizontal="center" vertical="center"/>
    </xf>
    <xf numFmtId="2" fontId="10" fillId="0" borderId="17" xfId="0" applyNumberFormat="1" applyFont="1" applyBorder="1" applyAlignment="1">
      <alignment horizontal="center"/>
    </xf>
    <xf numFmtId="165" fontId="5" fillId="0" borderId="14" xfId="1" applyNumberFormat="1" applyFont="1" applyFill="1" applyBorder="1" applyAlignment="1">
      <alignment horizontal="center"/>
    </xf>
    <xf numFmtId="165" fontId="5" fillId="2" borderId="14" xfId="1" applyNumberFormat="1" applyFont="1" applyFill="1" applyBorder="1" applyAlignment="1">
      <alignment horizontal="center"/>
    </xf>
    <xf numFmtId="0" fontId="0" fillId="2" borderId="42" xfId="0" applyFill="1" applyBorder="1" applyAlignment="1">
      <alignment horizontal="center"/>
    </xf>
    <xf numFmtId="164" fontId="3" fillId="3" borderId="0" xfId="1" applyFont="1" applyFill="1" applyBorder="1" applyAlignment="1">
      <alignment horizontal="center"/>
    </xf>
    <xf numFmtId="164" fontId="3" fillId="3" borderId="19" xfId="1" applyFont="1" applyFill="1" applyBorder="1" applyAlignment="1">
      <alignment horizontal="center"/>
    </xf>
    <xf numFmtId="165" fontId="6" fillId="0" borderId="18" xfId="1" applyNumberFormat="1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4" fillId="4" borderId="15" xfId="0" applyFont="1" applyFill="1" applyBorder="1" applyAlignment="1">
      <alignment horizontal="center"/>
    </xf>
    <xf numFmtId="0" fontId="4" fillId="4" borderId="8" xfId="0" applyFont="1" applyFill="1" applyBorder="1" applyAlignment="1">
      <alignment horizontal="center"/>
    </xf>
    <xf numFmtId="0" fontId="4" fillId="4" borderId="10" xfId="0" applyFont="1" applyFill="1" applyBorder="1" applyAlignment="1">
      <alignment horizontal="center"/>
    </xf>
    <xf numFmtId="0" fontId="3" fillId="2" borderId="45" xfId="0" applyFont="1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4" fillId="2" borderId="46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47" xfId="0" applyFont="1" applyFill="1" applyBorder="1" applyAlignment="1">
      <alignment horizontal="center" vertical="center"/>
    </xf>
    <xf numFmtId="0" fontId="0" fillId="2" borderId="37" xfId="0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/>
    </xf>
    <xf numFmtId="0" fontId="0" fillId="0" borderId="21" xfId="0" applyBorder="1" applyAlignment="1">
      <alignment horizontal="center"/>
    </xf>
    <xf numFmtId="0" fontId="11" fillId="0" borderId="20" xfId="0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11" fillId="0" borderId="22" xfId="0" applyFont="1" applyBorder="1" applyAlignment="1">
      <alignment horizontal="center" vertical="center"/>
    </xf>
    <xf numFmtId="0" fontId="11" fillId="0" borderId="21" xfId="0" applyFont="1" applyBorder="1" applyAlignment="1">
      <alignment horizontal="center"/>
    </xf>
    <xf numFmtId="0" fontId="0" fillId="0" borderId="40" xfId="0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0" fillId="0" borderId="19" xfId="0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6</xdr:row>
      <xdr:rowOff>0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83999D8-0B67-4067-8691-4F3023C1346E}"/>
            </a:ext>
          </a:extLst>
        </xdr:cNvPr>
        <xdr:cNvSpPr txBox="1"/>
      </xdr:nvSpPr>
      <xdr:spPr>
        <a:xfrm>
          <a:off x="9448800" y="302799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11</xdr:col>
      <xdr:colOff>0</xdr:colOff>
      <xdr:row>6</xdr:row>
      <xdr:rowOff>0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76B3DAEC-170A-4D24-B990-B47BBC27A46F}"/>
            </a:ext>
          </a:extLst>
        </xdr:cNvPr>
        <xdr:cNvSpPr txBox="1"/>
      </xdr:nvSpPr>
      <xdr:spPr>
        <a:xfrm>
          <a:off x="9448800" y="302799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11</xdr:col>
      <xdr:colOff>0</xdr:colOff>
      <xdr:row>39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38D52E9-1121-4C2E-8363-F70396D00397}"/>
            </a:ext>
          </a:extLst>
        </xdr:cNvPr>
        <xdr:cNvSpPr txBox="1"/>
      </xdr:nvSpPr>
      <xdr:spPr>
        <a:xfrm>
          <a:off x="8564880" y="1714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11</xdr:col>
      <xdr:colOff>0</xdr:colOff>
      <xdr:row>39</xdr:row>
      <xdr:rowOff>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5F06C74-AB26-48FB-BA89-A074D108CBBF}"/>
            </a:ext>
          </a:extLst>
        </xdr:cNvPr>
        <xdr:cNvSpPr txBox="1"/>
      </xdr:nvSpPr>
      <xdr:spPr>
        <a:xfrm>
          <a:off x="8564880" y="1714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11</xdr:col>
      <xdr:colOff>0</xdr:colOff>
      <xdr:row>75</xdr:row>
      <xdr:rowOff>0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D7DB826-445E-4E1D-AD7F-DEB90EA15B71}"/>
            </a:ext>
          </a:extLst>
        </xdr:cNvPr>
        <xdr:cNvSpPr txBox="1"/>
      </xdr:nvSpPr>
      <xdr:spPr>
        <a:xfrm>
          <a:off x="9662160" y="8229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11</xdr:col>
      <xdr:colOff>0</xdr:colOff>
      <xdr:row>75</xdr:row>
      <xdr:rowOff>0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0C16AB2-9BC0-422B-88FD-C093B881B5EE}"/>
            </a:ext>
          </a:extLst>
        </xdr:cNvPr>
        <xdr:cNvSpPr txBox="1"/>
      </xdr:nvSpPr>
      <xdr:spPr>
        <a:xfrm>
          <a:off x="9662160" y="8229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11</xdr:col>
      <xdr:colOff>0</xdr:colOff>
      <xdr:row>111</xdr:row>
      <xdr:rowOff>0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F3991A12-1A3B-4158-8B69-E48EED6F11AA}"/>
            </a:ext>
          </a:extLst>
        </xdr:cNvPr>
        <xdr:cNvSpPr txBox="1"/>
      </xdr:nvSpPr>
      <xdr:spPr>
        <a:xfrm>
          <a:off x="9662160" y="157048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11</xdr:col>
      <xdr:colOff>0</xdr:colOff>
      <xdr:row>111</xdr:row>
      <xdr:rowOff>0</xdr:rowOff>
    </xdr:from>
    <xdr:ext cx="65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D36C1109-E064-4BB5-81FA-9FE785E5BFBE}"/>
            </a:ext>
          </a:extLst>
        </xdr:cNvPr>
        <xdr:cNvSpPr txBox="1"/>
      </xdr:nvSpPr>
      <xdr:spPr>
        <a:xfrm>
          <a:off x="9662160" y="157048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11</xdr:col>
      <xdr:colOff>0</xdr:colOff>
      <xdr:row>147</xdr:row>
      <xdr:rowOff>0</xdr:rowOff>
    </xdr:from>
    <xdr:ext cx="65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9AC43E06-3F6A-48AA-8CC5-D8AAE053D8C6}"/>
            </a:ext>
          </a:extLst>
        </xdr:cNvPr>
        <xdr:cNvSpPr txBox="1"/>
      </xdr:nvSpPr>
      <xdr:spPr>
        <a:xfrm>
          <a:off x="9662160" y="2296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11</xdr:col>
      <xdr:colOff>0</xdr:colOff>
      <xdr:row>147</xdr:row>
      <xdr:rowOff>0</xdr:rowOff>
    </xdr:from>
    <xdr:ext cx="65" cy="17222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82460C4E-643A-4D55-89D9-6263DE304696}"/>
            </a:ext>
          </a:extLst>
        </xdr:cNvPr>
        <xdr:cNvSpPr txBox="1"/>
      </xdr:nvSpPr>
      <xdr:spPr>
        <a:xfrm>
          <a:off x="9662160" y="2296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GB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5"/>
  <sheetViews>
    <sheetView showGridLines="0" tabSelected="1" topLeftCell="A149" zoomScale="85" zoomScaleNormal="85" workbookViewId="0">
      <selection activeCell="G178" sqref="G178"/>
    </sheetView>
  </sheetViews>
  <sheetFormatPr defaultRowHeight="14.4" x14ac:dyDescent="0.3"/>
  <cols>
    <col min="2" max="2" width="12" bestFit="1" customWidth="1"/>
    <col min="3" max="3" width="49.77734375" customWidth="1"/>
    <col min="4" max="4" width="13.5546875" customWidth="1"/>
    <col min="7" max="7" width="10" bestFit="1" customWidth="1"/>
    <col min="12" max="12" width="14" customWidth="1"/>
    <col min="13" max="13" width="9.33203125" bestFit="1" customWidth="1"/>
    <col min="14" max="14" width="10.21875" bestFit="1" customWidth="1"/>
  </cols>
  <sheetData>
    <row r="1" spans="1:12" ht="21.75" customHeight="1" x14ac:dyDescent="0.3">
      <c r="A1" s="119" t="s">
        <v>30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1"/>
    </row>
    <row r="2" spans="1:12" ht="15" thickBot="1" x14ac:dyDescent="0.35">
      <c r="A2" s="1"/>
      <c r="B2" s="2"/>
      <c r="C2" s="2"/>
      <c r="D2" s="2"/>
      <c r="E2" s="2"/>
      <c r="F2" s="2"/>
      <c r="G2" s="3"/>
      <c r="H2" s="3"/>
      <c r="I2" s="3"/>
      <c r="J2" s="3"/>
      <c r="K2" s="2"/>
      <c r="L2" s="4"/>
    </row>
    <row r="3" spans="1:12" ht="54" customHeight="1" thickBot="1" x14ac:dyDescent="0.35">
      <c r="A3" s="50" t="s">
        <v>0</v>
      </c>
      <c r="B3" s="51" t="s">
        <v>1</v>
      </c>
      <c r="C3" s="51" t="s">
        <v>2</v>
      </c>
      <c r="D3" s="51" t="s">
        <v>3</v>
      </c>
      <c r="E3" s="51" t="s">
        <v>4</v>
      </c>
      <c r="F3" s="51" t="s">
        <v>5</v>
      </c>
      <c r="G3" s="52" t="s">
        <v>6</v>
      </c>
      <c r="H3" s="51" t="s">
        <v>7</v>
      </c>
      <c r="I3" s="52" t="s">
        <v>8</v>
      </c>
      <c r="J3" s="53"/>
      <c r="K3" s="52" t="s">
        <v>31</v>
      </c>
      <c r="L3" s="54" t="s">
        <v>9</v>
      </c>
    </row>
    <row r="4" spans="1:12" x14ac:dyDescent="0.3">
      <c r="A4" s="5">
        <v>1</v>
      </c>
      <c r="B4" s="6" t="s">
        <v>10</v>
      </c>
      <c r="C4" s="6" t="s">
        <v>11</v>
      </c>
      <c r="D4" s="7">
        <v>25</v>
      </c>
      <c r="E4" s="7">
        <v>24</v>
      </c>
      <c r="F4" s="7">
        <v>5</v>
      </c>
      <c r="G4" s="7">
        <f>D4*E4*F4</f>
        <v>3000</v>
      </c>
      <c r="H4" s="7">
        <v>2.2000000000000002</v>
      </c>
      <c r="I4" s="8">
        <f>G4*H4</f>
        <v>6600.0000000000009</v>
      </c>
      <c r="J4" s="3"/>
      <c r="K4" s="9"/>
      <c r="L4" s="11"/>
    </row>
    <row r="5" spans="1:12" ht="15" thickBot="1" x14ac:dyDescent="0.35">
      <c r="A5" s="5"/>
      <c r="B5" s="6"/>
      <c r="C5" s="6" t="s">
        <v>12</v>
      </c>
      <c r="D5" s="7" t="s">
        <v>13</v>
      </c>
      <c r="E5" s="7" t="s">
        <v>13</v>
      </c>
      <c r="F5" s="7"/>
      <c r="G5" s="7" t="s">
        <v>13</v>
      </c>
      <c r="H5" s="7">
        <v>0</v>
      </c>
      <c r="I5" s="8">
        <v>24</v>
      </c>
      <c r="J5" s="3"/>
      <c r="K5" s="9"/>
      <c r="L5" s="11"/>
    </row>
    <row r="6" spans="1:12" ht="15" thickBot="1" x14ac:dyDescent="0.35">
      <c r="A6" s="113" t="s">
        <v>14</v>
      </c>
      <c r="B6" s="114"/>
      <c r="C6" s="115"/>
      <c r="D6" s="12"/>
      <c r="E6" s="13"/>
      <c r="F6" s="14"/>
      <c r="G6" s="13">
        <f>SUM(G4:G5)</f>
        <v>3000</v>
      </c>
      <c r="H6" s="12">
        <f>I6/G6</f>
        <v>2.2080000000000002</v>
      </c>
      <c r="I6" s="15">
        <f>SUM(I4:I5)</f>
        <v>6624.0000000000009</v>
      </c>
      <c r="J6" s="16"/>
      <c r="K6" s="15">
        <f>D30</f>
        <v>6378.15</v>
      </c>
      <c r="L6" s="49">
        <f>I6-K6</f>
        <v>245.85000000000127</v>
      </c>
    </row>
    <row r="7" spans="1:12" x14ac:dyDescent="0.3">
      <c r="A7" s="5">
        <v>2</v>
      </c>
      <c r="B7" s="6" t="s">
        <v>15</v>
      </c>
      <c r="C7" s="6" t="s">
        <v>16</v>
      </c>
      <c r="D7" s="17">
        <v>12</v>
      </c>
      <c r="E7" s="17">
        <v>12</v>
      </c>
      <c r="F7" s="17">
        <v>7</v>
      </c>
      <c r="G7" s="17">
        <f>D7*E7*F7</f>
        <v>1008</v>
      </c>
      <c r="H7" s="17">
        <v>1.4</v>
      </c>
      <c r="I7" s="10">
        <f>G7*H7</f>
        <v>1411.1999999999998</v>
      </c>
      <c r="J7" s="3"/>
      <c r="K7" s="9"/>
      <c r="L7" s="18"/>
    </row>
    <row r="8" spans="1:12" ht="15.75" customHeight="1" x14ac:dyDescent="0.3">
      <c r="A8" s="5"/>
      <c r="B8" s="6"/>
      <c r="C8" s="6" t="s">
        <v>18</v>
      </c>
      <c r="D8" s="17">
        <v>0</v>
      </c>
      <c r="E8" s="17">
        <v>0</v>
      </c>
      <c r="F8" s="17">
        <v>0</v>
      </c>
      <c r="G8" s="17">
        <f t="shared" ref="G8:G9" si="0">D8*E8*F8</f>
        <v>0</v>
      </c>
      <c r="H8" s="17">
        <v>0</v>
      </c>
      <c r="I8" s="10">
        <f>G8*H8</f>
        <v>0</v>
      </c>
      <c r="J8" s="3"/>
      <c r="K8" s="9"/>
      <c r="L8" s="18"/>
    </row>
    <row r="9" spans="1:12" ht="15" thickBot="1" x14ac:dyDescent="0.35">
      <c r="A9" s="5"/>
      <c r="B9" s="6"/>
      <c r="C9" s="6" t="s">
        <v>12</v>
      </c>
      <c r="D9" s="17">
        <v>0</v>
      </c>
      <c r="E9" s="17">
        <v>0</v>
      </c>
      <c r="F9" s="17">
        <v>0</v>
      </c>
      <c r="G9" s="17">
        <f t="shared" si="0"/>
        <v>0</v>
      </c>
      <c r="H9" s="17">
        <v>0</v>
      </c>
      <c r="I9" s="10">
        <v>284</v>
      </c>
      <c r="J9" s="3"/>
      <c r="K9" s="9"/>
      <c r="L9" s="18"/>
    </row>
    <row r="10" spans="1:12" ht="15" thickBot="1" x14ac:dyDescent="0.35">
      <c r="A10" s="113" t="s">
        <v>14</v>
      </c>
      <c r="B10" s="114"/>
      <c r="C10" s="115"/>
      <c r="D10" s="13"/>
      <c r="E10" s="13"/>
      <c r="F10" s="13"/>
      <c r="G10" s="13">
        <f>SUM(G7:G9)</f>
        <v>1008</v>
      </c>
      <c r="H10" s="12">
        <f>I10/G10</f>
        <v>1.6817460317460315</v>
      </c>
      <c r="I10" s="15">
        <f>SUM(I7:I9)</f>
        <v>1695.1999999999998</v>
      </c>
      <c r="J10" s="16"/>
      <c r="K10" s="15">
        <f>D29</f>
        <v>1122</v>
      </c>
      <c r="L10" s="49">
        <f>I10-K10</f>
        <v>573.19999999999982</v>
      </c>
    </row>
    <row r="11" spans="1:12" x14ac:dyDescent="0.3">
      <c r="A11" s="5">
        <v>3</v>
      </c>
      <c r="B11" s="6" t="s">
        <v>19</v>
      </c>
      <c r="C11" s="6" t="s">
        <v>20</v>
      </c>
      <c r="D11" s="17">
        <v>19.600000000000001</v>
      </c>
      <c r="E11" s="17">
        <v>19</v>
      </c>
      <c r="F11" s="17">
        <v>5.5</v>
      </c>
      <c r="G11" s="17">
        <f t="shared" ref="G11:G18" si="1">D11*E11*F11</f>
        <v>2048.2000000000003</v>
      </c>
      <c r="H11" s="17">
        <v>1.4</v>
      </c>
      <c r="I11" s="10">
        <f t="shared" ref="I11:I17" si="2">G11*H11</f>
        <v>2867.48</v>
      </c>
      <c r="J11" s="3"/>
      <c r="K11" s="9"/>
      <c r="L11" s="18"/>
    </row>
    <row r="12" spans="1:12" x14ac:dyDescent="0.3">
      <c r="A12" s="5"/>
      <c r="B12" s="6"/>
      <c r="C12" s="6" t="s">
        <v>21</v>
      </c>
      <c r="D12" s="17">
        <v>15</v>
      </c>
      <c r="E12" s="17">
        <v>19</v>
      </c>
      <c r="F12" s="17">
        <v>1</v>
      </c>
      <c r="G12" s="17">
        <f t="shared" si="1"/>
        <v>285</v>
      </c>
      <c r="H12" s="17">
        <v>1.4</v>
      </c>
      <c r="I12" s="10">
        <f t="shared" si="2"/>
        <v>399</v>
      </c>
      <c r="J12" s="3"/>
      <c r="K12" s="9"/>
      <c r="L12" s="18"/>
    </row>
    <row r="13" spans="1:12" x14ac:dyDescent="0.3">
      <c r="A13" s="5"/>
      <c r="B13" s="6"/>
      <c r="C13" s="6" t="s">
        <v>32</v>
      </c>
      <c r="D13" s="17">
        <v>51</v>
      </c>
      <c r="E13" s="17">
        <v>14</v>
      </c>
      <c r="F13" s="17">
        <v>6</v>
      </c>
      <c r="G13" s="17">
        <f t="shared" si="1"/>
        <v>4284</v>
      </c>
      <c r="H13" s="17">
        <v>1.4</v>
      </c>
      <c r="I13" s="10">
        <f t="shared" si="2"/>
        <v>5997.5999999999995</v>
      </c>
      <c r="J13" s="3"/>
      <c r="K13" s="9"/>
      <c r="L13" s="18"/>
    </row>
    <row r="14" spans="1:12" x14ac:dyDescent="0.3">
      <c r="A14" s="5"/>
      <c r="B14" s="6"/>
      <c r="C14" s="6" t="s">
        <v>33</v>
      </c>
      <c r="D14" s="17">
        <v>8.6</v>
      </c>
      <c r="E14" s="17">
        <v>8.6</v>
      </c>
      <c r="F14" s="17">
        <v>2.5</v>
      </c>
      <c r="G14" s="17">
        <f t="shared" si="1"/>
        <v>184.89999999999998</v>
      </c>
      <c r="H14" s="17">
        <v>1.4</v>
      </c>
      <c r="I14" s="10">
        <f t="shared" si="2"/>
        <v>258.85999999999996</v>
      </c>
      <c r="J14" s="3"/>
      <c r="K14" s="9"/>
      <c r="L14" s="18"/>
    </row>
    <row r="15" spans="1:12" x14ac:dyDescent="0.3">
      <c r="A15" s="5"/>
      <c r="B15" s="6"/>
      <c r="C15" s="6" t="s">
        <v>34</v>
      </c>
      <c r="D15" s="17">
        <v>10.3</v>
      </c>
      <c r="E15" s="17">
        <v>8</v>
      </c>
      <c r="F15" s="17">
        <v>3</v>
      </c>
      <c r="G15" s="17">
        <f t="shared" si="1"/>
        <v>247.20000000000002</v>
      </c>
      <c r="H15" s="17">
        <v>1.4</v>
      </c>
      <c r="I15" s="10">
        <f t="shared" si="2"/>
        <v>346.08</v>
      </c>
      <c r="J15" s="3"/>
      <c r="K15" s="9"/>
      <c r="L15" s="18"/>
    </row>
    <row r="16" spans="1:12" x14ac:dyDescent="0.3">
      <c r="A16" s="5"/>
      <c r="B16" s="6"/>
      <c r="C16" s="6" t="s">
        <v>22</v>
      </c>
      <c r="D16" s="17">
        <v>41</v>
      </c>
      <c r="E16" s="17">
        <v>25</v>
      </c>
      <c r="F16" s="17">
        <v>5.6</v>
      </c>
      <c r="G16" s="17">
        <f t="shared" si="1"/>
        <v>5740</v>
      </c>
      <c r="H16" s="17">
        <v>1.4</v>
      </c>
      <c r="I16" s="10">
        <f t="shared" si="2"/>
        <v>8035.9999999999991</v>
      </c>
      <c r="J16" s="3"/>
      <c r="K16" s="9"/>
      <c r="L16" s="18"/>
    </row>
    <row r="17" spans="1:14" x14ac:dyDescent="0.3">
      <c r="A17" s="5"/>
      <c r="B17" s="6"/>
      <c r="C17" s="6" t="s">
        <v>22</v>
      </c>
      <c r="D17" s="17">
        <v>10</v>
      </c>
      <c r="E17" s="17">
        <v>24</v>
      </c>
      <c r="F17" s="17">
        <v>6</v>
      </c>
      <c r="G17" s="17">
        <f t="shared" si="1"/>
        <v>1440</v>
      </c>
      <c r="H17" s="17">
        <v>1.4</v>
      </c>
      <c r="I17" s="10">
        <f t="shared" si="2"/>
        <v>2015.9999999999998</v>
      </c>
      <c r="J17" s="3"/>
      <c r="K17" s="9"/>
      <c r="L17" s="18"/>
    </row>
    <row r="18" spans="1:14" ht="15" thickBot="1" x14ac:dyDescent="0.35">
      <c r="A18" s="5"/>
      <c r="B18" s="6"/>
      <c r="C18" s="6" t="s">
        <v>12</v>
      </c>
      <c r="D18" s="17">
        <v>0</v>
      </c>
      <c r="E18" s="17">
        <v>0</v>
      </c>
      <c r="F18" s="17">
        <v>0</v>
      </c>
      <c r="G18" s="17">
        <f t="shared" si="1"/>
        <v>0</v>
      </c>
      <c r="H18" s="17">
        <v>0</v>
      </c>
      <c r="I18" s="10">
        <v>50</v>
      </c>
      <c r="J18" s="3"/>
      <c r="K18" s="9"/>
      <c r="L18" s="18"/>
    </row>
    <row r="19" spans="1:14" ht="15" thickBot="1" x14ac:dyDescent="0.35">
      <c r="A19" s="116" t="s">
        <v>14</v>
      </c>
      <c r="B19" s="117"/>
      <c r="C19" s="118"/>
      <c r="D19" s="19"/>
      <c r="E19" s="19"/>
      <c r="F19" s="19"/>
      <c r="G19" s="19">
        <f>SUM(G11:G18)</f>
        <v>14229.3</v>
      </c>
      <c r="H19" s="20">
        <f>I19/G19</f>
        <v>1.403513876297499</v>
      </c>
      <c r="I19" s="21">
        <f>SUM(I11:I18)</f>
        <v>19971.02</v>
      </c>
      <c r="J19" s="22"/>
      <c r="K19" s="21">
        <f>D27</f>
        <v>18774.026000000002</v>
      </c>
      <c r="L19" s="23">
        <f>I19-K19</f>
        <v>1196.9939999999988</v>
      </c>
    </row>
    <row r="20" spans="1:14" x14ac:dyDescent="0.3">
      <c r="A20" s="5">
        <v>4</v>
      </c>
      <c r="B20" s="6" t="s">
        <v>23</v>
      </c>
      <c r="C20" s="6" t="s">
        <v>24</v>
      </c>
      <c r="D20" s="17">
        <v>41</v>
      </c>
      <c r="E20" s="17">
        <v>23</v>
      </c>
      <c r="F20" s="17">
        <v>3.3</v>
      </c>
      <c r="G20" s="17">
        <f t="shared" ref="G20" si="3">D20*E20*F20</f>
        <v>3111.8999999999996</v>
      </c>
      <c r="H20" s="7">
        <v>1.8</v>
      </c>
      <c r="I20" s="10">
        <f t="shared" ref="I20" si="4">G20*H20</f>
        <v>5601.4199999999992</v>
      </c>
      <c r="J20" s="3"/>
      <c r="K20" s="9"/>
      <c r="L20" s="18"/>
    </row>
    <row r="21" spans="1:14" x14ac:dyDescent="0.3">
      <c r="A21" s="5"/>
      <c r="B21" s="6"/>
      <c r="C21" s="6" t="s">
        <v>25</v>
      </c>
      <c r="D21" s="17" t="s">
        <v>13</v>
      </c>
      <c r="E21" s="17" t="s">
        <v>13</v>
      </c>
      <c r="F21" s="17">
        <v>0</v>
      </c>
      <c r="G21" s="17" t="s">
        <v>13</v>
      </c>
      <c r="H21" s="7" t="s">
        <v>13</v>
      </c>
      <c r="I21" s="10">
        <v>1200</v>
      </c>
      <c r="J21" s="3"/>
      <c r="K21" s="9"/>
      <c r="L21" s="18"/>
    </row>
    <row r="22" spans="1:14" ht="15" thickBot="1" x14ac:dyDescent="0.35">
      <c r="A22" s="5"/>
      <c r="B22" s="6"/>
      <c r="C22" s="6" t="s">
        <v>12</v>
      </c>
      <c r="D22" s="17"/>
      <c r="E22" s="17"/>
      <c r="F22" s="17"/>
      <c r="G22" s="17"/>
      <c r="H22" s="7"/>
      <c r="I22" s="10">
        <v>35</v>
      </c>
      <c r="J22" s="3"/>
      <c r="K22" s="9"/>
      <c r="L22" s="18"/>
    </row>
    <row r="23" spans="1:14" ht="15" thickBot="1" x14ac:dyDescent="0.35">
      <c r="A23" s="116" t="s">
        <v>14</v>
      </c>
      <c r="B23" s="117"/>
      <c r="C23" s="118"/>
      <c r="D23" s="19"/>
      <c r="E23" s="19"/>
      <c r="F23" s="19"/>
      <c r="G23" s="19">
        <f>SUM(G20:G22)</f>
        <v>3111.8999999999996</v>
      </c>
      <c r="H23" s="20">
        <v>1.8</v>
      </c>
      <c r="I23" s="21">
        <f>SUM(I20:I22)</f>
        <v>6836.4199999999992</v>
      </c>
      <c r="J23" s="24"/>
      <c r="K23" s="21">
        <f>D28</f>
        <v>5700.6220000000003</v>
      </c>
      <c r="L23" s="23">
        <f>I23-K23</f>
        <v>1135.7979999999989</v>
      </c>
    </row>
    <row r="24" spans="1:14" ht="15" thickBot="1" x14ac:dyDescent="0.35">
      <c r="A24" s="1"/>
      <c r="B24" s="2"/>
      <c r="C24" s="2"/>
      <c r="D24" s="2"/>
      <c r="E24" s="2"/>
      <c r="F24" s="2"/>
      <c r="G24" s="3"/>
      <c r="H24" s="3"/>
      <c r="I24" s="3"/>
      <c r="J24" s="3"/>
      <c r="K24" s="2"/>
      <c r="L24" s="4"/>
    </row>
    <row r="25" spans="1:14" ht="15" thickBot="1" x14ac:dyDescent="0.35">
      <c r="A25" s="25" t="s">
        <v>26</v>
      </c>
      <c r="B25" s="26"/>
      <c r="C25" s="26"/>
      <c r="D25" s="26"/>
      <c r="E25" s="27"/>
      <c r="F25" s="28"/>
      <c r="G25" s="29"/>
      <c r="H25" s="29"/>
      <c r="I25" s="29"/>
      <c r="J25" s="29"/>
      <c r="K25" s="28"/>
      <c r="L25" s="30"/>
      <c r="N25" t="s">
        <v>17</v>
      </c>
    </row>
    <row r="26" spans="1:14" x14ac:dyDescent="0.3">
      <c r="A26" s="31"/>
      <c r="B26" s="32" t="s">
        <v>27</v>
      </c>
      <c r="C26" s="33" t="s">
        <v>28</v>
      </c>
      <c r="D26" s="32" t="s">
        <v>14</v>
      </c>
      <c r="E26" s="34"/>
      <c r="F26" s="28"/>
      <c r="G26" s="29"/>
      <c r="H26" s="29"/>
      <c r="I26" s="29"/>
      <c r="J26" s="29"/>
      <c r="K26" s="28"/>
      <c r="L26" s="30"/>
    </row>
    <row r="27" spans="1:14" x14ac:dyDescent="0.3">
      <c r="A27" s="35" t="s">
        <v>19</v>
      </c>
      <c r="B27" s="36">
        <v>0</v>
      </c>
      <c r="C27" s="36">
        <v>18774.026000000002</v>
      </c>
      <c r="D27" s="37">
        <f>C27+B27</f>
        <v>18774.026000000002</v>
      </c>
      <c r="E27" s="38"/>
      <c r="F27" s="2"/>
      <c r="G27" s="3"/>
      <c r="H27" s="3"/>
      <c r="I27" s="3"/>
      <c r="J27" s="3"/>
      <c r="K27" s="2"/>
      <c r="L27" s="4"/>
    </row>
    <row r="28" spans="1:14" x14ac:dyDescent="0.3">
      <c r="A28" s="35" t="s">
        <v>23</v>
      </c>
      <c r="B28" s="36">
        <v>0</v>
      </c>
      <c r="C28" s="36">
        <v>5700.6220000000003</v>
      </c>
      <c r="D28" s="37">
        <f t="shared" ref="D28" si="5">C28+B28</f>
        <v>5700.6220000000003</v>
      </c>
      <c r="E28" s="38"/>
      <c r="F28" s="2"/>
      <c r="G28" s="3" t="s">
        <v>17</v>
      </c>
      <c r="H28" s="3"/>
      <c r="I28" s="3"/>
      <c r="J28" s="3"/>
      <c r="K28" s="2"/>
      <c r="L28" s="4"/>
    </row>
    <row r="29" spans="1:14" x14ac:dyDescent="0.3">
      <c r="A29" s="39" t="s">
        <v>15</v>
      </c>
      <c r="B29" s="40">
        <v>0</v>
      </c>
      <c r="C29" s="36">
        <f>1135+1987-2000</f>
        <v>1122</v>
      </c>
      <c r="D29" s="37">
        <f>C29+B29</f>
        <v>1122</v>
      </c>
      <c r="E29" s="41"/>
      <c r="F29" s="2"/>
      <c r="G29" s="3"/>
      <c r="H29" s="3"/>
      <c r="I29" s="3"/>
      <c r="J29" s="3"/>
      <c r="K29" s="2"/>
      <c r="L29" s="4"/>
    </row>
    <row r="30" spans="1:14" ht="15" thickBot="1" x14ac:dyDescent="0.35">
      <c r="A30" s="42" t="s">
        <v>29</v>
      </c>
      <c r="B30" s="43">
        <v>0</v>
      </c>
      <c r="C30" s="43">
        <v>6378.15</v>
      </c>
      <c r="D30" s="44">
        <f t="shared" ref="D30" si="6">C30+B30</f>
        <v>6378.15</v>
      </c>
      <c r="E30" s="45"/>
      <c r="F30" s="46"/>
      <c r="G30" s="47"/>
      <c r="H30" s="47"/>
      <c r="I30" s="47"/>
      <c r="J30" s="47"/>
      <c r="K30" s="46"/>
      <c r="L30" s="48"/>
    </row>
    <row r="33" spans="1:13" ht="15" thickBot="1" x14ac:dyDescent="0.35"/>
    <row r="34" spans="1:13" ht="15.6" x14ac:dyDescent="0.3">
      <c r="A34" s="111" t="s">
        <v>36</v>
      </c>
      <c r="B34" s="112"/>
      <c r="C34" s="112"/>
      <c r="D34" s="112"/>
      <c r="E34" s="112"/>
      <c r="F34" s="112"/>
      <c r="G34" s="112"/>
      <c r="H34" s="112"/>
      <c r="I34" s="112"/>
      <c r="J34" s="112"/>
      <c r="K34" s="112"/>
      <c r="L34" s="112"/>
      <c r="M34" s="62"/>
    </row>
    <row r="35" spans="1:13" ht="15" thickBot="1" x14ac:dyDescent="0.35">
      <c r="A35" s="63"/>
      <c r="B35" s="46"/>
      <c r="C35" s="46"/>
      <c r="D35" s="46"/>
      <c r="E35" s="46"/>
      <c r="F35" s="46"/>
      <c r="G35" s="47"/>
      <c r="H35" s="47"/>
      <c r="I35" s="47"/>
      <c r="J35" s="47"/>
      <c r="K35" s="46"/>
      <c r="L35" s="46"/>
      <c r="M35" s="64"/>
    </row>
    <row r="36" spans="1:13" ht="42" thickBot="1" x14ac:dyDescent="0.35">
      <c r="A36" s="57" t="s">
        <v>0</v>
      </c>
      <c r="B36" s="58" t="s">
        <v>1</v>
      </c>
      <c r="C36" s="58" t="s">
        <v>2</v>
      </c>
      <c r="D36" s="58" t="s">
        <v>3</v>
      </c>
      <c r="E36" s="58" t="s">
        <v>4</v>
      </c>
      <c r="F36" s="58" t="s">
        <v>5</v>
      </c>
      <c r="G36" s="59" t="s">
        <v>6</v>
      </c>
      <c r="H36" s="58" t="s">
        <v>7</v>
      </c>
      <c r="I36" s="59" t="s">
        <v>8</v>
      </c>
      <c r="J36" s="60"/>
      <c r="K36" s="59" t="s">
        <v>31</v>
      </c>
      <c r="L36" s="61" t="s">
        <v>9</v>
      </c>
      <c r="M36" s="61" t="s">
        <v>38</v>
      </c>
    </row>
    <row r="37" spans="1:13" x14ac:dyDescent="0.3">
      <c r="A37" s="5">
        <v>1</v>
      </c>
      <c r="B37" s="6" t="s">
        <v>10</v>
      </c>
      <c r="C37" s="6" t="s">
        <v>11</v>
      </c>
      <c r="D37" s="7">
        <v>17</v>
      </c>
      <c r="E37" s="7">
        <v>16</v>
      </c>
      <c r="F37" s="7">
        <v>2.5</v>
      </c>
      <c r="G37" s="7">
        <f>D37*E37*F37</f>
        <v>680</v>
      </c>
      <c r="H37" s="7">
        <v>2.2000000000000002</v>
      </c>
      <c r="I37" s="8">
        <f>G37*H37</f>
        <v>1496.0000000000002</v>
      </c>
      <c r="J37" s="3"/>
      <c r="K37" s="9"/>
      <c r="L37" s="11"/>
      <c r="M37" s="65"/>
    </row>
    <row r="38" spans="1:13" ht="15" thickBot="1" x14ac:dyDescent="0.35">
      <c r="A38" s="5"/>
      <c r="B38" s="6"/>
      <c r="C38" s="6" t="s">
        <v>12</v>
      </c>
      <c r="D38" s="7" t="s">
        <v>13</v>
      </c>
      <c r="E38" s="7" t="s">
        <v>13</v>
      </c>
      <c r="F38" s="7"/>
      <c r="G38" s="7" t="s">
        <v>13</v>
      </c>
      <c r="H38" s="7">
        <v>0</v>
      </c>
      <c r="I38" s="8">
        <v>18</v>
      </c>
      <c r="J38" s="3"/>
      <c r="K38" s="9"/>
      <c r="L38" s="11"/>
      <c r="M38" s="66"/>
    </row>
    <row r="39" spans="1:13" ht="15" thickBot="1" x14ac:dyDescent="0.35">
      <c r="A39" s="113" t="s">
        <v>14</v>
      </c>
      <c r="B39" s="114"/>
      <c r="C39" s="115"/>
      <c r="D39" s="12"/>
      <c r="E39" s="13"/>
      <c r="F39" s="14"/>
      <c r="G39" s="13">
        <f>SUM(G37:G38)</f>
        <v>680</v>
      </c>
      <c r="H39" s="12">
        <f>I39/G39</f>
        <v>2.2264705882352946</v>
      </c>
      <c r="I39" s="15">
        <f>SUM(I37:I38)</f>
        <v>1514.0000000000002</v>
      </c>
      <c r="J39" s="16"/>
      <c r="K39" s="15">
        <f>D62</f>
        <v>1189.67</v>
      </c>
      <c r="L39" s="49">
        <f>I39-K39</f>
        <v>324.33000000000015</v>
      </c>
      <c r="M39" s="78">
        <f>L39/K39*100</f>
        <v>27.262181949616291</v>
      </c>
    </row>
    <row r="40" spans="1:13" x14ac:dyDescent="0.3">
      <c r="A40" s="5">
        <v>2</v>
      </c>
      <c r="B40" s="6" t="s">
        <v>15</v>
      </c>
      <c r="C40" s="6" t="s">
        <v>16</v>
      </c>
      <c r="D40" s="17">
        <v>32</v>
      </c>
      <c r="E40" s="17">
        <v>32</v>
      </c>
      <c r="F40" s="17">
        <v>13.8</v>
      </c>
      <c r="G40" s="17">
        <f>D40*E40*F40</f>
        <v>14131.2</v>
      </c>
      <c r="H40" s="17">
        <v>1.4</v>
      </c>
      <c r="I40" s="10">
        <f>G40*H40</f>
        <v>19783.68</v>
      </c>
      <c r="J40" s="3"/>
      <c r="K40" s="9"/>
      <c r="L40" s="18"/>
      <c r="M40" s="66"/>
    </row>
    <row r="41" spans="1:13" x14ac:dyDescent="0.3">
      <c r="A41" s="5"/>
      <c r="B41" s="6"/>
      <c r="C41" s="6" t="s">
        <v>39</v>
      </c>
      <c r="D41" s="17">
        <v>29</v>
      </c>
      <c r="E41" s="17">
        <v>16</v>
      </c>
      <c r="F41" s="17">
        <v>2</v>
      </c>
      <c r="G41" s="17">
        <f t="shared" ref="G41:G43" si="7">D41*E41*F41</f>
        <v>928</v>
      </c>
      <c r="H41" s="17">
        <v>1.4</v>
      </c>
      <c r="I41" s="10">
        <f>G41*H41</f>
        <v>1299.1999999999998</v>
      </c>
      <c r="J41" s="3"/>
      <c r="K41" s="9"/>
      <c r="L41" s="18"/>
      <c r="M41" s="66"/>
    </row>
    <row r="42" spans="1:13" x14ac:dyDescent="0.3">
      <c r="A42" s="5"/>
      <c r="B42" s="6"/>
      <c r="C42" s="6" t="s">
        <v>37</v>
      </c>
      <c r="D42" s="17">
        <v>16</v>
      </c>
      <c r="E42" s="17">
        <v>18</v>
      </c>
      <c r="F42" s="17">
        <v>7</v>
      </c>
      <c r="G42" s="17">
        <f t="shared" si="7"/>
        <v>2016</v>
      </c>
      <c r="H42" s="17">
        <v>1.4</v>
      </c>
      <c r="I42" s="10">
        <f>G42*H42</f>
        <v>2822.3999999999996</v>
      </c>
      <c r="J42" s="3"/>
      <c r="K42" s="9"/>
      <c r="L42" s="18"/>
      <c r="M42" s="66"/>
    </row>
    <row r="43" spans="1:13" ht="15" thickBot="1" x14ac:dyDescent="0.35">
      <c r="A43" s="5"/>
      <c r="B43" s="6"/>
      <c r="C43" s="6" t="s">
        <v>12</v>
      </c>
      <c r="D43" s="17">
        <v>0</v>
      </c>
      <c r="E43" s="17">
        <v>0</v>
      </c>
      <c r="F43" s="17">
        <v>0</v>
      </c>
      <c r="G43" s="17">
        <f t="shared" si="7"/>
        <v>0</v>
      </c>
      <c r="H43" s="17">
        <v>0</v>
      </c>
      <c r="I43" s="10">
        <v>299</v>
      </c>
      <c r="J43" s="3"/>
      <c r="K43" s="9"/>
      <c r="L43" s="18"/>
      <c r="M43" s="66"/>
    </row>
    <row r="44" spans="1:13" ht="15" thickBot="1" x14ac:dyDescent="0.35">
      <c r="A44" s="113" t="s">
        <v>14</v>
      </c>
      <c r="B44" s="114"/>
      <c r="C44" s="115"/>
      <c r="D44" s="13"/>
      <c r="E44" s="13"/>
      <c r="F44" s="13"/>
      <c r="G44" s="13">
        <f>SUM(G40:G43)</f>
        <v>17075.2</v>
      </c>
      <c r="H44" s="12">
        <f>I44/G44</f>
        <v>1.4175107758620689</v>
      </c>
      <c r="I44" s="15">
        <f>SUM(I40:I43)</f>
        <v>24204.28</v>
      </c>
      <c r="J44" s="16"/>
      <c r="K44" s="15">
        <f>D61</f>
        <v>23373.328000000001</v>
      </c>
      <c r="L44" s="49">
        <f>I44-K44</f>
        <v>830.9519999999975</v>
      </c>
      <c r="M44" s="78">
        <f>L44/K44*100</f>
        <v>3.5551291626078987</v>
      </c>
    </row>
    <row r="45" spans="1:13" x14ac:dyDescent="0.3">
      <c r="A45" s="5">
        <v>3</v>
      </c>
      <c r="B45" s="6" t="s">
        <v>19</v>
      </c>
      <c r="C45" s="6" t="s">
        <v>40</v>
      </c>
      <c r="D45" s="17">
        <v>42</v>
      </c>
      <c r="E45" s="17">
        <v>19</v>
      </c>
      <c r="F45" s="17">
        <v>6.5</v>
      </c>
      <c r="G45" s="17">
        <f t="shared" ref="G45:G49" si="8">D45*E45*F45</f>
        <v>5187</v>
      </c>
      <c r="H45" s="17">
        <v>1.4</v>
      </c>
      <c r="I45" s="10">
        <f t="shared" ref="I45:I48" si="9">G45*H45</f>
        <v>7261.7999999999993</v>
      </c>
      <c r="J45" s="3"/>
      <c r="K45" s="9"/>
      <c r="L45" s="81"/>
      <c r="M45" s="82"/>
    </row>
    <row r="46" spans="1:13" ht="15.6" customHeight="1" x14ac:dyDescent="0.3">
      <c r="A46" s="5"/>
      <c r="B46" s="6"/>
      <c r="C46" s="6" t="s">
        <v>21</v>
      </c>
      <c r="D46" s="17">
        <v>29</v>
      </c>
      <c r="E46" s="17">
        <v>21</v>
      </c>
      <c r="F46" s="17">
        <v>6.5</v>
      </c>
      <c r="G46" s="17">
        <f t="shared" si="8"/>
        <v>3958.5</v>
      </c>
      <c r="H46" s="17">
        <v>1.4</v>
      </c>
      <c r="I46" s="10">
        <f t="shared" si="9"/>
        <v>5541.9</v>
      </c>
      <c r="J46" s="3"/>
      <c r="K46" s="9"/>
      <c r="L46" s="81"/>
      <c r="M46" s="82"/>
    </row>
    <row r="47" spans="1:13" x14ac:dyDescent="0.3">
      <c r="A47" s="5"/>
      <c r="B47" s="6"/>
      <c r="C47" s="6" t="s">
        <v>41</v>
      </c>
      <c r="D47" s="17">
        <v>37</v>
      </c>
      <c r="E47" s="17">
        <v>19</v>
      </c>
      <c r="F47" s="17">
        <v>6</v>
      </c>
      <c r="G47" s="17">
        <f t="shared" si="8"/>
        <v>4218</v>
      </c>
      <c r="H47" s="17">
        <v>1.4</v>
      </c>
      <c r="I47" s="10">
        <f t="shared" si="9"/>
        <v>5905.2</v>
      </c>
      <c r="J47" s="3"/>
      <c r="K47" s="9"/>
      <c r="L47" s="81"/>
      <c r="M47" s="82"/>
    </row>
    <row r="48" spans="1:13" x14ac:dyDescent="0.3">
      <c r="A48" s="5"/>
      <c r="B48" s="6"/>
      <c r="C48" s="6" t="s">
        <v>22</v>
      </c>
      <c r="D48" s="17">
        <v>25</v>
      </c>
      <c r="E48" s="17">
        <v>21</v>
      </c>
      <c r="F48" s="17">
        <v>4</v>
      </c>
      <c r="G48" s="17">
        <f t="shared" si="8"/>
        <v>2100</v>
      </c>
      <c r="H48" s="17">
        <v>1.4</v>
      </c>
      <c r="I48" s="10">
        <f t="shared" si="9"/>
        <v>2940</v>
      </c>
      <c r="J48" s="3"/>
      <c r="K48" s="9"/>
      <c r="L48" s="81"/>
      <c r="M48" s="82"/>
    </row>
    <row r="49" spans="1:14" ht="15" thickBot="1" x14ac:dyDescent="0.35">
      <c r="A49" s="5"/>
      <c r="B49" s="6"/>
      <c r="C49" s="6" t="s">
        <v>12</v>
      </c>
      <c r="D49" s="17">
        <v>0</v>
      </c>
      <c r="E49" s="17">
        <v>0</v>
      </c>
      <c r="F49" s="17">
        <v>0</v>
      </c>
      <c r="G49" s="17">
        <f t="shared" si="8"/>
        <v>0</v>
      </c>
      <c r="H49" s="17">
        <v>0</v>
      </c>
      <c r="I49" s="10">
        <v>50</v>
      </c>
      <c r="J49" s="3"/>
      <c r="K49" s="9"/>
      <c r="L49" s="81"/>
      <c r="M49" s="82"/>
    </row>
    <row r="50" spans="1:14" ht="15" thickBot="1" x14ac:dyDescent="0.35">
      <c r="A50" s="116" t="s">
        <v>14</v>
      </c>
      <c r="B50" s="117"/>
      <c r="C50" s="118"/>
      <c r="D50" s="19"/>
      <c r="E50" s="19"/>
      <c r="F50" s="19"/>
      <c r="G50" s="19">
        <f>SUM(G45:G49)</f>
        <v>15463.5</v>
      </c>
      <c r="H50" s="20">
        <f>I50/G50</f>
        <v>1.4032334206356905</v>
      </c>
      <c r="I50" s="21">
        <f>SUM(I45:I49)</f>
        <v>21698.899999999998</v>
      </c>
      <c r="J50" s="22"/>
      <c r="K50" s="21">
        <f>D59</f>
        <v>20090.116000000002</v>
      </c>
      <c r="L50" s="49">
        <f>I50-K50</f>
        <v>1608.783999999996</v>
      </c>
      <c r="M50" s="78">
        <f>L50/K50*100</f>
        <v>8.0078382822677376</v>
      </c>
      <c r="N50" s="77" t="s">
        <v>17</v>
      </c>
    </row>
    <row r="51" spans="1:14" x14ac:dyDescent="0.3">
      <c r="A51" s="5">
        <v>4</v>
      </c>
      <c r="B51" s="6" t="s">
        <v>23</v>
      </c>
      <c r="C51" s="6" t="s">
        <v>24</v>
      </c>
      <c r="D51" s="17">
        <v>28</v>
      </c>
      <c r="E51" s="17">
        <v>19.7</v>
      </c>
      <c r="F51" s="17">
        <v>4.5</v>
      </c>
      <c r="G51" s="17">
        <f t="shared" ref="G51:G52" si="10">D51*E51*F51</f>
        <v>2482.2000000000003</v>
      </c>
      <c r="H51" s="7">
        <v>1.8</v>
      </c>
      <c r="I51" s="10">
        <f t="shared" ref="I51:I52" si="11">G51*H51</f>
        <v>4467.9600000000009</v>
      </c>
      <c r="J51" s="3"/>
      <c r="K51" s="9"/>
      <c r="L51" s="18"/>
      <c r="M51" s="66"/>
    </row>
    <row r="52" spans="1:14" x14ac:dyDescent="0.3">
      <c r="A52" s="5"/>
      <c r="B52" s="6"/>
      <c r="C52" s="6" t="s">
        <v>35</v>
      </c>
      <c r="D52" s="17">
        <v>21</v>
      </c>
      <c r="E52" s="17">
        <v>6</v>
      </c>
      <c r="F52" s="17">
        <v>3</v>
      </c>
      <c r="G52" s="17">
        <f t="shared" si="10"/>
        <v>378</v>
      </c>
      <c r="H52" s="7">
        <v>1.8</v>
      </c>
      <c r="I52" s="10">
        <f t="shared" si="11"/>
        <v>680.4</v>
      </c>
      <c r="J52" s="3"/>
      <c r="K52" s="9"/>
      <c r="L52" s="18"/>
      <c r="M52" s="66"/>
    </row>
    <row r="53" spans="1:14" x14ac:dyDescent="0.3">
      <c r="A53" s="5"/>
      <c r="B53" s="6"/>
      <c r="C53" s="6" t="s">
        <v>25</v>
      </c>
      <c r="D53" s="17" t="s">
        <v>13</v>
      </c>
      <c r="E53" s="17" t="s">
        <v>13</v>
      </c>
      <c r="F53" s="17">
        <v>0</v>
      </c>
      <c r="G53" s="17" t="s">
        <v>13</v>
      </c>
      <c r="H53" s="7" t="s">
        <v>13</v>
      </c>
      <c r="I53" s="10">
        <v>150</v>
      </c>
      <c r="J53" s="3"/>
      <c r="K53" s="9"/>
      <c r="L53" s="18"/>
      <c r="M53" s="66"/>
    </row>
    <row r="54" spans="1:14" ht="15" thickBot="1" x14ac:dyDescent="0.35">
      <c r="A54" s="5"/>
      <c r="B54" s="6"/>
      <c r="C54" s="6" t="s">
        <v>12</v>
      </c>
      <c r="D54" s="17"/>
      <c r="E54" s="17"/>
      <c r="F54" s="17"/>
      <c r="G54" s="17"/>
      <c r="H54" s="7"/>
      <c r="I54" s="10">
        <v>53</v>
      </c>
      <c r="J54" s="3"/>
      <c r="K54" s="9"/>
      <c r="L54" s="18"/>
      <c r="M54" s="66"/>
    </row>
    <row r="55" spans="1:14" ht="15" thickBot="1" x14ac:dyDescent="0.35">
      <c r="A55" s="116" t="s">
        <v>14</v>
      </c>
      <c r="B55" s="117"/>
      <c r="C55" s="118"/>
      <c r="D55" s="19"/>
      <c r="E55" s="19"/>
      <c r="F55" s="19"/>
      <c r="G55" s="19">
        <f>SUM(G51:G54)</f>
        <v>2860.2000000000003</v>
      </c>
      <c r="H55" s="20">
        <v>1.8</v>
      </c>
      <c r="I55" s="21">
        <f>SUM(I51:I54)</f>
        <v>5351.3600000000006</v>
      </c>
      <c r="J55" s="24"/>
      <c r="K55" s="21">
        <f>D60</f>
        <v>4889.16</v>
      </c>
      <c r="L55" s="23">
        <f>I55-K55</f>
        <v>462.20000000000073</v>
      </c>
      <c r="M55" s="78">
        <f>L55/K55*100</f>
        <v>9.4535666658485447</v>
      </c>
    </row>
    <row r="56" spans="1:14" ht="15" thickBot="1" x14ac:dyDescent="0.35">
      <c r="A56" s="1"/>
      <c r="B56" s="2"/>
      <c r="C56" s="2"/>
      <c r="D56" s="2"/>
      <c r="E56" s="2"/>
      <c r="F56" s="2"/>
      <c r="G56" s="3"/>
      <c r="H56" s="3"/>
      <c r="I56" s="3"/>
      <c r="J56" s="3"/>
      <c r="K56" s="2"/>
      <c r="L56" s="4"/>
      <c r="M56" s="66" t="s">
        <v>17</v>
      </c>
    </row>
    <row r="57" spans="1:14" ht="15" thickBot="1" x14ac:dyDescent="0.35">
      <c r="A57" s="68" t="s">
        <v>26</v>
      </c>
      <c r="B57" s="68"/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76"/>
    </row>
    <row r="58" spans="1:14" x14ac:dyDescent="0.3">
      <c r="A58" s="70"/>
      <c r="B58" s="67" t="s">
        <v>27</v>
      </c>
      <c r="C58" s="67" t="s">
        <v>28</v>
      </c>
      <c r="D58" s="75" t="s">
        <v>14</v>
      </c>
      <c r="E58" s="2"/>
      <c r="F58" s="2"/>
      <c r="G58" s="3"/>
      <c r="H58" s="3"/>
      <c r="I58" s="3"/>
      <c r="J58" s="3"/>
      <c r="K58" s="2"/>
      <c r="L58" s="2"/>
      <c r="M58" s="79"/>
    </row>
    <row r="59" spans="1:14" x14ac:dyDescent="0.3">
      <c r="A59" s="71" t="s">
        <v>19</v>
      </c>
      <c r="B59" s="37">
        <v>0</v>
      </c>
      <c r="C59" s="55">
        <v>20090.116000000002</v>
      </c>
      <c r="D59" s="73">
        <f>C59+B59</f>
        <v>20090.116000000002</v>
      </c>
      <c r="E59" s="2"/>
      <c r="F59" s="2"/>
      <c r="G59" s="3"/>
      <c r="H59" s="3"/>
      <c r="I59" s="3"/>
      <c r="J59" s="3"/>
      <c r="K59" s="2"/>
      <c r="L59" s="2"/>
      <c r="M59" s="79"/>
    </row>
    <row r="60" spans="1:14" x14ac:dyDescent="0.3">
      <c r="A60" s="71" t="s">
        <v>23</v>
      </c>
      <c r="B60" s="37">
        <v>0</v>
      </c>
      <c r="C60" s="55">
        <v>4889.16</v>
      </c>
      <c r="D60" s="73">
        <f t="shared" ref="D60" si="12">C60+B60</f>
        <v>4889.16</v>
      </c>
      <c r="E60" s="2"/>
      <c r="F60" s="2"/>
      <c r="G60" s="3" t="s">
        <v>17</v>
      </c>
      <c r="H60" s="3"/>
      <c r="I60" s="3"/>
      <c r="J60" s="3"/>
      <c r="K60" s="2"/>
      <c r="L60" s="2"/>
      <c r="M60" s="79"/>
    </row>
    <row r="61" spans="1:14" x14ac:dyDescent="0.3">
      <c r="A61" s="39" t="s">
        <v>15</v>
      </c>
      <c r="B61" s="37">
        <v>0</v>
      </c>
      <c r="C61" s="55">
        <f>9167.258+14206.07</f>
        <v>23373.328000000001</v>
      </c>
      <c r="D61" s="73">
        <f>C61+B61</f>
        <v>23373.328000000001</v>
      </c>
      <c r="E61" s="2"/>
      <c r="F61" s="2"/>
      <c r="G61" s="3"/>
      <c r="H61" s="3"/>
      <c r="I61" s="3"/>
      <c r="J61" s="3"/>
      <c r="K61" s="2"/>
      <c r="L61" s="2"/>
      <c r="M61" s="79"/>
    </row>
    <row r="62" spans="1:14" ht="15" thickBot="1" x14ac:dyDescent="0.35">
      <c r="A62" s="72" t="s">
        <v>29</v>
      </c>
      <c r="B62" s="44">
        <v>0</v>
      </c>
      <c r="C62" s="56">
        <v>1189.67</v>
      </c>
      <c r="D62" s="74">
        <f t="shared" ref="D62" si="13">C62+B62</f>
        <v>1189.67</v>
      </c>
      <c r="E62" s="46"/>
      <c r="F62" s="46"/>
      <c r="G62" s="47"/>
      <c r="H62" s="47"/>
      <c r="I62" s="47"/>
      <c r="J62" s="47"/>
      <c r="K62" s="46"/>
      <c r="L62" s="46"/>
      <c r="M62" s="80"/>
    </row>
    <row r="63" spans="1:14" ht="15" thickBot="1" x14ac:dyDescent="0.35">
      <c r="A63" s="87"/>
      <c r="B63" s="62"/>
      <c r="C63" s="95"/>
      <c r="D63" s="96"/>
      <c r="E63" s="96"/>
      <c r="F63" s="96"/>
      <c r="G63" s="96"/>
      <c r="H63" s="96"/>
      <c r="I63" s="96"/>
      <c r="J63" s="96"/>
      <c r="K63" s="96"/>
      <c r="L63" s="96"/>
      <c r="M63" s="97"/>
    </row>
    <row r="64" spans="1:14" ht="21" customHeight="1" thickBot="1" x14ac:dyDescent="0.35">
      <c r="A64" s="83" t="s">
        <v>43</v>
      </c>
      <c r="B64" s="84"/>
      <c r="C64" s="92" t="s">
        <v>42</v>
      </c>
      <c r="D64" s="93"/>
      <c r="E64" s="93"/>
      <c r="F64" s="93"/>
      <c r="G64" s="93"/>
      <c r="H64" s="93"/>
      <c r="I64" s="94"/>
      <c r="J64" s="92" t="s">
        <v>45</v>
      </c>
      <c r="K64" s="93"/>
      <c r="L64" s="93"/>
      <c r="M64" s="94"/>
    </row>
    <row r="65" spans="1:13" x14ac:dyDescent="0.3">
      <c r="A65" s="83" t="s">
        <v>44</v>
      </c>
      <c r="B65" s="62"/>
      <c r="C65" s="88" t="s">
        <v>46</v>
      </c>
      <c r="D65" s="84"/>
      <c r="E65" s="88" t="s">
        <v>47</v>
      </c>
      <c r="F65" s="88"/>
      <c r="G65" s="84"/>
      <c r="H65" s="84" t="s">
        <v>17</v>
      </c>
      <c r="I65" s="84"/>
      <c r="J65" s="87"/>
      <c r="K65" s="84"/>
      <c r="L65" s="84"/>
      <c r="M65" s="62"/>
    </row>
    <row r="66" spans="1:13" ht="39.6" customHeight="1" thickBot="1" x14ac:dyDescent="0.35">
      <c r="A66" s="85"/>
      <c r="B66" s="64"/>
      <c r="C66" s="89" t="s">
        <v>49</v>
      </c>
      <c r="D66" s="90"/>
      <c r="E66" s="89" t="s">
        <v>48</v>
      </c>
      <c r="F66" s="90"/>
      <c r="G66" s="89"/>
      <c r="H66" s="86"/>
      <c r="I66" s="86"/>
      <c r="J66" s="85"/>
      <c r="K66" s="86"/>
      <c r="L66" s="86"/>
      <c r="M66" s="64"/>
    </row>
    <row r="67" spans="1:13" x14ac:dyDescent="0.3">
      <c r="E67" s="91"/>
      <c r="F67" s="91"/>
      <c r="G67" s="91"/>
    </row>
    <row r="69" spans="1:13" ht="15" thickBot="1" x14ac:dyDescent="0.35"/>
    <row r="70" spans="1:13" ht="15.6" x14ac:dyDescent="0.3">
      <c r="A70" s="111" t="s">
        <v>50</v>
      </c>
      <c r="B70" s="112"/>
      <c r="C70" s="112"/>
      <c r="D70" s="112"/>
      <c r="E70" s="112"/>
      <c r="F70" s="112"/>
      <c r="G70" s="112"/>
      <c r="H70" s="112"/>
      <c r="I70" s="112"/>
      <c r="J70" s="112"/>
      <c r="K70" s="112"/>
      <c r="L70" s="112"/>
      <c r="M70" s="62"/>
    </row>
    <row r="71" spans="1:13" ht="15" thickBot="1" x14ac:dyDescent="0.35">
      <c r="A71" s="63"/>
      <c r="B71" s="46"/>
      <c r="C71" s="46"/>
      <c r="D71" s="46"/>
      <c r="E71" s="46"/>
      <c r="F71" s="46"/>
      <c r="G71" s="47"/>
      <c r="H71" s="47"/>
      <c r="I71" s="47"/>
      <c r="J71" s="47"/>
      <c r="K71" s="46"/>
      <c r="L71" s="46"/>
      <c r="M71" s="64"/>
    </row>
    <row r="72" spans="1:13" ht="42" thickBot="1" x14ac:dyDescent="0.35">
      <c r="A72" s="57" t="s">
        <v>0</v>
      </c>
      <c r="B72" s="58" t="s">
        <v>1</v>
      </c>
      <c r="C72" s="58" t="s">
        <v>2</v>
      </c>
      <c r="D72" s="58" t="s">
        <v>3</v>
      </c>
      <c r="E72" s="58" t="s">
        <v>4</v>
      </c>
      <c r="F72" s="58" t="s">
        <v>5</v>
      </c>
      <c r="G72" s="59" t="s">
        <v>6</v>
      </c>
      <c r="H72" s="58" t="s">
        <v>7</v>
      </c>
      <c r="I72" s="59" t="s">
        <v>8</v>
      </c>
      <c r="J72" s="60"/>
      <c r="K72" s="59" t="s">
        <v>31</v>
      </c>
      <c r="L72" s="61" t="s">
        <v>9</v>
      </c>
      <c r="M72" s="61" t="s">
        <v>38</v>
      </c>
    </row>
    <row r="73" spans="1:13" x14ac:dyDescent="0.3">
      <c r="A73" s="5">
        <v>1</v>
      </c>
      <c r="B73" s="6" t="s">
        <v>10</v>
      </c>
      <c r="C73" s="6" t="s">
        <v>11</v>
      </c>
      <c r="D73" s="7">
        <v>21</v>
      </c>
      <c r="E73" s="7">
        <v>18.5</v>
      </c>
      <c r="F73" s="7">
        <v>3.5</v>
      </c>
      <c r="G73" s="7">
        <f>D73*E73*F73</f>
        <v>1359.75</v>
      </c>
      <c r="H73" s="7">
        <v>2.2000000000000002</v>
      </c>
      <c r="I73" s="8">
        <f>G73*H73</f>
        <v>2991.4500000000003</v>
      </c>
      <c r="J73" s="3"/>
      <c r="K73" s="9"/>
      <c r="L73" s="11"/>
      <c r="M73" s="65"/>
    </row>
    <row r="74" spans="1:13" ht="15" thickBot="1" x14ac:dyDescent="0.35">
      <c r="A74" s="5"/>
      <c r="B74" s="6"/>
      <c r="C74" s="6" t="s">
        <v>12</v>
      </c>
      <c r="D74" s="7" t="s">
        <v>13</v>
      </c>
      <c r="E74" s="7" t="s">
        <v>13</v>
      </c>
      <c r="F74" s="7"/>
      <c r="G74" s="7" t="s">
        <v>13</v>
      </c>
      <c r="H74" s="7">
        <v>0</v>
      </c>
      <c r="I74" s="8">
        <v>272</v>
      </c>
      <c r="J74" s="3"/>
      <c r="K74" s="9"/>
      <c r="L74" s="11"/>
      <c r="M74" s="66"/>
    </row>
    <row r="75" spans="1:13" ht="15" thickBot="1" x14ac:dyDescent="0.35">
      <c r="A75" s="113" t="s">
        <v>14</v>
      </c>
      <c r="B75" s="114"/>
      <c r="C75" s="115"/>
      <c r="D75" s="12"/>
      <c r="E75" s="13"/>
      <c r="F75" s="14"/>
      <c r="G75" s="13">
        <f>SUM(G73:G74)</f>
        <v>1359.75</v>
      </c>
      <c r="H75" s="12">
        <f>I75/G75</f>
        <v>2.4000367714653432</v>
      </c>
      <c r="I75" s="15">
        <f>SUM(I73:I74)</f>
        <v>3263.4500000000003</v>
      </c>
      <c r="J75" s="16"/>
      <c r="K75" s="15">
        <f>D97</f>
        <v>3073.69</v>
      </c>
      <c r="L75" s="49">
        <f>I75-K75</f>
        <v>189.76000000000022</v>
      </c>
      <c r="M75" s="78">
        <f>L75/K75*100</f>
        <v>6.1736870016169556</v>
      </c>
    </row>
    <row r="76" spans="1:13" x14ac:dyDescent="0.3">
      <c r="A76" s="5">
        <v>2</v>
      </c>
      <c r="B76" s="6" t="s">
        <v>15</v>
      </c>
      <c r="C76" s="6" t="s">
        <v>16</v>
      </c>
      <c r="D76" s="17">
        <v>29</v>
      </c>
      <c r="E76" s="17">
        <v>29</v>
      </c>
      <c r="F76" s="17">
        <v>14</v>
      </c>
      <c r="G76" s="17">
        <f>D76*E76*F76</f>
        <v>11774</v>
      </c>
      <c r="H76" s="17">
        <v>1.4</v>
      </c>
      <c r="I76" s="10">
        <f>G76*H76</f>
        <v>16483.599999999999</v>
      </c>
      <c r="J76" s="3"/>
      <c r="K76" s="9"/>
      <c r="L76" s="18"/>
      <c r="M76" s="66"/>
    </row>
    <row r="77" spans="1:13" x14ac:dyDescent="0.3">
      <c r="A77" s="5"/>
      <c r="B77" s="6"/>
      <c r="C77" s="6" t="s">
        <v>39</v>
      </c>
      <c r="D77" s="17">
        <v>13.2</v>
      </c>
      <c r="E77" s="17">
        <v>14</v>
      </c>
      <c r="F77" s="17">
        <v>2</v>
      </c>
      <c r="G77" s="17">
        <f t="shared" ref="G77:G79" si="14">D77*E77*F77</f>
        <v>369.59999999999997</v>
      </c>
      <c r="H77" s="17">
        <v>1.4</v>
      </c>
      <c r="I77" s="10">
        <f>G77*H77</f>
        <v>517.43999999999994</v>
      </c>
      <c r="J77" s="3"/>
      <c r="K77" s="9"/>
      <c r="L77" s="18"/>
      <c r="M77" s="66"/>
    </row>
    <row r="78" spans="1:13" x14ac:dyDescent="0.3">
      <c r="A78" s="5"/>
      <c r="B78" s="6"/>
      <c r="C78" s="6" t="s">
        <v>37</v>
      </c>
      <c r="D78" s="17">
        <v>15</v>
      </c>
      <c r="E78" s="17">
        <v>17</v>
      </c>
      <c r="F78" s="17">
        <v>7</v>
      </c>
      <c r="G78" s="17">
        <f t="shared" si="14"/>
        <v>1785</v>
      </c>
      <c r="H78" s="17">
        <v>1.4</v>
      </c>
      <c r="I78" s="10">
        <f>G78*H78</f>
        <v>2499</v>
      </c>
      <c r="J78" s="3"/>
      <c r="K78" s="9"/>
      <c r="L78" s="18"/>
      <c r="M78" s="66"/>
    </row>
    <row r="79" spans="1:13" ht="15" thickBot="1" x14ac:dyDescent="0.35">
      <c r="A79" s="5"/>
      <c r="B79" s="6"/>
      <c r="C79" s="6" t="s">
        <v>12</v>
      </c>
      <c r="D79" s="17">
        <v>0</v>
      </c>
      <c r="E79" s="17">
        <v>0</v>
      </c>
      <c r="F79" s="17">
        <v>0</v>
      </c>
      <c r="G79" s="17">
        <f t="shared" si="14"/>
        <v>0</v>
      </c>
      <c r="H79" s="17">
        <v>0</v>
      </c>
      <c r="I79" s="10">
        <v>372</v>
      </c>
      <c r="J79" s="3"/>
      <c r="K79" s="9"/>
      <c r="L79" s="18"/>
      <c r="M79" s="66"/>
    </row>
    <row r="80" spans="1:13" ht="15" thickBot="1" x14ac:dyDescent="0.35">
      <c r="A80" s="113" t="s">
        <v>14</v>
      </c>
      <c r="B80" s="114"/>
      <c r="C80" s="115"/>
      <c r="D80" s="13"/>
      <c r="E80" s="13"/>
      <c r="F80" s="13"/>
      <c r="G80" s="13">
        <f>SUM(G76:G79)</f>
        <v>13928.6</v>
      </c>
      <c r="H80" s="12">
        <f>I80/G80</f>
        <v>1.4267076375227945</v>
      </c>
      <c r="I80" s="15">
        <f>SUM(I76:I79)</f>
        <v>19872.039999999997</v>
      </c>
      <c r="J80" s="16"/>
      <c r="K80" s="15">
        <f>D96</f>
        <v>18826.099999999999</v>
      </c>
      <c r="L80" s="49">
        <f>I80-K80</f>
        <v>1045.9399999999987</v>
      </c>
      <c r="M80" s="78">
        <f>L80/K80*100</f>
        <v>5.5557975363989289</v>
      </c>
    </row>
    <row r="81" spans="1:13" x14ac:dyDescent="0.3">
      <c r="A81" s="5">
        <v>3</v>
      </c>
      <c r="B81" s="6" t="s">
        <v>19</v>
      </c>
      <c r="C81" s="6" t="s">
        <v>40</v>
      </c>
      <c r="D81" s="17">
        <v>39.5</v>
      </c>
      <c r="E81" s="17">
        <v>33</v>
      </c>
      <c r="F81" s="17">
        <v>4.2</v>
      </c>
      <c r="G81" s="17">
        <f t="shared" ref="G81:G85" si="15">D81*E81*F81</f>
        <v>5474.7</v>
      </c>
      <c r="H81" s="17">
        <v>1.4</v>
      </c>
      <c r="I81" s="10">
        <f t="shared" ref="I81:I84" si="16">G81*H81</f>
        <v>7664.579999999999</v>
      </c>
      <c r="J81" s="3"/>
      <c r="K81" s="9"/>
      <c r="L81" s="81"/>
      <c r="M81" s="82"/>
    </row>
    <row r="82" spans="1:13" x14ac:dyDescent="0.3">
      <c r="A82" s="5"/>
      <c r="B82" s="6"/>
      <c r="C82" s="6" t="s">
        <v>21</v>
      </c>
      <c r="D82" s="17">
        <v>35.200000000000003</v>
      </c>
      <c r="E82" s="17">
        <v>17.5</v>
      </c>
      <c r="F82" s="17">
        <v>4</v>
      </c>
      <c r="G82" s="17">
        <f t="shared" si="15"/>
        <v>2464</v>
      </c>
      <c r="H82" s="17">
        <v>1.4</v>
      </c>
      <c r="I82" s="10">
        <f t="shared" si="16"/>
        <v>3449.6</v>
      </c>
      <c r="J82" s="3"/>
      <c r="K82" s="9"/>
      <c r="L82" s="81"/>
      <c r="M82" s="82"/>
    </row>
    <row r="83" spans="1:13" x14ac:dyDescent="0.3">
      <c r="A83" s="5"/>
      <c r="B83" s="6"/>
      <c r="C83" s="6" t="s">
        <v>41</v>
      </c>
      <c r="D83" s="17">
        <v>21</v>
      </c>
      <c r="E83" s="17">
        <v>46</v>
      </c>
      <c r="F83" s="17">
        <v>3.5</v>
      </c>
      <c r="G83" s="17">
        <f t="shared" si="15"/>
        <v>3381</v>
      </c>
      <c r="H83" s="17">
        <v>1.4</v>
      </c>
      <c r="I83" s="10">
        <f t="shared" si="16"/>
        <v>4733.3999999999996</v>
      </c>
      <c r="J83" s="3"/>
      <c r="K83" s="9"/>
      <c r="L83" s="81"/>
      <c r="M83" s="82"/>
    </row>
    <row r="84" spans="1:13" x14ac:dyDescent="0.3">
      <c r="A84" s="5"/>
      <c r="B84" s="6"/>
      <c r="C84" s="6" t="s">
        <v>51</v>
      </c>
      <c r="D84" s="17">
        <v>32</v>
      </c>
      <c r="E84" s="17">
        <v>22</v>
      </c>
      <c r="F84" s="17">
        <v>4.0999999999999996</v>
      </c>
      <c r="G84" s="17">
        <f t="shared" si="15"/>
        <v>2886.3999999999996</v>
      </c>
      <c r="H84" s="17">
        <v>1.4</v>
      </c>
      <c r="I84" s="10">
        <f t="shared" si="16"/>
        <v>4040.9599999999991</v>
      </c>
      <c r="J84" s="3"/>
      <c r="K84" s="9"/>
      <c r="L84" s="81"/>
      <c r="M84" s="82"/>
    </row>
    <row r="85" spans="1:13" ht="15" thickBot="1" x14ac:dyDescent="0.35">
      <c r="A85" s="5"/>
      <c r="B85" s="6"/>
      <c r="C85" s="6" t="s">
        <v>12</v>
      </c>
      <c r="D85" s="17">
        <v>0</v>
      </c>
      <c r="E85" s="17">
        <v>0</v>
      </c>
      <c r="F85" s="17">
        <v>0</v>
      </c>
      <c r="G85" s="17">
        <f t="shared" si="15"/>
        <v>0</v>
      </c>
      <c r="H85" s="17">
        <v>0</v>
      </c>
      <c r="I85" s="10">
        <v>71</v>
      </c>
      <c r="J85" s="3"/>
      <c r="K85" s="9"/>
      <c r="L85" s="81"/>
      <c r="M85" s="82"/>
    </row>
    <row r="86" spans="1:13" ht="15" thickBot="1" x14ac:dyDescent="0.35">
      <c r="A86" s="116" t="s">
        <v>14</v>
      </c>
      <c r="B86" s="117"/>
      <c r="C86" s="118"/>
      <c r="D86" s="19"/>
      <c r="E86" s="19"/>
      <c r="F86" s="19"/>
      <c r="G86" s="19">
        <f>SUM(G81:G85)</f>
        <v>14206.1</v>
      </c>
      <c r="H86" s="20">
        <f>I86/G86</f>
        <v>1.4049978530349636</v>
      </c>
      <c r="I86" s="21">
        <f>SUM(I81:I85)</f>
        <v>19959.539999999997</v>
      </c>
      <c r="J86" s="22"/>
      <c r="K86" s="21">
        <f>D94</f>
        <v>20348.18</v>
      </c>
      <c r="L86" s="99">
        <f>I86-K86</f>
        <v>-388.64000000000306</v>
      </c>
      <c r="M86" s="100">
        <f>L86/K86*100</f>
        <v>-1.9099496859178711</v>
      </c>
    </row>
    <row r="87" spans="1:13" x14ac:dyDescent="0.3">
      <c r="A87" s="5">
        <v>4</v>
      </c>
      <c r="B87" s="6" t="s">
        <v>23</v>
      </c>
      <c r="C87" s="6" t="s">
        <v>24</v>
      </c>
      <c r="D87" s="17">
        <v>24</v>
      </c>
      <c r="E87" s="17">
        <v>14</v>
      </c>
      <c r="F87" s="17">
        <v>4.5</v>
      </c>
      <c r="G87" s="17">
        <f t="shared" ref="G87" si="17">D87*E87*F87</f>
        <v>1512</v>
      </c>
      <c r="H87" s="7">
        <v>1.8</v>
      </c>
      <c r="I87" s="10">
        <f t="shared" ref="I87" si="18">G87*H87</f>
        <v>2721.6</v>
      </c>
      <c r="J87" s="3"/>
      <c r="K87" s="9"/>
      <c r="L87" s="18"/>
      <c r="M87" s="66"/>
    </row>
    <row r="88" spans="1:13" x14ac:dyDescent="0.3">
      <c r="A88" s="5"/>
      <c r="B88" s="6"/>
      <c r="C88" s="6" t="s">
        <v>25</v>
      </c>
      <c r="D88" s="17" t="s">
        <v>13</v>
      </c>
      <c r="E88" s="17" t="s">
        <v>13</v>
      </c>
      <c r="F88" s="17">
        <v>0</v>
      </c>
      <c r="G88" s="17" t="s">
        <v>13</v>
      </c>
      <c r="H88" s="7" t="s">
        <v>13</v>
      </c>
      <c r="I88" s="10">
        <v>150</v>
      </c>
      <c r="J88" s="3"/>
      <c r="K88" s="9"/>
      <c r="L88" s="18"/>
      <c r="M88" s="66"/>
    </row>
    <row r="89" spans="1:13" ht="15" thickBot="1" x14ac:dyDescent="0.35">
      <c r="A89" s="5"/>
      <c r="B89" s="6"/>
      <c r="C89" s="6" t="s">
        <v>12</v>
      </c>
      <c r="D89" s="17"/>
      <c r="E89" s="17"/>
      <c r="F89" s="17"/>
      <c r="G89" s="17"/>
      <c r="H89" s="7"/>
      <c r="I89" s="10">
        <v>40</v>
      </c>
      <c r="J89" s="3"/>
      <c r="K89" s="9"/>
      <c r="L89" s="18"/>
      <c r="M89" s="66"/>
    </row>
    <row r="90" spans="1:13" ht="15" thickBot="1" x14ac:dyDescent="0.35">
      <c r="A90" s="116" t="s">
        <v>14</v>
      </c>
      <c r="B90" s="117"/>
      <c r="C90" s="118"/>
      <c r="D90" s="19"/>
      <c r="E90" s="19"/>
      <c r="F90" s="19"/>
      <c r="G90" s="19">
        <f>SUM(G87:G89)</f>
        <v>1512</v>
      </c>
      <c r="H90" s="20">
        <v>1.8</v>
      </c>
      <c r="I90" s="21">
        <f>SUM(I87:I89)</f>
        <v>2911.6</v>
      </c>
      <c r="J90" s="24"/>
      <c r="K90" s="21">
        <f>D95</f>
        <v>2171.73</v>
      </c>
      <c r="L90" s="23">
        <f>I90-K90</f>
        <v>739.86999999999989</v>
      </c>
      <c r="M90" s="78">
        <f>L90/K90*100</f>
        <v>34.06823131788942</v>
      </c>
    </row>
    <row r="91" spans="1:13" ht="15" thickBot="1" x14ac:dyDescent="0.35">
      <c r="A91" s="1"/>
      <c r="B91" s="2"/>
      <c r="C91" s="2"/>
      <c r="D91" s="2"/>
      <c r="E91" s="2"/>
      <c r="F91" s="2"/>
      <c r="G91" s="3"/>
      <c r="H91" s="3"/>
      <c r="I91" s="3"/>
      <c r="J91" s="3"/>
      <c r="K91" s="2"/>
      <c r="L91" s="4"/>
      <c r="M91" s="66" t="s">
        <v>17</v>
      </c>
    </row>
    <row r="92" spans="1:13" ht="15" thickBot="1" x14ac:dyDescent="0.35">
      <c r="A92" s="68" t="s">
        <v>26</v>
      </c>
      <c r="B92" s="68"/>
      <c r="C92" s="69"/>
      <c r="D92" s="69"/>
      <c r="E92" s="69"/>
      <c r="F92" s="69"/>
      <c r="G92" s="69"/>
      <c r="H92" s="69"/>
      <c r="I92" s="69"/>
      <c r="J92" s="69"/>
      <c r="K92" s="69"/>
      <c r="L92" s="69"/>
      <c r="M92" s="76"/>
    </row>
    <row r="93" spans="1:13" x14ac:dyDescent="0.3">
      <c r="A93" s="70"/>
      <c r="B93" s="67" t="s">
        <v>27</v>
      </c>
      <c r="C93" s="67" t="s">
        <v>28</v>
      </c>
      <c r="D93" s="75" t="s">
        <v>14</v>
      </c>
      <c r="E93" s="2"/>
      <c r="F93" s="2"/>
      <c r="G93" s="3"/>
      <c r="H93" s="3"/>
      <c r="I93" s="3"/>
      <c r="J93" s="3"/>
      <c r="K93" s="2"/>
      <c r="L93" s="2"/>
      <c r="M93" s="79"/>
    </row>
    <row r="94" spans="1:13" x14ac:dyDescent="0.3">
      <c r="A94" s="71" t="s">
        <v>19</v>
      </c>
      <c r="B94" s="37">
        <v>0</v>
      </c>
      <c r="C94" s="55">
        <v>20348.18</v>
      </c>
      <c r="D94" s="73">
        <f>C94+B94</f>
        <v>20348.18</v>
      </c>
      <c r="E94" s="2"/>
      <c r="F94" s="2"/>
      <c r="G94" s="3"/>
      <c r="H94" s="3"/>
      <c r="I94" s="3"/>
      <c r="J94" s="3"/>
      <c r="K94" s="2"/>
      <c r="L94" s="2"/>
      <c r="M94" s="79"/>
    </row>
    <row r="95" spans="1:13" x14ac:dyDescent="0.3">
      <c r="A95" s="71" t="s">
        <v>23</v>
      </c>
      <c r="B95" s="37">
        <v>0</v>
      </c>
      <c r="C95" s="98">
        <v>2171.73</v>
      </c>
      <c r="D95" s="73">
        <f t="shared" ref="D95" si="19">C95+B95</f>
        <v>2171.73</v>
      </c>
      <c r="E95" s="2"/>
      <c r="F95" s="2"/>
      <c r="G95" s="3" t="s">
        <v>17</v>
      </c>
      <c r="H95" s="3"/>
      <c r="I95" s="3"/>
      <c r="J95" s="3"/>
      <c r="K95" s="2"/>
      <c r="L95" s="2"/>
      <c r="M95" s="79"/>
    </row>
    <row r="96" spans="1:13" x14ac:dyDescent="0.3">
      <c r="A96" s="39" t="s">
        <v>15</v>
      </c>
      <c r="B96" s="37">
        <v>0</v>
      </c>
      <c r="C96" s="98">
        <f>15779.74+3046.36</f>
        <v>18826.099999999999</v>
      </c>
      <c r="D96" s="73">
        <f>C96+B96</f>
        <v>18826.099999999999</v>
      </c>
      <c r="E96" s="2"/>
      <c r="F96" s="2"/>
      <c r="G96" s="3"/>
      <c r="H96" s="3"/>
      <c r="I96" s="3"/>
      <c r="J96" s="3"/>
      <c r="K96" s="2"/>
      <c r="L96" s="2"/>
      <c r="M96" s="79"/>
    </row>
    <row r="97" spans="1:13" ht="15" thickBot="1" x14ac:dyDescent="0.35">
      <c r="A97" s="72" t="s">
        <v>29</v>
      </c>
      <c r="B97" s="44">
        <v>0</v>
      </c>
      <c r="C97" s="98">
        <v>3073.69</v>
      </c>
      <c r="D97" s="74">
        <f t="shared" ref="D97" si="20">C97+B97</f>
        <v>3073.69</v>
      </c>
      <c r="E97" s="46"/>
      <c r="F97" s="46"/>
      <c r="G97" s="47"/>
      <c r="H97" s="47"/>
      <c r="I97" s="47"/>
      <c r="J97" s="47"/>
      <c r="K97" s="46"/>
      <c r="L97" s="46"/>
      <c r="M97" s="80"/>
    </row>
    <row r="98" spans="1:13" ht="15" thickBot="1" x14ac:dyDescent="0.35">
      <c r="A98" s="87"/>
      <c r="B98" s="62"/>
      <c r="C98" s="95"/>
      <c r="D98" s="96"/>
      <c r="E98" s="96"/>
      <c r="F98" s="96"/>
      <c r="G98" s="96"/>
      <c r="H98" s="96"/>
      <c r="I98" s="96"/>
      <c r="J98" s="96"/>
      <c r="K98" s="96"/>
      <c r="L98" s="96"/>
      <c r="M98" s="97"/>
    </row>
    <row r="99" spans="1:13" ht="15" thickBot="1" x14ac:dyDescent="0.35">
      <c r="A99" s="83" t="s">
        <v>43</v>
      </c>
      <c r="B99" s="84"/>
      <c r="C99" s="92" t="s">
        <v>42</v>
      </c>
      <c r="D99" s="93"/>
      <c r="E99" s="93"/>
      <c r="F99" s="93"/>
      <c r="G99" s="93"/>
      <c r="H99" s="93"/>
      <c r="I99" s="94"/>
      <c r="J99" s="92" t="s">
        <v>45</v>
      </c>
      <c r="K99" s="93"/>
      <c r="L99" s="93"/>
      <c r="M99" s="94"/>
    </row>
    <row r="100" spans="1:13" x14ac:dyDescent="0.3">
      <c r="A100" s="83" t="s">
        <v>44</v>
      </c>
      <c r="B100" s="62"/>
      <c r="C100" s="88" t="s">
        <v>46</v>
      </c>
      <c r="D100" s="84"/>
      <c r="E100" s="88" t="s">
        <v>47</v>
      </c>
      <c r="F100" s="88"/>
      <c r="G100" s="84"/>
      <c r="H100" s="84" t="s">
        <v>17</v>
      </c>
      <c r="I100" s="84"/>
      <c r="J100" s="87"/>
      <c r="K100" s="84"/>
      <c r="L100" s="84"/>
      <c r="M100" s="62"/>
    </row>
    <row r="101" spans="1:13" ht="30" customHeight="1" thickBot="1" x14ac:dyDescent="0.35">
      <c r="A101" s="85"/>
      <c r="B101" s="64"/>
      <c r="C101" s="89" t="s">
        <v>49</v>
      </c>
      <c r="D101" s="90"/>
      <c r="E101" s="89" t="s">
        <v>48</v>
      </c>
      <c r="F101" s="90"/>
      <c r="G101" s="89"/>
      <c r="H101" s="86"/>
      <c r="I101" s="86"/>
      <c r="J101" s="85"/>
      <c r="K101" s="86"/>
      <c r="L101" s="86"/>
      <c r="M101" s="64"/>
    </row>
    <row r="105" spans="1:13" ht="15" thickBot="1" x14ac:dyDescent="0.35"/>
    <row r="106" spans="1:13" ht="15.6" x14ac:dyDescent="0.3">
      <c r="A106" s="111" t="s">
        <v>102</v>
      </c>
      <c r="B106" s="112"/>
      <c r="C106" s="112"/>
      <c r="D106" s="112"/>
      <c r="E106" s="112"/>
      <c r="F106" s="112"/>
      <c r="G106" s="112"/>
      <c r="H106" s="112"/>
      <c r="I106" s="112"/>
      <c r="J106" s="112"/>
      <c r="K106" s="112"/>
      <c r="L106" s="112"/>
      <c r="M106" s="62"/>
    </row>
    <row r="107" spans="1:13" ht="15" thickBot="1" x14ac:dyDescent="0.35">
      <c r="A107" s="63"/>
      <c r="B107" s="46"/>
      <c r="C107" s="46"/>
      <c r="D107" s="46"/>
      <c r="E107" s="46"/>
      <c r="F107" s="46"/>
      <c r="G107" s="47"/>
      <c r="H107" s="47"/>
      <c r="I107" s="47"/>
      <c r="J107" s="47"/>
      <c r="K107" s="46"/>
      <c r="L107" s="46"/>
      <c r="M107" s="64"/>
    </row>
    <row r="108" spans="1:13" ht="42" thickBot="1" x14ac:dyDescent="0.35">
      <c r="A108" s="57" t="s">
        <v>0</v>
      </c>
      <c r="B108" s="58" t="s">
        <v>1</v>
      </c>
      <c r="C108" s="58" t="s">
        <v>2</v>
      </c>
      <c r="D108" s="58" t="s">
        <v>3</v>
      </c>
      <c r="E108" s="58" t="s">
        <v>4</v>
      </c>
      <c r="F108" s="58" t="s">
        <v>5</v>
      </c>
      <c r="G108" s="59" t="s">
        <v>6</v>
      </c>
      <c r="H108" s="58" t="s">
        <v>7</v>
      </c>
      <c r="I108" s="59" t="s">
        <v>8</v>
      </c>
      <c r="J108" s="60"/>
      <c r="K108" s="59" t="s">
        <v>31</v>
      </c>
      <c r="L108" s="61" t="s">
        <v>9</v>
      </c>
      <c r="M108" s="61" t="s">
        <v>38</v>
      </c>
    </row>
    <row r="109" spans="1:13" x14ac:dyDescent="0.3">
      <c r="A109" s="5">
        <v>1</v>
      </c>
      <c r="B109" s="6" t="s">
        <v>10</v>
      </c>
      <c r="C109" s="6" t="s">
        <v>11</v>
      </c>
      <c r="D109" s="7">
        <v>15.5</v>
      </c>
      <c r="E109" s="7">
        <v>16</v>
      </c>
      <c r="F109" s="7">
        <v>3</v>
      </c>
      <c r="G109" s="7">
        <f>D109*E109*F109</f>
        <v>744</v>
      </c>
      <c r="H109" s="7">
        <v>2.2000000000000002</v>
      </c>
      <c r="I109" s="8">
        <f>G109*H109</f>
        <v>1636.8000000000002</v>
      </c>
      <c r="J109" s="3"/>
      <c r="K109" s="9"/>
      <c r="L109" s="11"/>
      <c r="M109" s="65"/>
    </row>
    <row r="110" spans="1:13" ht="15" thickBot="1" x14ac:dyDescent="0.35">
      <c r="A110" s="5"/>
      <c r="B110" s="6"/>
      <c r="C110" s="6" t="s">
        <v>12</v>
      </c>
      <c r="D110" s="7" t="s">
        <v>13</v>
      </c>
      <c r="E110" s="7" t="s">
        <v>13</v>
      </c>
      <c r="F110" s="7"/>
      <c r="G110" s="7" t="s">
        <v>13</v>
      </c>
      <c r="H110" s="7">
        <v>0</v>
      </c>
      <c r="I110" s="8">
        <v>11</v>
      </c>
      <c r="J110" s="3"/>
      <c r="K110" s="9"/>
      <c r="L110" s="11"/>
      <c r="M110" s="66"/>
    </row>
    <row r="111" spans="1:13" ht="15" thickBot="1" x14ac:dyDescent="0.35">
      <c r="A111" s="113" t="s">
        <v>14</v>
      </c>
      <c r="B111" s="114"/>
      <c r="C111" s="115"/>
      <c r="D111" s="12"/>
      <c r="E111" s="13"/>
      <c r="F111" s="14"/>
      <c r="G111" s="13">
        <f>SUM(G109:G110)</f>
        <v>744</v>
      </c>
      <c r="H111" s="12">
        <f>I111/G111</f>
        <v>2.2147849462365592</v>
      </c>
      <c r="I111" s="15">
        <f>SUM(I109:I110)</f>
        <v>1647.8000000000002</v>
      </c>
      <c r="J111" s="16"/>
      <c r="K111" s="15">
        <f>D134</f>
        <v>1486.69</v>
      </c>
      <c r="L111" s="49">
        <f>I111-K111</f>
        <v>161.11000000000013</v>
      </c>
      <c r="M111" s="78">
        <f>L111/K111*100</f>
        <v>10.836825430991</v>
      </c>
    </row>
    <row r="112" spans="1:13" x14ac:dyDescent="0.3">
      <c r="A112" s="5">
        <v>2</v>
      </c>
      <c r="B112" s="6" t="s">
        <v>15</v>
      </c>
      <c r="C112" s="6" t="s">
        <v>16</v>
      </c>
      <c r="D112" s="17">
        <v>27</v>
      </c>
      <c r="E112" s="17">
        <v>27</v>
      </c>
      <c r="F112" s="17">
        <v>10.5</v>
      </c>
      <c r="G112" s="17">
        <f>D112*E112*F112</f>
        <v>7654.5</v>
      </c>
      <c r="H112" s="17">
        <v>1.4</v>
      </c>
      <c r="I112" s="10">
        <f>G112*H112</f>
        <v>10716.3</v>
      </c>
      <c r="J112" s="3"/>
      <c r="K112" s="9"/>
      <c r="L112" s="18"/>
      <c r="M112" s="66"/>
    </row>
    <row r="113" spans="1:13" x14ac:dyDescent="0.3">
      <c r="A113" s="5"/>
      <c r="B113" s="6"/>
      <c r="C113" s="6" t="s">
        <v>39</v>
      </c>
      <c r="D113" s="17">
        <v>35</v>
      </c>
      <c r="E113" s="17">
        <v>18</v>
      </c>
      <c r="F113" s="17">
        <v>2</v>
      </c>
      <c r="G113" s="17">
        <f t="shared" ref="G113:G115" si="21">D113*E113*F113</f>
        <v>1260</v>
      </c>
      <c r="H113" s="17">
        <v>1.4</v>
      </c>
      <c r="I113" s="10">
        <f>G113*H113</f>
        <v>1764</v>
      </c>
      <c r="J113" s="3"/>
      <c r="K113" s="9"/>
      <c r="L113" s="18"/>
      <c r="M113" s="66"/>
    </row>
    <row r="114" spans="1:13" x14ac:dyDescent="0.3">
      <c r="A114" s="5"/>
      <c r="B114" s="6"/>
      <c r="C114" s="6" t="s">
        <v>37</v>
      </c>
      <c r="D114" s="17">
        <v>0</v>
      </c>
      <c r="E114" s="17">
        <v>0</v>
      </c>
      <c r="F114" s="17">
        <v>0</v>
      </c>
      <c r="G114" s="17">
        <f t="shared" si="21"/>
        <v>0</v>
      </c>
      <c r="H114" s="17">
        <v>0</v>
      </c>
      <c r="I114" s="10">
        <f>G114*H114</f>
        <v>0</v>
      </c>
      <c r="J114" s="3"/>
      <c r="K114" s="9"/>
      <c r="L114" s="18"/>
      <c r="M114" s="66"/>
    </row>
    <row r="115" spans="1:13" ht="15" thickBot="1" x14ac:dyDescent="0.35">
      <c r="A115" s="5"/>
      <c r="B115" s="6"/>
      <c r="C115" s="6" t="s">
        <v>12</v>
      </c>
      <c r="D115" s="17">
        <v>0</v>
      </c>
      <c r="E115" s="17">
        <v>0</v>
      </c>
      <c r="F115" s="17">
        <v>0</v>
      </c>
      <c r="G115" s="17">
        <f t="shared" si="21"/>
        <v>0</v>
      </c>
      <c r="H115" s="17">
        <v>0</v>
      </c>
      <c r="I115" s="10">
        <v>293</v>
      </c>
      <c r="J115" s="3"/>
      <c r="K115" s="9"/>
      <c r="L115" s="18"/>
      <c r="M115" s="66"/>
    </row>
    <row r="116" spans="1:13" ht="15" thickBot="1" x14ac:dyDescent="0.35">
      <c r="A116" s="113" t="s">
        <v>14</v>
      </c>
      <c r="B116" s="114"/>
      <c r="C116" s="115"/>
      <c r="D116" s="13"/>
      <c r="E116" s="13"/>
      <c r="F116" s="13"/>
      <c r="G116" s="13">
        <f>SUM(G112:G115)</f>
        <v>8914.5</v>
      </c>
      <c r="H116" s="12">
        <f>I116/G116</f>
        <v>1.4328677996522519</v>
      </c>
      <c r="I116" s="15">
        <f>SUM(I112:I115)</f>
        <v>12773.3</v>
      </c>
      <c r="J116" s="16"/>
      <c r="K116" s="15">
        <f>D133</f>
        <v>11192.567999999999</v>
      </c>
      <c r="L116" s="49">
        <f>I116-K116</f>
        <v>1580.732</v>
      </c>
      <c r="M116" s="78">
        <f>L116/K116*100</f>
        <v>14.123050224041526</v>
      </c>
    </row>
    <row r="117" spans="1:13" x14ac:dyDescent="0.3">
      <c r="A117" s="5">
        <v>3</v>
      </c>
      <c r="B117" s="6" t="s">
        <v>19</v>
      </c>
      <c r="C117" s="6" t="s">
        <v>40</v>
      </c>
      <c r="D117" s="17">
        <v>52</v>
      </c>
      <c r="E117" s="17">
        <v>46</v>
      </c>
      <c r="F117" s="17">
        <v>4.7</v>
      </c>
      <c r="G117" s="17">
        <f t="shared" ref="G117:G121" si="22">D117*E117*F117</f>
        <v>11242.4</v>
      </c>
      <c r="H117" s="17">
        <v>1.4</v>
      </c>
      <c r="I117" s="10">
        <f t="shared" ref="I117:I120" si="23">G117*H117</f>
        <v>15739.359999999999</v>
      </c>
      <c r="J117" s="3"/>
      <c r="K117" s="9"/>
      <c r="L117" s="81"/>
      <c r="M117" s="82"/>
    </row>
    <row r="118" spans="1:13" x14ac:dyDescent="0.3">
      <c r="A118" s="5"/>
      <c r="B118" s="6"/>
      <c r="C118" s="6" t="s">
        <v>21</v>
      </c>
      <c r="D118" s="17">
        <v>16</v>
      </c>
      <c r="E118" s="17">
        <v>21</v>
      </c>
      <c r="F118" s="17">
        <v>2.7</v>
      </c>
      <c r="G118" s="17">
        <f t="shared" si="22"/>
        <v>907.2</v>
      </c>
      <c r="H118" s="17">
        <v>1.4</v>
      </c>
      <c r="I118" s="10">
        <f t="shared" si="23"/>
        <v>1270.08</v>
      </c>
      <c r="J118" s="3"/>
      <c r="K118" s="9"/>
      <c r="L118" s="81"/>
      <c r="M118" s="82"/>
    </row>
    <row r="119" spans="1:13" x14ac:dyDescent="0.3">
      <c r="A119" s="5"/>
      <c r="B119" s="6"/>
      <c r="C119" s="6" t="s">
        <v>41</v>
      </c>
      <c r="D119" s="17">
        <v>22</v>
      </c>
      <c r="E119" s="17">
        <v>43</v>
      </c>
      <c r="F119" s="17">
        <v>3.3</v>
      </c>
      <c r="G119" s="17">
        <f t="shared" si="22"/>
        <v>3121.7999999999997</v>
      </c>
      <c r="H119" s="17">
        <v>1.4</v>
      </c>
      <c r="I119" s="10">
        <f t="shared" si="23"/>
        <v>4370.5199999999995</v>
      </c>
      <c r="J119" s="3"/>
      <c r="K119" s="9"/>
      <c r="L119" s="81"/>
      <c r="M119" s="82"/>
    </row>
    <row r="120" spans="1:13" x14ac:dyDescent="0.3">
      <c r="A120" s="5"/>
      <c r="B120" s="6"/>
      <c r="C120" s="6" t="s">
        <v>51</v>
      </c>
      <c r="D120" s="17">
        <v>22</v>
      </c>
      <c r="E120" s="17">
        <v>22</v>
      </c>
      <c r="F120" s="17">
        <v>4</v>
      </c>
      <c r="G120" s="17">
        <f t="shared" si="22"/>
        <v>1936</v>
      </c>
      <c r="H120" s="17">
        <v>1.4</v>
      </c>
      <c r="I120" s="10">
        <f t="shared" si="23"/>
        <v>2710.3999999999996</v>
      </c>
      <c r="J120" s="3"/>
      <c r="K120" s="9"/>
      <c r="L120" s="81"/>
      <c r="M120" s="82"/>
    </row>
    <row r="121" spans="1:13" ht="15" thickBot="1" x14ac:dyDescent="0.35">
      <c r="A121" s="5"/>
      <c r="B121" s="6"/>
      <c r="C121" s="6" t="s">
        <v>12</v>
      </c>
      <c r="D121" s="17">
        <v>0</v>
      </c>
      <c r="E121" s="17">
        <v>0</v>
      </c>
      <c r="F121" s="17">
        <v>0</v>
      </c>
      <c r="G121" s="17">
        <f t="shared" si="22"/>
        <v>0</v>
      </c>
      <c r="H121" s="17">
        <v>0</v>
      </c>
      <c r="I121" s="10">
        <v>41</v>
      </c>
      <c r="J121" s="3"/>
      <c r="K121" s="9"/>
      <c r="L121" s="81"/>
      <c r="M121" s="82"/>
    </row>
    <row r="122" spans="1:13" ht="15" thickBot="1" x14ac:dyDescent="0.35">
      <c r="A122" s="116" t="s">
        <v>14</v>
      </c>
      <c r="B122" s="117"/>
      <c r="C122" s="118"/>
      <c r="D122" s="19"/>
      <c r="E122" s="19"/>
      <c r="F122" s="19"/>
      <c r="G122" s="19">
        <f>SUM(G117:G121)</f>
        <v>17207.400000000001</v>
      </c>
      <c r="H122" s="20">
        <f>I122/G122</f>
        <v>1.4023826958169159</v>
      </c>
      <c r="I122" s="21">
        <f>SUM(I117:I121)</f>
        <v>24131.360000000001</v>
      </c>
      <c r="J122" s="22"/>
      <c r="K122" s="21">
        <f>D131</f>
        <v>23959.11</v>
      </c>
      <c r="L122" s="49">
        <f>I122-K122</f>
        <v>172.25</v>
      </c>
      <c r="M122" s="78">
        <f>L122/K122*100</f>
        <v>0.71893321579975222</v>
      </c>
    </row>
    <row r="123" spans="1:13" ht="15" customHeight="1" x14ac:dyDescent="0.3">
      <c r="A123" s="5">
        <v>4</v>
      </c>
      <c r="B123" s="6" t="s">
        <v>23</v>
      </c>
      <c r="C123" s="6" t="s">
        <v>24</v>
      </c>
      <c r="D123" s="17">
        <v>25</v>
      </c>
      <c r="E123" s="17">
        <v>25</v>
      </c>
      <c r="F123" s="17">
        <v>1.5</v>
      </c>
      <c r="G123" s="17">
        <f t="shared" ref="G123:G124" si="24">D123*E123*F123</f>
        <v>937.5</v>
      </c>
      <c r="H123" s="7">
        <v>1.8</v>
      </c>
      <c r="I123" s="10">
        <f t="shared" ref="I123:I124" si="25">G123*H123</f>
        <v>1687.5</v>
      </c>
      <c r="J123" s="3"/>
      <c r="K123" s="9"/>
      <c r="L123" s="18"/>
      <c r="M123" s="66"/>
    </row>
    <row r="124" spans="1:13" ht="15" customHeight="1" x14ac:dyDescent="0.3">
      <c r="A124" s="5"/>
      <c r="B124" s="6"/>
      <c r="C124" s="6" t="s">
        <v>103</v>
      </c>
      <c r="D124" s="17">
        <v>27</v>
      </c>
      <c r="E124" s="17">
        <v>19</v>
      </c>
      <c r="F124" s="17">
        <v>5</v>
      </c>
      <c r="G124" s="17">
        <f t="shared" si="24"/>
        <v>2565</v>
      </c>
      <c r="H124" s="7">
        <v>1.8</v>
      </c>
      <c r="I124" s="10">
        <f t="shared" si="25"/>
        <v>4617</v>
      </c>
      <c r="J124" s="3"/>
      <c r="K124" s="9"/>
      <c r="L124" s="18"/>
      <c r="M124" s="66"/>
    </row>
    <row r="125" spans="1:13" x14ac:dyDescent="0.3">
      <c r="A125" s="5"/>
      <c r="B125" s="6"/>
      <c r="C125" s="6" t="s">
        <v>25</v>
      </c>
      <c r="D125" s="17" t="s">
        <v>13</v>
      </c>
      <c r="E125" s="17" t="s">
        <v>13</v>
      </c>
      <c r="F125" s="17">
        <v>0</v>
      </c>
      <c r="G125" s="17" t="s">
        <v>13</v>
      </c>
      <c r="H125" s="7" t="s">
        <v>13</v>
      </c>
      <c r="I125" s="10">
        <v>0</v>
      </c>
      <c r="J125" s="3"/>
      <c r="K125" s="9"/>
      <c r="L125" s="18"/>
      <c r="M125" s="66"/>
    </row>
    <row r="126" spans="1:13" ht="15" thickBot="1" x14ac:dyDescent="0.35">
      <c r="A126" s="5"/>
      <c r="B126" s="6"/>
      <c r="C126" s="6" t="s">
        <v>12</v>
      </c>
      <c r="D126" s="17"/>
      <c r="E126" s="17"/>
      <c r="F126" s="17"/>
      <c r="G126" s="17"/>
      <c r="H126" s="7"/>
      <c r="I126" s="10">
        <v>45</v>
      </c>
      <c r="J126" s="3"/>
      <c r="K126" s="9"/>
      <c r="L126" s="18"/>
      <c r="M126" s="66"/>
    </row>
    <row r="127" spans="1:13" ht="15" thickBot="1" x14ac:dyDescent="0.35">
      <c r="A127" s="116" t="s">
        <v>14</v>
      </c>
      <c r="B127" s="117"/>
      <c r="C127" s="118"/>
      <c r="D127" s="19"/>
      <c r="E127" s="19"/>
      <c r="F127" s="19"/>
      <c r="G127" s="19">
        <f>SUM(G123:G126)</f>
        <v>3502.5</v>
      </c>
      <c r="H127" s="20">
        <v>1.8</v>
      </c>
      <c r="I127" s="21">
        <f>SUM(I123:I126)</f>
        <v>6349.5</v>
      </c>
      <c r="J127" s="24"/>
      <c r="K127" s="21">
        <f>D132</f>
        <v>5588.0400000000009</v>
      </c>
      <c r="L127" s="23">
        <f>I127-K127</f>
        <v>761.45999999999913</v>
      </c>
      <c r="M127" s="78">
        <f>L127/K127*100</f>
        <v>13.626602529688389</v>
      </c>
    </row>
    <row r="128" spans="1:13" ht="15" thickBot="1" x14ac:dyDescent="0.35">
      <c r="A128" s="1"/>
      <c r="B128" s="2"/>
      <c r="C128" s="2"/>
      <c r="D128" s="2"/>
      <c r="E128" s="2"/>
      <c r="F128" s="2"/>
      <c r="G128" s="3"/>
      <c r="H128" s="3"/>
      <c r="I128" s="3"/>
      <c r="J128" s="3"/>
      <c r="K128" s="2"/>
      <c r="L128" s="4"/>
      <c r="M128" s="66" t="s">
        <v>17</v>
      </c>
    </row>
    <row r="129" spans="1:13" ht="15" thickBot="1" x14ac:dyDescent="0.35">
      <c r="A129" s="68" t="s">
        <v>26</v>
      </c>
      <c r="B129" s="68"/>
      <c r="C129" s="69"/>
      <c r="D129" s="69"/>
      <c r="E129" s="69"/>
      <c r="F129" s="69"/>
      <c r="G129" s="69"/>
      <c r="H129" s="69"/>
      <c r="I129" s="69"/>
      <c r="J129" s="69"/>
      <c r="K129" s="69"/>
      <c r="L129" s="69"/>
      <c r="M129" s="76"/>
    </row>
    <row r="130" spans="1:13" x14ac:dyDescent="0.3">
      <c r="A130" s="70"/>
      <c r="B130" s="67" t="s">
        <v>27</v>
      </c>
      <c r="C130" s="67" t="s">
        <v>28</v>
      </c>
      <c r="D130" s="75" t="s">
        <v>14</v>
      </c>
      <c r="E130" s="2"/>
      <c r="F130" s="2"/>
      <c r="G130" s="3"/>
      <c r="H130" s="3"/>
      <c r="I130" s="3"/>
      <c r="J130" s="3"/>
      <c r="K130" s="2"/>
      <c r="L130" s="2"/>
      <c r="M130" s="79"/>
    </row>
    <row r="131" spans="1:13" x14ac:dyDescent="0.3">
      <c r="A131" s="71" t="s">
        <v>19</v>
      </c>
      <c r="B131" s="37">
        <v>0</v>
      </c>
      <c r="C131" s="55">
        <v>23959.11</v>
      </c>
      <c r="D131" s="73">
        <f>C131+B131</f>
        <v>23959.11</v>
      </c>
      <c r="E131" s="2"/>
      <c r="F131" s="2"/>
      <c r="G131" s="3"/>
      <c r="H131" s="3"/>
      <c r="I131" s="3"/>
      <c r="J131" s="3"/>
      <c r="K131" s="2"/>
      <c r="L131" s="2"/>
      <c r="M131" s="79"/>
    </row>
    <row r="132" spans="1:13" x14ac:dyDescent="0.3">
      <c r="A132" s="71" t="s">
        <v>23</v>
      </c>
      <c r="B132" s="37">
        <v>0</v>
      </c>
      <c r="C132" s="55">
        <v>5588.0400000000009</v>
      </c>
      <c r="D132" s="73">
        <f t="shared" ref="D132" si="26">C132+B132</f>
        <v>5588.0400000000009</v>
      </c>
      <c r="E132" s="2"/>
      <c r="F132" s="2"/>
      <c r="G132" s="3" t="s">
        <v>17</v>
      </c>
      <c r="H132" s="3"/>
      <c r="I132" s="3"/>
      <c r="J132" s="3"/>
      <c r="K132" s="2"/>
      <c r="L132" s="2"/>
      <c r="M132" s="79"/>
    </row>
    <row r="133" spans="1:13" x14ac:dyDescent="0.3">
      <c r="A133" s="39" t="s">
        <v>15</v>
      </c>
      <c r="B133" s="37">
        <v>0</v>
      </c>
      <c r="C133" s="55">
        <f>3858.568+7334</f>
        <v>11192.567999999999</v>
      </c>
      <c r="D133" s="73">
        <f>C133+B133</f>
        <v>11192.567999999999</v>
      </c>
      <c r="E133" s="2"/>
      <c r="F133" s="2"/>
      <c r="G133" s="3"/>
      <c r="H133" s="3"/>
      <c r="I133" s="3"/>
      <c r="J133" s="3"/>
      <c r="K133" s="2"/>
      <c r="L133" s="2"/>
      <c r="M133" s="79"/>
    </row>
    <row r="134" spans="1:13" ht="15" thickBot="1" x14ac:dyDescent="0.35">
      <c r="A134" s="72" t="s">
        <v>29</v>
      </c>
      <c r="B134" s="44">
        <v>0</v>
      </c>
      <c r="C134" s="55">
        <v>1486.69</v>
      </c>
      <c r="D134" s="74">
        <f t="shared" ref="D134" si="27">C134+B134</f>
        <v>1486.69</v>
      </c>
      <c r="E134" s="46"/>
      <c r="F134" s="46"/>
      <c r="G134" s="47"/>
      <c r="H134" s="47"/>
      <c r="I134" s="47"/>
      <c r="J134" s="47"/>
      <c r="K134" s="46"/>
      <c r="L134" s="46"/>
      <c r="M134" s="80"/>
    </row>
    <row r="135" spans="1:13" ht="15" thickBot="1" x14ac:dyDescent="0.35">
      <c r="A135" s="87"/>
      <c r="B135" s="62"/>
      <c r="C135" s="95"/>
      <c r="D135" s="96"/>
      <c r="E135" s="96"/>
      <c r="F135" s="96"/>
      <c r="G135" s="96"/>
      <c r="H135" s="96"/>
      <c r="I135" s="96"/>
      <c r="J135" s="96"/>
      <c r="K135" s="96"/>
      <c r="L135" s="96"/>
      <c r="M135" s="97"/>
    </row>
    <row r="136" spans="1:13" ht="15" thickBot="1" x14ac:dyDescent="0.35">
      <c r="A136" s="83" t="s">
        <v>43</v>
      </c>
      <c r="B136" s="84"/>
      <c r="C136" s="92" t="s">
        <v>42</v>
      </c>
      <c r="D136" s="93"/>
      <c r="E136" s="93"/>
      <c r="F136" s="93"/>
      <c r="G136" s="93"/>
      <c r="H136" s="93"/>
      <c r="I136" s="94"/>
      <c r="J136" s="92" t="s">
        <v>45</v>
      </c>
      <c r="K136" s="93"/>
      <c r="L136" s="93"/>
      <c r="M136" s="94"/>
    </row>
    <row r="137" spans="1:13" x14ac:dyDescent="0.3">
      <c r="A137" s="83" t="s">
        <v>44</v>
      </c>
      <c r="B137" s="62"/>
      <c r="C137" s="88" t="s">
        <v>46</v>
      </c>
      <c r="D137" s="84"/>
      <c r="E137" s="88" t="s">
        <v>17</v>
      </c>
      <c r="F137" s="88" t="s">
        <v>111</v>
      </c>
      <c r="G137" s="84"/>
      <c r="H137" s="84" t="s">
        <v>17</v>
      </c>
      <c r="I137" s="84"/>
      <c r="J137" s="87"/>
      <c r="K137" s="84"/>
      <c r="L137" s="84"/>
      <c r="M137" s="62"/>
    </row>
    <row r="138" spans="1:13" ht="28.2" customHeight="1" thickBot="1" x14ac:dyDescent="0.35">
      <c r="A138" s="85"/>
      <c r="B138" s="64"/>
      <c r="C138" s="89" t="s">
        <v>49</v>
      </c>
      <c r="D138" s="90"/>
      <c r="E138" s="89" t="s">
        <v>112</v>
      </c>
      <c r="F138" s="90"/>
      <c r="G138" s="89"/>
      <c r="H138" s="86"/>
      <c r="I138" s="86"/>
      <c r="J138" s="85"/>
      <c r="K138" s="86"/>
      <c r="L138" s="86"/>
      <c r="M138" s="64"/>
    </row>
    <row r="140" spans="1:13" ht="15" thickBot="1" x14ac:dyDescent="0.35"/>
    <row r="141" spans="1:13" ht="15.6" x14ac:dyDescent="0.3">
      <c r="A141" s="111" t="s">
        <v>113</v>
      </c>
      <c r="B141" s="112"/>
      <c r="C141" s="112"/>
      <c r="D141" s="112"/>
      <c r="E141" s="112"/>
      <c r="F141" s="112"/>
      <c r="G141" s="112"/>
      <c r="H141" s="112"/>
      <c r="I141" s="112"/>
      <c r="J141" s="112"/>
      <c r="K141" s="112"/>
      <c r="L141" s="112"/>
      <c r="M141" s="131"/>
    </row>
    <row r="142" spans="1:13" ht="15" thickBot="1" x14ac:dyDescent="0.35">
      <c r="A142" s="63"/>
      <c r="B142" s="132"/>
      <c r="C142" s="132"/>
      <c r="D142" s="132"/>
      <c r="E142" s="132"/>
      <c r="F142" s="132"/>
      <c r="G142" s="133"/>
      <c r="H142" s="133"/>
      <c r="I142" s="133"/>
      <c r="J142" s="133"/>
      <c r="K142" s="132"/>
      <c r="L142" s="132"/>
      <c r="M142" s="134"/>
    </row>
    <row r="143" spans="1:13" ht="42" thickBot="1" x14ac:dyDescent="0.35">
      <c r="A143" s="57" t="s">
        <v>0</v>
      </c>
      <c r="B143" s="58" t="s">
        <v>1</v>
      </c>
      <c r="C143" s="58" t="s">
        <v>2</v>
      </c>
      <c r="D143" s="58" t="s">
        <v>3</v>
      </c>
      <c r="E143" s="58" t="s">
        <v>4</v>
      </c>
      <c r="F143" s="58" t="s">
        <v>5</v>
      </c>
      <c r="G143" s="59" t="s">
        <v>6</v>
      </c>
      <c r="H143" s="58" t="s">
        <v>7</v>
      </c>
      <c r="I143" s="59" t="s">
        <v>8</v>
      </c>
      <c r="J143" s="135"/>
      <c r="K143" s="59" t="s">
        <v>31</v>
      </c>
      <c r="L143" s="61" t="s">
        <v>9</v>
      </c>
      <c r="M143" s="61" t="s">
        <v>38</v>
      </c>
    </row>
    <row r="144" spans="1:13" x14ac:dyDescent="0.3">
      <c r="A144" s="5">
        <v>1</v>
      </c>
      <c r="B144" s="6" t="s">
        <v>10</v>
      </c>
      <c r="C144" s="6" t="s">
        <v>11</v>
      </c>
      <c r="D144" s="7">
        <v>21</v>
      </c>
      <c r="E144" s="7">
        <v>20</v>
      </c>
      <c r="F144" s="7">
        <v>4.5</v>
      </c>
      <c r="G144" s="7">
        <f>D144*E144*F144</f>
        <v>1890</v>
      </c>
      <c r="H144" s="7">
        <v>2.2000000000000002</v>
      </c>
      <c r="I144" s="8">
        <f>G144*H144</f>
        <v>4158</v>
      </c>
      <c r="J144" s="136"/>
      <c r="K144" s="9"/>
      <c r="L144" s="11"/>
      <c r="M144" s="137"/>
    </row>
    <row r="145" spans="1:13" x14ac:dyDescent="0.3">
      <c r="A145" s="5"/>
      <c r="B145" s="6"/>
      <c r="C145" s="6" t="s">
        <v>11</v>
      </c>
      <c r="D145" s="7">
        <v>22</v>
      </c>
      <c r="E145" s="7">
        <v>16</v>
      </c>
      <c r="F145" s="7">
        <v>2</v>
      </c>
      <c r="G145" s="7">
        <f>D145*E145*F145</f>
        <v>704</v>
      </c>
      <c r="H145" s="7">
        <v>2.2000000000000002</v>
      </c>
      <c r="I145" s="8">
        <f>G145*H145</f>
        <v>1548.8000000000002</v>
      </c>
      <c r="J145" s="136"/>
      <c r="K145" s="9"/>
      <c r="L145" s="11"/>
      <c r="M145" s="138"/>
    </row>
    <row r="146" spans="1:13" ht="15" thickBot="1" x14ac:dyDescent="0.35">
      <c r="A146" s="5"/>
      <c r="B146" s="6"/>
      <c r="C146" s="6" t="s">
        <v>12</v>
      </c>
      <c r="D146" s="7" t="s">
        <v>13</v>
      </c>
      <c r="E146" s="7" t="s">
        <v>13</v>
      </c>
      <c r="F146" s="7"/>
      <c r="G146" s="7" t="s">
        <v>13</v>
      </c>
      <c r="H146" s="7">
        <v>0</v>
      </c>
      <c r="I146" s="8">
        <v>0</v>
      </c>
      <c r="J146" s="136"/>
      <c r="K146" s="9"/>
      <c r="L146" s="11"/>
      <c r="M146" s="138"/>
    </row>
    <row r="147" spans="1:13" ht="15" thickBot="1" x14ac:dyDescent="0.35">
      <c r="A147" s="113" t="s">
        <v>14</v>
      </c>
      <c r="B147" s="114"/>
      <c r="C147" s="115"/>
      <c r="D147" s="12"/>
      <c r="E147" s="13"/>
      <c r="F147" s="14"/>
      <c r="G147" s="13">
        <f>SUM(G144:G146)</f>
        <v>2594</v>
      </c>
      <c r="H147" s="12">
        <f>I147/G147</f>
        <v>2.2000000000000002</v>
      </c>
      <c r="I147" s="15">
        <f>SUM(I144:I146)</f>
        <v>5706.8</v>
      </c>
      <c r="J147" s="139"/>
      <c r="K147" s="15">
        <f>D171</f>
        <v>5365.6500000000005</v>
      </c>
      <c r="L147" s="140">
        <f>I147-K147</f>
        <v>341.14999999999964</v>
      </c>
      <c r="M147" s="141">
        <f>L147/K147*100</f>
        <v>6.3580367709410712</v>
      </c>
    </row>
    <row r="148" spans="1:13" x14ac:dyDescent="0.3">
      <c r="A148" s="5">
        <v>2</v>
      </c>
      <c r="B148" s="6" t="s">
        <v>15</v>
      </c>
      <c r="C148" s="6" t="s">
        <v>16</v>
      </c>
      <c r="D148" s="17">
        <v>25</v>
      </c>
      <c r="E148" s="17">
        <v>25</v>
      </c>
      <c r="F148" s="17">
        <v>10</v>
      </c>
      <c r="G148" s="17">
        <f>D148*E148*F148</f>
        <v>6250</v>
      </c>
      <c r="H148" s="17">
        <v>1.4</v>
      </c>
      <c r="I148" s="10">
        <f>G148*H148</f>
        <v>8750</v>
      </c>
      <c r="J148" s="136"/>
      <c r="K148" s="9"/>
      <c r="L148" s="142"/>
      <c r="M148" s="138"/>
    </row>
    <row r="149" spans="1:13" x14ac:dyDescent="0.3">
      <c r="A149" s="5"/>
      <c r="B149" s="6"/>
      <c r="C149" s="6" t="s">
        <v>39</v>
      </c>
      <c r="D149" s="17">
        <v>18</v>
      </c>
      <c r="E149" s="17">
        <v>28</v>
      </c>
      <c r="F149" s="17">
        <v>3.5</v>
      </c>
      <c r="G149" s="17">
        <f t="shared" ref="G149:G151" si="28">D149*E149*F149</f>
        <v>1764</v>
      </c>
      <c r="H149" s="17">
        <v>1.4</v>
      </c>
      <c r="I149" s="10">
        <f>G149*H149</f>
        <v>2469.6</v>
      </c>
      <c r="J149" s="136"/>
      <c r="K149" s="9"/>
      <c r="L149" s="142"/>
      <c r="M149" s="138"/>
    </row>
    <row r="150" spans="1:13" x14ac:dyDescent="0.3">
      <c r="A150" s="5"/>
      <c r="B150" s="6"/>
      <c r="C150" s="6" t="s">
        <v>37</v>
      </c>
      <c r="D150" s="17">
        <v>18</v>
      </c>
      <c r="E150" s="17">
        <v>18</v>
      </c>
      <c r="F150" s="17">
        <v>4.5</v>
      </c>
      <c r="G150" s="17">
        <f t="shared" si="28"/>
        <v>1458</v>
      </c>
      <c r="H150" s="17">
        <v>1.4</v>
      </c>
      <c r="I150" s="10">
        <f>G150*H150</f>
        <v>2041.1999999999998</v>
      </c>
      <c r="J150" s="136"/>
      <c r="K150" s="9"/>
      <c r="L150" s="142"/>
      <c r="M150" s="138"/>
    </row>
    <row r="151" spans="1:13" ht="15" thickBot="1" x14ac:dyDescent="0.35">
      <c r="A151" s="5"/>
      <c r="B151" s="6"/>
      <c r="C151" s="6" t="s">
        <v>12</v>
      </c>
      <c r="D151" s="17">
        <v>0</v>
      </c>
      <c r="E151" s="17">
        <v>0</v>
      </c>
      <c r="F151" s="17">
        <v>0</v>
      </c>
      <c r="G151" s="17">
        <f t="shared" si="28"/>
        <v>0</v>
      </c>
      <c r="H151" s="17">
        <v>0</v>
      </c>
      <c r="I151" s="10">
        <v>0</v>
      </c>
      <c r="J151" s="136"/>
      <c r="K151" s="9"/>
      <c r="L151" s="142"/>
      <c r="M151" s="138"/>
    </row>
    <row r="152" spans="1:13" ht="15" thickBot="1" x14ac:dyDescent="0.35">
      <c r="A152" s="113" t="s">
        <v>14</v>
      </c>
      <c r="B152" s="114"/>
      <c r="C152" s="115"/>
      <c r="D152" s="13"/>
      <c r="E152" s="13"/>
      <c r="F152" s="13"/>
      <c r="G152" s="13">
        <f>SUM(G148:G151)</f>
        <v>9472</v>
      </c>
      <c r="H152" s="12">
        <f>I152/G152</f>
        <v>1.4</v>
      </c>
      <c r="I152" s="15">
        <f>SUM(I148:I151)</f>
        <v>13260.8</v>
      </c>
      <c r="J152" s="139"/>
      <c r="K152" s="15">
        <f>D170</f>
        <v>11910.087</v>
      </c>
      <c r="L152" s="140">
        <f>I152-K152</f>
        <v>1350.7129999999997</v>
      </c>
      <c r="M152" s="141">
        <f>L152/K152*100</f>
        <v>11.340916317403893</v>
      </c>
    </row>
    <row r="153" spans="1:13" x14ac:dyDescent="0.3">
      <c r="A153" s="5">
        <v>3</v>
      </c>
      <c r="B153" s="6" t="s">
        <v>19</v>
      </c>
      <c r="C153" s="6" t="s">
        <v>114</v>
      </c>
      <c r="D153" s="17">
        <v>49</v>
      </c>
      <c r="E153" s="17">
        <v>30</v>
      </c>
      <c r="F153" s="17">
        <v>2.4</v>
      </c>
      <c r="G153" s="17">
        <f t="shared" ref="G153:G157" si="29">D153*E153*F153</f>
        <v>3528</v>
      </c>
      <c r="H153" s="17">
        <v>1.4</v>
      </c>
      <c r="I153" s="10">
        <f t="shared" ref="I153:I156" si="30">G153*H153</f>
        <v>4939.2</v>
      </c>
      <c r="J153" s="136"/>
      <c r="K153" s="9"/>
      <c r="L153" s="143"/>
      <c r="M153" s="144"/>
    </row>
    <row r="154" spans="1:13" x14ac:dyDescent="0.3">
      <c r="A154" s="5"/>
      <c r="B154" s="6"/>
      <c r="C154" s="6" t="s">
        <v>115</v>
      </c>
      <c r="D154" s="17">
        <v>42</v>
      </c>
      <c r="E154" s="17">
        <v>55</v>
      </c>
      <c r="F154" s="17">
        <v>5.5</v>
      </c>
      <c r="G154" s="17">
        <f t="shared" si="29"/>
        <v>12705</v>
      </c>
      <c r="H154" s="17">
        <v>1.4</v>
      </c>
      <c r="I154" s="10">
        <f t="shared" si="30"/>
        <v>17787</v>
      </c>
      <c r="J154" s="136"/>
      <c r="K154" s="9"/>
      <c r="L154" s="143"/>
      <c r="M154" s="144"/>
    </row>
    <row r="155" spans="1:13" x14ac:dyDescent="0.3">
      <c r="A155" s="5"/>
      <c r="B155" s="6"/>
      <c r="C155" s="6" t="s">
        <v>130</v>
      </c>
      <c r="D155" s="17">
        <v>25</v>
      </c>
      <c r="E155" s="17">
        <v>40</v>
      </c>
      <c r="F155" s="17">
        <v>3.3</v>
      </c>
      <c r="G155" s="17">
        <f t="shared" si="29"/>
        <v>3300</v>
      </c>
      <c r="H155" s="17">
        <v>1.4</v>
      </c>
      <c r="I155" s="10">
        <f t="shared" si="30"/>
        <v>4620</v>
      </c>
      <c r="J155" s="136"/>
      <c r="K155" s="9"/>
      <c r="L155" s="143"/>
      <c r="M155" s="144"/>
    </row>
    <row r="156" spans="1:13" x14ac:dyDescent="0.3">
      <c r="A156" s="5"/>
      <c r="B156" s="6"/>
      <c r="C156" s="6" t="s">
        <v>131</v>
      </c>
      <c r="D156" s="17">
        <v>21</v>
      </c>
      <c r="E156" s="17">
        <v>18</v>
      </c>
      <c r="F156" s="17">
        <v>3.5</v>
      </c>
      <c r="G156" s="17">
        <f t="shared" si="29"/>
        <v>1323</v>
      </c>
      <c r="H156" s="17">
        <v>1.4</v>
      </c>
      <c r="I156" s="10">
        <f t="shared" si="30"/>
        <v>1852.1999999999998</v>
      </c>
      <c r="J156" s="136"/>
      <c r="K156" s="9"/>
      <c r="L156" s="143"/>
      <c r="M156" s="144"/>
    </row>
    <row r="157" spans="1:13" ht="15" thickBot="1" x14ac:dyDescent="0.35">
      <c r="A157" s="5"/>
      <c r="B157" s="6"/>
      <c r="C157" s="6" t="s">
        <v>12</v>
      </c>
      <c r="D157" s="17">
        <v>0</v>
      </c>
      <c r="E157" s="17">
        <v>0</v>
      </c>
      <c r="F157" s="17">
        <v>0</v>
      </c>
      <c r="G157" s="17">
        <f t="shared" si="29"/>
        <v>0</v>
      </c>
      <c r="H157" s="17">
        <v>0</v>
      </c>
      <c r="I157" s="10">
        <v>0</v>
      </c>
      <c r="J157" s="136"/>
      <c r="K157" s="9"/>
      <c r="L157" s="143"/>
      <c r="M157" s="144"/>
    </row>
    <row r="158" spans="1:13" ht="15" thickBot="1" x14ac:dyDescent="0.35">
      <c r="A158" s="116" t="s">
        <v>14</v>
      </c>
      <c r="B158" s="117"/>
      <c r="C158" s="118"/>
      <c r="D158" s="19"/>
      <c r="E158" s="19"/>
      <c r="F158" s="19"/>
      <c r="G158" s="19">
        <f>SUM(G153:G157)</f>
        <v>20856</v>
      </c>
      <c r="H158" s="20">
        <f>I158/G158</f>
        <v>1.4000000000000001</v>
      </c>
      <c r="I158" s="21">
        <f>SUM(I153:I157)</f>
        <v>29198.400000000001</v>
      </c>
      <c r="J158" s="145"/>
      <c r="K158" s="21">
        <f>D168</f>
        <v>28619.929</v>
      </c>
      <c r="L158" s="140">
        <f>I158-K158</f>
        <v>578.47100000000137</v>
      </c>
      <c r="M158" s="141">
        <f>L158/K158*100</f>
        <v>2.0212174530551819</v>
      </c>
    </row>
    <row r="159" spans="1:13" x14ac:dyDescent="0.3">
      <c r="A159" s="5">
        <v>4</v>
      </c>
      <c r="B159" s="6" t="s">
        <v>23</v>
      </c>
      <c r="C159" s="6" t="s">
        <v>24</v>
      </c>
      <c r="D159" s="17">
        <v>28</v>
      </c>
      <c r="E159" s="17">
        <v>28</v>
      </c>
      <c r="F159" s="17">
        <v>2.5</v>
      </c>
      <c r="G159" s="17">
        <f t="shared" ref="G159:G161" si="31">D159*E159*F159</f>
        <v>1960</v>
      </c>
      <c r="H159" s="7">
        <v>1.8</v>
      </c>
      <c r="I159" s="10">
        <f t="shared" ref="I159:I161" si="32">G159*H159</f>
        <v>3528</v>
      </c>
      <c r="J159" s="136"/>
      <c r="K159" s="9"/>
      <c r="L159" s="142"/>
      <c r="M159" s="138"/>
    </row>
    <row r="160" spans="1:13" x14ac:dyDescent="0.3">
      <c r="A160" s="5"/>
      <c r="B160" s="6"/>
      <c r="C160" s="6" t="s">
        <v>103</v>
      </c>
      <c r="D160" s="17">
        <v>28</v>
      </c>
      <c r="E160" s="17">
        <v>5</v>
      </c>
      <c r="F160" s="17">
        <v>1.5</v>
      </c>
      <c r="G160" s="17">
        <f t="shared" si="31"/>
        <v>210</v>
      </c>
      <c r="H160" s="7">
        <v>1.8</v>
      </c>
      <c r="I160" s="10">
        <f t="shared" si="32"/>
        <v>378</v>
      </c>
      <c r="J160" s="136"/>
      <c r="K160" s="9"/>
      <c r="L160" s="142"/>
      <c r="M160" s="138"/>
    </row>
    <row r="161" spans="1:13" x14ac:dyDescent="0.3">
      <c r="A161" s="5"/>
      <c r="B161" s="6"/>
      <c r="C161" s="6" t="s">
        <v>116</v>
      </c>
      <c r="D161" s="17">
        <v>27</v>
      </c>
      <c r="E161" s="17">
        <v>19</v>
      </c>
      <c r="F161" s="17">
        <v>4.5</v>
      </c>
      <c r="G161" s="17">
        <f t="shared" si="31"/>
        <v>2308.5</v>
      </c>
      <c r="H161" s="7">
        <v>1.8</v>
      </c>
      <c r="I161" s="10">
        <f t="shared" si="32"/>
        <v>4155.3</v>
      </c>
      <c r="J161" s="136"/>
      <c r="K161" s="9"/>
      <c r="L161" s="142"/>
      <c r="M161" s="138"/>
    </row>
    <row r="162" spans="1:13" x14ac:dyDescent="0.3">
      <c r="A162" s="5"/>
      <c r="B162" s="6"/>
      <c r="C162" s="6" t="s">
        <v>25</v>
      </c>
      <c r="D162" s="17" t="s">
        <v>13</v>
      </c>
      <c r="E162" s="17" t="s">
        <v>13</v>
      </c>
      <c r="F162" s="17">
        <v>0</v>
      </c>
      <c r="G162" s="17" t="s">
        <v>13</v>
      </c>
      <c r="H162" s="7" t="s">
        <v>13</v>
      </c>
      <c r="I162" s="10">
        <v>0</v>
      </c>
      <c r="J162" s="136"/>
      <c r="K162" s="9"/>
      <c r="L162" s="142"/>
      <c r="M162" s="138"/>
    </row>
    <row r="163" spans="1:13" ht="15" thickBot="1" x14ac:dyDescent="0.35">
      <c r="A163" s="5"/>
      <c r="B163" s="6"/>
      <c r="C163" s="6" t="s">
        <v>12</v>
      </c>
      <c r="D163" s="17"/>
      <c r="E163" s="17"/>
      <c r="F163" s="17"/>
      <c r="G163" s="17"/>
      <c r="H163" s="7"/>
      <c r="I163" s="10">
        <v>45</v>
      </c>
      <c r="J163" s="136"/>
      <c r="K163" s="9"/>
      <c r="L163" s="142"/>
      <c r="M163" s="138"/>
    </row>
    <row r="164" spans="1:13" ht="15" thickBot="1" x14ac:dyDescent="0.35">
      <c r="A164" s="116" t="s">
        <v>14</v>
      </c>
      <c r="B164" s="117"/>
      <c r="C164" s="118"/>
      <c r="D164" s="19"/>
      <c r="E164" s="19"/>
      <c r="F164" s="19"/>
      <c r="G164" s="19">
        <f>SUM(G159:G163)</f>
        <v>4478.5</v>
      </c>
      <c r="H164" s="20">
        <v>1.8</v>
      </c>
      <c r="I164" s="21">
        <f>SUM(I159:I163)</f>
        <v>8106.3</v>
      </c>
      <c r="J164" s="146"/>
      <c r="K164" s="21">
        <f>D169</f>
        <v>7445.380000000001</v>
      </c>
      <c r="L164" s="147">
        <f>I164-K164</f>
        <v>660.91999999999916</v>
      </c>
      <c r="M164" s="141">
        <f>L164/K164*100</f>
        <v>8.8769142743553608</v>
      </c>
    </row>
    <row r="165" spans="1:13" ht="15" thickBot="1" x14ac:dyDescent="0.35">
      <c r="A165" s="1"/>
      <c r="B165" s="148"/>
      <c r="C165" s="148"/>
      <c r="D165" s="148"/>
      <c r="E165" s="148"/>
      <c r="F165" s="148"/>
      <c r="G165" s="136"/>
      <c r="H165" s="136"/>
      <c r="I165" s="136"/>
      <c r="J165" s="136"/>
      <c r="K165" s="148"/>
      <c r="L165" s="149"/>
      <c r="M165" s="138" t="s">
        <v>17</v>
      </c>
    </row>
    <row r="166" spans="1:13" ht="15" thickBot="1" x14ac:dyDescent="0.35">
      <c r="A166" s="150" t="s">
        <v>26</v>
      </c>
      <c r="B166" s="150"/>
      <c r="C166" s="151"/>
      <c r="D166" s="151"/>
      <c r="E166" s="151"/>
      <c r="F166" s="151"/>
      <c r="G166" s="151"/>
      <c r="H166" s="151"/>
      <c r="I166" s="151"/>
      <c r="J166" s="151"/>
      <c r="K166" s="151"/>
      <c r="L166" s="151"/>
      <c r="M166" s="152"/>
    </row>
    <row r="167" spans="1:13" x14ac:dyDescent="0.3">
      <c r="A167" s="153"/>
      <c r="B167" s="67" t="s">
        <v>27</v>
      </c>
      <c r="C167" s="67" t="s">
        <v>28</v>
      </c>
      <c r="D167" s="75" t="s">
        <v>14</v>
      </c>
      <c r="E167" s="148"/>
      <c r="F167" s="148"/>
      <c r="G167" s="136"/>
      <c r="H167" s="136"/>
      <c r="I167" s="136"/>
      <c r="J167" s="136"/>
      <c r="K167" s="148"/>
      <c r="L167" s="148"/>
      <c r="M167" s="154"/>
    </row>
    <row r="168" spans="1:13" x14ac:dyDescent="0.3">
      <c r="A168" s="155" t="s">
        <v>19</v>
      </c>
      <c r="B168" s="37">
        <v>0</v>
      </c>
      <c r="C168" s="55">
        <v>28619.929</v>
      </c>
      <c r="D168" s="73">
        <f>C168+B168</f>
        <v>28619.929</v>
      </c>
      <c r="E168" s="148"/>
      <c r="F168" s="148"/>
      <c r="G168" s="136"/>
      <c r="H168" s="136"/>
      <c r="I168" s="136"/>
      <c r="J168" s="136"/>
      <c r="K168" s="148"/>
      <c r="L168" s="148"/>
      <c r="M168" s="154"/>
    </row>
    <row r="169" spans="1:13" x14ac:dyDescent="0.3">
      <c r="A169" s="155" t="s">
        <v>23</v>
      </c>
      <c r="B169" s="37">
        <v>0</v>
      </c>
      <c r="C169" s="55">
        <v>7445.380000000001</v>
      </c>
      <c r="D169" s="73">
        <f t="shared" ref="D169" si="33">C169+B169</f>
        <v>7445.380000000001</v>
      </c>
      <c r="E169" s="148"/>
      <c r="F169" s="148"/>
      <c r="G169" s="136" t="s">
        <v>17</v>
      </c>
      <c r="H169" s="136"/>
      <c r="I169" s="136"/>
      <c r="J169" s="136"/>
      <c r="K169" s="148"/>
      <c r="L169" s="148"/>
      <c r="M169" s="154"/>
    </row>
    <row r="170" spans="1:13" x14ac:dyDescent="0.3">
      <c r="A170" s="156" t="s">
        <v>15</v>
      </c>
      <c r="B170" s="37">
        <v>0</v>
      </c>
      <c r="C170" s="55">
        <f>3281.54+8628.547</f>
        <v>11910.087</v>
      </c>
      <c r="D170" s="73">
        <f>C170+B170</f>
        <v>11910.087</v>
      </c>
      <c r="E170" s="148"/>
      <c r="F170" s="148"/>
      <c r="G170" s="136"/>
      <c r="H170" s="136"/>
      <c r="I170" s="136"/>
      <c r="J170" s="136"/>
      <c r="K170" s="148"/>
      <c r="L170" s="148"/>
      <c r="M170" s="154"/>
    </row>
    <row r="171" spans="1:13" ht="15" thickBot="1" x14ac:dyDescent="0.35">
      <c r="A171" s="157" t="s">
        <v>29</v>
      </c>
      <c r="B171" s="44">
        <v>0</v>
      </c>
      <c r="C171" s="55">
        <v>5365.6500000000005</v>
      </c>
      <c r="D171" s="74">
        <f t="shared" ref="D171" si="34">C171+B171</f>
        <v>5365.6500000000005</v>
      </c>
      <c r="E171" s="132"/>
      <c r="F171" s="132"/>
      <c r="G171" s="133"/>
      <c r="H171" s="133"/>
      <c r="I171" s="133"/>
      <c r="J171" s="133"/>
      <c r="K171" s="132"/>
      <c r="L171" s="132"/>
      <c r="M171" s="158"/>
    </row>
    <row r="172" spans="1:13" ht="15" thickBot="1" x14ac:dyDescent="0.35">
      <c r="A172" s="159"/>
      <c r="B172" s="131"/>
      <c r="C172" s="160"/>
      <c r="D172" s="161"/>
      <c r="E172" s="161"/>
      <c r="F172" s="161"/>
      <c r="G172" s="161"/>
      <c r="H172" s="161"/>
      <c r="I172" s="161"/>
      <c r="J172" s="161"/>
      <c r="K172" s="161"/>
      <c r="L172" s="161"/>
      <c r="M172" s="162"/>
    </row>
    <row r="173" spans="1:13" ht="15" thickBot="1" x14ac:dyDescent="0.35">
      <c r="A173" s="163" t="s">
        <v>43</v>
      </c>
      <c r="B173" s="164"/>
      <c r="C173" s="165" t="s">
        <v>42</v>
      </c>
      <c r="D173" s="166"/>
      <c r="E173" s="166"/>
      <c r="F173" s="166"/>
      <c r="G173" s="166"/>
      <c r="H173" s="166"/>
      <c r="I173" s="167"/>
      <c r="J173" s="165" t="s">
        <v>45</v>
      </c>
      <c r="K173" s="166"/>
      <c r="L173" s="166"/>
      <c r="M173" s="167"/>
    </row>
    <row r="174" spans="1:13" x14ac:dyDescent="0.3">
      <c r="A174" s="163" t="s">
        <v>44</v>
      </c>
      <c r="B174" s="131"/>
      <c r="C174" s="168" t="s">
        <v>46</v>
      </c>
      <c r="D174" s="164"/>
      <c r="E174" s="168" t="s">
        <v>17</v>
      </c>
      <c r="F174" s="130" t="s">
        <v>111</v>
      </c>
      <c r="G174" s="164"/>
      <c r="H174" s="164" t="s">
        <v>17</v>
      </c>
      <c r="I174" s="164"/>
      <c r="J174" s="159"/>
      <c r="K174" s="164"/>
      <c r="L174" s="164"/>
      <c r="M174" s="131"/>
    </row>
    <row r="175" spans="1:13" ht="18.600000000000001" customHeight="1" thickBot="1" x14ac:dyDescent="0.35">
      <c r="A175" s="169"/>
      <c r="B175" s="134"/>
      <c r="C175" s="170" t="s">
        <v>49</v>
      </c>
      <c r="D175" s="170"/>
      <c r="E175" s="170" t="s">
        <v>132</v>
      </c>
      <c r="F175" s="170"/>
      <c r="G175" s="170"/>
      <c r="H175" s="171"/>
      <c r="I175" s="171"/>
      <c r="J175" s="169"/>
      <c r="K175" s="171"/>
      <c r="L175" s="171"/>
      <c r="M175" s="134"/>
    </row>
  </sheetData>
  <mergeCells count="25">
    <mergeCell ref="A106:L106"/>
    <mergeCell ref="A111:C111"/>
    <mergeCell ref="A116:C116"/>
    <mergeCell ref="A122:C122"/>
    <mergeCell ref="A127:C127"/>
    <mergeCell ref="A34:L34"/>
    <mergeCell ref="A39:C39"/>
    <mergeCell ref="A44:C44"/>
    <mergeCell ref="A50:C50"/>
    <mergeCell ref="A55:C55"/>
    <mergeCell ref="A1:L1"/>
    <mergeCell ref="A6:C6"/>
    <mergeCell ref="A10:C10"/>
    <mergeCell ref="A19:C19"/>
    <mergeCell ref="A23:C23"/>
    <mergeCell ref="A70:L70"/>
    <mergeCell ref="A75:C75"/>
    <mergeCell ref="A80:C80"/>
    <mergeCell ref="A86:C86"/>
    <mergeCell ref="A90:C90"/>
    <mergeCell ref="A141:L141"/>
    <mergeCell ref="A147:C147"/>
    <mergeCell ref="A152:C152"/>
    <mergeCell ref="A158:C158"/>
    <mergeCell ref="A164:C164"/>
  </mergeCells>
  <pageMargins left="0.7" right="0.7" top="0.75" bottom="0.75" header="0.3" footer="0.3"/>
  <ignoredErrors>
    <ignoredError sqref="H6 G10:H10 G19:H19 H39 G44:H44 G50:H50 H75 G80 H111 G116:H116 G122:H122 H147 G158 G152" formula="1"/>
    <ignoredError sqref="D96" evalError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6BB89-2A87-43BE-A33E-C6DFBE96A58E}">
  <dimension ref="A1:Y47"/>
  <sheetViews>
    <sheetView topLeftCell="A34" workbookViewId="0">
      <selection activeCell="E53" sqref="E53"/>
    </sheetView>
  </sheetViews>
  <sheetFormatPr defaultRowHeight="14.4" x14ac:dyDescent="0.3"/>
  <cols>
    <col min="1" max="1" width="5.88671875" customWidth="1"/>
    <col min="2" max="2" width="15.6640625" customWidth="1"/>
    <col min="3" max="3" width="39.109375" customWidth="1"/>
    <col min="4" max="4" width="13.88671875" customWidth="1"/>
    <col min="5" max="5" width="11.5546875" customWidth="1"/>
    <col min="6" max="6" width="14.33203125" customWidth="1"/>
    <col min="7" max="7" width="15.6640625" customWidth="1"/>
    <col min="8" max="8" width="21.33203125" customWidth="1"/>
    <col min="9" max="18" width="15.6640625" customWidth="1"/>
    <col min="19" max="19" width="10.5546875" bestFit="1" customWidth="1"/>
    <col min="20" max="20" width="16.33203125" bestFit="1" customWidth="1"/>
    <col min="21" max="21" width="12.77734375" bestFit="1" customWidth="1"/>
    <col min="257" max="257" width="5.88671875" customWidth="1"/>
    <col min="258" max="258" width="15.6640625" customWidth="1"/>
    <col min="259" max="259" width="39.109375" customWidth="1"/>
    <col min="260" max="261" width="19.5546875" customWidth="1"/>
    <col min="262" max="274" width="15.6640625" customWidth="1"/>
    <col min="513" max="513" width="5.88671875" customWidth="1"/>
    <col min="514" max="514" width="15.6640625" customWidth="1"/>
    <col min="515" max="515" width="39.109375" customWidth="1"/>
    <col min="516" max="517" width="19.5546875" customWidth="1"/>
    <col min="518" max="530" width="15.6640625" customWidth="1"/>
    <col min="769" max="769" width="5.88671875" customWidth="1"/>
    <col min="770" max="770" width="15.6640625" customWidth="1"/>
    <col min="771" max="771" width="39.109375" customWidth="1"/>
    <col min="772" max="773" width="19.5546875" customWidth="1"/>
    <col min="774" max="786" width="15.6640625" customWidth="1"/>
    <col min="1025" max="1025" width="5.88671875" customWidth="1"/>
    <col min="1026" max="1026" width="15.6640625" customWidth="1"/>
    <col min="1027" max="1027" width="39.109375" customWidth="1"/>
    <col min="1028" max="1029" width="19.5546875" customWidth="1"/>
    <col min="1030" max="1042" width="15.6640625" customWidth="1"/>
    <col min="1281" max="1281" width="5.88671875" customWidth="1"/>
    <col min="1282" max="1282" width="15.6640625" customWidth="1"/>
    <col min="1283" max="1283" width="39.109375" customWidth="1"/>
    <col min="1284" max="1285" width="19.5546875" customWidth="1"/>
    <col min="1286" max="1298" width="15.6640625" customWidth="1"/>
    <col min="1537" max="1537" width="5.88671875" customWidth="1"/>
    <col min="1538" max="1538" width="15.6640625" customWidth="1"/>
    <col min="1539" max="1539" width="39.109375" customWidth="1"/>
    <col min="1540" max="1541" width="19.5546875" customWidth="1"/>
    <col min="1542" max="1554" width="15.6640625" customWidth="1"/>
    <col min="1793" max="1793" width="5.88671875" customWidth="1"/>
    <col min="1794" max="1794" width="15.6640625" customWidth="1"/>
    <col min="1795" max="1795" width="39.109375" customWidth="1"/>
    <col min="1796" max="1797" width="19.5546875" customWidth="1"/>
    <col min="1798" max="1810" width="15.6640625" customWidth="1"/>
    <col min="2049" max="2049" width="5.88671875" customWidth="1"/>
    <col min="2050" max="2050" width="15.6640625" customWidth="1"/>
    <col min="2051" max="2051" width="39.109375" customWidth="1"/>
    <col min="2052" max="2053" width="19.5546875" customWidth="1"/>
    <col min="2054" max="2066" width="15.6640625" customWidth="1"/>
    <col min="2305" max="2305" width="5.88671875" customWidth="1"/>
    <col min="2306" max="2306" width="15.6640625" customWidth="1"/>
    <col min="2307" max="2307" width="39.109375" customWidth="1"/>
    <col min="2308" max="2309" width="19.5546875" customWidth="1"/>
    <col min="2310" max="2322" width="15.6640625" customWidth="1"/>
    <col min="2561" max="2561" width="5.88671875" customWidth="1"/>
    <col min="2562" max="2562" width="15.6640625" customWidth="1"/>
    <col min="2563" max="2563" width="39.109375" customWidth="1"/>
    <col min="2564" max="2565" width="19.5546875" customWidth="1"/>
    <col min="2566" max="2578" width="15.6640625" customWidth="1"/>
    <col min="2817" max="2817" width="5.88671875" customWidth="1"/>
    <col min="2818" max="2818" width="15.6640625" customWidth="1"/>
    <col min="2819" max="2819" width="39.109375" customWidth="1"/>
    <col min="2820" max="2821" width="19.5546875" customWidth="1"/>
    <col min="2822" max="2834" width="15.6640625" customWidth="1"/>
    <col min="3073" max="3073" width="5.88671875" customWidth="1"/>
    <col min="3074" max="3074" width="15.6640625" customWidth="1"/>
    <col min="3075" max="3075" width="39.109375" customWidth="1"/>
    <col min="3076" max="3077" width="19.5546875" customWidth="1"/>
    <col min="3078" max="3090" width="15.6640625" customWidth="1"/>
    <col min="3329" max="3329" width="5.88671875" customWidth="1"/>
    <col min="3330" max="3330" width="15.6640625" customWidth="1"/>
    <col min="3331" max="3331" width="39.109375" customWidth="1"/>
    <col min="3332" max="3333" width="19.5546875" customWidth="1"/>
    <col min="3334" max="3346" width="15.6640625" customWidth="1"/>
    <col min="3585" max="3585" width="5.88671875" customWidth="1"/>
    <col min="3586" max="3586" width="15.6640625" customWidth="1"/>
    <col min="3587" max="3587" width="39.109375" customWidth="1"/>
    <col min="3588" max="3589" width="19.5546875" customWidth="1"/>
    <col min="3590" max="3602" width="15.6640625" customWidth="1"/>
    <col min="3841" max="3841" width="5.88671875" customWidth="1"/>
    <col min="3842" max="3842" width="15.6640625" customWidth="1"/>
    <col min="3843" max="3843" width="39.109375" customWidth="1"/>
    <col min="3844" max="3845" width="19.5546875" customWidth="1"/>
    <col min="3846" max="3858" width="15.6640625" customWidth="1"/>
    <col min="4097" max="4097" width="5.88671875" customWidth="1"/>
    <col min="4098" max="4098" width="15.6640625" customWidth="1"/>
    <col min="4099" max="4099" width="39.109375" customWidth="1"/>
    <col min="4100" max="4101" width="19.5546875" customWidth="1"/>
    <col min="4102" max="4114" width="15.6640625" customWidth="1"/>
    <col min="4353" max="4353" width="5.88671875" customWidth="1"/>
    <col min="4354" max="4354" width="15.6640625" customWidth="1"/>
    <col min="4355" max="4355" width="39.109375" customWidth="1"/>
    <col min="4356" max="4357" width="19.5546875" customWidth="1"/>
    <col min="4358" max="4370" width="15.6640625" customWidth="1"/>
    <col min="4609" max="4609" width="5.88671875" customWidth="1"/>
    <col min="4610" max="4610" width="15.6640625" customWidth="1"/>
    <col min="4611" max="4611" width="39.109375" customWidth="1"/>
    <col min="4612" max="4613" width="19.5546875" customWidth="1"/>
    <col min="4614" max="4626" width="15.6640625" customWidth="1"/>
    <col min="4865" max="4865" width="5.88671875" customWidth="1"/>
    <col min="4866" max="4866" width="15.6640625" customWidth="1"/>
    <col min="4867" max="4867" width="39.109375" customWidth="1"/>
    <col min="4868" max="4869" width="19.5546875" customWidth="1"/>
    <col min="4870" max="4882" width="15.6640625" customWidth="1"/>
    <col min="5121" max="5121" width="5.88671875" customWidth="1"/>
    <col min="5122" max="5122" width="15.6640625" customWidth="1"/>
    <col min="5123" max="5123" width="39.109375" customWidth="1"/>
    <col min="5124" max="5125" width="19.5546875" customWidth="1"/>
    <col min="5126" max="5138" width="15.6640625" customWidth="1"/>
    <col min="5377" max="5377" width="5.88671875" customWidth="1"/>
    <col min="5378" max="5378" width="15.6640625" customWidth="1"/>
    <col min="5379" max="5379" width="39.109375" customWidth="1"/>
    <col min="5380" max="5381" width="19.5546875" customWidth="1"/>
    <col min="5382" max="5394" width="15.6640625" customWidth="1"/>
    <col min="5633" max="5633" width="5.88671875" customWidth="1"/>
    <col min="5634" max="5634" width="15.6640625" customWidth="1"/>
    <col min="5635" max="5635" width="39.109375" customWidth="1"/>
    <col min="5636" max="5637" width="19.5546875" customWidth="1"/>
    <col min="5638" max="5650" width="15.6640625" customWidth="1"/>
    <col min="5889" max="5889" width="5.88671875" customWidth="1"/>
    <col min="5890" max="5890" width="15.6640625" customWidth="1"/>
    <col min="5891" max="5891" width="39.109375" customWidth="1"/>
    <col min="5892" max="5893" width="19.5546875" customWidth="1"/>
    <col min="5894" max="5906" width="15.6640625" customWidth="1"/>
    <col min="6145" max="6145" width="5.88671875" customWidth="1"/>
    <col min="6146" max="6146" width="15.6640625" customWidth="1"/>
    <col min="6147" max="6147" width="39.109375" customWidth="1"/>
    <col min="6148" max="6149" width="19.5546875" customWidth="1"/>
    <col min="6150" max="6162" width="15.6640625" customWidth="1"/>
    <col min="6401" max="6401" width="5.88671875" customWidth="1"/>
    <col min="6402" max="6402" width="15.6640625" customWidth="1"/>
    <col min="6403" max="6403" width="39.109375" customWidth="1"/>
    <col min="6404" max="6405" width="19.5546875" customWidth="1"/>
    <col min="6406" max="6418" width="15.6640625" customWidth="1"/>
    <col min="6657" max="6657" width="5.88671875" customWidth="1"/>
    <col min="6658" max="6658" width="15.6640625" customWidth="1"/>
    <col min="6659" max="6659" width="39.109375" customWidth="1"/>
    <col min="6660" max="6661" width="19.5546875" customWidth="1"/>
    <col min="6662" max="6674" width="15.6640625" customWidth="1"/>
    <col min="6913" max="6913" width="5.88671875" customWidth="1"/>
    <col min="6914" max="6914" width="15.6640625" customWidth="1"/>
    <col min="6915" max="6915" width="39.109375" customWidth="1"/>
    <col min="6916" max="6917" width="19.5546875" customWidth="1"/>
    <col min="6918" max="6930" width="15.6640625" customWidth="1"/>
    <col min="7169" max="7169" width="5.88671875" customWidth="1"/>
    <col min="7170" max="7170" width="15.6640625" customWidth="1"/>
    <col min="7171" max="7171" width="39.109375" customWidth="1"/>
    <col min="7172" max="7173" width="19.5546875" customWidth="1"/>
    <col min="7174" max="7186" width="15.6640625" customWidth="1"/>
    <col min="7425" max="7425" width="5.88671875" customWidth="1"/>
    <col min="7426" max="7426" width="15.6640625" customWidth="1"/>
    <col min="7427" max="7427" width="39.109375" customWidth="1"/>
    <col min="7428" max="7429" width="19.5546875" customWidth="1"/>
    <col min="7430" max="7442" width="15.6640625" customWidth="1"/>
    <col min="7681" max="7681" width="5.88671875" customWidth="1"/>
    <col min="7682" max="7682" width="15.6640625" customWidth="1"/>
    <col min="7683" max="7683" width="39.109375" customWidth="1"/>
    <col min="7684" max="7685" width="19.5546875" customWidth="1"/>
    <col min="7686" max="7698" width="15.6640625" customWidth="1"/>
    <col min="7937" max="7937" width="5.88671875" customWidth="1"/>
    <col min="7938" max="7938" width="15.6640625" customWidth="1"/>
    <col min="7939" max="7939" width="39.109375" customWidth="1"/>
    <col min="7940" max="7941" width="19.5546875" customWidth="1"/>
    <col min="7942" max="7954" width="15.6640625" customWidth="1"/>
    <col min="8193" max="8193" width="5.88671875" customWidth="1"/>
    <col min="8194" max="8194" width="15.6640625" customWidth="1"/>
    <col min="8195" max="8195" width="39.109375" customWidth="1"/>
    <col min="8196" max="8197" width="19.5546875" customWidth="1"/>
    <col min="8198" max="8210" width="15.6640625" customWidth="1"/>
    <col min="8449" max="8449" width="5.88671875" customWidth="1"/>
    <col min="8450" max="8450" width="15.6640625" customWidth="1"/>
    <col min="8451" max="8451" width="39.109375" customWidth="1"/>
    <col min="8452" max="8453" width="19.5546875" customWidth="1"/>
    <col min="8454" max="8466" width="15.6640625" customWidth="1"/>
    <col min="8705" max="8705" width="5.88671875" customWidth="1"/>
    <col min="8706" max="8706" width="15.6640625" customWidth="1"/>
    <col min="8707" max="8707" width="39.109375" customWidth="1"/>
    <col min="8708" max="8709" width="19.5546875" customWidth="1"/>
    <col min="8710" max="8722" width="15.6640625" customWidth="1"/>
    <col min="8961" max="8961" width="5.88671875" customWidth="1"/>
    <col min="8962" max="8962" width="15.6640625" customWidth="1"/>
    <col min="8963" max="8963" width="39.109375" customWidth="1"/>
    <col min="8964" max="8965" width="19.5546875" customWidth="1"/>
    <col min="8966" max="8978" width="15.6640625" customWidth="1"/>
    <col min="9217" max="9217" width="5.88671875" customWidth="1"/>
    <col min="9218" max="9218" width="15.6640625" customWidth="1"/>
    <col min="9219" max="9219" width="39.109375" customWidth="1"/>
    <col min="9220" max="9221" width="19.5546875" customWidth="1"/>
    <col min="9222" max="9234" width="15.6640625" customWidth="1"/>
    <col min="9473" max="9473" width="5.88671875" customWidth="1"/>
    <col min="9474" max="9474" width="15.6640625" customWidth="1"/>
    <col min="9475" max="9475" width="39.109375" customWidth="1"/>
    <col min="9476" max="9477" width="19.5546875" customWidth="1"/>
    <col min="9478" max="9490" width="15.6640625" customWidth="1"/>
    <col min="9729" max="9729" width="5.88671875" customWidth="1"/>
    <col min="9730" max="9730" width="15.6640625" customWidth="1"/>
    <col min="9731" max="9731" width="39.109375" customWidth="1"/>
    <col min="9732" max="9733" width="19.5546875" customWidth="1"/>
    <col min="9734" max="9746" width="15.6640625" customWidth="1"/>
    <col min="9985" max="9985" width="5.88671875" customWidth="1"/>
    <col min="9986" max="9986" width="15.6640625" customWidth="1"/>
    <col min="9987" max="9987" width="39.109375" customWidth="1"/>
    <col min="9988" max="9989" width="19.5546875" customWidth="1"/>
    <col min="9990" max="10002" width="15.6640625" customWidth="1"/>
    <col min="10241" max="10241" width="5.88671875" customWidth="1"/>
    <col min="10242" max="10242" width="15.6640625" customWidth="1"/>
    <col min="10243" max="10243" width="39.109375" customWidth="1"/>
    <col min="10244" max="10245" width="19.5546875" customWidth="1"/>
    <col min="10246" max="10258" width="15.6640625" customWidth="1"/>
    <col min="10497" max="10497" width="5.88671875" customWidth="1"/>
    <col min="10498" max="10498" width="15.6640625" customWidth="1"/>
    <col min="10499" max="10499" width="39.109375" customWidth="1"/>
    <col min="10500" max="10501" width="19.5546875" customWidth="1"/>
    <col min="10502" max="10514" width="15.6640625" customWidth="1"/>
    <col min="10753" max="10753" width="5.88671875" customWidth="1"/>
    <col min="10754" max="10754" width="15.6640625" customWidth="1"/>
    <col min="10755" max="10755" width="39.109375" customWidth="1"/>
    <col min="10756" max="10757" width="19.5546875" customWidth="1"/>
    <col min="10758" max="10770" width="15.6640625" customWidth="1"/>
    <col min="11009" max="11009" width="5.88671875" customWidth="1"/>
    <col min="11010" max="11010" width="15.6640625" customWidth="1"/>
    <col min="11011" max="11011" width="39.109375" customWidth="1"/>
    <col min="11012" max="11013" width="19.5546875" customWidth="1"/>
    <col min="11014" max="11026" width="15.6640625" customWidth="1"/>
    <col min="11265" max="11265" width="5.88671875" customWidth="1"/>
    <col min="11266" max="11266" width="15.6640625" customWidth="1"/>
    <col min="11267" max="11267" width="39.109375" customWidth="1"/>
    <col min="11268" max="11269" width="19.5546875" customWidth="1"/>
    <col min="11270" max="11282" width="15.6640625" customWidth="1"/>
    <col min="11521" max="11521" width="5.88671875" customWidth="1"/>
    <col min="11522" max="11522" width="15.6640625" customWidth="1"/>
    <col min="11523" max="11523" width="39.109375" customWidth="1"/>
    <col min="11524" max="11525" width="19.5546875" customWidth="1"/>
    <col min="11526" max="11538" width="15.6640625" customWidth="1"/>
    <col min="11777" max="11777" width="5.88671875" customWidth="1"/>
    <col min="11778" max="11778" width="15.6640625" customWidth="1"/>
    <col min="11779" max="11779" width="39.109375" customWidth="1"/>
    <col min="11780" max="11781" width="19.5546875" customWidth="1"/>
    <col min="11782" max="11794" width="15.6640625" customWidth="1"/>
    <col min="12033" max="12033" width="5.88671875" customWidth="1"/>
    <col min="12034" max="12034" width="15.6640625" customWidth="1"/>
    <col min="12035" max="12035" width="39.109375" customWidth="1"/>
    <col min="12036" max="12037" width="19.5546875" customWidth="1"/>
    <col min="12038" max="12050" width="15.6640625" customWidth="1"/>
    <col min="12289" max="12289" width="5.88671875" customWidth="1"/>
    <col min="12290" max="12290" width="15.6640625" customWidth="1"/>
    <col min="12291" max="12291" width="39.109375" customWidth="1"/>
    <col min="12292" max="12293" width="19.5546875" customWidth="1"/>
    <col min="12294" max="12306" width="15.6640625" customWidth="1"/>
    <col min="12545" max="12545" width="5.88671875" customWidth="1"/>
    <col min="12546" max="12546" width="15.6640625" customWidth="1"/>
    <col min="12547" max="12547" width="39.109375" customWidth="1"/>
    <col min="12548" max="12549" width="19.5546875" customWidth="1"/>
    <col min="12550" max="12562" width="15.6640625" customWidth="1"/>
    <col min="12801" max="12801" width="5.88671875" customWidth="1"/>
    <col min="12802" max="12802" width="15.6640625" customWidth="1"/>
    <col min="12803" max="12803" width="39.109375" customWidth="1"/>
    <col min="12804" max="12805" width="19.5546875" customWidth="1"/>
    <col min="12806" max="12818" width="15.6640625" customWidth="1"/>
    <col min="13057" max="13057" width="5.88671875" customWidth="1"/>
    <col min="13058" max="13058" width="15.6640625" customWidth="1"/>
    <col min="13059" max="13059" width="39.109375" customWidth="1"/>
    <col min="13060" max="13061" width="19.5546875" customWidth="1"/>
    <col min="13062" max="13074" width="15.6640625" customWidth="1"/>
    <col min="13313" max="13313" width="5.88671875" customWidth="1"/>
    <col min="13314" max="13314" width="15.6640625" customWidth="1"/>
    <col min="13315" max="13315" width="39.109375" customWidth="1"/>
    <col min="13316" max="13317" width="19.5546875" customWidth="1"/>
    <col min="13318" max="13330" width="15.6640625" customWidth="1"/>
    <col min="13569" max="13569" width="5.88671875" customWidth="1"/>
    <col min="13570" max="13570" width="15.6640625" customWidth="1"/>
    <col min="13571" max="13571" width="39.109375" customWidth="1"/>
    <col min="13572" max="13573" width="19.5546875" customWidth="1"/>
    <col min="13574" max="13586" width="15.6640625" customWidth="1"/>
    <col min="13825" max="13825" width="5.88671875" customWidth="1"/>
    <col min="13826" max="13826" width="15.6640625" customWidth="1"/>
    <col min="13827" max="13827" width="39.109375" customWidth="1"/>
    <col min="13828" max="13829" width="19.5546875" customWidth="1"/>
    <col min="13830" max="13842" width="15.6640625" customWidth="1"/>
    <col min="14081" max="14081" width="5.88671875" customWidth="1"/>
    <col min="14082" max="14082" width="15.6640625" customWidth="1"/>
    <col min="14083" max="14083" width="39.109375" customWidth="1"/>
    <col min="14084" max="14085" width="19.5546875" customWidth="1"/>
    <col min="14086" max="14098" width="15.6640625" customWidth="1"/>
    <col min="14337" max="14337" width="5.88671875" customWidth="1"/>
    <col min="14338" max="14338" width="15.6640625" customWidth="1"/>
    <col min="14339" max="14339" width="39.109375" customWidth="1"/>
    <col min="14340" max="14341" width="19.5546875" customWidth="1"/>
    <col min="14342" max="14354" width="15.6640625" customWidth="1"/>
    <col min="14593" max="14593" width="5.88671875" customWidth="1"/>
    <col min="14594" max="14594" width="15.6640625" customWidth="1"/>
    <col min="14595" max="14595" width="39.109375" customWidth="1"/>
    <col min="14596" max="14597" width="19.5546875" customWidth="1"/>
    <col min="14598" max="14610" width="15.6640625" customWidth="1"/>
    <col min="14849" max="14849" width="5.88671875" customWidth="1"/>
    <col min="14850" max="14850" width="15.6640625" customWidth="1"/>
    <col min="14851" max="14851" width="39.109375" customWidth="1"/>
    <col min="14852" max="14853" width="19.5546875" customWidth="1"/>
    <col min="14854" max="14866" width="15.6640625" customWidth="1"/>
    <col min="15105" max="15105" width="5.88671875" customWidth="1"/>
    <col min="15106" max="15106" width="15.6640625" customWidth="1"/>
    <col min="15107" max="15107" width="39.109375" customWidth="1"/>
    <col min="15108" max="15109" width="19.5546875" customWidth="1"/>
    <col min="15110" max="15122" width="15.6640625" customWidth="1"/>
    <col min="15361" max="15361" width="5.88671875" customWidth="1"/>
    <col min="15362" max="15362" width="15.6640625" customWidth="1"/>
    <col min="15363" max="15363" width="39.109375" customWidth="1"/>
    <col min="15364" max="15365" width="19.5546875" customWidth="1"/>
    <col min="15366" max="15378" width="15.6640625" customWidth="1"/>
    <col min="15617" max="15617" width="5.88671875" customWidth="1"/>
    <col min="15618" max="15618" width="15.6640625" customWidth="1"/>
    <col min="15619" max="15619" width="39.109375" customWidth="1"/>
    <col min="15620" max="15621" width="19.5546875" customWidth="1"/>
    <col min="15622" max="15634" width="15.6640625" customWidth="1"/>
    <col min="15873" max="15873" width="5.88671875" customWidth="1"/>
    <col min="15874" max="15874" width="15.6640625" customWidth="1"/>
    <col min="15875" max="15875" width="39.109375" customWidth="1"/>
    <col min="15876" max="15877" width="19.5546875" customWidth="1"/>
    <col min="15878" max="15890" width="15.6640625" customWidth="1"/>
    <col min="16129" max="16129" width="5.88671875" customWidth="1"/>
    <col min="16130" max="16130" width="15.6640625" customWidth="1"/>
    <col min="16131" max="16131" width="39.109375" customWidth="1"/>
    <col min="16132" max="16133" width="19.5546875" customWidth="1"/>
    <col min="16134" max="16146" width="15.6640625" customWidth="1"/>
  </cols>
  <sheetData>
    <row r="1" spans="1:25" ht="15.6" x14ac:dyDescent="0.3">
      <c r="A1" s="123" t="s">
        <v>52</v>
      </c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3"/>
      <c r="P1" s="123"/>
      <c r="Q1" s="123"/>
      <c r="R1" s="123"/>
    </row>
    <row r="2" spans="1:25" ht="15.6" x14ac:dyDescent="0.3">
      <c r="A2" s="123" t="s">
        <v>53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P2" s="123"/>
      <c r="Q2" s="123"/>
      <c r="R2" s="123"/>
    </row>
    <row r="3" spans="1:25" x14ac:dyDescent="0.3">
      <c r="A3" s="124" t="s">
        <v>54</v>
      </c>
      <c r="B3" s="124"/>
      <c r="C3" s="124"/>
      <c r="D3" s="124"/>
      <c r="E3" s="124"/>
      <c r="F3" s="124"/>
      <c r="G3" s="124"/>
      <c r="H3" s="124"/>
      <c r="I3" s="124"/>
      <c r="J3" s="124"/>
      <c r="K3" s="124"/>
      <c r="L3" s="124"/>
      <c r="M3" s="124"/>
      <c r="N3" s="124"/>
      <c r="O3" s="124"/>
      <c r="P3" s="124"/>
      <c r="Q3" s="124"/>
      <c r="R3" s="124"/>
    </row>
    <row r="5" spans="1:25" x14ac:dyDescent="0.3">
      <c r="A5" s="101"/>
      <c r="B5" s="101"/>
      <c r="C5" s="101"/>
      <c r="D5" s="101"/>
      <c r="E5" s="101"/>
      <c r="F5" s="101"/>
      <c r="H5" s="125" t="s">
        <v>55</v>
      </c>
      <c r="I5" s="125"/>
      <c r="J5" s="125"/>
      <c r="L5" s="125" t="s">
        <v>56</v>
      </c>
      <c r="M5" s="125"/>
      <c r="N5" s="125"/>
      <c r="O5" s="125" t="s">
        <v>57</v>
      </c>
      <c r="P5" s="125"/>
      <c r="Q5" s="125"/>
      <c r="R5" s="125" t="s">
        <v>58</v>
      </c>
      <c r="S5" s="125"/>
      <c r="T5" s="125"/>
    </row>
    <row r="6" spans="1:25" x14ac:dyDescent="0.3">
      <c r="A6" s="101" t="s">
        <v>59</v>
      </c>
      <c r="B6" s="101" t="s">
        <v>60</v>
      </c>
      <c r="C6" s="101" t="s">
        <v>61</v>
      </c>
      <c r="D6" s="101" t="s">
        <v>62</v>
      </c>
      <c r="E6" s="101" t="s">
        <v>63</v>
      </c>
      <c r="F6" s="101" t="s">
        <v>64</v>
      </c>
      <c r="G6" s="101" t="s">
        <v>65</v>
      </c>
      <c r="H6" s="101" t="s">
        <v>66</v>
      </c>
      <c r="I6" s="101" t="s">
        <v>67</v>
      </c>
      <c r="J6" s="101" t="s">
        <v>68</v>
      </c>
      <c r="K6" s="102" t="s">
        <v>69</v>
      </c>
      <c r="L6" s="101" t="s">
        <v>70</v>
      </c>
      <c r="M6" s="101" t="s">
        <v>68</v>
      </c>
      <c r="N6" s="102" t="s">
        <v>71</v>
      </c>
      <c r="O6" s="101" t="s">
        <v>72</v>
      </c>
      <c r="P6" s="101" t="s">
        <v>68</v>
      </c>
      <c r="Q6" s="102" t="s">
        <v>73</v>
      </c>
      <c r="R6" s="101" t="s">
        <v>74</v>
      </c>
      <c r="S6" s="101" t="s">
        <v>68</v>
      </c>
      <c r="T6" s="102" t="s">
        <v>75</v>
      </c>
      <c r="U6" s="102" t="s">
        <v>76</v>
      </c>
      <c r="V6" s="102" t="s">
        <v>77</v>
      </c>
      <c r="W6" s="102" t="s">
        <v>78</v>
      </c>
      <c r="X6" s="102" t="s">
        <v>79</v>
      </c>
      <c r="Y6" s="102" t="s">
        <v>80</v>
      </c>
    </row>
    <row r="7" spans="1:25" x14ac:dyDescent="0.3">
      <c r="A7" s="103">
        <v>1</v>
      </c>
      <c r="B7" s="103" t="s">
        <v>81</v>
      </c>
      <c r="C7" s="103" t="s">
        <v>82</v>
      </c>
      <c r="D7" s="103" t="s">
        <v>83</v>
      </c>
      <c r="E7" s="103"/>
      <c r="F7" s="103"/>
      <c r="G7" s="103" t="s">
        <v>84</v>
      </c>
      <c r="H7" s="103" t="s">
        <v>85</v>
      </c>
      <c r="I7" s="104">
        <v>20513.316000000003</v>
      </c>
      <c r="J7" s="104">
        <v>213518.59599999999</v>
      </c>
      <c r="K7" s="104">
        <v>4379974431.79</v>
      </c>
      <c r="L7" s="104">
        <v>180.42</v>
      </c>
      <c r="M7" s="104">
        <v>79330.728000000003</v>
      </c>
      <c r="N7" s="104">
        <v>14312850</v>
      </c>
      <c r="O7" s="104">
        <v>-345.56</v>
      </c>
      <c r="P7" s="104">
        <v>215053.22399999999</v>
      </c>
      <c r="Q7" s="104">
        <v>-74313792.060000002</v>
      </c>
      <c r="R7" s="104">
        <v>20348.18</v>
      </c>
      <c r="S7" s="104">
        <v>212302.69699999999</v>
      </c>
      <c r="T7" s="104">
        <v>4319973489.7299995</v>
      </c>
      <c r="U7" s="103" t="s">
        <v>86</v>
      </c>
      <c r="V7" s="103"/>
      <c r="W7" s="103" t="s">
        <v>87</v>
      </c>
      <c r="X7" s="103" t="s">
        <v>88</v>
      </c>
      <c r="Y7" s="103" t="s">
        <v>89</v>
      </c>
    </row>
    <row r="8" spans="1:25" x14ac:dyDescent="0.3">
      <c r="A8" s="103">
        <v>2</v>
      </c>
      <c r="B8" s="103" t="s">
        <v>90</v>
      </c>
      <c r="C8" s="103" t="s">
        <v>91</v>
      </c>
      <c r="D8" s="103" t="s">
        <v>83</v>
      </c>
      <c r="E8" s="103"/>
      <c r="F8" s="103"/>
      <c r="G8" s="103" t="s">
        <v>84</v>
      </c>
      <c r="H8" s="103" t="s">
        <v>85</v>
      </c>
      <c r="I8" s="104">
        <v>2148.9200000000005</v>
      </c>
      <c r="J8" s="104">
        <v>113088.969</v>
      </c>
      <c r="K8" s="104">
        <v>243019148.30000001</v>
      </c>
      <c r="L8" s="104">
        <v>61.46</v>
      </c>
      <c r="M8" s="104">
        <v>113000</v>
      </c>
      <c r="N8" s="104">
        <v>6944980</v>
      </c>
      <c r="O8" s="104">
        <v>-38.65</v>
      </c>
      <c r="P8" s="104">
        <v>113088.969</v>
      </c>
      <c r="Q8" s="104">
        <v>-4370888.67</v>
      </c>
      <c r="R8" s="104">
        <v>2171.73</v>
      </c>
      <c r="S8" s="104">
        <v>113086.452</v>
      </c>
      <c r="T8" s="104">
        <v>245593239.63000003</v>
      </c>
      <c r="U8" s="103" t="s">
        <v>86</v>
      </c>
      <c r="V8" s="103"/>
      <c r="W8" s="103" t="s">
        <v>92</v>
      </c>
      <c r="X8" s="103" t="s">
        <v>88</v>
      </c>
      <c r="Y8" s="103" t="s">
        <v>89</v>
      </c>
    </row>
    <row r="9" spans="1:25" x14ac:dyDescent="0.3">
      <c r="A9" s="103">
        <v>3</v>
      </c>
      <c r="B9" s="103" t="s">
        <v>93</v>
      </c>
      <c r="C9" s="103" t="s">
        <v>94</v>
      </c>
      <c r="D9" s="103" t="s">
        <v>95</v>
      </c>
      <c r="E9" s="103"/>
      <c r="F9" s="103"/>
      <c r="G9" s="103" t="s">
        <v>84</v>
      </c>
      <c r="H9" s="103" t="s">
        <v>85</v>
      </c>
      <c r="I9" s="104">
        <v>3118.69</v>
      </c>
      <c r="J9" s="104">
        <v>92712.807000000001</v>
      </c>
      <c r="K9" s="104">
        <v>289142503.13999999</v>
      </c>
      <c r="L9" s="104">
        <v>0</v>
      </c>
      <c r="M9" s="104">
        <v>0</v>
      </c>
      <c r="N9" s="104">
        <v>0</v>
      </c>
      <c r="O9" s="104">
        <v>-45</v>
      </c>
      <c r="P9" s="104">
        <v>92712.807000000001</v>
      </c>
      <c r="Q9" s="104">
        <v>-4172076.31</v>
      </c>
      <c r="R9" s="104">
        <v>3073.69</v>
      </c>
      <c r="S9" s="104">
        <v>92712.807000000001</v>
      </c>
      <c r="T9" s="104">
        <v>284970426.82999998</v>
      </c>
      <c r="U9" s="103" t="s">
        <v>86</v>
      </c>
      <c r="V9" s="103" t="s">
        <v>96</v>
      </c>
      <c r="W9" s="103" t="s">
        <v>97</v>
      </c>
      <c r="X9" s="103" t="s">
        <v>98</v>
      </c>
      <c r="Y9" s="103" t="s">
        <v>89</v>
      </c>
    </row>
    <row r="10" spans="1:25" x14ac:dyDescent="0.3">
      <c r="A10" s="103">
        <v>4</v>
      </c>
      <c r="B10" s="103" t="s">
        <v>99</v>
      </c>
      <c r="C10" s="103" t="s">
        <v>100</v>
      </c>
      <c r="D10" s="103" t="s">
        <v>83</v>
      </c>
      <c r="E10" s="103"/>
      <c r="F10" s="103"/>
      <c r="G10" s="103" t="s">
        <v>84</v>
      </c>
      <c r="H10" s="103" t="s">
        <v>85</v>
      </c>
      <c r="I10" s="104">
        <v>2418.1180000000018</v>
      </c>
      <c r="J10" s="104">
        <v>206027.353</v>
      </c>
      <c r="K10" s="104">
        <v>498198451.62</v>
      </c>
      <c r="L10" s="104">
        <v>628.24</v>
      </c>
      <c r="M10" s="104">
        <v>134452.58199999999</v>
      </c>
      <c r="N10" s="104">
        <v>84468490</v>
      </c>
      <c r="O10" s="104">
        <v>0</v>
      </c>
      <c r="P10" s="104">
        <v>0</v>
      </c>
      <c r="Q10" s="104">
        <v>0</v>
      </c>
      <c r="R10" s="104">
        <v>3046.36</v>
      </c>
      <c r="S10" s="104">
        <v>191266.60699999999</v>
      </c>
      <c r="T10" s="104">
        <v>582666941.62</v>
      </c>
      <c r="U10" s="103" t="s">
        <v>86</v>
      </c>
      <c r="V10" s="103"/>
      <c r="W10" s="103" t="s">
        <v>101</v>
      </c>
      <c r="X10" s="103" t="s">
        <v>88</v>
      </c>
      <c r="Y10" s="103" t="s">
        <v>89</v>
      </c>
    </row>
    <row r="11" spans="1:25" x14ac:dyDescent="0.3">
      <c r="A11" s="122" t="s">
        <v>14</v>
      </c>
      <c r="B11" s="122"/>
      <c r="C11" s="122"/>
      <c r="D11" s="122"/>
      <c r="E11" s="122"/>
      <c r="F11" s="122"/>
      <c r="G11" s="105">
        <f>SUM(G6:G10)</f>
        <v>0</v>
      </c>
      <c r="H11" s="105"/>
      <c r="I11" s="105">
        <f>SUM(I6:I10)</f>
        <v>28199.044000000005</v>
      </c>
      <c r="J11" s="105"/>
      <c r="K11" s="105">
        <f>SUM(K6:K10)</f>
        <v>5410334534.8500004</v>
      </c>
      <c r="L11" s="105">
        <f>SUM(L6:L10)</f>
        <v>870.12</v>
      </c>
      <c r="M11" s="105"/>
      <c r="N11" s="105">
        <f>SUM(N6:N10)</f>
        <v>105726320</v>
      </c>
      <c r="O11" s="105">
        <f>SUM(O6:O10)</f>
        <v>-429.21</v>
      </c>
      <c r="P11" s="105"/>
      <c r="Q11" s="105">
        <f>SUM(Q6:Q10)</f>
        <v>-82856757.040000007</v>
      </c>
      <c r="R11" s="105">
        <f>SUM(R6:R10)</f>
        <v>28639.96</v>
      </c>
      <c r="S11" s="105"/>
      <c r="T11" s="105">
        <f>SUM(T6:T10)</f>
        <v>5433204097.8099995</v>
      </c>
    </row>
    <row r="14" spans="1:25" ht="15.6" x14ac:dyDescent="0.3">
      <c r="A14" s="126" t="s">
        <v>52</v>
      </c>
      <c r="B14" s="126"/>
      <c r="C14" s="126"/>
      <c r="D14" s="126"/>
      <c r="E14" s="126"/>
      <c r="F14" s="126"/>
    </row>
    <row r="15" spans="1:25" ht="15.6" x14ac:dyDescent="0.3">
      <c r="A15" s="126" t="s">
        <v>104</v>
      </c>
      <c r="B15" s="126"/>
      <c r="C15" s="126"/>
      <c r="D15" s="126"/>
      <c r="E15" s="126"/>
      <c r="F15" s="126"/>
    </row>
    <row r="16" spans="1:25" x14ac:dyDescent="0.3">
      <c r="A16" s="127" t="s">
        <v>54</v>
      </c>
      <c r="B16" s="127"/>
      <c r="C16" s="127"/>
      <c r="D16" s="127"/>
      <c r="E16" s="127"/>
      <c r="F16" s="127"/>
    </row>
    <row r="18" spans="1:14" x14ac:dyDescent="0.3">
      <c r="A18" s="107"/>
      <c r="B18" s="107"/>
      <c r="C18" s="107"/>
      <c r="D18" s="107"/>
      <c r="E18" s="108" t="s">
        <v>17</v>
      </c>
      <c r="F18" s="128" t="s">
        <v>58</v>
      </c>
      <c r="G18" s="128"/>
      <c r="H18" s="128"/>
    </row>
    <row r="19" spans="1:14" x14ac:dyDescent="0.3">
      <c r="A19" s="107" t="s">
        <v>59</v>
      </c>
      <c r="B19" s="107" t="s">
        <v>60</v>
      </c>
      <c r="C19" s="107" t="s">
        <v>61</v>
      </c>
      <c r="D19" s="107" t="s">
        <v>62</v>
      </c>
      <c r="E19" s="107" t="s">
        <v>66</v>
      </c>
      <c r="F19" s="107" t="s">
        <v>74</v>
      </c>
      <c r="G19" s="107" t="s">
        <v>68</v>
      </c>
      <c r="H19" s="108" t="s">
        <v>75</v>
      </c>
      <c r="I19" s="108" t="s">
        <v>76</v>
      </c>
      <c r="J19" s="108" t="s">
        <v>77</v>
      </c>
      <c r="K19" s="108" t="s">
        <v>78</v>
      </c>
      <c r="L19" s="108" t="s">
        <v>79</v>
      </c>
      <c r="M19" s="108" t="s">
        <v>80</v>
      </c>
    </row>
    <row r="20" spans="1:14" x14ac:dyDescent="0.3">
      <c r="A20" s="109">
        <v>1</v>
      </c>
      <c r="B20" s="109" t="s">
        <v>81</v>
      </c>
      <c r="C20" s="109" t="s">
        <v>82</v>
      </c>
      <c r="D20" s="109" t="s">
        <v>83</v>
      </c>
      <c r="E20" s="109" t="s">
        <v>85</v>
      </c>
      <c r="F20" s="106">
        <v>23959.11</v>
      </c>
      <c r="G20" s="106">
        <v>215575.97899999999</v>
      </c>
      <c r="H20" s="106">
        <v>5165008585.7399998</v>
      </c>
      <c r="I20" s="109" t="s">
        <v>86</v>
      </c>
      <c r="J20" s="109"/>
      <c r="K20" s="109" t="s">
        <v>105</v>
      </c>
      <c r="L20" s="109" t="s">
        <v>106</v>
      </c>
      <c r="M20" s="109" t="s">
        <v>89</v>
      </c>
    </row>
    <row r="21" spans="1:14" x14ac:dyDescent="0.3">
      <c r="A21" s="109">
        <v>2</v>
      </c>
      <c r="B21" s="109" t="s">
        <v>90</v>
      </c>
      <c r="C21" s="109" t="s">
        <v>91</v>
      </c>
      <c r="D21" s="109" t="s">
        <v>83</v>
      </c>
      <c r="E21" s="109" t="s">
        <v>85</v>
      </c>
      <c r="F21" s="106">
        <v>5588.0400000000009</v>
      </c>
      <c r="G21" s="106">
        <v>112788.27800000001</v>
      </c>
      <c r="H21" s="106">
        <v>630265408.14999998</v>
      </c>
      <c r="I21" s="109" t="s">
        <v>86</v>
      </c>
      <c r="J21" s="109"/>
      <c r="K21" s="109" t="s">
        <v>107</v>
      </c>
      <c r="L21" s="109" t="s">
        <v>106</v>
      </c>
      <c r="M21" s="109" t="s">
        <v>89</v>
      </c>
    </row>
    <row r="22" spans="1:14" x14ac:dyDescent="0.3">
      <c r="A22" s="109">
        <v>3</v>
      </c>
      <c r="B22" s="109" t="s">
        <v>93</v>
      </c>
      <c r="C22" s="109" t="s">
        <v>94</v>
      </c>
      <c r="D22" s="109" t="s">
        <v>95</v>
      </c>
      <c r="E22" s="109" t="s">
        <v>85</v>
      </c>
      <c r="F22" s="106">
        <v>1486.69</v>
      </c>
      <c r="G22" s="106">
        <v>92712.807000000001</v>
      </c>
      <c r="H22" s="106">
        <v>137835202.59</v>
      </c>
      <c r="I22" s="109" t="s">
        <v>86</v>
      </c>
      <c r="J22" s="109" t="s">
        <v>96</v>
      </c>
      <c r="K22" s="109" t="s">
        <v>97</v>
      </c>
      <c r="L22" s="109" t="s">
        <v>98</v>
      </c>
      <c r="M22" s="109" t="s">
        <v>89</v>
      </c>
    </row>
    <row r="23" spans="1:14" x14ac:dyDescent="0.3">
      <c r="A23" s="109">
        <v>4</v>
      </c>
      <c r="B23" s="109" t="s">
        <v>99</v>
      </c>
      <c r="C23" s="109" t="s">
        <v>100</v>
      </c>
      <c r="D23" s="109" t="s">
        <v>83</v>
      </c>
      <c r="E23" s="109" t="s">
        <v>85</v>
      </c>
      <c r="F23" s="106">
        <v>3858.568000000002</v>
      </c>
      <c r="G23" s="106">
        <v>203181.516</v>
      </c>
      <c r="H23" s="106">
        <v>783989694.13</v>
      </c>
      <c r="I23" s="109" t="s">
        <v>86</v>
      </c>
      <c r="J23" s="109"/>
      <c r="K23" s="109" t="s">
        <v>108</v>
      </c>
      <c r="L23" s="109" t="s">
        <v>106</v>
      </c>
      <c r="M23" s="109" t="s">
        <v>89</v>
      </c>
    </row>
    <row r="24" spans="1:14" x14ac:dyDescent="0.3">
      <c r="A24" s="109">
        <v>5</v>
      </c>
      <c r="B24" s="109" t="s">
        <v>109</v>
      </c>
      <c r="C24" s="109" t="s">
        <v>110</v>
      </c>
      <c r="D24" s="109" t="s">
        <v>95</v>
      </c>
      <c r="E24" s="109" t="s">
        <v>85</v>
      </c>
      <c r="F24" s="106">
        <v>7333.9999999999964</v>
      </c>
      <c r="G24" s="106">
        <v>9356581.6899999995</v>
      </c>
      <c r="H24" s="106">
        <v>68621170117.750015</v>
      </c>
      <c r="I24" s="109"/>
      <c r="J24" s="109"/>
      <c r="K24" s="109"/>
      <c r="L24" s="109"/>
      <c r="M24" s="109"/>
    </row>
    <row r="25" spans="1:14" x14ac:dyDescent="0.3">
      <c r="A25" s="129" t="s">
        <v>14</v>
      </c>
      <c r="B25" s="129"/>
      <c r="C25" s="129"/>
      <c r="D25" s="129"/>
      <c r="E25" s="110"/>
      <c r="F25" s="110">
        <f>SUM(F20:F24)</f>
        <v>42226.407999999996</v>
      </c>
      <c r="G25" s="110"/>
      <c r="H25" s="110">
        <f>SUM(H20:H24)</f>
        <v>75338269008.360016</v>
      </c>
    </row>
    <row r="27" spans="1:14" ht="15.6" x14ac:dyDescent="0.3">
      <c r="A27" s="123" t="s">
        <v>52</v>
      </c>
      <c r="B27" s="123"/>
      <c r="C27" s="123"/>
      <c r="D27" s="123"/>
      <c r="E27" s="123"/>
      <c r="F27" s="123"/>
      <c r="G27" s="123"/>
    </row>
    <row r="28" spans="1:14" ht="15.6" x14ac:dyDescent="0.3">
      <c r="A28" s="123" t="s">
        <v>117</v>
      </c>
      <c r="B28" s="123"/>
      <c r="C28" s="123"/>
      <c r="D28" s="123"/>
      <c r="E28" s="123"/>
      <c r="F28" s="123"/>
      <c r="G28" s="123"/>
    </row>
    <row r="29" spans="1:14" x14ac:dyDescent="0.3">
      <c r="A29" s="124" t="s">
        <v>118</v>
      </c>
      <c r="B29" s="124"/>
      <c r="C29" s="124"/>
      <c r="D29" s="124"/>
      <c r="E29" s="124"/>
      <c r="F29" s="124"/>
      <c r="G29" s="124"/>
    </row>
    <row r="31" spans="1:14" x14ac:dyDescent="0.3">
      <c r="A31" s="101"/>
      <c r="B31" s="101"/>
      <c r="C31" s="101"/>
      <c r="D31" s="101"/>
      <c r="F31" s="102" t="s">
        <v>17</v>
      </c>
      <c r="G31" s="125" t="s">
        <v>58</v>
      </c>
      <c r="H31" s="125"/>
      <c r="I31" s="125"/>
    </row>
    <row r="32" spans="1:14" x14ac:dyDescent="0.3">
      <c r="A32" s="101" t="s">
        <v>59</v>
      </c>
      <c r="B32" s="101" t="s">
        <v>60</v>
      </c>
      <c r="C32" s="101" t="s">
        <v>61</v>
      </c>
      <c r="D32" s="101" t="s">
        <v>62</v>
      </c>
      <c r="E32" s="101" t="s">
        <v>65</v>
      </c>
      <c r="F32" s="101" t="s">
        <v>66</v>
      </c>
      <c r="G32" s="101" t="s">
        <v>74</v>
      </c>
      <c r="H32" s="101" t="s">
        <v>68</v>
      </c>
      <c r="I32" s="102" t="s">
        <v>75</v>
      </c>
      <c r="J32" s="102" t="s">
        <v>76</v>
      </c>
      <c r="K32" s="102" t="s">
        <v>77</v>
      </c>
      <c r="L32" s="102" t="s">
        <v>78</v>
      </c>
      <c r="M32" s="102" t="s">
        <v>79</v>
      </c>
      <c r="N32" s="102" t="s">
        <v>80</v>
      </c>
    </row>
    <row r="33" spans="1:25" x14ac:dyDescent="0.3">
      <c r="A33" s="109">
        <v>1</v>
      </c>
      <c r="B33" s="109" t="s">
        <v>81</v>
      </c>
      <c r="C33" s="109" t="s">
        <v>82</v>
      </c>
      <c r="D33" s="109" t="s">
        <v>83</v>
      </c>
      <c r="E33" s="109" t="s">
        <v>84</v>
      </c>
      <c r="F33" s="109" t="s">
        <v>85</v>
      </c>
      <c r="G33" s="106">
        <v>28619.929</v>
      </c>
      <c r="H33" s="106">
        <v>207268.353</v>
      </c>
      <c r="I33" s="106">
        <v>5932005550.3800001</v>
      </c>
      <c r="J33" s="109" t="s">
        <v>86</v>
      </c>
      <c r="K33" s="109"/>
      <c r="L33" s="109" t="s">
        <v>121</v>
      </c>
      <c r="M33" s="109" t="s">
        <v>122</v>
      </c>
      <c r="N33" s="109" t="s">
        <v>89</v>
      </c>
    </row>
    <row r="34" spans="1:25" x14ac:dyDescent="0.3">
      <c r="A34" s="109">
        <v>2</v>
      </c>
      <c r="B34" s="109" t="s">
        <v>90</v>
      </c>
      <c r="C34" s="109" t="s">
        <v>91</v>
      </c>
      <c r="D34" s="109" t="s">
        <v>83</v>
      </c>
      <c r="E34" s="109" t="s">
        <v>84</v>
      </c>
      <c r="F34" s="109" t="s">
        <v>85</v>
      </c>
      <c r="G34" s="106">
        <v>7445.380000000001</v>
      </c>
      <c r="H34" s="106">
        <v>112119.988</v>
      </c>
      <c r="I34" s="106">
        <v>834775912.99000001</v>
      </c>
      <c r="J34" s="109" t="s">
        <v>86</v>
      </c>
      <c r="K34" s="109"/>
      <c r="L34" s="109" t="s">
        <v>123</v>
      </c>
      <c r="M34" s="109" t="s">
        <v>122</v>
      </c>
      <c r="N34" s="109" t="s">
        <v>89</v>
      </c>
    </row>
    <row r="35" spans="1:25" x14ac:dyDescent="0.3">
      <c r="A35" s="109">
        <v>3</v>
      </c>
      <c r="B35" s="109" t="s">
        <v>93</v>
      </c>
      <c r="C35" s="109" t="s">
        <v>94</v>
      </c>
      <c r="D35" s="109" t="s">
        <v>95</v>
      </c>
      <c r="E35" s="109" t="s">
        <v>84</v>
      </c>
      <c r="F35" s="109" t="s">
        <v>85</v>
      </c>
      <c r="G35" s="106">
        <v>5365.6500000000005</v>
      </c>
      <c r="H35" s="106">
        <v>99353.14</v>
      </c>
      <c r="I35" s="106">
        <v>533094176.09000003</v>
      </c>
      <c r="J35" s="109" t="s">
        <v>86</v>
      </c>
      <c r="K35" s="109" t="s">
        <v>96</v>
      </c>
      <c r="L35" s="109" t="s">
        <v>124</v>
      </c>
      <c r="M35" s="109" t="s">
        <v>125</v>
      </c>
      <c r="N35" s="109" t="s">
        <v>89</v>
      </c>
    </row>
    <row r="36" spans="1:25" x14ac:dyDescent="0.3">
      <c r="A36" s="109">
        <v>4</v>
      </c>
      <c r="B36" s="109" t="s">
        <v>119</v>
      </c>
      <c r="C36" s="109" t="s">
        <v>120</v>
      </c>
      <c r="D36" s="109" t="s">
        <v>83</v>
      </c>
      <c r="E36" s="109" t="s">
        <v>84</v>
      </c>
      <c r="F36" s="109" t="s">
        <v>85</v>
      </c>
      <c r="G36" s="106">
        <v>298.36</v>
      </c>
      <c r="H36" s="106">
        <v>115000</v>
      </c>
      <c r="I36" s="106">
        <v>34311400</v>
      </c>
      <c r="J36" s="109" t="s">
        <v>86</v>
      </c>
      <c r="K36" s="109"/>
      <c r="L36" s="109" t="s">
        <v>126</v>
      </c>
      <c r="M36" s="109" t="s">
        <v>127</v>
      </c>
      <c r="N36" s="109" t="s">
        <v>89</v>
      </c>
    </row>
    <row r="37" spans="1:25" x14ac:dyDescent="0.3">
      <c r="A37" s="109">
        <v>5</v>
      </c>
      <c r="B37" s="109" t="s">
        <v>99</v>
      </c>
      <c r="C37" s="109" t="s">
        <v>100</v>
      </c>
      <c r="D37" s="109" t="s">
        <v>83</v>
      </c>
      <c r="E37" s="109" t="s">
        <v>84</v>
      </c>
      <c r="F37" s="109" t="s">
        <v>85</v>
      </c>
      <c r="G37" s="106">
        <v>8628.5470000000005</v>
      </c>
      <c r="H37" s="106">
        <v>195693.45199999999</v>
      </c>
      <c r="I37" s="106">
        <v>1688550149.6900001</v>
      </c>
      <c r="J37" s="109" t="s">
        <v>86</v>
      </c>
      <c r="K37" s="109"/>
      <c r="L37" s="109" t="s">
        <v>128</v>
      </c>
      <c r="M37" s="109" t="s">
        <v>122</v>
      </c>
      <c r="N37" s="109" t="s">
        <v>89</v>
      </c>
    </row>
    <row r="38" spans="1:25" x14ac:dyDescent="0.3">
      <c r="A38" s="122" t="s">
        <v>14</v>
      </c>
      <c r="B38" s="122"/>
      <c r="C38" s="122"/>
      <c r="D38" s="122"/>
      <c r="E38" s="105">
        <f>SUM(E33:E37)</f>
        <v>0</v>
      </c>
      <c r="F38" s="105"/>
      <c r="G38" s="105">
        <f>SUM(G33:G37)</f>
        <v>50357.866000000002</v>
      </c>
      <c r="H38" s="105"/>
      <c r="I38" s="105">
        <f>SUM(I33:I37)</f>
        <v>9022737189.1499996</v>
      </c>
    </row>
    <row r="40" spans="1:25" ht="15.6" x14ac:dyDescent="0.3">
      <c r="A40" s="123" t="s">
        <v>52</v>
      </c>
      <c r="B40" s="123"/>
      <c r="C40" s="123"/>
      <c r="D40" s="123"/>
      <c r="E40" s="123"/>
      <c r="F40" s="123"/>
      <c r="G40" s="123"/>
      <c r="H40" s="123"/>
      <c r="I40" s="123"/>
      <c r="J40" s="123"/>
      <c r="K40" s="123"/>
      <c r="L40" s="123"/>
      <c r="M40" s="123"/>
      <c r="N40" s="123"/>
      <c r="O40" s="123"/>
      <c r="P40" s="123"/>
      <c r="Q40" s="123"/>
      <c r="R40" s="123"/>
    </row>
    <row r="41" spans="1:25" ht="15.6" x14ac:dyDescent="0.3">
      <c r="A41" s="123" t="s">
        <v>117</v>
      </c>
      <c r="B41" s="123"/>
      <c r="C41" s="123"/>
      <c r="D41" s="123"/>
      <c r="E41" s="123"/>
      <c r="F41" s="123"/>
      <c r="G41" s="123"/>
      <c r="H41" s="123"/>
      <c r="I41" s="123"/>
      <c r="J41" s="123"/>
      <c r="K41" s="123"/>
      <c r="L41" s="123"/>
      <c r="M41" s="123"/>
      <c r="N41" s="123"/>
      <c r="O41" s="123"/>
      <c r="P41" s="123"/>
      <c r="Q41" s="123"/>
      <c r="R41" s="123"/>
    </row>
    <row r="42" spans="1:25" x14ac:dyDescent="0.3">
      <c r="A42" s="124" t="s">
        <v>54</v>
      </c>
      <c r="B42" s="124"/>
      <c r="C42" s="124"/>
      <c r="D42" s="124"/>
      <c r="E42" s="124"/>
      <c r="F42" s="124"/>
      <c r="G42" s="124"/>
      <c r="H42" s="124"/>
      <c r="I42" s="124"/>
      <c r="J42" s="124"/>
      <c r="K42" s="124"/>
      <c r="L42" s="124"/>
      <c r="M42" s="124"/>
      <c r="N42" s="124"/>
      <c r="O42" s="124"/>
      <c r="P42" s="124"/>
      <c r="Q42" s="124"/>
      <c r="R42" s="124"/>
    </row>
    <row r="44" spans="1:25" x14ac:dyDescent="0.3">
      <c r="A44" s="101"/>
      <c r="B44" s="101"/>
      <c r="C44" s="101"/>
      <c r="D44" s="101"/>
      <c r="E44" s="101"/>
      <c r="F44" s="101"/>
      <c r="H44" s="125" t="s">
        <v>55</v>
      </c>
      <c r="I44" s="125"/>
      <c r="J44" s="125"/>
      <c r="L44" s="125" t="s">
        <v>56</v>
      </c>
      <c r="M44" s="125"/>
      <c r="N44" s="125"/>
      <c r="O44" s="125" t="s">
        <v>57</v>
      </c>
      <c r="P44" s="125"/>
      <c r="Q44" s="125"/>
      <c r="R44" s="125" t="s">
        <v>58</v>
      </c>
      <c r="S44" s="125"/>
      <c r="T44" s="125"/>
    </row>
    <row r="45" spans="1:25" x14ac:dyDescent="0.3">
      <c r="A45" s="101" t="s">
        <v>59</v>
      </c>
      <c r="B45" s="101" t="s">
        <v>60</v>
      </c>
      <c r="C45" s="101" t="s">
        <v>61</v>
      </c>
      <c r="D45" s="101" t="s">
        <v>62</v>
      </c>
      <c r="E45" s="101" t="s">
        <v>63</v>
      </c>
      <c r="F45" s="101" t="s">
        <v>64</v>
      </c>
      <c r="G45" s="101" t="s">
        <v>65</v>
      </c>
      <c r="H45" s="101" t="s">
        <v>66</v>
      </c>
      <c r="I45" s="101" t="s">
        <v>67</v>
      </c>
      <c r="J45" s="101" t="s">
        <v>68</v>
      </c>
      <c r="K45" s="102" t="s">
        <v>69</v>
      </c>
      <c r="L45" s="101" t="s">
        <v>70</v>
      </c>
      <c r="M45" s="101" t="s">
        <v>68</v>
      </c>
      <c r="N45" s="102" t="s">
        <v>71</v>
      </c>
      <c r="O45" s="101" t="s">
        <v>72</v>
      </c>
      <c r="P45" s="101" t="s">
        <v>68</v>
      </c>
      <c r="Q45" s="102" t="s">
        <v>73</v>
      </c>
      <c r="R45" s="101" t="s">
        <v>74</v>
      </c>
      <c r="S45" s="101" t="s">
        <v>68</v>
      </c>
      <c r="T45" s="102" t="s">
        <v>75</v>
      </c>
      <c r="U45" s="102" t="s">
        <v>76</v>
      </c>
      <c r="V45" s="102" t="s">
        <v>77</v>
      </c>
      <c r="W45" s="102" t="s">
        <v>78</v>
      </c>
      <c r="X45" s="102" t="s">
        <v>79</v>
      </c>
      <c r="Y45" s="102" t="s">
        <v>80</v>
      </c>
    </row>
    <row r="46" spans="1:25" x14ac:dyDescent="0.3">
      <c r="A46" s="109">
        <v>1</v>
      </c>
      <c r="B46" s="109" t="s">
        <v>109</v>
      </c>
      <c r="C46" s="109" t="s">
        <v>110</v>
      </c>
      <c r="D46" s="109" t="s">
        <v>95</v>
      </c>
      <c r="E46" s="109"/>
      <c r="F46" s="109"/>
      <c r="G46" s="109" t="s">
        <v>129</v>
      </c>
      <c r="H46" s="109" t="s">
        <v>85</v>
      </c>
      <c r="I46" s="106">
        <v>4758.649999999996</v>
      </c>
      <c r="J46" s="106">
        <v>67564.361999999994</v>
      </c>
      <c r="K46" s="106">
        <v>321515150.51999998</v>
      </c>
      <c r="L46" s="106">
        <v>0</v>
      </c>
      <c r="M46" s="106">
        <v>0</v>
      </c>
      <c r="N46" s="106">
        <v>0</v>
      </c>
      <c r="O46" s="106">
        <v>-1477.11</v>
      </c>
      <c r="P46" s="106">
        <v>62194.226000000002</v>
      </c>
      <c r="Q46" s="106">
        <v>-91867713</v>
      </c>
      <c r="R46" s="106">
        <v>3281.54</v>
      </c>
      <c r="S46" s="106">
        <v>69981.604999999996</v>
      </c>
      <c r="T46" s="106">
        <v>229647437.51999998</v>
      </c>
      <c r="U46" s="109"/>
      <c r="V46" s="109"/>
      <c r="W46" s="109"/>
      <c r="X46" s="109"/>
      <c r="Y46" s="109"/>
    </row>
    <row r="47" spans="1:25" x14ac:dyDescent="0.3">
      <c r="A47" s="122" t="s">
        <v>14</v>
      </c>
      <c r="B47" s="122"/>
      <c r="C47" s="122"/>
      <c r="D47" s="122"/>
      <c r="E47" s="122"/>
      <c r="F47" s="122"/>
      <c r="G47" s="105">
        <f>SUM(G46:G46)</f>
        <v>0</v>
      </c>
      <c r="H47" s="105"/>
      <c r="I47" s="105">
        <f>SUM(I46:I46)</f>
        <v>4758.649999999996</v>
      </c>
      <c r="J47" s="105"/>
      <c r="K47" s="105">
        <f>SUM(K46:K46)</f>
        <v>321515150.51999998</v>
      </c>
      <c r="L47" s="105">
        <f>SUM(L46:L46)</f>
        <v>0</v>
      </c>
      <c r="M47" s="105"/>
      <c r="N47" s="105">
        <f>SUM(N46:N46)</f>
        <v>0</v>
      </c>
      <c r="O47" s="105">
        <f>SUM(O46:O46)</f>
        <v>-1477.11</v>
      </c>
      <c r="P47" s="105"/>
      <c r="Q47" s="105">
        <f>SUM(Q46:Q46)</f>
        <v>-91867713</v>
      </c>
      <c r="R47" s="105">
        <f>SUM(R46:R46)</f>
        <v>3281.54</v>
      </c>
      <c r="S47" s="105"/>
      <c r="T47" s="105">
        <f>SUM(T46:T46)</f>
        <v>229647437.51999998</v>
      </c>
    </row>
  </sheetData>
  <mergeCells count="26">
    <mergeCell ref="A14:F14"/>
    <mergeCell ref="A15:F15"/>
    <mergeCell ref="A16:F16"/>
    <mergeCell ref="F18:H18"/>
    <mergeCell ref="A25:D25"/>
    <mergeCell ref="A11:F11"/>
    <mergeCell ref="A1:R1"/>
    <mergeCell ref="A2:R2"/>
    <mergeCell ref="A3:R3"/>
    <mergeCell ref="H5:J5"/>
    <mergeCell ref="L5:N5"/>
    <mergeCell ref="O5:Q5"/>
    <mergeCell ref="R5:T5"/>
    <mergeCell ref="A38:D38"/>
    <mergeCell ref="A27:G27"/>
    <mergeCell ref="A28:G28"/>
    <mergeCell ref="A29:G29"/>
    <mergeCell ref="G31:I31"/>
    <mergeCell ref="A47:F47"/>
    <mergeCell ref="A40:R40"/>
    <mergeCell ref="A41:R41"/>
    <mergeCell ref="A42:R42"/>
    <mergeCell ref="H44:J44"/>
    <mergeCell ref="L44:N44"/>
    <mergeCell ref="O44:Q44"/>
    <mergeCell ref="R44:T4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M-12 Stock Audit Report - Raw M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Kishor Jadav</cp:lastModifiedBy>
  <dcterms:created xsi:type="dcterms:W3CDTF">2015-06-05T18:17:20Z</dcterms:created>
  <dcterms:modified xsi:type="dcterms:W3CDTF">2026-04-02T09:17:50Z</dcterms:modified>
</cp:coreProperties>
</file>